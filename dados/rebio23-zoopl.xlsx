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930" documentId="8_{3F5A86CD-7606-47D4-931D-30BD1EAC09D6}" xr6:coauthVersionLast="47" xr6:coauthVersionMax="47" xr10:uidLastSave="{9DD2C644-E446-4EF1-8880-BD2E75438EB1}"/>
  <bookViews>
    <workbookView xWindow="-21720" yWindow="-22425" windowWidth="21840" windowHeight="37920" tabRatio="779" activeTab="5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_final" sheetId="10" r:id="rId7"/>
    <sheet name="&lt;-- AQUI" sheetId="9" r:id="rId8"/>
  </sheets>
  <definedNames>
    <definedName name="Excel_BuiltIn__FilterDatabase" localSheetId="2">densidade_hab_indL!$A$1:$D$49</definedName>
    <definedName name="Excel_BuiltIn__FilterDatabase" localSheetId="1">rebio23_80ml!$A$5:$CM$106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2" i="6" l="1"/>
  <c r="R74" i="6"/>
  <c r="R90" i="6"/>
  <c r="R87" i="6"/>
  <c r="R86" i="6"/>
  <c r="R85" i="6"/>
  <c r="R82" i="6"/>
  <c r="R81" i="6"/>
  <c r="R79" i="6"/>
  <c r="R77" i="6"/>
  <c r="R75" i="6"/>
  <c r="R72" i="6"/>
  <c r="R71" i="6"/>
  <c r="R70" i="6"/>
  <c r="R68" i="6"/>
  <c r="R67" i="6"/>
  <c r="R66" i="6"/>
  <c r="R65" i="6"/>
  <c r="R64" i="6"/>
  <c r="R59" i="6"/>
  <c r="R57" i="6"/>
  <c r="R56" i="6"/>
  <c r="R54" i="6"/>
  <c r="R52" i="6"/>
  <c r="R50" i="6"/>
  <c r="R49" i="6"/>
  <c r="R48" i="6"/>
  <c r="R46" i="6"/>
  <c r="R44" i="6"/>
  <c r="R43" i="6"/>
  <c r="R42" i="6"/>
  <c r="R41" i="6"/>
  <c r="R39" i="6"/>
  <c r="R37" i="6"/>
  <c r="R36" i="6"/>
  <c r="R35" i="6"/>
  <c r="R34" i="6"/>
  <c r="R32" i="6"/>
  <c r="R31" i="6"/>
  <c r="R30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0" i="6"/>
  <c r="R8" i="6"/>
  <c r="R6" i="6"/>
  <c r="S85" i="6"/>
  <c r="S81" i="6"/>
  <c r="S68" i="6"/>
  <c r="S58" i="6"/>
  <c r="J20" i="6"/>
  <c r="J19" i="6"/>
  <c r="J15" i="6"/>
  <c r="J14" i="6"/>
  <c r="J6" i="6"/>
  <c r="J22" i="6"/>
  <c r="J18" i="6"/>
  <c r="J12" i="6"/>
  <c r="J11" i="6"/>
  <c r="J10" i="6"/>
  <c r="J9" i="6"/>
  <c r="J8" i="6"/>
  <c r="J17" i="6"/>
  <c r="J16" i="6"/>
  <c r="J13" i="6"/>
  <c r="O3" i="6"/>
  <c r="Q90" i="6"/>
  <c r="P90" i="6"/>
  <c r="O90" i="6"/>
  <c r="N90" i="6"/>
  <c r="S90" i="6" s="1"/>
  <c r="Q87" i="6"/>
  <c r="P87" i="6"/>
  <c r="O87" i="6"/>
  <c r="N87" i="6"/>
  <c r="S87" i="6" s="1"/>
  <c r="Q86" i="6"/>
  <c r="P86" i="6"/>
  <c r="S86" i="6" s="1"/>
  <c r="O86" i="6"/>
  <c r="N86" i="6"/>
  <c r="Q85" i="6"/>
  <c r="P85" i="6"/>
  <c r="O85" i="6"/>
  <c r="N85" i="6"/>
  <c r="Q82" i="6"/>
  <c r="S82" i="6" s="1"/>
  <c r="P82" i="6"/>
  <c r="O82" i="6"/>
  <c r="N82" i="6"/>
  <c r="Q81" i="6"/>
  <c r="P81" i="6"/>
  <c r="O81" i="6"/>
  <c r="N81" i="6"/>
  <c r="Q79" i="6"/>
  <c r="P79" i="6"/>
  <c r="O79" i="6"/>
  <c r="N79" i="6"/>
  <c r="S79" i="6" s="1"/>
  <c r="Q77" i="6"/>
  <c r="P77" i="6"/>
  <c r="O77" i="6"/>
  <c r="N77" i="6"/>
  <c r="S77" i="6" s="1"/>
  <c r="Q75" i="6"/>
  <c r="P75" i="6"/>
  <c r="O75" i="6"/>
  <c r="N75" i="6"/>
  <c r="S75" i="6" s="1"/>
  <c r="Q74" i="6"/>
  <c r="P74" i="6"/>
  <c r="O74" i="6"/>
  <c r="N74" i="6"/>
  <c r="S74" i="6" s="1"/>
  <c r="Q72" i="6"/>
  <c r="P72" i="6"/>
  <c r="S72" i="6" s="1"/>
  <c r="O72" i="6"/>
  <c r="N72" i="6"/>
  <c r="Q71" i="6"/>
  <c r="P71" i="6"/>
  <c r="O71" i="6"/>
  <c r="N71" i="6"/>
  <c r="S71" i="6" s="1"/>
  <c r="Q70" i="6"/>
  <c r="S70" i="6" s="1"/>
  <c r="P70" i="6"/>
  <c r="O70" i="6"/>
  <c r="N70" i="6"/>
  <c r="Q68" i="6"/>
  <c r="P68" i="6"/>
  <c r="O68" i="6"/>
  <c r="N68" i="6"/>
  <c r="Q67" i="6"/>
  <c r="P67" i="6"/>
  <c r="O67" i="6"/>
  <c r="N67" i="6"/>
  <c r="S67" i="6" s="1"/>
  <c r="Q66" i="6"/>
  <c r="P66" i="6"/>
  <c r="O66" i="6"/>
  <c r="N66" i="6"/>
  <c r="S66" i="6" s="1"/>
  <c r="Q65" i="6"/>
  <c r="P65" i="6"/>
  <c r="O65" i="6"/>
  <c r="N65" i="6"/>
  <c r="S65" i="6" s="1"/>
  <c r="Q64" i="6"/>
  <c r="P64" i="6"/>
  <c r="O64" i="6"/>
  <c r="N64" i="6"/>
  <c r="S64" i="6" s="1"/>
  <c r="Q59" i="6"/>
  <c r="P59" i="6"/>
  <c r="S59" i="6" s="1"/>
  <c r="O59" i="6"/>
  <c r="N59" i="6"/>
  <c r="Q57" i="6"/>
  <c r="P57" i="6"/>
  <c r="O57" i="6"/>
  <c r="N57" i="6"/>
  <c r="S57" i="6" s="1"/>
  <c r="Q56" i="6"/>
  <c r="S56" i="6" s="1"/>
  <c r="P56" i="6"/>
  <c r="O56" i="6"/>
  <c r="N56" i="6"/>
  <c r="Q54" i="6"/>
  <c r="P54" i="6"/>
  <c r="O54" i="6"/>
  <c r="N54" i="6"/>
  <c r="S54" i="6" s="1"/>
  <c r="Q52" i="6"/>
  <c r="P52" i="6"/>
  <c r="O52" i="6"/>
  <c r="N52" i="6"/>
  <c r="S52" i="6" s="1"/>
  <c r="Q50" i="6"/>
  <c r="P50" i="6"/>
  <c r="O50" i="6"/>
  <c r="N50" i="6"/>
  <c r="S50" i="6" s="1"/>
  <c r="Q49" i="6"/>
  <c r="P49" i="6"/>
  <c r="O49" i="6"/>
  <c r="N49" i="6"/>
  <c r="S49" i="6" s="1"/>
  <c r="Q48" i="6"/>
  <c r="P48" i="6"/>
  <c r="O48" i="6"/>
  <c r="N48" i="6"/>
  <c r="S48" i="6" s="1"/>
  <c r="Q46" i="6"/>
  <c r="P46" i="6"/>
  <c r="S46" i="6" s="1"/>
  <c r="O46" i="6"/>
  <c r="N46" i="6"/>
  <c r="Q44" i="6"/>
  <c r="P44" i="6"/>
  <c r="O44" i="6"/>
  <c r="N44" i="6"/>
  <c r="S44" i="6" s="1"/>
  <c r="Q43" i="6"/>
  <c r="S43" i="6" s="1"/>
  <c r="P43" i="6"/>
  <c r="O43" i="6"/>
  <c r="N43" i="6"/>
  <c r="Q42" i="6"/>
  <c r="P42" i="6"/>
  <c r="O42" i="6"/>
  <c r="N42" i="6"/>
  <c r="S42" i="6" s="1"/>
  <c r="Q41" i="6"/>
  <c r="P41" i="6"/>
  <c r="O41" i="6"/>
  <c r="N41" i="6"/>
  <c r="S41" i="6" s="1"/>
  <c r="Q39" i="6"/>
  <c r="P39" i="6"/>
  <c r="O39" i="6"/>
  <c r="N39" i="6"/>
  <c r="S39" i="6" s="1"/>
  <c r="Q37" i="6"/>
  <c r="P37" i="6"/>
  <c r="O37" i="6"/>
  <c r="N37" i="6"/>
  <c r="S37" i="6" s="1"/>
  <c r="Q36" i="6"/>
  <c r="P36" i="6"/>
  <c r="O36" i="6"/>
  <c r="N36" i="6"/>
  <c r="S36" i="6" s="1"/>
  <c r="Q35" i="6"/>
  <c r="P35" i="6"/>
  <c r="S35" i="6" s="1"/>
  <c r="O35" i="6"/>
  <c r="N35" i="6"/>
  <c r="Q34" i="6"/>
  <c r="P34" i="6"/>
  <c r="O34" i="6"/>
  <c r="N34" i="6"/>
  <c r="S34" i="6" s="1"/>
  <c r="Q32" i="6"/>
  <c r="S32" i="6" s="1"/>
  <c r="P32" i="6"/>
  <c r="O32" i="6"/>
  <c r="N32" i="6"/>
  <c r="Q31" i="6"/>
  <c r="P31" i="6"/>
  <c r="O31" i="6"/>
  <c r="N31" i="6"/>
  <c r="S31" i="6" s="1"/>
  <c r="Q30" i="6"/>
  <c r="P30" i="6"/>
  <c r="O30" i="6"/>
  <c r="N30" i="6"/>
  <c r="S30" i="6" s="1"/>
  <c r="Q28" i="6"/>
  <c r="P28" i="6"/>
  <c r="O28" i="6"/>
  <c r="N28" i="6"/>
  <c r="S28" i="6" s="1"/>
  <c r="Q27" i="6"/>
  <c r="P27" i="6"/>
  <c r="O27" i="6"/>
  <c r="N27" i="6"/>
  <c r="S27" i="6" s="1"/>
  <c r="Q26" i="6"/>
  <c r="P26" i="6"/>
  <c r="O26" i="6"/>
  <c r="N26" i="6"/>
  <c r="S26" i="6" s="1"/>
  <c r="Q25" i="6"/>
  <c r="P25" i="6"/>
  <c r="S25" i="6" s="1"/>
  <c r="O25" i="6"/>
  <c r="N25" i="6"/>
  <c r="Q24" i="6"/>
  <c r="P24" i="6"/>
  <c r="O24" i="6"/>
  <c r="N24" i="6"/>
  <c r="S24" i="6" s="1"/>
  <c r="Q23" i="6"/>
  <c r="S23" i="6" s="1"/>
  <c r="P23" i="6"/>
  <c r="O23" i="6"/>
  <c r="N23" i="6"/>
  <c r="Q22" i="6"/>
  <c r="P22" i="6"/>
  <c r="O22" i="6"/>
  <c r="N22" i="6"/>
  <c r="S22" i="6" s="1"/>
  <c r="Q21" i="6"/>
  <c r="P21" i="6"/>
  <c r="O21" i="6"/>
  <c r="N21" i="6"/>
  <c r="S21" i="6" s="1"/>
  <c r="Q20" i="6"/>
  <c r="P20" i="6"/>
  <c r="O20" i="6"/>
  <c r="N20" i="6"/>
  <c r="S20" i="6" s="1"/>
  <c r="Q19" i="6"/>
  <c r="P19" i="6"/>
  <c r="O19" i="6"/>
  <c r="N19" i="6"/>
  <c r="S19" i="6" s="1"/>
  <c r="Q18" i="6"/>
  <c r="P18" i="6"/>
  <c r="O18" i="6"/>
  <c r="N18" i="6"/>
  <c r="S18" i="6" s="1"/>
  <c r="Q17" i="6"/>
  <c r="P17" i="6"/>
  <c r="S17" i="6" s="1"/>
  <c r="O17" i="6"/>
  <c r="N17" i="6"/>
  <c r="Q16" i="6"/>
  <c r="P16" i="6"/>
  <c r="O16" i="6"/>
  <c r="N16" i="6"/>
  <c r="S16" i="6" s="1"/>
  <c r="Q15" i="6"/>
  <c r="S15" i="6" s="1"/>
  <c r="P15" i="6"/>
  <c r="O15" i="6"/>
  <c r="N15" i="6"/>
  <c r="Q14" i="6"/>
  <c r="P14" i="6"/>
  <c r="O14" i="6"/>
  <c r="N14" i="6"/>
  <c r="S14" i="6" s="1"/>
  <c r="Q10" i="6"/>
  <c r="P10" i="6"/>
  <c r="P3" i="6" s="1"/>
  <c r="O10" i="6"/>
  <c r="N10" i="6"/>
  <c r="S10" i="6" s="1"/>
  <c r="Q8" i="6"/>
  <c r="P8" i="6"/>
  <c r="O8" i="6"/>
  <c r="N8" i="6"/>
  <c r="S8" i="6" s="1"/>
  <c r="N6" i="6"/>
  <c r="S6" i="6" s="1"/>
  <c r="Q6" i="6"/>
  <c r="Q3" i="6" s="1"/>
  <c r="P6" i="6"/>
  <c r="O6" i="6"/>
  <c r="Q4" i="6"/>
  <c r="P4" i="6"/>
  <c r="O4" i="6"/>
  <c r="N4" i="6"/>
  <c r="S4" i="6" s="1"/>
  <c r="A1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4" i="2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18" i="6"/>
  <c r="J21" i="6"/>
  <c r="A17" i="6"/>
  <c r="A16" i="6"/>
  <c r="A15" i="6"/>
  <c r="A14" i="6"/>
  <c r="A13" i="6"/>
  <c r="A12" i="6"/>
  <c r="A11" i="6"/>
  <c r="A10" i="6"/>
  <c r="A9" i="6"/>
  <c r="A8" i="6"/>
  <c r="A7" i="6"/>
  <c r="J7" i="6"/>
  <c r="A6" i="6"/>
  <c r="J5" i="6"/>
  <c r="A5" i="6"/>
  <c r="J4" i="6"/>
  <c r="A4" i="6"/>
  <c r="J3" i="6"/>
  <c r="A3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C33" i="4" s="1"/>
  <c r="AB95" i="3"/>
  <c r="AA95" i="3"/>
  <c r="Z95" i="3"/>
  <c r="Y95" i="3"/>
  <c r="X95" i="3"/>
  <c r="W95" i="3"/>
  <c r="V95" i="3"/>
  <c r="U95" i="3"/>
  <c r="U33" i="4" s="1"/>
  <c r="T95" i="3"/>
  <c r="S95" i="3"/>
  <c r="R95" i="3"/>
  <c r="Q95" i="3"/>
  <c r="P95" i="3"/>
  <c r="O95" i="3"/>
  <c r="N95" i="3"/>
  <c r="M95" i="3"/>
  <c r="M33" i="4" s="1"/>
  <c r="L95" i="3"/>
  <c r="K95" i="3"/>
  <c r="J95" i="3"/>
  <c r="I95" i="3"/>
  <c r="H95" i="3"/>
  <c r="G95" i="3"/>
  <c r="F95" i="3"/>
  <c r="E95" i="3"/>
  <c r="E33" i="4" s="1"/>
  <c r="D95" i="3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B92" i="3"/>
  <c r="BB32" i="4" s="1"/>
  <c r="BA92" i="3"/>
  <c r="AZ92" i="3"/>
  <c r="AY92" i="3"/>
  <c r="AX92" i="3"/>
  <c r="AW92" i="3"/>
  <c r="AV92" i="3"/>
  <c r="AU92" i="3"/>
  <c r="AT92" i="3"/>
  <c r="AT32" i="4" s="1"/>
  <c r="AS92" i="3"/>
  <c r="AR92" i="3"/>
  <c r="AQ92" i="3"/>
  <c r="AP92" i="3"/>
  <c r="AO92" i="3"/>
  <c r="AN92" i="3"/>
  <c r="AM92" i="3"/>
  <c r="AL92" i="3"/>
  <c r="AL32" i="4" s="1"/>
  <c r="AK92" i="3"/>
  <c r="AJ92" i="3"/>
  <c r="AI92" i="3"/>
  <c r="AH92" i="3"/>
  <c r="AG92" i="3"/>
  <c r="AF92" i="3"/>
  <c r="AE92" i="3"/>
  <c r="AD92" i="3"/>
  <c r="AD32" i="4" s="1"/>
  <c r="AC92" i="3"/>
  <c r="AB92" i="3"/>
  <c r="AA92" i="3"/>
  <c r="Z92" i="3"/>
  <c r="Y92" i="3"/>
  <c r="X92" i="3"/>
  <c r="W92" i="3"/>
  <c r="V92" i="3"/>
  <c r="V32" i="4" s="1"/>
  <c r="U92" i="3"/>
  <c r="T92" i="3"/>
  <c r="S92" i="3"/>
  <c r="R92" i="3"/>
  <c r="Q92" i="3"/>
  <c r="P92" i="3"/>
  <c r="O92" i="3"/>
  <c r="N92" i="3"/>
  <c r="N32" i="4" s="1"/>
  <c r="M92" i="3"/>
  <c r="L92" i="3"/>
  <c r="K92" i="3"/>
  <c r="J92" i="3"/>
  <c r="I92" i="3"/>
  <c r="H92" i="3"/>
  <c r="G92" i="3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C89" i="3"/>
  <c r="BC31" i="4" s="1"/>
  <c r="BB89" i="3"/>
  <c r="BA89" i="3"/>
  <c r="AZ89" i="3"/>
  <c r="AY89" i="3"/>
  <c r="AX89" i="3"/>
  <c r="AW89" i="3"/>
  <c r="AV89" i="3"/>
  <c r="AU89" i="3"/>
  <c r="AU31" i="4" s="1"/>
  <c r="AT89" i="3"/>
  <c r="AS89" i="3"/>
  <c r="AR89" i="3"/>
  <c r="AQ89" i="3"/>
  <c r="AP89" i="3"/>
  <c r="AO89" i="3"/>
  <c r="AN89" i="3"/>
  <c r="AM89" i="3"/>
  <c r="AM31" i="4" s="1"/>
  <c r="AL89" i="3"/>
  <c r="AK89" i="3"/>
  <c r="AJ89" i="3"/>
  <c r="AI89" i="3"/>
  <c r="AH89" i="3"/>
  <c r="AG89" i="3"/>
  <c r="AF89" i="3"/>
  <c r="AE89" i="3"/>
  <c r="AE31" i="4" s="1"/>
  <c r="AD89" i="3"/>
  <c r="AC89" i="3"/>
  <c r="AB89" i="3"/>
  <c r="AA89" i="3"/>
  <c r="Z89" i="3"/>
  <c r="Y89" i="3"/>
  <c r="X89" i="3"/>
  <c r="W89" i="3"/>
  <c r="W31" i="4" s="1"/>
  <c r="V89" i="3"/>
  <c r="U89" i="3"/>
  <c r="T89" i="3"/>
  <c r="S89" i="3"/>
  <c r="R89" i="3"/>
  <c r="Q89" i="3"/>
  <c r="P89" i="3"/>
  <c r="O89" i="3"/>
  <c r="O31" i="4" s="1"/>
  <c r="N89" i="3"/>
  <c r="M89" i="3"/>
  <c r="L89" i="3"/>
  <c r="K89" i="3"/>
  <c r="J89" i="3"/>
  <c r="I89" i="3"/>
  <c r="H89" i="3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D86" i="3"/>
  <c r="BD30" i="4" s="1"/>
  <c r="BC86" i="3"/>
  <c r="BB86" i="3"/>
  <c r="BA86" i="3"/>
  <c r="AZ86" i="3"/>
  <c r="AY86" i="3"/>
  <c r="AX86" i="3"/>
  <c r="AW86" i="3"/>
  <c r="AV86" i="3"/>
  <c r="AV30" i="4" s="1"/>
  <c r="AU86" i="3"/>
  <c r="AT86" i="3"/>
  <c r="AS86" i="3"/>
  <c r="AR86" i="3"/>
  <c r="AQ86" i="3"/>
  <c r="AP86" i="3"/>
  <c r="AO86" i="3"/>
  <c r="AN86" i="3"/>
  <c r="AN30" i="4" s="1"/>
  <c r="AM86" i="3"/>
  <c r="AL86" i="3"/>
  <c r="AK86" i="3"/>
  <c r="AJ86" i="3"/>
  <c r="AI86" i="3"/>
  <c r="AH86" i="3"/>
  <c r="AG86" i="3"/>
  <c r="AF86" i="3"/>
  <c r="AF30" i="4" s="1"/>
  <c r="AE86" i="3"/>
  <c r="AD86" i="3"/>
  <c r="AC86" i="3"/>
  <c r="AB86" i="3"/>
  <c r="AA86" i="3"/>
  <c r="Z86" i="3"/>
  <c r="Y86" i="3"/>
  <c r="X86" i="3"/>
  <c r="X30" i="4" s="1"/>
  <c r="W86" i="3"/>
  <c r="V86" i="3"/>
  <c r="U86" i="3"/>
  <c r="T86" i="3"/>
  <c r="S86" i="3"/>
  <c r="R86" i="3"/>
  <c r="Q86" i="3"/>
  <c r="P86" i="3"/>
  <c r="P30" i="4" s="1"/>
  <c r="O86" i="3"/>
  <c r="N86" i="3"/>
  <c r="M86" i="3"/>
  <c r="L86" i="3"/>
  <c r="K86" i="3"/>
  <c r="J86" i="3"/>
  <c r="I86" i="3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E83" i="3"/>
  <c r="BE29" i="4" s="1"/>
  <c r="BD83" i="3"/>
  <c r="BC83" i="3"/>
  <c r="BB83" i="3"/>
  <c r="BA83" i="3"/>
  <c r="AZ83" i="3"/>
  <c r="AY83" i="3"/>
  <c r="AX83" i="3"/>
  <c r="AW83" i="3"/>
  <c r="AW29" i="4" s="1"/>
  <c r="AV83" i="3"/>
  <c r="AU83" i="3"/>
  <c r="AT83" i="3"/>
  <c r="AS83" i="3"/>
  <c r="AR83" i="3"/>
  <c r="AQ83" i="3"/>
  <c r="AP83" i="3"/>
  <c r="AO83" i="3"/>
  <c r="AO29" i="4" s="1"/>
  <c r="AN83" i="3"/>
  <c r="AM83" i="3"/>
  <c r="AL83" i="3"/>
  <c r="AK83" i="3"/>
  <c r="AJ83" i="3"/>
  <c r="AI83" i="3"/>
  <c r="AH83" i="3"/>
  <c r="AG83" i="3"/>
  <c r="AG29" i="4" s="1"/>
  <c r="AF83" i="3"/>
  <c r="AE83" i="3"/>
  <c r="AD83" i="3"/>
  <c r="AC83" i="3"/>
  <c r="AB83" i="3"/>
  <c r="AA83" i="3"/>
  <c r="Z83" i="3"/>
  <c r="Y83" i="3"/>
  <c r="Y29" i="4" s="1"/>
  <c r="X83" i="3"/>
  <c r="W83" i="3"/>
  <c r="V83" i="3"/>
  <c r="U83" i="3"/>
  <c r="T83" i="3"/>
  <c r="S83" i="3"/>
  <c r="R83" i="3"/>
  <c r="Q83" i="3"/>
  <c r="Q29" i="4" s="1"/>
  <c r="P83" i="3"/>
  <c r="O83" i="3"/>
  <c r="N83" i="3"/>
  <c r="M83" i="3"/>
  <c r="L83" i="3"/>
  <c r="K83" i="3"/>
  <c r="J83" i="3"/>
  <c r="I83" i="3"/>
  <c r="I29" i="4" s="1"/>
  <c r="H83" i="3"/>
  <c r="G83" i="3"/>
  <c r="F83" i="3"/>
  <c r="E83" i="3"/>
  <c r="D83" i="3"/>
  <c r="C83" i="3"/>
  <c r="B83" i="3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F80" i="3"/>
  <c r="BF28" i="4" s="1"/>
  <c r="BE80" i="3"/>
  <c r="BD80" i="3"/>
  <c r="BC80" i="3"/>
  <c r="BB80" i="3"/>
  <c r="BA80" i="3"/>
  <c r="AZ80" i="3"/>
  <c r="AY80" i="3"/>
  <c r="AX80" i="3"/>
  <c r="AX28" i="4" s="1"/>
  <c r="AW80" i="3"/>
  <c r="AV80" i="3"/>
  <c r="AU80" i="3"/>
  <c r="AT80" i="3"/>
  <c r="AS80" i="3"/>
  <c r="AR80" i="3"/>
  <c r="AQ80" i="3"/>
  <c r="AP80" i="3"/>
  <c r="AP28" i="4" s="1"/>
  <c r="AO80" i="3"/>
  <c r="AN80" i="3"/>
  <c r="AM80" i="3"/>
  <c r="AL80" i="3"/>
  <c r="AK80" i="3"/>
  <c r="AJ80" i="3"/>
  <c r="AI80" i="3"/>
  <c r="AH80" i="3"/>
  <c r="AH28" i="4" s="1"/>
  <c r="AG80" i="3"/>
  <c r="AF80" i="3"/>
  <c r="AE80" i="3"/>
  <c r="AD80" i="3"/>
  <c r="AC80" i="3"/>
  <c r="AB80" i="3"/>
  <c r="AA80" i="3"/>
  <c r="Z80" i="3"/>
  <c r="Z28" i="4" s="1"/>
  <c r="Y80" i="3"/>
  <c r="X80" i="3"/>
  <c r="W80" i="3"/>
  <c r="V80" i="3"/>
  <c r="U80" i="3"/>
  <c r="T80" i="3"/>
  <c r="S80" i="3"/>
  <c r="R80" i="3"/>
  <c r="R28" i="4" s="1"/>
  <c r="Q80" i="3"/>
  <c r="P80" i="3"/>
  <c r="O80" i="3"/>
  <c r="N80" i="3"/>
  <c r="M80" i="3"/>
  <c r="L80" i="3"/>
  <c r="K80" i="3"/>
  <c r="J80" i="3"/>
  <c r="J28" i="4" s="1"/>
  <c r="I80" i="3"/>
  <c r="H80" i="3"/>
  <c r="G80" i="3"/>
  <c r="F80" i="3"/>
  <c r="E80" i="3"/>
  <c r="D80" i="3"/>
  <c r="C80" i="3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Y77" i="3"/>
  <c r="AY27" i="4" s="1"/>
  <c r="AX77" i="3"/>
  <c r="AW77" i="3"/>
  <c r="AV77" i="3"/>
  <c r="AU77" i="3"/>
  <c r="AT77" i="3"/>
  <c r="AS77" i="3"/>
  <c r="AR77" i="3"/>
  <c r="AQ77" i="3"/>
  <c r="AQ27" i="4" s="1"/>
  <c r="AP77" i="3"/>
  <c r="AO77" i="3"/>
  <c r="AN77" i="3"/>
  <c r="AM77" i="3"/>
  <c r="AL77" i="3"/>
  <c r="AK77" i="3"/>
  <c r="AJ77" i="3"/>
  <c r="AI77" i="3"/>
  <c r="AI27" i="4" s="1"/>
  <c r="AH77" i="3"/>
  <c r="AG77" i="3"/>
  <c r="AF77" i="3"/>
  <c r="AE77" i="3"/>
  <c r="AD77" i="3"/>
  <c r="AC77" i="3"/>
  <c r="AB77" i="3"/>
  <c r="AA77" i="3"/>
  <c r="AA27" i="4" s="1"/>
  <c r="Z77" i="3"/>
  <c r="Y77" i="3"/>
  <c r="X77" i="3"/>
  <c r="W77" i="3"/>
  <c r="V77" i="3"/>
  <c r="U77" i="3"/>
  <c r="T77" i="3"/>
  <c r="S77" i="3"/>
  <c r="S27" i="4" s="1"/>
  <c r="R77" i="3"/>
  <c r="Q77" i="3"/>
  <c r="P77" i="3"/>
  <c r="O77" i="3"/>
  <c r="N77" i="3"/>
  <c r="M77" i="3"/>
  <c r="L77" i="3"/>
  <c r="K77" i="3"/>
  <c r="K27" i="4" s="1"/>
  <c r="J77" i="3"/>
  <c r="I77" i="3"/>
  <c r="H77" i="3"/>
  <c r="G77" i="3"/>
  <c r="F77" i="3"/>
  <c r="E77" i="3"/>
  <c r="D77" i="3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AZ74" i="3"/>
  <c r="AZ26" i="4" s="1"/>
  <c r="AY74" i="3"/>
  <c r="AX74" i="3"/>
  <c r="AW74" i="3"/>
  <c r="AV74" i="3"/>
  <c r="AU74" i="3"/>
  <c r="AT74" i="3"/>
  <c r="AS74" i="3"/>
  <c r="AR74" i="3"/>
  <c r="AR26" i="4" s="1"/>
  <c r="AQ74" i="3"/>
  <c r="AP74" i="3"/>
  <c r="AO74" i="3"/>
  <c r="AN74" i="3"/>
  <c r="AM74" i="3"/>
  <c r="AL74" i="3"/>
  <c r="AK74" i="3"/>
  <c r="AJ74" i="3"/>
  <c r="AJ26" i="4" s="1"/>
  <c r="AI74" i="3"/>
  <c r="AH74" i="3"/>
  <c r="AG74" i="3"/>
  <c r="AF74" i="3"/>
  <c r="AE74" i="3"/>
  <c r="AD74" i="3"/>
  <c r="AC74" i="3"/>
  <c r="AB74" i="3"/>
  <c r="AB26" i="4" s="1"/>
  <c r="AA74" i="3"/>
  <c r="Z74" i="3"/>
  <c r="Y74" i="3"/>
  <c r="X74" i="3"/>
  <c r="W74" i="3"/>
  <c r="V74" i="3"/>
  <c r="U74" i="3"/>
  <c r="T74" i="3"/>
  <c r="T26" i="4" s="1"/>
  <c r="S74" i="3"/>
  <c r="R74" i="3"/>
  <c r="Q74" i="3"/>
  <c r="P74" i="3"/>
  <c r="O74" i="3"/>
  <c r="N74" i="3"/>
  <c r="M74" i="3"/>
  <c r="L74" i="3"/>
  <c r="L26" i="4" s="1"/>
  <c r="K74" i="3"/>
  <c r="J74" i="3"/>
  <c r="I74" i="3"/>
  <c r="H74" i="3"/>
  <c r="G74" i="3"/>
  <c r="F74" i="3"/>
  <c r="E74" i="3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A71" i="3"/>
  <c r="BA25" i="4" s="1"/>
  <c r="AZ71" i="3"/>
  <c r="AY71" i="3"/>
  <c r="AX71" i="3"/>
  <c r="AW71" i="3"/>
  <c r="AV71" i="3"/>
  <c r="AU71" i="3"/>
  <c r="AT71" i="3"/>
  <c r="AS71" i="3"/>
  <c r="AS25" i="4" s="1"/>
  <c r="AR71" i="3"/>
  <c r="AQ71" i="3"/>
  <c r="AP71" i="3"/>
  <c r="AO71" i="3"/>
  <c r="AN71" i="3"/>
  <c r="AM71" i="3"/>
  <c r="AL71" i="3"/>
  <c r="AK71" i="3"/>
  <c r="AK25" i="4" s="1"/>
  <c r="AJ71" i="3"/>
  <c r="AI71" i="3"/>
  <c r="AH71" i="3"/>
  <c r="AG71" i="3"/>
  <c r="AF71" i="3"/>
  <c r="AE71" i="3"/>
  <c r="AD71" i="3"/>
  <c r="AC71" i="3"/>
  <c r="AC25" i="4" s="1"/>
  <c r="AB71" i="3"/>
  <c r="AA71" i="3"/>
  <c r="Z71" i="3"/>
  <c r="Y71" i="3"/>
  <c r="X71" i="3"/>
  <c r="W71" i="3"/>
  <c r="V71" i="3"/>
  <c r="U71" i="3"/>
  <c r="U25" i="4" s="1"/>
  <c r="T71" i="3"/>
  <c r="S71" i="3"/>
  <c r="R71" i="3"/>
  <c r="Q71" i="3"/>
  <c r="P71" i="3"/>
  <c r="O71" i="3"/>
  <c r="N71" i="3"/>
  <c r="M71" i="3"/>
  <c r="M25" i="4" s="1"/>
  <c r="L71" i="3"/>
  <c r="K71" i="3"/>
  <c r="J71" i="3"/>
  <c r="I71" i="3"/>
  <c r="H71" i="3"/>
  <c r="G71" i="3"/>
  <c r="F71" i="3"/>
  <c r="E71" i="3"/>
  <c r="E25" i="4" s="1"/>
  <c r="D71" i="3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C65" i="3"/>
  <c r="BC23" i="4" s="1"/>
  <c r="BB65" i="3"/>
  <c r="BA65" i="3"/>
  <c r="AZ65" i="3"/>
  <c r="AY65" i="3"/>
  <c r="AX65" i="3"/>
  <c r="AW65" i="3"/>
  <c r="AV65" i="3"/>
  <c r="AU65" i="3"/>
  <c r="AU23" i="4" s="1"/>
  <c r="AT65" i="3"/>
  <c r="AS65" i="3"/>
  <c r="AR65" i="3"/>
  <c r="AQ65" i="3"/>
  <c r="AP65" i="3"/>
  <c r="AO65" i="3"/>
  <c r="AN65" i="3"/>
  <c r="AM65" i="3"/>
  <c r="AM23" i="4" s="1"/>
  <c r="AL65" i="3"/>
  <c r="AK65" i="3"/>
  <c r="AJ65" i="3"/>
  <c r="AI65" i="3"/>
  <c r="AH65" i="3"/>
  <c r="AG65" i="3"/>
  <c r="AF65" i="3"/>
  <c r="AE65" i="3"/>
  <c r="AE23" i="4" s="1"/>
  <c r="AD65" i="3"/>
  <c r="AC65" i="3"/>
  <c r="AB65" i="3"/>
  <c r="AA65" i="3"/>
  <c r="Z65" i="3"/>
  <c r="Y65" i="3"/>
  <c r="X65" i="3"/>
  <c r="W65" i="3"/>
  <c r="W23" i="4" s="1"/>
  <c r="V65" i="3"/>
  <c r="U65" i="3"/>
  <c r="T65" i="3"/>
  <c r="S65" i="3"/>
  <c r="R65" i="3"/>
  <c r="Q65" i="3"/>
  <c r="P65" i="3"/>
  <c r="O65" i="3"/>
  <c r="O23" i="4" s="1"/>
  <c r="N65" i="3"/>
  <c r="M65" i="3"/>
  <c r="L65" i="3"/>
  <c r="K65" i="3"/>
  <c r="J65" i="3"/>
  <c r="I65" i="3"/>
  <c r="H65" i="3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D62" i="3"/>
  <c r="BD22" i="4" s="1"/>
  <c r="BC62" i="3"/>
  <c r="BB62" i="3"/>
  <c r="BA62" i="3"/>
  <c r="AZ62" i="3"/>
  <c r="AY62" i="3"/>
  <c r="AX62" i="3"/>
  <c r="AW62" i="3"/>
  <c r="AV62" i="3"/>
  <c r="AV22" i="4" s="1"/>
  <c r="AU62" i="3"/>
  <c r="AT62" i="3"/>
  <c r="AS62" i="3"/>
  <c r="AR62" i="3"/>
  <c r="AQ62" i="3"/>
  <c r="AP62" i="3"/>
  <c r="AO62" i="3"/>
  <c r="AN62" i="3"/>
  <c r="AN22" i="4" s="1"/>
  <c r="AM62" i="3"/>
  <c r="AL62" i="3"/>
  <c r="AK62" i="3"/>
  <c r="AJ62" i="3"/>
  <c r="AI62" i="3"/>
  <c r="AH62" i="3"/>
  <c r="AG62" i="3"/>
  <c r="AF62" i="3"/>
  <c r="AF22" i="4" s="1"/>
  <c r="AE62" i="3"/>
  <c r="AD62" i="3"/>
  <c r="AC62" i="3"/>
  <c r="AB62" i="3"/>
  <c r="AA62" i="3"/>
  <c r="Z62" i="3"/>
  <c r="Y62" i="3"/>
  <c r="X62" i="3"/>
  <c r="X22" i="4" s="1"/>
  <c r="W62" i="3"/>
  <c r="V62" i="3"/>
  <c r="U62" i="3"/>
  <c r="T62" i="3"/>
  <c r="S62" i="3"/>
  <c r="R62" i="3"/>
  <c r="Q62" i="3"/>
  <c r="P62" i="3"/>
  <c r="P22" i="4" s="1"/>
  <c r="O62" i="3"/>
  <c r="N62" i="3"/>
  <c r="M62" i="3"/>
  <c r="L62" i="3"/>
  <c r="K62" i="3"/>
  <c r="J62" i="3"/>
  <c r="I62" i="3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E59" i="3"/>
  <c r="BE21" i="4" s="1"/>
  <c r="BD59" i="3"/>
  <c r="BC59" i="3"/>
  <c r="BB59" i="3"/>
  <c r="BA59" i="3"/>
  <c r="AZ59" i="3"/>
  <c r="AY59" i="3"/>
  <c r="AX59" i="3"/>
  <c r="AW59" i="3"/>
  <c r="AW21" i="4" s="1"/>
  <c r="AV59" i="3"/>
  <c r="AU59" i="3"/>
  <c r="AT59" i="3"/>
  <c r="AS59" i="3"/>
  <c r="AR59" i="3"/>
  <c r="AQ59" i="3"/>
  <c r="AP59" i="3"/>
  <c r="AO59" i="3"/>
  <c r="AO21" i="4" s="1"/>
  <c r="AN59" i="3"/>
  <c r="AM59" i="3"/>
  <c r="AL59" i="3"/>
  <c r="AK59" i="3"/>
  <c r="AJ59" i="3"/>
  <c r="AI59" i="3"/>
  <c r="AH59" i="3"/>
  <c r="AG59" i="3"/>
  <c r="AG21" i="4" s="1"/>
  <c r="AF59" i="3"/>
  <c r="AE59" i="3"/>
  <c r="AD59" i="3"/>
  <c r="AC59" i="3"/>
  <c r="AB59" i="3"/>
  <c r="AA59" i="3"/>
  <c r="Z59" i="3"/>
  <c r="Y59" i="3"/>
  <c r="Y21" i="4" s="1"/>
  <c r="X59" i="3"/>
  <c r="W59" i="3"/>
  <c r="V59" i="3"/>
  <c r="U59" i="3"/>
  <c r="T59" i="3"/>
  <c r="S59" i="3"/>
  <c r="R59" i="3"/>
  <c r="Q59" i="3"/>
  <c r="Q21" i="4" s="1"/>
  <c r="P59" i="3"/>
  <c r="O59" i="3"/>
  <c r="N59" i="3"/>
  <c r="M59" i="3"/>
  <c r="L59" i="3"/>
  <c r="K59" i="3"/>
  <c r="J59" i="3"/>
  <c r="I59" i="3"/>
  <c r="I21" i="4" s="1"/>
  <c r="H59" i="3"/>
  <c r="G59" i="3"/>
  <c r="F59" i="3"/>
  <c r="E59" i="3"/>
  <c r="D59" i="3"/>
  <c r="C59" i="3"/>
  <c r="B59" i="3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F56" i="3"/>
  <c r="BF20" i="4" s="1"/>
  <c r="BE56" i="3"/>
  <c r="BD56" i="3"/>
  <c r="BC56" i="3"/>
  <c r="BB56" i="3"/>
  <c r="BA56" i="3"/>
  <c r="AZ56" i="3"/>
  <c r="AY56" i="3"/>
  <c r="AX56" i="3"/>
  <c r="AX20" i="4" s="1"/>
  <c r="AW56" i="3"/>
  <c r="AV56" i="3"/>
  <c r="AU56" i="3"/>
  <c r="AT56" i="3"/>
  <c r="AS56" i="3"/>
  <c r="AR56" i="3"/>
  <c r="AQ56" i="3"/>
  <c r="AP56" i="3"/>
  <c r="AP20" i="4" s="1"/>
  <c r="AO56" i="3"/>
  <c r="AN56" i="3"/>
  <c r="AM56" i="3"/>
  <c r="AL56" i="3"/>
  <c r="AK56" i="3"/>
  <c r="AJ56" i="3"/>
  <c r="AI56" i="3"/>
  <c r="AH56" i="3"/>
  <c r="AH20" i="4" s="1"/>
  <c r="AG56" i="3"/>
  <c r="AF56" i="3"/>
  <c r="AE56" i="3"/>
  <c r="AD56" i="3"/>
  <c r="AC56" i="3"/>
  <c r="AB56" i="3"/>
  <c r="AA56" i="3"/>
  <c r="Z56" i="3"/>
  <c r="Z20" i="4" s="1"/>
  <c r="Y56" i="3"/>
  <c r="X56" i="3"/>
  <c r="W56" i="3"/>
  <c r="V56" i="3"/>
  <c r="U56" i="3"/>
  <c r="T56" i="3"/>
  <c r="S56" i="3"/>
  <c r="R56" i="3"/>
  <c r="R20" i="4" s="1"/>
  <c r="Q56" i="3"/>
  <c r="P56" i="3"/>
  <c r="O56" i="3"/>
  <c r="N56" i="3"/>
  <c r="M56" i="3"/>
  <c r="L56" i="3"/>
  <c r="K56" i="3"/>
  <c r="J56" i="3"/>
  <c r="J20" i="4" s="1"/>
  <c r="I56" i="3"/>
  <c r="H56" i="3"/>
  <c r="G56" i="3"/>
  <c r="F56" i="3"/>
  <c r="E56" i="3"/>
  <c r="D56" i="3"/>
  <c r="C56" i="3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Y53" i="3"/>
  <c r="AY19" i="4" s="1"/>
  <c r="AX53" i="3"/>
  <c r="AW53" i="3"/>
  <c r="AV53" i="3"/>
  <c r="AU53" i="3"/>
  <c r="AT53" i="3"/>
  <c r="AS53" i="3"/>
  <c r="AR53" i="3"/>
  <c r="AQ53" i="3"/>
  <c r="AQ19" i="4" s="1"/>
  <c r="AP53" i="3"/>
  <c r="AO53" i="3"/>
  <c r="AN53" i="3"/>
  <c r="AM53" i="3"/>
  <c r="AL53" i="3"/>
  <c r="AK53" i="3"/>
  <c r="AJ53" i="3"/>
  <c r="AI53" i="3"/>
  <c r="AI19" i="4" s="1"/>
  <c r="AH53" i="3"/>
  <c r="AG53" i="3"/>
  <c r="AF53" i="3"/>
  <c r="AE53" i="3"/>
  <c r="AD53" i="3"/>
  <c r="AC53" i="3"/>
  <c r="AB53" i="3"/>
  <c r="AA53" i="3"/>
  <c r="AA19" i="4" s="1"/>
  <c r="Z53" i="3"/>
  <c r="Y53" i="3"/>
  <c r="X53" i="3"/>
  <c r="W53" i="3"/>
  <c r="V53" i="3"/>
  <c r="U53" i="3"/>
  <c r="T53" i="3"/>
  <c r="S53" i="3"/>
  <c r="S19" i="4" s="1"/>
  <c r="R53" i="3"/>
  <c r="Q53" i="3"/>
  <c r="P53" i="3"/>
  <c r="O53" i="3"/>
  <c r="N53" i="3"/>
  <c r="M53" i="3"/>
  <c r="L53" i="3"/>
  <c r="K53" i="3"/>
  <c r="K19" i="4" s="1"/>
  <c r="J53" i="3"/>
  <c r="I53" i="3"/>
  <c r="H53" i="3"/>
  <c r="G53" i="3"/>
  <c r="F53" i="3"/>
  <c r="E53" i="3"/>
  <c r="D53" i="3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AZ50" i="3"/>
  <c r="AZ18" i="4" s="1"/>
  <c r="AY50" i="3"/>
  <c r="AX50" i="3"/>
  <c r="AW50" i="3"/>
  <c r="AV50" i="3"/>
  <c r="AU50" i="3"/>
  <c r="AT50" i="3"/>
  <c r="AS50" i="3"/>
  <c r="AR50" i="3"/>
  <c r="AR18" i="4" s="1"/>
  <c r="AQ50" i="3"/>
  <c r="AP50" i="3"/>
  <c r="AO50" i="3"/>
  <c r="AN50" i="3"/>
  <c r="AM50" i="3"/>
  <c r="AL50" i="3"/>
  <c r="AK50" i="3"/>
  <c r="AJ50" i="3"/>
  <c r="AJ18" i="4" s="1"/>
  <c r="AI50" i="3"/>
  <c r="AH50" i="3"/>
  <c r="AG50" i="3"/>
  <c r="AF50" i="3"/>
  <c r="AE50" i="3"/>
  <c r="AD50" i="3"/>
  <c r="AC50" i="3"/>
  <c r="AB50" i="3"/>
  <c r="AB18" i="4" s="1"/>
  <c r="AA50" i="3"/>
  <c r="Z50" i="3"/>
  <c r="Y50" i="3"/>
  <c r="X50" i="3"/>
  <c r="W50" i="3"/>
  <c r="V50" i="3"/>
  <c r="U50" i="3"/>
  <c r="T50" i="3"/>
  <c r="T18" i="4" s="1"/>
  <c r="S50" i="3"/>
  <c r="R50" i="3"/>
  <c r="Q50" i="3"/>
  <c r="P50" i="3"/>
  <c r="O50" i="3"/>
  <c r="N50" i="3"/>
  <c r="M50" i="3"/>
  <c r="L50" i="3"/>
  <c r="L18" i="4" s="1"/>
  <c r="K50" i="3"/>
  <c r="J50" i="3"/>
  <c r="I50" i="3"/>
  <c r="H50" i="3"/>
  <c r="G50" i="3"/>
  <c r="F50" i="3"/>
  <c r="E50" i="3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A47" i="3"/>
  <c r="BA17" i="4" s="1"/>
  <c r="AZ47" i="3"/>
  <c r="AY47" i="3"/>
  <c r="AX47" i="3"/>
  <c r="AW47" i="3"/>
  <c r="AV47" i="3"/>
  <c r="AU47" i="3"/>
  <c r="AT47" i="3"/>
  <c r="AS47" i="3"/>
  <c r="AS17" i="4" s="1"/>
  <c r="AR47" i="3"/>
  <c r="AQ47" i="3"/>
  <c r="AP47" i="3"/>
  <c r="AO47" i="3"/>
  <c r="AN47" i="3"/>
  <c r="AM47" i="3"/>
  <c r="AL47" i="3"/>
  <c r="AK47" i="3"/>
  <c r="AK17" i="4" s="1"/>
  <c r="AJ47" i="3"/>
  <c r="AI47" i="3"/>
  <c r="AH47" i="3"/>
  <c r="AG47" i="3"/>
  <c r="AF47" i="3"/>
  <c r="AE47" i="3"/>
  <c r="AD47" i="3"/>
  <c r="AC47" i="3"/>
  <c r="AC17" i="4" s="1"/>
  <c r="AB47" i="3"/>
  <c r="AA47" i="3"/>
  <c r="Z47" i="3"/>
  <c r="Y47" i="3"/>
  <c r="X47" i="3"/>
  <c r="W47" i="3"/>
  <c r="V47" i="3"/>
  <c r="U47" i="3"/>
  <c r="U17" i="4" s="1"/>
  <c r="T47" i="3"/>
  <c r="S47" i="3"/>
  <c r="R47" i="3"/>
  <c r="Q47" i="3"/>
  <c r="P47" i="3"/>
  <c r="O47" i="3"/>
  <c r="N47" i="3"/>
  <c r="M47" i="3"/>
  <c r="M17" i="4" s="1"/>
  <c r="L47" i="3"/>
  <c r="K47" i="3"/>
  <c r="J47" i="3"/>
  <c r="I47" i="3"/>
  <c r="H47" i="3"/>
  <c r="G47" i="3"/>
  <c r="F47" i="3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B44" i="3"/>
  <c r="BB16" i="4" s="1"/>
  <c r="BA44" i="3"/>
  <c r="AZ44" i="3"/>
  <c r="AY44" i="3"/>
  <c r="AX44" i="3"/>
  <c r="AW44" i="3"/>
  <c r="AV44" i="3"/>
  <c r="AU44" i="3"/>
  <c r="AT44" i="3"/>
  <c r="AT16" i="4" s="1"/>
  <c r="AS44" i="3"/>
  <c r="AR44" i="3"/>
  <c r="AQ44" i="3"/>
  <c r="AP44" i="3"/>
  <c r="AO44" i="3"/>
  <c r="AN44" i="3"/>
  <c r="AM44" i="3"/>
  <c r="AL44" i="3"/>
  <c r="AL16" i="4" s="1"/>
  <c r="AK44" i="3"/>
  <c r="AJ44" i="3"/>
  <c r="AI44" i="3"/>
  <c r="AH44" i="3"/>
  <c r="AG44" i="3"/>
  <c r="AF44" i="3"/>
  <c r="AE44" i="3"/>
  <c r="AD44" i="3"/>
  <c r="AD16" i="4" s="1"/>
  <c r="AC44" i="3"/>
  <c r="AB44" i="3"/>
  <c r="AA44" i="3"/>
  <c r="Z44" i="3"/>
  <c r="Y44" i="3"/>
  <c r="X44" i="3"/>
  <c r="W44" i="3"/>
  <c r="V44" i="3"/>
  <c r="V16" i="4" s="1"/>
  <c r="U44" i="3"/>
  <c r="T44" i="3"/>
  <c r="S44" i="3"/>
  <c r="R44" i="3"/>
  <c r="Q44" i="3"/>
  <c r="P44" i="3"/>
  <c r="O44" i="3"/>
  <c r="N44" i="3"/>
  <c r="N16" i="4" s="1"/>
  <c r="M44" i="3"/>
  <c r="L44" i="3"/>
  <c r="K44" i="3"/>
  <c r="J44" i="3"/>
  <c r="I44" i="3"/>
  <c r="H44" i="3"/>
  <c r="G44" i="3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C41" i="3"/>
  <c r="BC15" i="4" s="1"/>
  <c r="BB41" i="3"/>
  <c r="BA41" i="3"/>
  <c r="AZ41" i="3"/>
  <c r="AY41" i="3"/>
  <c r="AX41" i="3"/>
  <c r="AW41" i="3"/>
  <c r="AV41" i="3"/>
  <c r="AU41" i="3"/>
  <c r="AU15" i="4" s="1"/>
  <c r="AT41" i="3"/>
  <c r="AS41" i="3"/>
  <c r="AR41" i="3"/>
  <c r="AQ41" i="3"/>
  <c r="AP41" i="3"/>
  <c r="AO41" i="3"/>
  <c r="AN41" i="3"/>
  <c r="AM41" i="3"/>
  <c r="AM15" i="4" s="1"/>
  <c r="AL41" i="3"/>
  <c r="AK41" i="3"/>
  <c r="AJ41" i="3"/>
  <c r="AI41" i="3"/>
  <c r="AH41" i="3"/>
  <c r="AG41" i="3"/>
  <c r="AF41" i="3"/>
  <c r="AE41" i="3"/>
  <c r="AE15" i="4" s="1"/>
  <c r="AD41" i="3"/>
  <c r="AC41" i="3"/>
  <c r="AB41" i="3"/>
  <c r="AA41" i="3"/>
  <c r="Z41" i="3"/>
  <c r="Y41" i="3"/>
  <c r="X41" i="3"/>
  <c r="W41" i="3"/>
  <c r="W15" i="4" s="1"/>
  <c r="V41" i="3"/>
  <c r="U41" i="3"/>
  <c r="T41" i="3"/>
  <c r="S41" i="3"/>
  <c r="R41" i="3"/>
  <c r="Q41" i="3"/>
  <c r="P41" i="3"/>
  <c r="O41" i="3"/>
  <c r="O15" i="4" s="1"/>
  <c r="N41" i="3"/>
  <c r="M41" i="3"/>
  <c r="L41" i="3"/>
  <c r="K41" i="3"/>
  <c r="J41" i="3"/>
  <c r="I41" i="3"/>
  <c r="H41" i="3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D38" i="3"/>
  <c r="BD14" i="4" s="1"/>
  <c r="BC38" i="3"/>
  <c r="BB38" i="3"/>
  <c r="BA38" i="3"/>
  <c r="AZ38" i="3"/>
  <c r="AY38" i="3"/>
  <c r="AX38" i="3"/>
  <c r="AW38" i="3"/>
  <c r="AV38" i="3"/>
  <c r="AV14" i="4" s="1"/>
  <c r="AU38" i="3"/>
  <c r="AT38" i="3"/>
  <c r="AS38" i="3"/>
  <c r="AR38" i="3"/>
  <c r="AQ38" i="3"/>
  <c r="AP38" i="3"/>
  <c r="AO38" i="3"/>
  <c r="AN38" i="3"/>
  <c r="AN14" i="4" s="1"/>
  <c r="AM38" i="3"/>
  <c r="AL38" i="3"/>
  <c r="AK38" i="3"/>
  <c r="AJ38" i="3"/>
  <c r="AI38" i="3"/>
  <c r="AH38" i="3"/>
  <c r="AG38" i="3"/>
  <c r="AF38" i="3"/>
  <c r="AF14" i="4" s="1"/>
  <c r="AE38" i="3"/>
  <c r="AD38" i="3"/>
  <c r="AC38" i="3"/>
  <c r="AB38" i="3"/>
  <c r="AA38" i="3"/>
  <c r="Z38" i="3"/>
  <c r="Y38" i="3"/>
  <c r="X38" i="3"/>
  <c r="X14" i="4" s="1"/>
  <c r="W38" i="3"/>
  <c r="V38" i="3"/>
  <c r="U38" i="3"/>
  <c r="T38" i="3"/>
  <c r="S38" i="3"/>
  <c r="R38" i="3"/>
  <c r="Q38" i="3"/>
  <c r="P38" i="3"/>
  <c r="P14" i="4" s="1"/>
  <c r="O38" i="3"/>
  <c r="N38" i="3"/>
  <c r="M38" i="3"/>
  <c r="L38" i="3"/>
  <c r="K38" i="3"/>
  <c r="J38" i="3"/>
  <c r="I38" i="3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E35" i="3"/>
  <c r="BE13" i="4" s="1"/>
  <c r="BD35" i="3"/>
  <c r="BC35" i="3"/>
  <c r="BB35" i="3"/>
  <c r="BA35" i="3"/>
  <c r="AZ35" i="3"/>
  <c r="AY35" i="3"/>
  <c r="AX35" i="3"/>
  <c r="AW35" i="3"/>
  <c r="AW13" i="4" s="1"/>
  <c r="AV35" i="3"/>
  <c r="AU35" i="3"/>
  <c r="AT35" i="3"/>
  <c r="AS35" i="3"/>
  <c r="AR35" i="3"/>
  <c r="AQ35" i="3"/>
  <c r="AP35" i="3"/>
  <c r="AO35" i="3"/>
  <c r="AO13" i="4" s="1"/>
  <c r="AN35" i="3"/>
  <c r="AM35" i="3"/>
  <c r="AL35" i="3"/>
  <c r="AK35" i="3"/>
  <c r="AJ35" i="3"/>
  <c r="AI35" i="3"/>
  <c r="AH35" i="3"/>
  <c r="AG35" i="3"/>
  <c r="AG13" i="4" s="1"/>
  <c r="AF35" i="3"/>
  <c r="AE35" i="3"/>
  <c r="AD35" i="3"/>
  <c r="AC35" i="3"/>
  <c r="AB35" i="3"/>
  <c r="AA35" i="3"/>
  <c r="Z35" i="3"/>
  <c r="Y35" i="3"/>
  <c r="Y13" i="4" s="1"/>
  <c r="X35" i="3"/>
  <c r="W35" i="3"/>
  <c r="V35" i="3"/>
  <c r="U35" i="3"/>
  <c r="T35" i="3"/>
  <c r="S35" i="3"/>
  <c r="R35" i="3"/>
  <c r="Q35" i="3"/>
  <c r="Q13" i="4" s="1"/>
  <c r="P35" i="3"/>
  <c r="O35" i="3"/>
  <c r="N35" i="3"/>
  <c r="M35" i="3"/>
  <c r="L35" i="3"/>
  <c r="K35" i="3"/>
  <c r="J35" i="3"/>
  <c r="I35" i="3"/>
  <c r="I13" i="4" s="1"/>
  <c r="H35" i="3"/>
  <c r="G35" i="3"/>
  <c r="F35" i="3"/>
  <c r="E35" i="3"/>
  <c r="D35" i="3"/>
  <c r="C35" i="3"/>
  <c r="B35" i="3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F32" i="3"/>
  <c r="BF12" i="4" s="1"/>
  <c r="BE32" i="3"/>
  <c r="BD32" i="3"/>
  <c r="BC32" i="3"/>
  <c r="BB32" i="3"/>
  <c r="BA32" i="3"/>
  <c r="AZ32" i="3"/>
  <c r="AY32" i="3"/>
  <c r="AX32" i="3"/>
  <c r="AX12" i="4" s="1"/>
  <c r="AW32" i="3"/>
  <c r="AV32" i="3"/>
  <c r="AU32" i="3"/>
  <c r="AT32" i="3"/>
  <c r="AS32" i="3"/>
  <c r="AR32" i="3"/>
  <c r="AQ32" i="3"/>
  <c r="AP32" i="3"/>
  <c r="AP12" i="4" s="1"/>
  <c r="AO32" i="3"/>
  <c r="AN32" i="3"/>
  <c r="AM32" i="3"/>
  <c r="AL32" i="3"/>
  <c r="AK32" i="3"/>
  <c r="AJ32" i="3"/>
  <c r="AI32" i="3"/>
  <c r="AH32" i="3"/>
  <c r="AH12" i="4" s="1"/>
  <c r="AG32" i="3"/>
  <c r="AF32" i="3"/>
  <c r="AE32" i="3"/>
  <c r="AD32" i="3"/>
  <c r="AC32" i="3"/>
  <c r="AB32" i="3"/>
  <c r="AA32" i="3"/>
  <c r="Z32" i="3"/>
  <c r="Z12" i="4" s="1"/>
  <c r="Y32" i="3"/>
  <c r="X32" i="3"/>
  <c r="W32" i="3"/>
  <c r="V32" i="3"/>
  <c r="U32" i="3"/>
  <c r="T32" i="3"/>
  <c r="S32" i="3"/>
  <c r="R32" i="3"/>
  <c r="R12" i="4" s="1"/>
  <c r="Q32" i="3"/>
  <c r="P32" i="3"/>
  <c r="O32" i="3"/>
  <c r="N32" i="3"/>
  <c r="M32" i="3"/>
  <c r="L32" i="3"/>
  <c r="K32" i="3"/>
  <c r="J32" i="3"/>
  <c r="J12" i="4" s="1"/>
  <c r="I32" i="3"/>
  <c r="H32" i="3"/>
  <c r="G32" i="3"/>
  <c r="F32" i="3"/>
  <c r="E32" i="3"/>
  <c r="D32" i="3"/>
  <c r="C32" i="3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Y29" i="3"/>
  <c r="AY11" i="4" s="1"/>
  <c r="AX29" i="3"/>
  <c r="AW29" i="3"/>
  <c r="AV29" i="3"/>
  <c r="AU29" i="3"/>
  <c r="AT29" i="3"/>
  <c r="AS29" i="3"/>
  <c r="AR29" i="3"/>
  <c r="AQ29" i="3"/>
  <c r="AQ11" i="4" s="1"/>
  <c r="AP29" i="3"/>
  <c r="AO29" i="3"/>
  <c r="AN29" i="3"/>
  <c r="AM29" i="3"/>
  <c r="AL29" i="3"/>
  <c r="AK29" i="3"/>
  <c r="AJ29" i="3"/>
  <c r="AI29" i="3"/>
  <c r="AI11" i="4" s="1"/>
  <c r="AH29" i="3"/>
  <c r="AG29" i="3"/>
  <c r="AF29" i="3"/>
  <c r="AE29" i="3"/>
  <c r="AD29" i="3"/>
  <c r="AC29" i="3"/>
  <c r="AB29" i="3"/>
  <c r="AA29" i="3"/>
  <c r="AA11" i="4" s="1"/>
  <c r="Z29" i="3"/>
  <c r="Y29" i="3"/>
  <c r="X29" i="3"/>
  <c r="W29" i="3"/>
  <c r="V29" i="3"/>
  <c r="U29" i="3"/>
  <c r="T29" i="3"/>
  <c r="S29" i="3"/>
  <c r="S11" i="4" s="1"/>
  <c r="R29" i="3"/>
  <c r="Q29" i="3"/>
  <c r="P29" i="3"/>
  <c r="O29" i="3"/>
  <c r="N29" i="3"/>
  <c r="M29" i="3"/>
  <c r="L29" i="3"/>
  <c r="K29" i="3"/>
  <c r="K11" i="4" s="1"/>
  <c r="J29" i="3"/>
  <c r="I29" i="3"/>
  <c r="H29" i="3"/>
  <c r="G29" i="3"/>
  <c r="F29" i="3"/>
  <c r="E29" i="3"/>
  <c r="D29" i="3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AZ26" i="3"/>
  <c r="AZ10" i="4" s="1"/>
  <c r="AY26" i="3"/>
  <c r="AX26" i="3"/>
  <c r="AW26" i="3"/>
  <c r="AV26" i="3"/>
  <c r="AU26" i="3"/>
  <c r="AT26" i="3"/>
  <c r="AS26" i="3"/>
  <c r="AR26" i="3"/>
  <c r="AR10" i="4" s="1"/>
  <c r="AQ26" i="3"/>
  <c r="AP26" i="3"/>
  <c r="AO26" i="3"/>
  <c r="AN26" i="3"/>
  <c r="AM26" i="3"/>
  <c r="AL26" i="3"/>
  <c r="AK26" i="3"/>
  <c r="AJ26" i="3"/>
  <c r="AJ10" i="4" s="1"/>
  <c r="AI26" i="3"/>
  <c r="AH26" i="3"/>
  <c r="AG26" i="3"/>
  <c r="AF26" i="3"/>
  <c r="AE26" i="3"/>
  <c r="AD26" i="3"/>
  <c r="AC26" i="3"/>
  <c r="AB26" i="3"/>
  <c r="AB10" i="4" s="1"/>
  <c r="AA26" i="3"/>
  <c r="Z26" i="3"/>
  <c r="Y26" i="3"/>
  <c r="X26" i="3"/>
  <c r="W26" i="3"/>
  <c r="V26" i="3"/>
  <c r="U26" i="3"/>
  <c r="T26" i="3"/>
  <c r="T10" i="4" s="1"/>
  <c r="S26" i="3"/>
  <c r="R26" i="3"/>
  <c r="Q26" i="3"/>
  <c r="P26" i="3"/>
  <c r="O26" i="3"/>
  <c r="N26" i="3"/>
  <c r="M26" i="3"/>
  <c r="L26" i="3"/>
  <c r="L10" i="4" s="1"/>
  <c r="K26" i="3"/>
  <c r="J26" i="3"/>
  <c r="I26" i="3"/>
  <c r="H26" i="3"/>
  <c r="G26" i="3"/>
  <c r="F26" i="3"/>
  <c r="E26" i="3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A23" i="3"/>
  <c r="BA9" i="4" s="1"/>
  <c r="AZ23" i="3"/>
  <c r="AY23" i="3"/>
  <c r="AX23" i="3"/>
  <c r="AW23" i="3"/>
  <c r="AV23" i="3"/>
  <c r="AU23" i="3"/>
  <c r="AT23" i="3"/>
  <c r="AS23" i="3"/>
  <c r="AS9" i="4" s="1"/>
  <c r="AR23" i="3"/>
  <c r="AQ23" i="3"/>
  <c r="AP23" i="3"/>
  <c r="AO23" i="3"/>
  <c r="AN23" i="3"/>
  <c r="AM23" i="3"/>
  <c r="AL23" i="3"/>
  <c r="AK23" i="3"/>
  <c r="AK9" i="4" s="1"/>
  <c r="AJ23" i="3"/>
  <c r="AI23" i="3"/>
  <c r="AH23" i="3"/>
  <c r="AG23" i="3"/>
  <c r="AF23" i="3"/>
  <c r="AE23" i="3"/>
  <c r="AD23" i="3"/>
  <c r="AC23" i="3"/>
  <c r="AC9" i="4" s="1"/>
  <c r="AB23" i="3"/>
  <c r="AA23" i="3"/>
  <c r="Z23" i="3"/>
  <c r="Y23" i="3"/>
  <c r="X23" i="3"/>
  <c r="W23" i="3"/>
  <c r="V23" i="3"/>
  <c r="U23" i="3"/>
  <c r="U9" i="4" s="1"/>
  <c r="T23" i="3"/>
  <c r="S23" i="3"/>
  <c r="R23" i="3"/>
  <c r="Q23" i="3"/>
  <c r="P23" i="3"/>
  <c r="O23" i="3"/>
  <c r="N23" i="3"/>
  <c r="M23" i="3"/>
  <c r="M9" i="4" s="1"/>
  <c r="L23" i="3"/>
  <c r="K23" i="3"/>
  <c r="J23" i="3"/>
  <c r="I23" i="3"/>
  <c r="H23" i="3"/>
  <c r="G23" i="3"/>
  <c r="F23" i="3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BG17" i="3"/>
  <c r="BF17" i="3"/>
  <c r="BE17" i="3"/>
  <c r="BE7" i="4" s="1"/>
  <c r="BD17" i="3"/>
  <c r="BC17" i="3"/>
  <c r="BB17" i="3"/>
  <c r="BA17" i="3"/>
  <c r="AZ17" i="3"/>
  <c r="AY17" i="3"/>
  <c r="AX17" i="3"/>
  <c r="AW17" i="3"/>
  <c r="AW7" i="4" s="1"/>
  <c r="AV17" i="3"/>
  <c r="AU17" i="3"/>
  <c r="AT17" i="3"/>
  <c r="AS17" i="3"/>
  <c r="AR17" i="3"/>
  <c r="AQ17" i="3"/>
  <c r="AP17" i="3"/>
  <c r="AO17" i="3"/>
  <c r="AO7" i="4" s="1"/>
  <c r="AN17" i="3"/>
  <c r="AM17" i="3"/>
  <c r="AL17" i="3"/>
  <c r="AK17" i="3"/>
  <c r="AJ17" i="3"/>
  <c r="AI17" i="3"/>
  <c r="AH17" i="3"/>
  <c r="AG17" i="3"/>
  <c r="AG7" i="4" s="1"/>
  <c r="AF17" i="3"/>
  <c r="AE17" i="3"/>
  <c r="AD17" i="3"/>
  <c r="AC17" i="3"/>
  <c r="AB17" i="3"/>
  <c r="AA17" i="3"/>
  <c r="Z17" i="3"/>
  <c r="Y17" i="3"/>
  <c r="Y7" i="4" s="1"/>
  <c r="X17" i="3"/>
  <c r="W17" i="3"/>
  <c r="V17" i="3"/>
  <c r="U17" i="3"/>
  <c r="T17" i="3"/>
  <c r="S17" i="3"/>
  <c r="R17" i="3"/>
  <c r="Q17" i="3"/>
  <c r="Q7" i="4" s="1"/>
  <c r="P17" i="3"/>
  <c r="O17" i="3"/>
  <c r="N17" i="3"/>
  <c r="M17" i="3"/>
  <c r="L17" i="3"/>
  <c r="K17" i="3"/>
  <c r="J17" i="3"/>
  <c r="I17" i="3"/>
  <c r="I7" i="4" s="1"/>
  <c r="H17" i="3"/>
  <c r="G17" i="3"/>
  <c r="F17" i="3"/>
  <c r="E17" i="3"/>
  <c r="D17" i="3"/>
  <c r="C17" i="3"/>
  <c r="B17" i="3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F14" i="3"/>
  <c r="BF6" i="4" s="1"/>
  <c r="BE14" i="3"/>
  <c r="BD14" i="3"/>
  <c r="BC14" i="3"/>
  <c r="BB14" i="3"/>
  <c r="BA14" i="3"/>
  <c r="AZ14" i="3"/>
  <c r="AY14" i="3"/>
  <c r="AX14" i="3"/>
  <c r="AX6" i="4" s="1"/>
  <c r="AW14" i="3"/>
  <c r="AV14" i="3"/>
  <c r="AU14" i="3"/>
  <c r="AT14" i="3"/>
  <c r="AS14" i="3"/>
  <c r="AR14" i="3"/>
  <c r="AQ14" i="3"/>
  <c r="AP14" i="3"/>
  <c r="AP6" i="4" s="1"/>
  <c r="AO14" i="3"/>
  <c r="AN14" i="3"/>
  <c r="AM14" i="3"/>
  <c r="AL14" i="3"/>
  <c r="AK14" i="3"/>
  <c r="AJ14" i="3"/>
  <c r="AI14" i="3"/>
  <c r="AH14" i="3"/>
  <c r="AH6" i="4" s="1"/>
  <c r="AG14" i="3"/>
  <c r="AF14" i="3"/>
  <c r="AE14" i="3"/>
  <c r="AD14" i="3"/>
  <c r="AC14" i="3"/>
  <c r="AB14" i="3"/>
  <c r="AA14" i="3"/>
  <c r="Z14" i="3"/>
  <c r="Z6" i="4" s="1"/>
  <c r="Y14" i="3"/>
  <c r="X14" i="3"/>
  <c r="W14" i="3"/>
  <c r="V14" i="3"/>
  <c r="U14" i="3"/>
  <c r="T14" i="3"/>
  <c r="S14" i="3"/>
  <c r="R14" i="3"/>
  <c r="R6" i="4" s="1"/>
  <c r="Q14" i="3"/>
  <c r="P14" i="3"/>
  <c r="O14" i="3"/>
  <c r="N14" i="3"/>
  <c r="M14" i="3"/>
  <c r="L14" i="3"/>
  <c r="K14" i="3"/>
  <c r="J14" i="3"/>
  <c r="J6" i="4" s="1"/>
  <c r="I14" i="3"/>
  <c r="H14" i="3"/>
  <c r="G14" i="3"/>
  <c r="F14" i="3"/>
  <c r="E14" i="3"/>
  <c r="D14" i="3"/>
  <c r="C14" i="3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Y11" i="3"/>
  <c r="AY5" i="4" s="1"/>
  <c r="AX11" i="3"/>
  <c r="AW11" i="3"/>
  <c r="AV11" i="3"/>
  <c r="AU11" i="3"/>
  <c r="AT11" i="3"/>
  <c r="AS11" i="3"/>
  <c r="AR11" i="3"/>
  <c r="AQ11" i="3"/>
  <c r="AQ5" i="4" s="1"/>
  <c r="AP11" i="3"/>
  <c r="AO11" i="3"/>
  <c r="AN11" i="3"/>
  <c r="AM11" i="3"/>
  <c r="AL11" i="3"/>
  <c r="AK11" i="3"/>
  <c r="AJ11" i="3"/>
  <c r="AI11" i="3"/>
  <c r="AI5" i="4" s="1"/>
  <c r="AH11" i="3"/>
  <c r="AG11" i="3"/>
  <c r="AF11" i="3"/>
  <c r="AE11" i="3"/>
  <c r="AD11" i="3"/>
  <c r="AC11" i="3"/>
  <c r="AB11" i="3"/>
  <c r="AA11" i="3"/>
  <c r="AA5" i="4" s="1"/>
  <c r="Z11" i="3"/>
  <c r="Y11" i="3"/>
  <c r="X11" i="3"/>
  <c r="W11" i="3"/>
  <c r="V11" i="3"/>
  <c r="U11" i="3"/>
  <c r="T11" i="3"/>
  <c r="S11" i="3"/>
  <c r="S5" i="4" s="1"/>
  <c r="R11" i="3"/>
  <c r="Q11" i="3"/>
  <c r="P11" i="3"/>
  <c r="O11" i="3"/>
  <c r="N11" i="3"/>
  <c r="M11" i="3"/>
  <c r="L11" i="3"/>
  <c r="K11" i="3"/>
  <c r="K5" i="4" s="1"/>
  <c r="J11" i="3"/>
  <c r="I11" i="3"/>
  <c r="H11" i="3"/>
  <c r="G11" i="3"/>
  <c r="F11" i="3"/>
  <c r="E11" i="3"/>
  <c r="D11" i="3"/>
  <c r="C11" i="3"/>
  <c r="C5" i="4" s="1"/>
  <c r="B11" i="3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F8" i="3"/>
  <c r="BE8" i="3"/>
  <c r="BD8" i="3"/>
  <c r="BC8" i="3"/>
  <c r="BB8" i="3"/>
  <c r="BA8" i="3"/>
  <c r="AZ8" i="3"/>
  <c r="AZ4" i="4" s="1"/>
  <c r="AY8" i="3"/>
  <c r="AX8" i="3"/>
  <c r="AW8" i="3"/>
  <c r="AV8" i="3"/>
  <c r="AU8" i="3"/>
  <c r="AT8" i="3"/>
  <c r="AS8" i="3"/>
  <c r="AR8" i="3"/>
  <c r="AR4" i="4" s="1"/>
  <c r="AQ8" i="3"/>
  <c r="AP8" i="3"/>
  <c r="AO8" i="3"/>
  <c r="AN8" i="3"/>
  <c r="AM8" i="3"/>
  <c r="AL8" i="3"/>
  <c r="AK8" i="3"/>
  <c r="AJ8" i="3"/>
  <c r="AJ4" i="4" s="1"/>
  <c r="AI8" i="3"/>
  <c r="AH8" i="3"/>
  <c r="AG8" i="3"/>
  <c r="AF8" i="3"/>
  <c r="AE8" i="3"/>
  <c r="AD8" i="3"/>
  <c r="AC8" i="3"/>
  <c r="AB8" i="3"/>
  <c r="AB4" i="4" s="1"/>
  <c r="AA8" i="3"/>
  <c r="Z8" i="3"/>
  <c r="Y8" i="3"/>
  <c r="X8" i="3"/>
  <c r="W8" i="3"/>
  <c r="V8" i="3"/>
  <c r="U8" i="3"/>
  <c r="T8" i="3"/>
  <c r="T4" i="4" s="1"/>
  <c r="S8" i="3"/>
  <c r="R8" i="3"/>
  <c r="Q8" i="3"/>
  <c r="P8" i="3"/>
  <c r="O8" i="3"/>
  <c r="N8" i="3"/>
  <c r="M8" i="3"/>
  <c r="L8" i="3"/>
  <c r="L4" i="4" s="1"/>
  <c r="K8" i="3"/>
  <c r="J8" i="3"/>
  <c r="I8" i="3"/>
  <c r="H8" i="3"/>
  <c r="G8" i="3"/>
  <c r="F8" i="3"/>
  <c r="E8" i="3"/>
  <c r="D8" i="3"/>
  <c r="D4" i="4" s="1"/>
  <c r="C8" i="3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A5" i="3"/>
  <c r="BA3" i="4" s="1"/>
  <c r="AZ5" i="3"/>
  <c r="AY5" i="3"/>
  <c r="AX5" i="3"/>
  <c r="AW5" i="3"/>
  <c r="AV5" i="3"/>
  <c r="AU5" i="3"/>
  <c r="AT5" i="3"/>
  <c r="AS5" i="3"/>
  <c r="AS3" i="4" s="1"/>
  <c r="AR5" i="3"/>
  <c r="AQ5" i="3"/>
  <c r="AP5" i="3"/>
  <c r="AO5" i="3"/>
  <c r="AN5" i="3"/>
  <c r="AM5" i="3"/>
  <c r="AL5" i="3"/>
  <c r="AK5" i="3"/>
  <c r="AK3" i="4" s="1"/>
  <c r="AJ5" i="3"/>
  <c r="AI5" i="3"/>
  <c r="AH5" i="3"/>
  <c r="AG5" i="3"/>
  <c r="AF5" i="3"/>
  <c r="AE5" i="3"/>
  <c r="AD5" i="3"/>
  <c r="AC5" i="3"/>
  <c r="AC3" i="4" s="1"/>
  <c r="AB5" i="3"/>
  <c r="AA5" i="3"/>
  <c r="Z5" i="3"/>
  <c r="Y5" i="3"/>
  <c r="X5" i="3"/>
  <c r="W5" i="3"/>
  <c r="V5" i="3"/>
  <c r="U5" i="3"/>
  <c r="U3" i="4" s="1"/>
  <c r="T5" i="3"/>
  <c r="S5" i="3"/>
  <c r="R5" i="3"/>
  <c r="Q5" i="3"/>
  <c r="P5" i="3"/>
  <c r="O5" i="3"/>
  <c r="N5" i="3"/>
  <c r="M5" i="3"/>
  <c r="M3" i="4" s="1"/>
  <c r="L5" i="3"/>
  <c r="K5" i="3"/>
  <c r="J5" i="3"/>
  <c r="I5" i="3"/>
  <c r="H5" i="3"/>
  <c r="G5" i="3"/>
  <c r="F5" i="3"/>
  <c r="E5" i="3"/>
  <c r="E3" i="4" s="1"/>
  <c r="D5" i="3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BG2" i="3"/>
  <c r="BF2" i="3"/>
  <c r="BE2" i="3"/>
  <c r="BD2" i="3"/>
  <c r="BC2" i="3"/>
  <c r="BB2" i="3"/>
  <c r="BB2" i="4" s="1"/>
  <c r="BA2" i="3"/>
  <c r="AZ2" i="3"/>
  <c r="AY2" i="3"/>
  <c r="AX2" i="3"/>
  <c r="AW2" i="3"/>
  <c r="AV2" i="3"/>
  <c r="AU2" i="3"/>
  <c r="AT2" i="3"/>
  <c r="AT2" i="4" s="1"/>
  <c r="AS2" i="3"/>
  <c r="AR2" i="3"/>
  <c r="AQ2" i="3"/>
  <c r="AP2" i="3"/>
  <c r="AO2" i="3"/>
  <c r="AN2" i="3"/>
  <c r="AM2" i="3"/>
  <c r="AL2" i="3"/>
  <c r="AL2" i="4" s="1"/>
  <c r="AK2" i="3"/>
  <c r="AJ2" i="3"/>
  <c r="AI2" i="3"/>
  <c r="AH2" i="3"/>
  <c r="AG2" i="3"/>
  <c r="AF2" i="3"/>
  <c r="AE2" i="3"/>
  <c r="AD2" i="3"/>
  <c r="AD2" i="4" s="1"/>
  <c r="AC2" i="3"/>
  <c r="AB2" i="3"/>
  <c r="AA2" i="3"/>
  <c r="Z2" i="3"/>
  <c r="Y2" i="3"/>
  <c r="X2" i="3"/>
  <c r="W2" i="3"/>
  <c r="V2" i="3"/>
  <c r="V2" i="4" s="1"/>
  <c r="U2" i="3"/>
  <c r="T2" i="3"/>
  <c r="S2" i="3"/>
  <c r="R2" i="3"/>
  <c r="Q2" i="3"/>
  <c r="P2" i="3"/>
  <c r="O2" i="3"/>
  <c r="N2" i="3"/>
  <c r="N2" i="4" s="1"/>
  <c r="M2" i="3"/>
  <c r="L2" i="3"/>
  <c r="K2" i="3"/>
  <c r="J2" i="3"/>
  <c r="I2" i="3"/>
  <c r="H2" i="3"/>
  <c r="G2" i="3"/>
  <c r="F2" i="3"/>
  <c r="F2" i="4" s="1"/>
  <c r="E2" i="3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S3" i="6" l="1"/>
  <c r="N3" i="6"/>
  <c r="O2" i="4"/>
  <c r="AE2" i="4"/>
  <c r="AU2" i="4"/>
  <c r="D2" i="4"/>
  <c r="N3" i="4"/>
  <c r="AD3" i="4"/>
  <c r="AT3" i="4"/>
  <c r="M4" i="4"/>
  <c r="AC4" i="4"/>
  <c r="AS4" i="4"/>
  <c r="L5" i="4"/>
  <c r="AB5" i="4"/>
  <c r="AR5" i="4"/>
  <c r="K6" i="4"/>
  <c r="AA6" i="4"/>
  <c r="AQ6" i="4"/>
  <c r="BG6" i="4"/>
  <c r="J7" i="4"/>
  <c r="Z7" i="4"/>
  <c r="AP7" i="4"/>
  <c r="BF7" i="4"/>
  <c r="F9" i="4"/>
  <c r="V9" i="4"/>
  <c r="AL9" i="4"/>
  <c r="BB9" i="4"/>
  <c r="E10" i="4"/>
  <c r="U10" i="4"/>
  <c r="AK10" i="4"/>
  <c r="BA10" i="4"/>
  <c r="L11" i="4"/>
  <c r="AJ11" i="4"/>
  <c r="AH13" i="4"/>
  <c r="AG18" i="4"/>
  <c r="G2" i="4"/>
  <c r="W2" i="4"/>
  <c r="AM2" i="4"/>
  <c r="BC2" i="4"/>
  <c r="F3" i="4"/>
  <c r="V3" i="4"/>
  <c r="AL3" i="4"/>
  <c r="BB3" i="4"/>
  <c r="E4" i="4"/>
  <c r="U4" i="4"/>
  <c r="AK4" i="4"/>
  <c r="BA4" i="4"/>
  <c r="D5" i="4"/>
  <c r="T5" i="4"/>
  <c r="AJ5" i="4"/>
  <c r="AZ5" i="4"/>
  <c r="C6" i="4"/>
  <c r="S6" i="4"/>
  <c r="AI6" i="4"/>
  <c r="AY6" i="4"/>
  <c r="B7" i="4"/>
  <c r="R7" i="4"/>
  <c r="AH7" i="4"/>
  <c r="AX7" i="4"/>
  <c r="N9" i="4"/>
  <c r="AD9" i="4"/>
  <c r="AT9" i="4"/>
  <c r="M10" i="4"/>
  <c r="AC10" i="4"/>
  <c r="AS10" i="4"/>
  <c r="D11" i="4"/>
  <c r="T11" i="4"/>
  <c r="AB11" i="4"/>
  <c r="AR11" i="4"/>
  <c r="AZ11" i="4"/>
  <c r="D33" i="4"/>
  <c r="L33" i="4"/>
  <c r="T33" i="4"/>
  <c r="AB33" i="4"/>
  <c r="AJ33" i="4"/>
  <c r="AR33" i="4"/>
  <c r="BF13" i="4"/>
  <c r="AU13" i="4"/>
  <c r="I14" i="4"/>
  <c r="BC16" i="4"/>
  <c r="N17" i="4"/>
  <c r="V17" i="4"/>
  <c r="AT17" i="4"/>
  <c r="AC18" i="4"/>
  <c r="B21" i="4"/>
  <c r="R21" i="4"/>
  <c r="AP21" i="4"/>
  <c r="BF21" i="4"/>
  <c r="I22" i="4"/>
  <c r="Y22" i="4"/>
  <c r="AO22" i="4"/>
  <c r="BE22" i="4"/>
  <c r="P23" i="4"/>
  <c r="AF23" i="4"/>
  <c r="AV23" i="4"/>
  <c r="BD23" i="4"/>
  <c r="F25" i="4"/>
  <c r="N25" i="4"/>
  <c r="V25" i="4"/>
  <c r="AD25" i="4"/>
  <c r="AL25" i="4"/>
  <c r="AT25" i="4"/>
  <c r="BB25" i="4"/>
  <c r="E26" i="4"/>
  <c r="M26" i="4"/>
  <c r="U26" i="4"/>
  <c r="AC26" i="4"/>
  <c r="AK26" i="4"/>
  <c r="AS26" i="4"/>
  <c r="BA26" i="4"/>
  <c r="D27" i="4"/>
  <c r="L27" i="4"/>
  <c r="T27" i="4"/>
  <c r="AB27" i="4"/>
  <c r="AJ27" i="4"/>
  <c r="AR27" i="4"/>
  <c r="AZ27" i="4"/>
  <c r="C28" i="4"/>
  <c r="K28" i="4"/>
  <c r="S28" i="4"/>
  <c r="AA28" i="4"/>
  <c r="AI28" i="4"/>
  <c r="AQ28" i="4"/>
  <c r="AY28" i="4"/>
  <c r="BG28" i="4"/>
  <c r="B29" i="4"/>
  <c r="J29" i="4"/>
  <c r="R29" i="4"/>
  <c r="Z29" i="4"/>
  <c r="AH29" i="4"/>
  <c r="AP29" i="4"/>
  <c r="AX29" i="4"/>
  <c r="BF29" i="4"/>
  <c r="I30" i="4"/>
  <c r="Q30" i="4"/>
  <c r="Y30" i="4"/>
  <c r="AG30" i="4"/>
  <c r="AO30" i="4"/>
  <c r="AW30" i="4"/>
  <c r="BE30" i="4"/>
  <c r="H31" i="4"/>
  <c r="P31" i="4"/>
  <c r="X31" i="4"/>
  <c r="AF31" i="4"/>
  <c r="AN31" i="4"/>
  <c r="AV31" i="4"/>
  <c r="BD31" i="4"/>
  <c r="G32" i="4"/>
  <c r="O32" i="4"/>
  <c r="W32" i="4"/>
  <c r="AE32" i="4"/>
  <c r="AM32" i="4"/>
  <c r="AU32" i="4"/>
  <c r="BC32" i="4"/>
  <c r="F33" i="4"/>
  <c r="N33" i="4"/>
  <c r="V33" i="4"/>
  <c r="AD33" i="4"/>
  <c r="AL33" i="4"/>
  <c r="AT33" i="4"/>
  <c r="BB33" i="4"/>
  <c r="C12" i="4"/>
  <c r="S12" i="4"/>
  <c r="AI12" i="4"/>
  <c r="BG12" i="4"/>
  <c r="J13" i="4"/>
  <c r="Z13" i="4"/>
  <c r="AP13" i="4"/>
  <c r="AX13" i="4"/>
  <c r="Q14" i="4"/>
  <c r="Y14" i="4"/>
  <c r="AG14" i="4"/>
  <c r="AO14" i="4"/>
  <c r="AW14" i="4"/>
  <c r="P15" i="4"/>
  <c r="AF15" i="4"/>
  <c r="BD15" i="4"/>
  <c r="G16" i="4"/>
  <c r="W16" i="4"/>
  <c r="AE16" i="4"/>
  <c r="AU16" i="4"/>
  <c r="F17" i="4"/>
  <c r="AD17" i="4"/>
  <c r="BB17" i="4"/>
  <c r="E18" i="4"/>
  <c r="M18" i="4"/>
  <c r="AK18" i="4"/>
  <c r="AS18" i="4"/>
  <c r="BA18" i="4"/>
  <c r="D19" i="4"/>
  <c r="T19" i="4"/>
  <c r="AJ19" i="4"/>
  <c r="AZ19" i="4"/>
  <c r="K20" i="4"/>
  <c r="AA20" i="4"/>
  <c r="AQ20" i="4"/>
  <c r="BG20" i="4"/>
  <c r="J21" i="4"/>
  <c r="AH21" i="4"/>
  <c r="AX21" i="4"/>
  <c r="Q22" i="4"/>
  <c r="AG22" i="4"/>
  <c r="AW22" i="4"/>
  <c r="H23" i="4"/>
  <c r="X23" i="4"/>
  <c r="AN23" i="4"/>
  <c r="G33" i="4"/>
  <c r="O33" i="4"/>
  <c r="W33" i="4"/>
  <c r="AE33" i="4"/>
  <c r="AM33" i="4"/>
  <c r="AU33" i="4"/>
  <c r="BC33" i="4"/>
  <c r="K12" i="4"/>
  <c r="AA12" i="4"/>
  <c r="AQ12" i="4"/>
  <c r="AY12" i="4"/>
  <c r="B13" i="4"/>
  <c r="R13" i="4"/>
  <c r="BE14" i="4"/>
  <c r="BB14" i="4"/>
  <c r="H15" i="4"/>
  <c r="X15" i="4"/>
  <c r="AN15" i="4"/>
  <c r="AV15" i="4"/>
  <c r="O16" i="4"/>
  <c r="AM16" i="4"/>
  <c r="AL17" i="4"/>
  <c r="U18" i="4"/>
  <c r="L19" i="4"/>
  <c r="AB19" i="4"/>
  <c r="AR19" i="4"/>
  <c r="C20" i="4"/>
  <c r="S20" i="4"/>
  <c r="AI20" i="4"/>
  <c r="AY20" i="4"/>
  <c r="Z21" i="4"/>
  <c r="E2" i="4"/>
  <c r="M2" i="4"/>
  <c r="U2" i="4"/>
  <c r="AC2" i="4"/>
  <c r="AK2" i="4"/>
  <c r="AS2" i="4"/>
  <c r="BA2" i="4"/>
  <c r="D3" i="4"/>
  <c r="L3" i="4"/>
  <c r="T3" i="4"/>
  <c r="AB3" i="4"/>
  <c r="AJ3" i="4"/>
  <c r="AR3" i="4"/>
  <c r="AZ3" i="4"/>
  <c r="C4" i="4"/>
  <c r="K4" i="4"/>
  <c r="S4" i="4"/>
  <c r="AA4" i="4"/>
  <c r="AI4" i="4"/>
  <c r="AQ4" i="4"/>
  <c r="AY4" i="4"/>
  <c r="BG4" i="4"/>
  <c r="B5" i="4"/>
  <c r="J5" i="4"/>
  <c r="R5" i="4"/>
  <c r="Z5" i="4"/>
  <c r="AH5" i="4"/>
  <c r="AP5" i="4"/>
  <c r="E7" i="4"/>
  <c r="D25" i="4"/>
  <c r="AZ33" i="4"/>
  <c r="AK33" i="4"/>
  <c r="A2" i="10"/>
  <c r="X2" i="4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</calcChain>
</file>

<file path=xl/sharedStrings.xml><?xml version="1.0" encoding="utf-8"?>
<sst xmlns="http://schemas.openxmlformats.org/spreadsheetml/2006/main" count="981" uniqueCount="558">
  <si>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</si>
  <si>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</si>
  <si>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</si>
  <si>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</si>
  <si>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</si>
  <si>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</si>
  <si>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</si>
  <si>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</si>
  <si>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</si>
  <si>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</si>
  <si>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</si>
  <si>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</si>
  <si>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</si>
  <si>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</si>
  <si>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</si>
  <si>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</si>
  <si>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</si>
  <si>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</si>
  <si>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</si>
  <si>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</si>
  <si>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</si>
  <si>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</si>
  <si>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</si>
  <si>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</si>
  <si>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</si>
  <si>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</si>
  <si>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</si>
  <si>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</si>
  <si>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</si>
  <si>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</si>
  <si>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</si>
  <si>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</si>
  <si>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</si>
  <si>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</si>
  <si>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</si>
  <si>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</si>
  <si>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</si>
  <si>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</si>
  <si>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</si>
  <si>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</si>
  <si>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</si>
  <si>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</si>
  <si>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</si>
  <si>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</si>
  <si>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</si>
  <si>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</si>
  <si>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</si>
  <si>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</si>
  <si>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</si>
  <si>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</si>
  <si>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</si>
  <si>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</si>
  <si>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</si>
  <si>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</si>
  <si>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</si>
  <si>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</si>
  <si>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</si>
  <si>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</si>
  <si>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</si>
  <si>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</si>
  <si>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</si>
  <si>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</si>
  <si>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</si>
  <si>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</si>
  <si>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</si>
  <si>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</si>
  <si>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</si>
  <si>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</si>
  <si>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</si>
  <si>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</si>
  <si>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</si>
  <si>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</si>
  <si>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</si>
  <si>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</si>
  <si>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</si>
  <si>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</si>
  <si>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</si>
  <si>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</si>
  <si>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</si>
  <si>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</si>
  <si>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</si>
  <si>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</si>
  <si>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</si>
  <si>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</si>
  <si>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</si>
  <si>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</si>
  <si>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</si>
  <si>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</si>
  <si>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</si>
  <si>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</si>
  <si>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</si>
  <si>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</si>
  <si>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</si>
  <si>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</si>
  <si>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</si>
  <si>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</si>
  <si>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</si>
  <si>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</si>
  <si>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</si>
  <si>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</si>
  <si>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</si>
  <si>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</si>
  <si>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</si>
  <si>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</si>
  <si>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</si>
  <si>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</si>
  <si>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</si>
  <si>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</si>
  <si>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</si>
  <si>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</si>
  <si>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</si>
  <si>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</si>
  <si>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</si>
  <si>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</si>
  <si>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</si>
  <si>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</si>
  <si>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</si>
  <si>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</si>
  <si>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</si>
  <si>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</si>
  <si>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</si>
  <si>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</si>
  <si>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</si>
  <si>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</si>
  <si>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</si>
  <si>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</si>
  <si>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</si>
  <si>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</si>
  <si>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</si>
  <si>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</si>
  <si>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</si>
  <si>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</si>
  <si>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</si>
  <si>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</si>
  <si>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</si>
  <si>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</si>
  <si>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</si>
  <si>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</si>
  <si>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</si>
  <si>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</si>
  <si>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</si>
  <si>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</si>
  <si>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</si>
  <si>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</si>
  <si>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</si>
  <si>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</si>
  <si>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</si>
  <si>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</si>
  <si>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</si>
  <si>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</si>
  <si>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</si>
  <si>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</si>
  <si>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</si>
  <si>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</si>
  <si>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</si>
  <si>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</si>
  <si>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</si>
  <si>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</si>
  <si>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</si>
  <si>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</si>
  <si>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</si>
  <si>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</si>
  <si>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</si>
  <si>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</si>
  <si>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</si>
  <si>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</si>
  <si>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</si>
  <si>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</si>
  <si>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</si>
  <si>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</si>
  <si>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</si>
  <si>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</si>
  <si>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</si>
  <si>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</si>
  <si>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</si>
  <si>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</si>
  <si>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</si>
  <si>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</si>
  <si>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</si>
  <si>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</si>
  <si>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</si>
  <si>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</si>
  <si>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</si>
  <si>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</si>
  <si>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</si>
  <si>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</si>
  <si>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</si>
  <si>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</si>
  <si>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</si>
  <si>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</si>
  <si>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</si>
  <si>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</si>
  <si>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</si>
  <si>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</si>
  <si>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</si>
  <si>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</si>
  <si>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</si>
  <si>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</si>
  <si>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</si>
  <si>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</si>
  <si>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</si>
  <si>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</si>
  <si>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</si>
  <si>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</si>
  <si>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</si>
  <si>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</si>
  <si>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</si>
  <si>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</si>
  <si>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</si>
  <si>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</si>
  <si>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</si>
  <si>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</si>
  <si>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</si>
  <si>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</si>
  <si>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</si>
  <si>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</si>
  <si>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</si>
  <si>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</si>
  <si>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</si>
  <si>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</si>
  <si>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</si>
  <si>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</si>
  <si>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</si>
  <si>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</si>
  <si>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</si>
  <si>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</si>
  <si>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</si>
  <si>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</si>
  <si>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</si>
  <si>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</si>
  <si>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</si>
  <si>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</si>
  <si>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</si>
  <si>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</si>
  <si>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</si>
  <si>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</si>
  <si>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</si>
  <si>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</si>
  <si>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</si>
  <si>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</si>
  <si>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</si>
  <si>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</si>
  <si>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</si>
  <si>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</si>
  <si>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</si>
  <si>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</si>
  <si>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</si>
  <si>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</si>
  <si>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</si>
  <si>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</si>
  <si>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</si>
  <si>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</si>
  <si>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</si>
  <si>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</si>
  <si>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</si>
  <si>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</si>
  <si>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</si>
  <si>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</si>
  <si>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</si>
  <si>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</si>
  <si>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</si>
  <si>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</si>
  <si>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</si>
  <si>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</si>
  <si>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</si>
  <si>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</si>
  <si>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</si>
  <si>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</si>
  <si>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</si>
  <si>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</si>
  <si>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</si>
  <si>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</si>
  <si>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</si>
  <si>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</si>
  <si>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</si>
  <si>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</si>
  <si>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</si>
  <si>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</si>
  <si>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</si>
  <si>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</si>
  <si>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</si>
  <si>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</si>
  <si>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</si>
  <si>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</si>
  <si>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</si>
  <si>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</si>
  <si>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</si>
  <si>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</si>
  <si>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</si>
  <si>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</si>
  <si>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</si>
  <si>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</si>
  <si>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</si>
  <si>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</si>
  <si>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</si>
  <si>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</si>
  <si>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</si>
  <si>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</si>
  <si>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</si>
  <si>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</si>
  <si>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</si>
  <si>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</si>
  <si>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</si>
  <si>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</si>
  <si>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</si>
  <si>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</si>
  <si>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</si>
  <si>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</si>
  <si>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</si>
  <si>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</si>
  <si>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</si>
  <si>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</si>
  <si>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</si>
  <si>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</si>
  <si>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</si>
  <si>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</si>
  <si>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</si>
  <si>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</si>
  <si>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</si>
  <si>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</si>
  <si>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</si>
  <si>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</si>
  <si>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</si>
  <si>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</si>
  <si>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</si>
  <si>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</si>
  <si>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</si>
  <si>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</si>
  <si>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</si>
  <si>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</si>
  <si>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</si>
  <si>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</si>
  <si>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</si>
  <si>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</si>
  <si>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</si>
  <si>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</si>
  <si>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</si>
  <si>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</si>
  <si>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</si>
  <si>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</si>
  <si>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</si>
  <si>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</si>
  <si>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</si>
  <si>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</si>
  <si>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</si>
  <si>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</si>
  <si>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</si>
  <si>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</si>
  <si>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</si>
  <si>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</si>
  <si>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</si>
  <si>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</si>
  <si>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</si>
  <si>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</si>
  <si>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</si>
  <si>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</si>
  <si>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</si>
  <si>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</si>
  <si>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</si>
  <si>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</si>
  <si>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</si>
  <si>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</si>
  <si>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</si>
  <si>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</si>
  <si>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</si>
  <si>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</si>
  <si>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</si>
  <si>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</si>
  <si>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</si>
  <si>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</si>
  <si>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</si>
  <si>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</si>
  <si>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</si>
  <si>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</si>
  <si>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</si>
  <si>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</si>
  <si>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</si>
  <si>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</si>
  <si>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</si>
  <si>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</si>
  <si>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</si>
  <si>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</si>
  <si>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</si>
  <si>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</si>
  <si>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</si>
  <si>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</si>
  <si>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</si>
  <si>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</si>
  <si>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</si>
  <si>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</si>
  <si>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</si>
  <si>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</si>
  <si>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</si>
  <si>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</si>
  <si>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</si>
  <si>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</si>
  <si>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</si>
  <si>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</si>
  <si>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</si>
  <si>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</si>
  <si>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</si>
  <si>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</si>
  <si>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</si>
  <si>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</si>
  <si>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</si>
  <si>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</si>
  <si>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</si>
  <si>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</si>
  <si>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</si>
  <si>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</si>
  <si>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</si>
  <si>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</si>
  <si>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</si>
  <si>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</si>
  <si>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</si>
  <si>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</si>
  <si>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</si>
  <si>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</si>
  <si>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</si>
  <si>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</si>
  <si>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</si>
  <si>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</si>
  <si>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</si>
  <si>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</si>
  <si>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</si>
  <si>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</si>
  <si>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</si>
  <si>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</si>
  <si>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</si>
  <si>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</si>
  <si>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</si>
  <si>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</si>
  <si>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</si>
  <si>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</si>
  <si>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</si>
  <si>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</si>
  <si>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</si>
  <si>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</si>
  <si>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</si>
  <si>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</si>
  <si>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</si>
  <si>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</si>
  <si>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</si>
  <si>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</si>
  <si>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</si>
  <si>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</si>
  <si>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</si>
  <si>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</si>
  <si>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</si>
  <si>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</si>
  <si>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</si>
  <si>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</si>
  <si>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</si>
  <si>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</si>
  <si>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</si>
  <si>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</si>
  <si>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</si>
  <si>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</si>
  <si>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</si>
  <si>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</si>
  <si>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</si>
  <si>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</si>
  <si>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</si>
  <si>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</si>
  <si>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</si>
  <si>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</si>
  <si>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</si>
  <si>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</si>
  <si>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</si>
  <si>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</si>
  <si>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</si>
  <si>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</si>
  <si>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</si>
  <si>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</si>
  <si>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</si>
  <si>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</si>
  <si>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</si>
  <si>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</si>
  <si>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</si>
  <si>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</si>
  <si>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</si>
  <si>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</si>
  <si>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</si>
  <si>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</si>
  <si>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</si>
  <si>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</si>
  <si>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</si>
  <si>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</si>
  <si>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</si>
  <si>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</si>
  <si>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</si>
  <si>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</si>
  <si>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</si>
  <si>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</si>
  <si>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</si>
  <si>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</si>
  <si>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</si>
  <si>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</si>
  <si>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</si>
  <si>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</si>
  <si>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</si>
  <si>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</si>
  <si>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</si>
  <si>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</si>
  <si>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</si>
  <si>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</si>
  <si>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</si>
  <si>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</si>
  <si>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</si>
  <si>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</si>
  <si>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</si>
  <si>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</si>
  <si>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</si>
  <si>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</si>
  <si>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</si>
  <si>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</si>
  <si>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</si>
  <si>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</si>
  <si>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</si>
  <si>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</si>
  <si>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</si>
  <si>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</si>
  <si>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</si>
  <si>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</si>
  <si>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caiana</t>
  </si>
  <si>
    <t>Daqui para o lado esquerdo está correto e atualizado</t>
  </si>
  <si>
    <t>partição total</t>
  </si>
  <si>
    <t>chuvoso</t>
  </si>
  <si>
    <t>seco</t>
  </si>
  <si>
    <t>barro branco</t>
  </si>
  <si>
    <t>pt.periodo</t>
  </si>
  <si>
    <t>pt.rio</t>
  </si>
  <si>
    <t>pt.rebio</t>
  </si>
  <si>
    <t>s.habitat</t>
  </si>
  <si>
    <t>s.ponto</t>
  </si>
  <si>
    <t>s.rio</t>
  </si>
  <si>
    <t>s.rebio</t>
  </si>
  <si>
    <t>c.habitat</t>
  </si>
  <si>
    <t>c.ponto</t>
  </si>
  <si>
    <t>c.rio</t>
  </si>
  <si>
    <t>c.rebio</t>
  </si>
  <si>
    <t>bb.habitat</t>
  </si>
  <si>
    <t>bb.ponto</t>
  </si>
  <si>
    <t>bb.rio</t>
  </si>
  <si>
    <t>ca.habitat</t>
  </si>
  <si>
    <t>ca.ponto</t>
  </si>
  <si>
    <t>ca.rio</t>
  </si>
  <si>
    <t>ca.trecho</t>
  </si>
  <si>
    <t>bb.trecho</t>
  </si>
  <si>
    <t>c.trecho</t>
  </si>
  <si>
    <t>s.trecho</t>
  </si>
  <si>
    <t>BB</t>
  </si>
  <si>
    <t>CA</t>
  </si>
  <si>
    <t xml:space="preserve">Barro Branco </t>
  </si>
  <si>
    <t>Dry</t>
  </si>
  <si>
    <t>Wet</t>
  </si>
  <si>
    <t>Total</t>
  </si>
  <si>
    <t>F.O.(%)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</si>
</sst>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0.000"/>
    <numFmt numFmtId="166" formatCode="0.0"/>
  </numFmts>
  <fonts count="22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0"/>
      <color rgb="FFFF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  <xf numFmtId="0" fontId="15" fillId="0" borderId="0" xfId="0" applyFont="1" applyAlignment="1">
      <alignment horizontal="left" vertical="center"/>
    </xf>
    <xf numFmtId="0" fontId="15" fillId="0" borderId="0" xfId="0" applyFont="1"/>
    <xf numFmtId="0" fontId="15" fillId="3" borderId="0" xfId="0" applyFont="1" applyFill="1" applyAlignment="1">
      <alignment horizontal="left" vertical="center"/>
    </xf>
    <xf numFmtId="0" fontId="15" fillId="3" borderId="0" xfId="0" applyFont="1" applyFill="1"/>
    <xf numFmtId="0" fontId="15" fillId="4" borderId="0" xfId="0" applyFont="1" applyFill="1" applyAlignment="1">
      <alignment horizontal="left" vertical="center"/>
    </xf>
    <xf numFmtId="0" fontId="15" fillId="4" borderId="0" xfId="0" applyFont="1" applyFill="1"/>
    <xf numFmtId="0" fontId="16" fillId="0" borderId="0" xfId="0" applyFont="1" applyAlignment="1">
      <alignment horizontal="center"/>
    </xf>
    <xf numFmtId="1" fontId="2" fillId="0" borderId="0" xfId="0" applyNumberFormat="1" applyFont="1" applyAlignment="1">
      <alignment horizontal="left" vertical="center" wrapText="1" readingOrder="1"/>
    </xf>
    <xf numFmtId="1" fontId="3" fillId="0" borderId="0" xfId="0" applyNumberFormat="1" applyFont="1" applyAlignment="1">
      <alignment readingOrder="1"/>
    </xf>
    <xf numFmtId="1" fontId="3" fillId="0" borderId="0" xfId="0" applyNumberFormat="1" applyFont="1"/>
    <xf numFmtId="1" fontId="3" fillId="0" borderId="0" xfId="0" applyNumberFormat="1" applyFont="1" applyAlignment="1">
      <alignment vertical="center"/>
    </xf>
    <xf numFmtId="1" fontId="3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3" fillId="0" borderId="0" xfId="0" applyNumberFormat="1" applyFont="1" applyAlignment="1">
      <alignment horizontal="right"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166" fontId="0" fillId="0" borderId="0" xfId="0" applyNumberFormat="1"/>
    <xf numFmtId="1" fontId="19" fillId="0" borderId="0" xfId="0" applyNumberFormat="1" applyFont="1" applyAlignment="1">
      <alignment vertical="center"/>
    </xf>
    <xf numFmtId="166" fontId="20" fillId="0" borderId="0" xfId="0" applyNumberFormat="1" applyFont="1"/>
    <xf numFmtId="0" fontId="2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0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11.5703125" defaultRowHeight="16.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16.5" customHeight="1" x14ac:dyDescent="0.2">
      <c r="A1" s="8" t="str">
        <f>"sum= "&amp;SUM(B5:BG100)</f>
        <v>sum= 19090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6.5" customHeight="1" x14ac:dyDescent="0.2">
      <c r="A2" s="8" t="s">
        <v>551</v>
      </c>
      <c r="B2" s="57"/>
      <c r="C2" s="57">
        <f t="shared" ref="C2:BG2" si="0">SUM(C5:C22,C53:C70)</f>
        <v>169</v>
      </c>
      <c r="D2" s="57">
        <f t="shared" si="0"/>
        <v>64</v>
      </c>
      <c r="E2" s="57">
        <f t="shared" si="0"/>
        <v>2924</v>
      </c>
      <c r="F2" s="57">
        <f t="shared" si="0"/>
        <v>6</v>
      </c>
      <c r="G2" s="57">
        <f t="shared" si="0"/>
        <v>10</v>
      </c>
      <c r="H2" s="57">
        <f t="shared" si="0"/>
        <v>8</v>
      </c>
      <c r="I2" s="57">
        <f t="shared" si="0"/>
        <v>2174</v>
      </c>
      <c r="J2" s="57">
        <f t="shared" si="0"/>
        <v>505</v>
      </c>
      <c r="K2" s="57">
        <f t="shared" si="0"/>
        <v>0</v>
      </c>
      <c r="L2" s="57">
        <f t="shared" si="0"/>
        <v>24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7">
        <f t="shared" si="0"/>
        <v>1</v>
      </c>
      <c r="Q2" s="57">
        <f t="shared" si="0"/>
        <v>17</v>
      </c>
      <c r="R2" s="57">
        <f t="shared" si="0"/>
        <v>1</v>
      </c>
      <c r="S2" s="57">
        <f t="shared" si="0"/>
        <v>69</v>
      </c>
      <c r="T2" s="57">
        <f t="shared" si="0"/>
        <v>8</v>
      </c>
      <c r="U2" s="57">
        <f t="shared" si="0"/>
        <v>14</v>
      </c>
      <c r="V2" s="57">
        <f t="shared" si="0"/>
        <v>6</v>
      </c>
      <c r="W2" s="57">
        <f t="shared" si="0"/>
        <v>1</v>
      </c>
      <c r="X2" s="57">
        <f t="shared" si="0"/>
        <v>1</v>
      </c>
      <c r="Y2" s="57">
        <f t="shared" si="0"/>
        <v>86</v>
      </c>
      <c r="Z2" s="57">
        <f t="shared" si="0"/>
        <v>12</v>
      </c>
      <c r="AA2" s="57">
        <f t="shared" si="0"/>
        <v>17</v>
      </c>
      <c r="AB2" s="57">
        <f t="shared" si="0"/>
        <v>1</v>
      </c>
      <c r="AC2" s="57">
        <f t="shared" si="0"/>
        <v>0</v>
      </c>
      <c r="AD2" s="57">
        <f t="shared" si="0"/>
        <v>2</v>
      </c>
      <c r="AE2" s="57">
        <f t="shared" si="0"/>
        <v>2</v>
      </c>
      <c r="AF2" s="57">
        <f t="shared" si="0"/>
        <v>1</v>
      </c>
      <c r="AG2" s="57">
        <f t="shared" si="0"/>
        <v>0</v>
      </c>
      <c r="AH2" s="57">
        <f t="shared" si="0"/>
        <v>0</v>
      </c>
      <c r="AI2" s="57">
        <f t="shared" si="0"/>
        <v>0</v>
      </c>
      <c r="AJ2" s="57">
        <f t="shared" si="0"/>
        <v>22</v>
      </c>
      <c r="AK2" s="57">
        <f t="shared" si="0"/>
        <v>5</v>
      </c>
      <c r="AL2" s="57">
        <f t="shared" si="0"/>
        <v>98</v>
      </c>
      <c r="AM2" s="57">
        <f t="shared" si="0"/>
        <v>25</v>
      </c>
      <c r="AN2" s="57">
        <f t="shared" si="0"/>
        <v>27</v>
      </c>
      <c r="AO2" s="57">
        <f t="shared" si="0"/>
        <v>6</v>
      </c>
      <c r="AP2" s="57">
        <f t="shared" si="0"/>
        <v>35</v>
      </c>
      <c r="AQ2" s="57">
        <f t="shared" si="0"/>
        <v>12</v>
      </c>
      <c r="AR2" s="57">
        <f t="shared" si="0"/>
        <v>4</v>
      </c>
      <c r="AS2" s="57">
        <f t="shared" si="0"/>
        <v>0</v>
      </c>
      <c r="AT2" s="57">
        <f t="shared" si="0"/>
        <v>1</v>
      </c>
      <c r="AU2" s="57">
        <f t="shared" si="0"/>
        <v>1</v>
      </c>
      <c r="AV2" s="57">
        <f t="shared" si="0"/>
        <v>804</v>
      </c>
      <c r="AW2" s="57">
        <f t="shared" si="0"/>
        <v>0</v>
      </c>
      <c r="AX2" s="57">
        <f t="shared" si="0"/>
        <v>133</v>
      </c>
      <c r="AY2" s="57">
        <f t="shared" si="0"/>
        <v>182</v>
      </c>
      <c r="AZ2" s="57">
        <f t="shared" si="0"/>
        <v>8</v>
      </c>
      <c r="BA2" s="57">
        <f t="shared" si="0"/>
        <v>1</v>
      </c>
      <c r="BB2" s="57">
        <f t="shared" si="0"/>
        <v>2</v>
      </c>
      <c r="BC2" s="57">
        <f t="shared" si="0"/>
        <v>1</v>
      </c>
      <c r="BD2" s="57">
        <f t="shared" si="0"/>
        <v>7</v>
      </c>
      <c r="BE2" s="57">
        <f t="shared" si="0"/>
        <v>0</v>
      </c>
      <c r="BF2" s="57">
        <f t="shared" si="0"/>
        <v>1</v>
      </c>
      <c r="BG2" s="57">
        <f t="shared" si="0"/>
        <v>2</v>
      </c>
      <c r="BH2" s="58"/>
      <c r="BI2" s="14"/>
      <c r="BJ2" s="14"/>
      <c r="BK2" s="14"/>
      <c r="BL2" s="14"/>
      <c r="BM2" s="14"/>
      <c r="BN2" s="14"/>
      <c r="BO2" s="14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</row>
    <row r="3" spans="1:1022" ht="16.5" customHeight="1" x14ac:dyDescent="0.2">
      <c r="A3" s="8" t="s">
        <v>552</v>
      </c>
      <c r="B3" s="57">
        <f>SUM(B23:B52,B71:B100)</f>
        <v>182</v>
      </c>
      <c r="C3" s="57">
        <f t="shared" ref="C3:BG3" si="1">SUM(C23:C52,C71:C100)</f>
        <v>52</v>
      </c>
      <c r="D3" s="57">
        <f t="shared" si="1"/>
        <v>37</v>
      </c>
      <c r="E3" s="57">
        <f t="shared" si="1"/>
        <v>3270</v>
      </c>
      <c r="F3" s="57">
        <f t="shared" si="1"/>
        <v>221</v>
      </c>
      <c r="G3" s="57">
        <f t="shared" si="1"/>
        <v>8</v>
      </c>
      <c r="H3" s="57">
        <f t="shared" si="1"/>
        <v>8</v>
      </c>
      <c r="I3" s="57">
        <f t="shared" si="1"/>
        <v>1887</v>
      </c>
      <c r="J3" s="57">
        <f t="shared" si="1"/>
        <v>331</v>
      </c>
      <c r="K3" s="57">
        <f t="shared" si="1"/>
        <v>2</v>
      </c>
      <c r="L3" s="57">
        <f t="shared" si="1"/>
        <v>379</v>
      </c>
      <c r="M3" s="57">
        <f t="shared" si="1"/>
        <v>18</v>
      </c>
      <c r="N3" s="57">
        <f t="shared" si="1"/>
        <v>2</v>
      </c>
      <c r="O3" s="57">
        <f t="shared" si="1"/>
        <v>1</v>
      </c>
      <c r="P3" s="57">
        <f t="shared" si="1"/>
        <v>2</v>
      </c>
      <c r="Q3" s="57">
        <f t="shared" si="1"/>
        <v>209</v>
      </c>
      <c r="R3" s="57">
        <f t="shared" si="1"/>
        <v>62</v>
      </c>
      <c r="S3" s="57">
        <f t="shared" si="1"/>
        <v>42</v>
      </c>
      <c r="T3" s="57">
        <f t="shared" si="1"/>
        <v>125</v>
      </c>
      <c r="U3" s="57">
        <f t="shared" si="1"/>
        <v>12</v>
      </c>
      <c r="V3" s="57">
        <f t="shared" si="1"/>
        <v>620</v>
      </c>
      <c r="W3" s="57">
        <f t="shared" si="1"/>
        <v>0</v>
      </c>
      <c r="X3" s="57">
        <f t="shared" si="1"/>
        <v>1</v>
      </c>
      <c r="Y3" s="57">
        <f t="shared" si="1"/>
        <v>34</v>
      </c>
      <c r="Z3" s="57">
        <f t="shared" si="1"/>
        <v>78</v>
      </c>
      <c r="AA3" s="57">
        <f t="shared" si="1"/>
        <v>189</v>
      </c>
      <c r="AB3" s="57">
        <f t="shared" si="1"/>
        <v>1</v>
      </c>
      <c r="AC3" s="57">
        <f t="shared" si="1"/>
        <v>3</v>
      </c>
      <c r="AD3" s="57">
        <f t="shared" si="1"/>
        <v>34</v>
      </c>
      <c r="AE3" s="57">
        <f t="shared" si="1"/>
        <v>0</v>
      </c>
      <c r="AF3" s="57">
        <f t="shared" si="1"/>
        <v>0</v>
      </c>
      <c r="AG3" s="57">
        <f t="shared" si="1"/>
        <v>29</v>
      </c>
      <c r="AH3" s="57">
        <f t="shared" si="1"/>
        <v>1</v>
      </c>
      <c r="AI3" s="57">
        <f t="shared" si="1"/>
        <v>1</v>
      </c>
      <c r="AJ3" s="57">
        <f t="shared" si="1"/>
        <v>3</v>
      </c>
      <c r="AK3" s="57">
        <f t="shared" si="1"/>
        <v>0</v>
      </c>
      <c r="AL3" s="57">
        <f t="shared" si="1"/>
        <v>43</v>
      </c>
      <c r="AM3" s="57">
        <f t="shared" si="1"/>
        <v>5</v>
      </c>
      <c r="AN3" s="57">
        <f t="shared" si="1"/>
        <v>2</v>
      </c>
      <c r="AO3" s="57">
        <f t="shared" si="1"/>
        <v>7</v>
      </c>
      <c r="AP3" s="57">
        <f t="shared" si="1"/>
        <v>179</v>
      </c>
      <c r="AQ3" s="57">
        <f t="shared" si="1"/>
        <v>242</v>
      </c>
      <c r="AR3" s="57">
        <f t="shared" si="1"/>
        <v>48</v>
      </c>
      <c r="AS3" s="57">
        <f t="shared" si="1"/>
        <v>1</v>
      </c>
      <c r="AT3" s="57">
        <f t="shared" si="1"/>
        <v>1</v>
      </c>
      <c r="AU3" s="57">
        <f t="shared" si="1"/>
        <v>0</v>
      </c>
      <c r="AV3" s="57">
        <f t="shared" si="1"/>
        <v>1629</v>
      </c>
      <c r="AW3" s="57">
        <f t="shared" si="1"/>
        <v>116</v>
      </c>
      <c r="AX3" s="57">
        <f t="shared" si="1"/>
        <v>98</v>
      </c>
      <c r="AY3" s="57">
        <f t="shared" si="1"/>
        <v>209</v>
      </c>
      <c r="AZ3" s="57">
        <f t="shared" si="1"/>
        <v>0</v>
      </c>
      <c r="BA3" s="57">
        <f t="shared" si="1"/>
        <v>37</v>
      </c>
      <c r="BB3" s="57">
        <f t="shared" si="1"/>
        <v>0</v>
      </c>
      <c r="BC3" s="57">
        <f t="shared" si="1"/>
        <v>146</v>
      </c>
      <c r="BD3" s="57">
        <f t="shared" si="1"/>
        <v>68</v>
      </c>
      <c r="BE3" s="57">
        <f t="shared" si="1"/>
        <v>42</v>
      </c>
      <c r="BF3" s="57">
        <f t="shared" si="1"/>
        <v>4</v>
      </c>
      <c r="BG3" s="57">
        <f t="shared" si="1"/>
        <v>0</v>
      </c>
      <c r="BH3" s="13"/>
      <c r="BI3" s="14"/>
      <c r="BJ3" s="14"/>
      <c r="BK3" s="14"/>
      <c r="BL3" s="14"/>
      <c r="BM3" s="14"/>
      <c r="BN3" s="14"/>
      <c r="BO3" s="14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</row>
    <row r="4" spans="1:1022" ht="16.5" customHeight="1" x14ac:dyDescent="0.2">
      <c r="A4" s="15" t="str">
        <f>"n = "&amp;COUNTA(A5:A1016)</f>
        <v>n = 96</v>
      </c>
      <c r="B4" s="15" t="s">
        <v>153</v>
      </c>
      <c r="C4" s="15" t="s">
        <v>154</v>
      </c>
      <c r="D4" s="15" t="s">
        <v>155</v>
      </c>
      <c r="E4" s="15" t="s">
        <v>98</v>
      </c>
      <c r="F4" s="15" t="s">
        <v>156</v>
      </c>
      <c r="G4" s="15" t="s">
        <v>157</v>
      </c>
      <c r="H4" s="16" t="s">
        <v>158</v>
      </c>
      <c r="I4" s="15" t="s">
        <v>102</v>
      </c>
      <c r="J4" s="15" t="s">
        <v>159</v>
      </c>
      <c r="K4" s="15" t="s">
        <v>160</v>
      </c>
      <c r="L4" s="15" t="s">
        <v>161</v>
      </c>
      <c r="M4" s="15" t="s">
        <v>162</v>
      </c>
      <c r="N4" s="15" t="s">
        <v>163</v>
      </c>
      <c r="O4" s="15" t="s">
        <v>164</v>
      </c>
      <c r="P4" s="17" t="s">
        <v>165</v>
      </c>
      <c r="Q4" s="15" t="s">
        <v>166</v>
      </c>
      <c r="R4" s="15" t="s">
        <v>167</v>
      </c>
      <c r="S4" s="15" t="s">
        <v>168</v>
      </c>
      <c r="T4" s="15" t="s">
        <v>169</v>
      </c>
      <c r="U4" s="15" t="s">
        <v>170</v>
      </c>
      <c r="V4" s="15" t="s">
        <v>171</v>
      </c>
      <c r="W4" s="15" t="s">
        <v>172</v>
      </c>
      <c r="X4" s="18" t="s">
        <v>173</v>
      </c>
      <c r="Y4" s="15" t="s">
        <v>174</v>
      </c>
      <c r="Z4" s="15" t="s">
        <v>175</v>
      </c>
      <c r="AA4" s="15" t="s">
        <v>176</v>
      </c>
      <c r="AB4" s="15" t="s">
        <v>177</v>
      </c>
      <c r="AC4" s="18" t="s">
        <v>178</v>
      </c>
      <c r="AD4" s="15" t="s">
        <v>179</v>
      </c>
      <c r="AE4" s="15" t="s">
        <v>180</v>
      </c>
      <c r="AF4" s="18" t="s">
        <v>181</v>
      </c>
      <c r="AG4" s="15" t="s">
        <v>182</v>
      </c>
      <c r="AH4" s="19" t="s">
        <v>183</v>
      </c>
      <c r="AI4" s="19" t="s">
        <v>184</v>
      </c>
      <c r="AJ4" s="15" t="s">
        <v>185</v>
      </c>
      <c r="AK4" s="15" t="s">
        <v>186</v>
      </c>
      <c r="AL4" s="15" t="s">
        <v>187</v>
      </c>
      <c r="AM4" s="15" t="s">
        <v>188</v>
      </c>
      <c r="AN4" s="15" t="s">
        <v>189</v>
      </c>
      <c r="AO4" s="15" t="s">
        <v>190</v>
      </c>
      <c r="AP4" s="15" t="s">
        <v>191</v>
      </c>
      <c r="AQ4" s="20" t="s">
        <v>192</v>
      </c>
      <c r="AR4" s="20" t="s">
        <v>193</v>
      </c>
      <c r="AS4" s="20" t="s">
        <v>194</v>
      </c>
      <c r="AT4" s="15" t="s">
        <v>195</v>
      </c>
      <c r="AU4" s="19" t="s">
        <v>196</v>
      </c>
      <c r="AV4" s="15" t="s">
        <v>141</v>
      </c>
      <c r="AW4" s="15" t="s">
        <v>197</v>
      </c>
      <c r="AX4" s="15" t="s">
        <v>198</v>
      </c>
      <c r="AY4" s="15" t="s">
        <v>199</v>
      </c>
      <c r="AZ4" s="15" t="s">
        <v>200</v>
      </c>
      <c r="BA4" s="15" t="s">
        <v>201</v>
      </c>
      <c r="BB4" s="18" t="s">
        <v>202</v>
      </c>
      <c r="BC4" s="15" t="s">
        <v>203</v>
      </c>
      <c r="BD4" s="15" t="s">
        <v>204</v>
      </c>
      <c r="BE4" s="15" t="s">
        <v>205</v>
      </c>
      <c r="BF4" s="15" t="s">
        <v>206</v>
      </c>
      <c r="BG4" s="15" t="s">
        <v>207</v>
      </c>
      <c r="BI4" s="3"/>
      <c r="BJ4" s="3"/>
      <c r="BK4" s="3"/>
      <c r="BL4" s="3"/>
      <c r="BM4" s="3"/>
      <c r="BN4" s="3"/>
      <c r="BO4" s="3"/>
    </row>
    <row r="5" spans="1:1022" ht="16.5" customHeight="1" x14ac:dyDescent="0.2">
      <c r="A5" s="15" t="s">
        <v>208</v>
      </c>
      <c r="B5" s="21">
        <v>0</v>
      </c>
      <c r="C5" s="21">
        <v>0</v>
      </c>
      <c r="D5" s="21">
        <v>0</v>
      </c>
      <c r="E5" s="21">
        <v>37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1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3</v>
      </c>
      <c r="AW5" s="21">
        <v>0</v>
      </c>
      <c r="AX5" s="21">
        <v>1</v>
      </c>
      <c r="AY5" s="21">
        <v>0</v>
      </c>
      <c r="AZ5" s="21">
        <v>1</v>
      </c>
      <c r="BA5" s="21">
        <v>0</v>
      </c>
      <c r="BB5" s="21">
        <v>1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H5" s="59"/>
      <c r="BI5" s="3"/>
      <c r="BJ5" s="3"/>
      <c r="BK5" s="3"/>
      <c r="BL5" s="3"/>
      <c r="BM5" s="3"/>
      <c r="BN5" s="3"/>
      <c r="BO5" s="3"/>
    </row>
    <row r="6" spans="1:1022" ht="16.5" customHeight="1" x14ac:dyDescent="0.2">
      <c r="A6" s="15" t="s">
        <v>209</v>
      </c>
      <c r="B6" s="21">
        <v>0</v>
      </c>
      <c r="C6" s="21">
        <v>0</v>
      </c>
      <c r="D6" s="21">
        <v>0</v>
      </c>
      <c r="E6" s="21">
        <v>23</v>
      </c>
      <c r="F6" s="21">
        <v>0</v>
      </c>
      <c r="G6" s="21">
        <v>0</v>
      </c>
      <c r="H6" s="21">
        <v>0</v>
      </c>
      <c r="I6" s="21">
        <v>4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1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1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6.5" customHeight="1" x14ac:dyDescent="0.2">
      <c r="A7" s="15" t="s">
        <v>210</v>
      </c>
      <c r="B7" s="21">
        <v>0</v>
      </c>
      <c r="C7" s="21">
        <v>0</v>
      </c>
      <c r="D7" s="21">
        <v>0</v>
      </c>
      <c r="E7" s="21">
        <v>32</v>
      </c>
      <c r="F7" s="21">
        <v>0</v>
      </c>
      <c r="G7" s="21">
        <v>0</v>
      </c>
      <c r="H7" s="21">
        <v>0</v>
      </c>
      <c r="I7" s="21">
        <v>2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2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6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6.5" customHeight="1" x14ac:dyDescent="0.2">
      <c r="A8" s="15" t="s">
        <v>211</v>
      </c>
      <c r="B8" s="21">
        <v>0</v>
      </c>
      <c r="C8" s="21">
        <v>0</v>
      </c>
      <c r="D8" s="21">
        <v>0</v>
      </c>
      <c r="E8" s="21">
        <v>32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6.5" customHeight="1" x14ac:dyDescent="0.2">
      <c r="A9" s="15" t="s">
        <v>212</v>
      </c>
      <c r="B9" s="21">
        <v>1</v>
      </c>
      <c r="C9" s="21">
        <v>0</v>
      </c>
      <c r="D9" s="21">
        <v>0</v>
      </c>
      <c r="E9" s="21">
        <v>64</v>
      </c>
      <c r="F9" s="21">
        <v>0</v>
      </c>
      <c r="G9" s="21">
        <v>0</v>
      </c>
      <c r="H9" s="21">
        <v>0</v>
      </c>
      <c r="I9" s="21">
        <v>1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6.5" customHeight="1" x14ac:dyDescent="0.2">
      <c r="A10" s="15" t="s">
        <v>213</v>
      </c>
      <c r="B10" s="21">
        <v>0</v>
      </c>
      <c r="C10" s="21">
        <v>0</v>
      </c>
      <c r="D10" s="21">
        <v>0</v>
      </c>
      <c r="E10" s="21">
        <v>77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3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6.5" customHeight="1" x14ac:dyDescent="0.2">
      <c r="A11" s="15" t="s">
        <v>214</v>
      </c>
      <c r="B11" s="21">
        <v>0</v>
      </c>
      <c r="C11" s="21">
        <v>0</v>
      </c>
      <c r="D11" s="21">
        <v>0</v>
      </c>
      <c r="E11" s="21">
        <v>59</v>
      </c>
      <c r="F11" s="21">
        <v>0</v>
      </c>
      <c r="G11" s="21">
        <v>0</v>
      </c>
      <c r="H11" s="21">
        <v>0</v>
      </c>
      <c r="I11" s="21">
        <v>2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1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6.5" customHeight="1" x14ac:dyDescent="0.2">
      <c r="A12" s="15" t="s">
        <v>215</v>
      </c>
      <c r="B12" s="21">
        <v>0</v>
      </c>
      <c r="C12" s="21">
        <v>0</v>
      </c>
      <c r="D12" s="21">
        <v>0</v>
      </c>
      <c r="E12" s="21">
        <v>44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2</v>
      </c>
      <c r="AW12" s="21">
        <v>0</v>
      </c>
      <c r="AX12" s="21">
        <v>1</v>
      </c>
      <c r="AY12" s="21">
        <v>0</v>
      </c>
      <c r="AZ12" s="21">
        <v>1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6.5" customHeight="1" x14ac:dyDescent="0.2">
      <c r="A13" s="15" t="s">
        <v>216</v>
      </c>
      <c r="B13" s="21">
        <v>0</v>
      </c>
      <c r="C13" s="21">
        <v>0</v>
      </c>
      <c r="D13" s="21">
        <v>0</v>
      </c>
      <c r="E13" s="21">
        <v>43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1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1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4</v>
      </c>
      <c r="AW13" s="21">
        <v>0</v>
      </c>
      <c r="AX13" s="21">
        <v>0</v>
      </c>
      <c r="AY13" s="21">
        <v>0</v>
      </c>
      <c r="AZ13" s="21">
        <v>1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6.5" customHeight="1" x14ac:dyDescent="0.2">
      <c r="A14" s="15" t="s">
        <v>217</v>
      </c>
      <c r="B14" s="21">
        <v>1</v>
      </c>
      <c r="C14" s="21">
        <v>0</v>
      </c>
      <c r="D14" s="21">
        <v>0</v>
      </c>
      <c r="E14" s="21">
        <v>69</v>
      </c>
      <c r="F14" s="21">
        <v>0</v>
      </c>
      <c r="G14" s="21">
        <v>0</v>
      </c>
      <c r="H14" s="21">
        <v>1</v>
      </c>
      <c r="I14" s="21">
        <v>76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1</v>
      </c>
      <c r="Q14" s="21">
        <v>1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1</v>
      </c>
      <c r="Y14" s="21">
        <v>1</v>
      </c>
      <c r="Z14" s="21">
        <v>0</v>
      </c>
      <c r="AA14" s="21">
        <v>4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3</v>
      </c>
      <c r="AM14" s="21">
        <v>2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</v>
      </c>
      <c r="AV14" s="21">
        <v>15</v>
      </c>
      <c r="AW14" s="21">
        <v>0</v>
      </c>
      <c r="AX14" s="21">
        <v>9</v>
      </c>
      <c r="AY14" s="21">
        <v>0</v>
      </c>
      <c r="AZ14" s="21">
        <v>0</v>
      </c>
      <c r="BA14" s="21">
        <v>0</v>
      </c>
      <c r="BB14" s="21">
        <v>1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6.5" customHeight="1" x14ac:dyDescent="0.2">
      <c r="A15" s="15" t="s">
        <v>218</v>
      </c>
      <c r="B15" s="21">
        <v>6</v>
      </c>
      <c r="C15" s="21">
        <v>0</v>
      </c>
      <c r="D15" s="21">
        <v>0</v>
      </c>
      <c r="E15" s="21">
        <v>50</v>
      </c>
      <c r="F15" s="21">
        <v>0</v>
      </c>
      <c r="G15" s="21">
        <v>0</v>
      </c>
      <c r="H15" s="21">
        <v>0</v>
      </c>
      <c r="I15" s="21">
        <v>77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8</v>
      </c>
      <c r="T15" s="21">
        <v>0</v>
      </c>
      <c r="U15" s="21">
        <v>4</v>
      </c>
      <c r="V15" s="21">
        <v>0</v>
      </c>
      <c r="W15" s="21">
        <v>0</v>
      </c>
      <c r="X15" s="21">
        <v>0</v>
      </c>
      <c r="Y15" s="21">
        <v>0</v>
      </c>
      <c r="Z15" s="21">
        <v>2</v>
      </c>
      <c r="AA15" s="21">
        <v>2</v>
      </c>
      <c r="AB15" s="21">
        <v>0</v>
      </c>
      <c r="AC15" s="21">
        <v>0</v>
      </c>
      <c r="AD15" s="21">
        <v>0</v>
      </c>
      <c r="AE15" s="21">
        <v>1</v>
      </c>
      <c r="AF15" s="21">
        <v>0</v>
      </c>
      <c r="AG15" s="21">
        <v>0</v>
      </c>
      <c r="AH15" s="21">
        <v>0</v>
      </c>
      <c r="AI15" s="21">
        <v>0</v>
      </c>
      <c r="AJ15" s="21">
        <v>2</v>
      </c>
      <c r="AK15" s="21">
        <v>0</v>
      </c>
      <c r="AL15" s="21">
        <v>1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60</v>
      </c>
      <c r="AW15" s="21">
        <v>0</v>
      </c>
      <c r="AX15" s="21">
        <v>4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6.5" customHeight="1" x14ac:dyDescent="0.2">
      <c r="A16" s="15" t="s">
        <v>219</v>
      </c>
      <c r="B16" s="21">
        <v>1</v>
      </c>
      <c r="C16" s="21">
        <v>0</v>
      </c>
      <c r="D16" s="21">
        <v>0</v>
      </c>
      <c r="E16" s="21">
        <v>51</v>
      </c>
      <c r="F16" s="21">
        <v>0</v>
      </c>
      <c r="G16" s="21">
        <v>0</v>
      </c>
      <c r="H16" s="21">
        <v>0</v>
      </c>
      <c r="I16" s="21">
        <v>3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2</v>
      </c>
      <c r="T16" s="21">
        <v>0</v>
      </c>
      <c r="U16" s="21">
        <v>1</v>
      </c>
      <c r="V16" s="21">
        <v>1</v>
      </c>
      <c r="W16" s="21">
        <v>0</v>
      </c>
      <c r="X16" s="21">
        <v>0</v>
      </c>
      <c r="Y16" s="21">
        <v>0</v>
      </c>
      <c r="Z16" s="21">
        <v>0</v>
      </c>
      <c r="AA16" s="21">
        <v>4</v>
      </c>
      <c r="AB16" s="21">
        <v>1</v>
      </c>
      <c r="AC16" s="21">
        <v>0</v>
      </c>
      <c r="AD16" s="21">
        <v>2</v>
      </c>
      <c r="AE16" s="21">
        <v>1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1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15</v>
      </c>
      <c r="AW16" s="21">
        <v>0</v>
      </c>
      <c r="AX16" s="21">
        <v>1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6.5" customHeight="1" x14ac:dyDescent="0.2">
      <c r="A17" s="15" t="s">
        <v>220</v>
      </c>
      <c r="B17" s="21">
        <v>0</v>
      </c>
      <c r="C17" s="21">
        <v>0</v>
      </c>
      <c r="D17" s="21">
        <v>0</v>
      </c>
      <c r="E17" s="21">
        <v>35</v>
      </c>
      <c r="F17" s="21">
        <v>0</v>
      </c>
      <c r="G17" s="21">
        <v>0</v>
      </c>
      <c r="H17" s="21">
        <v>0</v>
      </c>
      <c r="I17" s="21">
        <v>1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1</v>
      </c>
      <c r="V17" s="21">
        <v>0</v>
      </c>
      <c r="W17" s="21">
        <v>0</v>
      </c>
      <c r="X17" s="21">
        <v>0</v>
      </c>
      <c r="Y17" s="21">
        <v>0</v>
      </c>
      <c r="Z17" s="21">
        <v>1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1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3</v>
      </c>
      <c r="AW17" s="21">
        <v>0</v>
      </c>
      <c r="AX17" s="21">
        <v>0</v>
      </c>
      <c r="AY17" s="21">
        <v>1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6.5" customHeight="1" x14ac:dyDescent="0.2">
      <c r="A18" s="15" t="s">
        <v>221</v>
      </c>
      <c r="B18" s="21">
        <v>0</v>
      </c>
      <c r="C18" s="21">
        <v>0</v>
      </c>
      <c r="D18" s="21">
        <v>0</v>
      </c>
      <c r="E18" s="21">
        <v>104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3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2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2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</v>
      </c>
      <c r="AW18" s="21">
        <v>0</v>
      </c>
      <c r="AX18" s="21">
        <v>0</v>
      </c>
      <c r="AY18" s="21">
        <v>0</v>
      </c>
      <c r="AZ18" s="21">
        <v>5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I18" s="3"/>
      <c r="BJ18" s="3"/>
      <c r="BK18" s="3"/>
      <c r="BL18" s="3"/>
      <c r="BM18" s="3"/>
      <c r="BN18" s="3"/>
      <c r="BO18" s="3"/>
    </row>
    <row r="19" spans="1:67" ht="16.5" customHeight="1" x14ac:dyDescent="0.2">
      <c r="A19" s="15" t="s">
        <v>222</v>
      </c>
      <c r="B19" s="21">
        <v>0</v>
      </c>
      <c r="C19" s="21">
        <v>0</v>
      </c>
      <c r="D19" s="21">
        <v>0</v>
      </c>
      <c r="E19" s="21">
        <v>84</v>
      </c>
      <c r="F19" s="21">
        <v>0</v>
      </c>
      <c r="G19" s="21">
        <v>0</v>
      </c>
      <c r="H19" s="21">
        <v>2</v>
      </c>
      <c r="I19" s="21">
        <v>0</v>
      </c>
      <c r="J19" s="21">
        <v>1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4</v>
      </c>
      <c r="T19" s="21">
        <v>1</v>
      </c>
      <c r="U19" s="21">
        <v>0</v>
      </c>
      <c r="V19" s="21">
        <v>0</v>
      </c>
      <c r="W19" s="21">
        <v>0</v>
      </c>
      <c r="X19" s="21">
        <v>0</v>
      </c>
      <c r="Y19" s="21">
        <v>1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1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4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0</v>
      </c>
      <c r="BI19" s="3"/>
      <c r="BJ19" s="3"/>
      <c r="BK19" s="3"/>
      <c r="BL19" s="3"/>
      <c r="BM19" s="3"/>
      <c r="BN19" s="3"/>
      <c r="BO19" s="3"/>
    </row>
    <row r="20" spans="1:67" ht="16.5" customHeight="1" x14ac:dyDescent="0.2">
      <c r="A20" s="15" t="s">
        <v>223</v>
      </c>
      <c r="B20" s="21">
        <v>1</v>
      </c>
      <c r="C20" s="21">
        <v>0</v>
      </c>
      <c r="D20" s="21">
        <v>0</v>
      </c>
      <c r="E20" s="21">
        <v>59</v>
      </c>
      <c r="F20" s="21">
        <v>2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1</v>
      </c>
      <c r="S20" s="21">
        <v>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7</v>
      </c>
      <c r="AK20" s="21">
        <v>0</v>
      </c>
      <c r="AL20" s="21">
        <v>0</v>
      </c>
      <c r="AM20" s="21">
        <v>0</v>
      </c>
      <c r="AN20" s="21">
        <v>1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21</v>
      </c>
      <c r="AW20" s="21">
        <v>0</v>
      </c>
      <c r="AX20" s="21">
        <v>0</v>
      </c>
      <c r="AY20" s="21">
        <v>2</v>
      </c>
      <c r="AZ20" s="21">
        <v>0</v>
      </c>
      <c r="BA20" s="21">
        <v>0</v>
      </c>
      <c r="BB20" s="21">
        <v>0</v>
      </c>
      <c r="BC20" s="21">
        <v>0</v>
      </c>
      <c r="BD20" s="21">
        <v>2</v>
      </c>
      <c r="BE20" s="21">
        <v>0</v>
      </c>
      <c r="BF20" s="21">
        <v>0</v>
      </c>
      <c r="BG20" s="21">
        <v>1</v>
      </c>
      <c r="BI20" s="22"/>
      <c r="BJ20" s="22"/>
      <c r="BK20" s="22"/>
      <c r="BL20" s="22"/>
      <c r="BM20" s="22"/>
      <c r="BN20" s="22"/>
      <c r="BO20" s="22"/>
    </row>
    <row r="21" spans="1:67" ht="16.5" customHeight="1" x14ac:dyDescent="0.2">
      <c r="A21" s="15" t="s">
        <v>224</v>
      </c>
      <c r="B21" s="21">
        <v>1</v>
      </c>
      <c r="C21" s="21">
        <v>0</v>
      </c>
      <c r="D21" s="21">
        <v>0</v>
      </c>
      <c r="E21" s="21">
        <v>25</v>
      </c>
      <c r="F21" s="21">
        <v>0</v>
      </c>
      <c r="G21" s="21">
        <v>2</v>
      </c>
      <c r="H21" s="21">
        <v>3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13</v>
      </c>
      <c r="T21" s="21">
        <v>0</v>
      </c>
      <c r="U21" s="21">
        <v>7</v>
      </c>
      <c r="V21" s="21">
        <v>0</v>
      </c>
      <c r="W21" s="21">
        <v>1</v>
      </c>
      <c r="X21" s="21">
        <v>0</v>
      </c>
      <c r="Y21" s="21">
        <v>1</v>
      </c>
      <c r="Z21" s="21">
        <v>0</v>
      </c>
      <c r="AA21" s="21">
        <v>1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2</v>
      </c>
      <c r="AK21" s="21">
        <v>0</v>
      </c>
      <c r="AL21" s="21">
        <v>0</v>
      </c>
      <c r="AM21" s="21">
        <v>0</v>
      </c>
      <c r="AN21" s="21">
        <v>0</v>
      </c>
      <c r="AO21" s="21">
        <v>1</v>
      </c>
      <c r="AP21" s="21">
        <v>0</v>
      </c>
      <c r="AQ21" s="21">
        <v>0</v>
      </c>
      <c r="AR21" s="21">
        <v>0</v>
      </c>
      <c r="AS21" s="21">
        <v>0</v>
      </c>
      <c r="AT21" s="21">
        <v>1</v>
      </c>
      <c r="AU21" s="21">
        <v>0</v>
      </c>
      <c r="AV21" s="21">
        <v>1</v>
      </c>
      <c r="AW21" s="21">
        <v>0</v>
      </c>
      <c r="AX21" s="21">
        <v>0</v>
      </c>
      <c r="AY21" s="21">
        <v>3</v>
      </c>
      <c r="AZ21" s="21">
        <v>0</v>
      </c>
      <c r="BA21" s="21">
        <v>0</v>
      </c>
      <c r="BB21" s="21">
        <v>0</v>
      </c>
      <c r="BC21" s="21">
        <v>0</v>
      </c>
      <c r="BD21" s="21">
        <v>1</v>
      </c>
      <c r="BE21" s="21">
        <v>0</v>
      </c>
      <c r="BF21" s="21">
        <v>0</v>
      </c>
      <c r="BG21" s="21">
        <v>1</v>
      </c>
      <c r="BI21" s="3"/>
      <c r="BJ21" s="3"/>
      <c r="BK21" s="3"/>
      <c r="BL21" s="3"/>
      <c r="BM21" s="3"/>
      <c r="BN21" s="3"/>
      <c r="BO21" s="3"/>
    </row>
    <row r="22" spans="1:67" ht="16.5" customHeight="1" x14ac:dyDescent="0.2">
      <c r="A22" s="15" t="s">
        <v>225</v>
      </c>
      <c r="B22" s="21">
        <v>2</v>
      </c>
      <c r="C22" s="21">
        <v>0</v>
      </c>
      <c r="D22" s="21">
        <v>0</v>
      </c>
      <c r="E22" s="21">
        <v>106</v>
      </c>
      <c r="F22" s="21">
        <v>1</v>
      </c>
      <c r="G22" s="21">
        <v>0</v>
      </c>
      <c r="H22" s="21">
        <v>1</v>
      </c>
      <c r="I22" s="21">
        <v>0</v>
      </c>
      <c r="J22" s="21">
        <v>1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18</v>
      </c>
      <c r="T22" s="21">
        <v>1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1</v>
      </c>
      <c r="AA22" s="21">
        <v>1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3</v>
      </c>
      <c r="AK22" s="21">
        <v>1</v>
      </c>
      <c r="AL22" s="21">
        <v>0</v>
      </c>
      <c r="AM22" s="21">
        <v>0</v>
      </c>
      <c r="AN22" s="21">
        <v>1</v>
      </c>
      <c r="AO22" s="21">
        <v>1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15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6.5" customHeight="1" x14ac:dyDescent="0.2">
      <c r="A23" s="15" t="s">
        <v>226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6.5" customHeight="1" x14ac:dyDescent="0.2">
      <c r="A24" s="15" t="s">
        <v>227</v>
      </c>
      <c r="B24" s="21">
        <v>0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0</v>
      </c>
      <c r="AH24" s="21">
        <v>0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6.5" customHeight="1" x14ac:dyDescent="0.2">
      <c r="A25" s="15" t="s">
        <v>228</v>
      </c>
      <c r="B25" s="21">
        <v>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6.5" customHeight="1" x14ac:dyDescent="0.2">
      <c r="A26" s="15" t="s">
        <v>229</v>
      </c>
      <c r="B26" s="21">
        <v>1</v>
      </c>
      <c r="C26" s="21">
        <v>0</v>
      </c>
      <c r="D26" s="21">
        <v>0</v>
      </c>
      <c r="E26" s="15">
        <v>25</v>
      </c>
      <c r="F26" s="21">
        <v>0</v>
      </c>
      <c r="G26" s="21">
        <v>0</v>
      </c>
      <c r="H26" s="21">
        <v>0</v>
      </c>
      <c r="I26" s="15">
        <v>2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15">
        <v>1</v>
      </c>
      <c r="T26" s="21">
        <v>0</v>
      </c>
      <c r="U26" s="15">
        <v>1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2</v>
      </c>
      <c r="AD26" s="21">
        <v>1</v>
      </c>
      <c r="AE26" s="21">
        <v>0</v>
      </c>
      <c r="AF26" s="21">
        <v>0</v>
      </c>
      <c r="AG26" s="21">
        <v>0</v>
      </c>
      <c r="AH26" s="21">
        <v>1</v>
      </c>
      <c r="AI26" s="21">
        <v>0</v>
      </c>
      <c r="AJ26" s="21">
        <v>0</v>
      </c>
      <c r="AK26" s="21">
        <v>0</v>
      </c>
      <c r="AL26" s="21">
        <v>0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12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6.5" customHeight="1" x14ac:dyDescent="0.2">
      <c r="A27" s="15" t="s">
        <v>230</v>
      </c>
      <c r="B27" s="21">
        <v>1</v>
      </c>
      <c r="C27" s="21">
        <v>0</v>
      </c>
      <c r="D27" s="21">
        <v>0</v>
      </c>
      <c r="E27" s="21">
        <v>19</v>
      </c>
      <c r="F27" s="21">
        <v>0</v>
      </c>
      <c r="G27" s="21">
        <v>0</v>
      </c>
      <c r="H27" s="21">
        <v>0</v>
      </c>
      <c r="I27" s="21">
        <v>7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3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15">
        <v>3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15">
        <v>1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3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6.5" customHeight="1" x14ac:dyDescent="0.2">
      <c r="A28" s="15" t="s">
        <v>231</v>
      </c>
      <c r="B28" s="21">
        <v>2</v>
      </c>
      <c r="C28" s="21">
        <v>0</v>
      </c>
      <c r="D28" s="21">
        <v>0</v>
      </c>
      <c r="E28" s="15">
        <v>23</v>
      </c>
      <c r="F28" s="21">
        <v>0</v>
      </c>
      <c r="G28" s="21">
        <v>0</v>
      </c>
      <c r="H28" s="21">
        <v>0</v>
      </c>
      <c r="I28" s="15">
        <v>1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4</v>
      </c>
      <c r="T28" s="21">
        <v>2</v>
      </c>
      <c r="U28" s="21">
        <v>0</v>
      </c>
      <c r="V28" s="21">
        <v>0</v>
      </c>
      <c r="W28" s="21">
        <v>0</v>
      </c>
      <c r="X28" s="21">
        <v>1</v>
      </c>
      <c r="Y28" s="21">
        <v>0</v>
      </c>
      <c r="Z28" s="15">
        <v>1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1</v>
      </c>
      <c r="AJ28" s="21">
        <v>0</v>
      </c>
      <c r="AK28" s="21">
        <v>0</v>
      </c>
      <c r="AL28" s="21">
        <v>1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4</v>
      </c>
      <c r="AW28" s="21">
        <v>0</v>
      </c>
      <c r="AX28" s="21">
        <v>1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6.5" customHeight="1" x14ac:dyDescent="0.2">
      <c r="A29" s="15" t="s">
        <v>232</v>
      </c>
      <c r="B29" s="21">
        <v>0</v>
      </c>
      <c r="C29" s="21">
        <v>0</v>
      </c>
      <c r="D29" s="21">
        <v>0</v>
      </c>
      <c r="E29" s="15">
        <v>7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6.5" customHeight="1" x14ac:dyDescent="0.2">
      <c r="A30" s="15" t="s">
        <v>233</v>
      </c>
      <c r="B30" s="21">
        <v>0</v>
      </c>
      <c r="C30" s="21">
        <v>0</v>
      </c>
      <c r="D30" s="21">
        <v>0</v>
      </c>
      <c r="E30" s="15">
        <v>12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6.5" customHeight="1" x14ac:dyDescent="0.2">
      <c r="A31" s="15" t="s">
        <v>234</v>
      </c>
      <c r="B31" s="21">
        <v>0</v>
      </c>
      <c r="C31" s="21">
        <v>0</v>
      </c>
      <c r="D31" s="21">
        <v>0</v>
      </c>
      <c r="E31" s="15">
        <v>36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1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3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6.5" customHeight="1" x14ac:dyDescent="0.2">
      <c r="A32" s="15" t="s">
        <v>235</v>
      </c>
      <c r="B32" s="21">
        <v>0</v>
      </c>
      <c r="C32" s="21">
        <v>0</v>
      </c>
      <c r="D32" s="21">
        <v>0</v>
      </c>
      <c r="E32" s="15">
        <v>13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1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0</v>
      </c>
      <c r="AA32" s="21">
        <v>1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1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6.5" customHeight="1" x14ac:dyDescent="0.2">
      <c r="A33" s="15" t="s">
        <v>236</v>
      </c>
      <c r="B33" s="21">
        <v>0</v>
      </c>
      <c r="C33" s="21">
        <v>0</v>
      </c>
      <c r="D33" s="21">
        <v>0</v>
      </c>
      <c r="E33" s="15">
        <v>27</v>
      </c>
      <c r="F33" s="21">
        <v>0</v>
      </c>
      <c r="G33" s="21">
        <v>0</v>
      </c>
      <c r="H33" s="21">
        <v>0</v>
      </c>
      <c r="I33" s="21">
        <v>1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6.5" customHeight="1" x14ac:dyDescent="0.2">
      <c r="A34" s="15" t="s">
        <v>237</v>
      </c>
      <c r="B34" s="21">
        <v>0</v>
      </c>
      <c r="C34" s="21">
        <v>0</v>
      </c>
      <c r="D34" s="21">
        <v>0</v>
      </c>
      <c r="E34" s="15">
        <v>50</v>
      </c>
      <c r="F34" s="21">
        <v>0</v>
      </c>
      <c r="G34" s="21">
        <v>0</v>
      </c>
      <c r="H34" s="21">
        <v>0</v>
      </c>
      <c r="I34" s="21">
        <v>1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1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0</v>
      </c>
      <c r="AT34" s="21">
        <v>0</v>
      </c>
      <c r="AU34" s="21">
        <v>0</v>
      </c>
      <c r="AV34" s="21">
        <v>8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6.5" customHeight="1" x14ac:dyDescent="0.2">
      <c r="A35" s="15" t="s">
        <v>238</v>
      </c>
      <c r="B35" s="21">
        <v>0</v>
      </c>
      <c r="C35" s="21">
        <v>0</v>
      </c>
      <c r="D35" s="21">
        <v>0</v>
      </c>
      <c r="E35" s="21">
        <v>16</v>
      </c>
      <c r="F35" s="21">
        <v>0</v>
      </c>
      <c r="G35" s="21">
        <v>0</v>
      </c>
      <c r="H35" s="21">
        <v>0</v>
      </c>
      <c r="I35" s="15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0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2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6.5" customHeight="1" x14ac:dyDescent="0.2">
      <c r="A36" s="15" t="s">
        <v>239</v>
      </c>
      <c r="B36" s="21">
        <v>0</v>
      </c>
      <c r="C36" s="21">
        <v>0</v>
      </c>
      <c r="D36" s="21">
        <v>0</v>
      </c>
      <c r="E36" s="21">
        <v>22</v>
      </c>
      <c r="F36" s="21">
        <v>0</v>
      </c>
      <c r="G36" s="21">
        <v>0</v>
      </c>
      <c r="H36" s="21">
        <v>0</v>
      </c>
      <c r="I36" s="21">
        <v>4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  <c r="AD36" s="21">
        <v>0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1</v>
      </c>
      <c r="AR36" s="21">
        <v>0</v>
      </c>
      <c r="AS36" s="21">
        <v>0</v>
      </c>
      <c r="AT36" s="21">
        <v>0</v>
      </c>
      <c r="AU36" s="21">
        <v>0</v>
      </c>
      <c r="AV36" s="21">
        <v>6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6.5" customHeight="1" x14ac:dyDescent="0.2">
      <c r="A37" s="15" t="s">
        <v>240</v>
      </c>
      <c r="B37" s="21">
        <v>0</v>
      </c>
      <c r="C37" s="21">
        <v>0</v>
      </c>
      <c r="D37" s="21">
        <v>0</v>
      </c>
      <c r="E37" s="21">
        <v>17</v>
      </c>
      <c r="F37" s="21">
        <v>0</v>
      </c>
      <c r="G37" s="21">
        <v>0</v>
      </c>
      <c r="H37" s="21">
        <v>0</v>
      </c>
      <c r="I37" s="21">
        <v>16</v>
      </c>
      <c r="J37" s="21">
        <v>0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1</v>
      </c>
      <c r="AK37" s="21">
        <v>0</v>
      </c>
      <c r="AL37" s="21">
        <v>0</v>
      </c>
      <c r="AM37" s="21">
        <v>0</v>
      </c>
      <c r="AN37" s="21">
        <v>0</v>
      </c>
      <c r="AO37" s="21">
        <v>0</v>
      </c>
      <c r="AP37" s="21">
        <v>0</v>
      </c>
      <c r="AQ37" s="21">
        <v>0</v>
      </c>
      <c r="AR37" s="21">
        <v>0</v>
      </c>
      <c r="AS37" s="21">
        <v>0</v>
      </c>
      <c r="AT37" s="21">
        <v>0</v>
      </c>
      <c r="AU37" s="21">
        <v>0</v>
      </c>
      <c r="AV37" s="21">
        <v>9</v>
      </c>
      <c r="AW37" s="21">
        <v>0</v>
      </c>
      <c r="AX37" s="21">
        <v>4</v>
      </c>
      <c r="AY37" s="21">
        <v>0</v>
      </c>
      <c r="AZ37" s="21">
        <v>0</v>
      </c>
      <c r="BA37" s="21">
        <v>0</v>
      </c>
      <c r="BB37" s="21">
        <v>0</v>
      </c>
      <c r="BC37" s="21">
        <v>0</v>
      </c>
      <c r="BD37" s="21">
        <v>0</v>
      </c>
      <c r="BE37" s="21">
        <v>0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6.5" customHeight="1" x14ac:dyDescent="0.2">
      <c r="A38" s="15" t="s">
        <v>241</v>
      </c>
      <c r="B38" s="21">
        <v>1</v>
      </c>
      <c r="C38" s="21">
        <v>0</v>
      </c>
      <c r="D38" s="21">
        <v>0</v>
      </c>
      <c r="E38" s="21">
        <v>54</v>
      </c>
      <c r="F38" s="21">
        <v>0</v>
      </c>
      <c r="G38" s="21">
        <v>0</v>
      </c>
      <c r="H38" s="21">
        <v>0</v>
      </c>
      <c r="I38" s="21">
        <v>132</v>
      </c>
      <c r="J38" s="21">
        <v>0</v>
      </c>
      <c r="K38" s="21">
        <v>0</v>
      </c>
      <c r="L38" s="21">
        <v>0</v>
      </c>
      <c r="M38" s="21">
        <v>1</v>
      </c>
      <c r="N38" s="21">
        <v>2</v>
      </c>
      <c r="O38" s="21">
        <v>0</v>
      </c>
      <c r="P38" s="21">
        <v>0</v>
      </c>
      <c r="Q38" s="21">
        <v>0</v>
      </c>
      <c r="R38" s="21">
        <v>0</v>
      </c>
      <c r="S38" s="21">
        <v>2</v>
      </c>
      <c r="T38" s="21">
        <v>1</v>
      </c>
      <c r="U38" s="21">
        <v>1</v>
      </c>
      <c r="V38" s="21">
        <v>1</v>
      </c>
      <c r="W38" s="21">
        <v>0</v>
      </c>
      <c r="X38" s="21">
        <v>0</v>
      </c>
      <c r="Y38" s="21">
        <v>1</v>
      </c>
      <c r="Z38" s="21">
        <v>0</v>
      </c>
      <c r="AA38" s="21">
        <v>0</v>
      </c>
      <c r="AB38" s="21">
        <v>1</v>
      </c>
      <c r="AC38" s="21">
        <v>1</v>
      </c>
      <c r="AD38" s="21">
        <v>1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0</v>
      </c>
      <c r="AR38" s="21">
        <v>0</v>
      </c>
      <c r="AS38" s="21">
        <v>0</v>
      </c>
      <c r="AT38" s="21">
        <v>0</v>
      </c>
      <c r="AU38" s="21">
        <v>0</v>
      </c>
      <c r="AV38" s="21">
        <v>817</v>
      </c>
      <c r="AW38" s="21">
        <v>28</v>
      </c>
      <c r="AX38" s="21">
        <v>4</v>
      </c>
      <c r="AY38" s="21">
        <v>0</v>
      </c>
      <c r="AZ38" s="21">
        <v>0</v>
      </c>
      <c r="BA38" s="21">
        <v>34</v>
      </c>
      <c r="BB38" s="21">
        <v>0</v>
      </c>
      <c r="BC38" s="21">
        <v>141</v>
      </c>
      <c r="BD38" s="21">
        <v>9</v>
      </c>
      <c r="BE38" s="21">
        <v>2</v>
      </c>
      <c r="BF38" s="21">
        <v>0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6.5" customHeight="1" x14ac:dyDescent="0.2">
      <c r="A39" s="15" t="s">
        <v>242</v>
      </c>
      <c r="B39" s="21">
        <v>2</v>
      </c>
      <c r="C39" s="21">
        <v>0</v>
      </c>
      <c r="D39" s="21">
        <v>3</v>
      </c>
      <c r="E39" s="21">
        <v>9</v>
      </c>
      <c r="F39" s="21">
        <v>0</v>
      </c>
      <c r="G39" s="21">
        <v>4</v>
      </c>
      <c r="H39" s="21">
        <v>0</v>
      </c>
      <c r="I39" s="21">
        <v>19</v>
      </c>
      <c r="J39" s="21">
        <v>0</v>
      </c>
      <c r="K39" s="21">
        <v>1</v>
      </c>
      <c r="L39" s="21">
        <v>33</v>
      </c>
      <c r="M39" s="21">
        <v>17</v>
      </c>
      <c r="N39" s="21">
        <v>0</v>
      </c>
      <c r="O39" s="21">
        <v>0</v>
      </c>
      <c r="P39" s="21">
        <v>0</v>
      </c>
      <c r="Q39" s="21">
        <v>0</v>
      </c>
      <c r="R39" s="21">
        <v>0</v>
      </c>
      <c r="S39" s="21">
        <v>6</v>
      </c>
      <c r="T39" s="21">
        <v>2</v>
      </c>
      <c r="U39" s="21">
        <v>0</v>
      </c>
      <c r="V39" s="21">
        <v>3</v>
      </c>
      <c r="W39" s="21">
        <v>0</v>
      </c>
      <c r="X39" s="21">
        <v>0</v>
      </c>
      <c r="Y39" s="21">
        <v>0</v>
      </c>
      <c r="Z39" s="21">
        <v>0</v>
      </c>
      <c r="AA39" s="21">
        <v>1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3</v>
      </c>
      <c r="AN39" s="21">
        <v>2</v>
      </c>
      <c r="AO39" s="21">
        <v>4</v>
      </c>
      <c r="AP39" s="21">
        <v>2</v>
      </c>
      <c r="AQ39" s="21">
        <v>4</v>
      </c>
      <c r="AR39" s="21">
        <v>0</v>
      </c>
      <c r="AS39" s="21">
        <v>0</v>
      </c>
      <c r="AT39" s="21">
        <v>0</v>
      </c>
      <c r="AU39" s="21">
        <v>0</v>
      </c>
      <c r="AV39" s="21">
        <v>91</v>
      </c>
      <c r="AW39" s="21">
        <v>8</v>
      </c>
      <c r="AX39" s="21">
        <v>7</v>
      </c>
      <c r="AY39" s="21">
        <v>0</v>
      </c>
      <c r="AZ39" s="21">
        <v>0</v>
      </c>
      <c r="BA39" s="21">
        <v>2</v>
      </c>
      <c r="BB39" s="21">
        <v>0</v>
      </c>
      <c r="BC39" s="21">
        <v>2</v>
      </c>
      <c r="BD39" s="21">
        <v>1</v>
      </c>
      <c r="BE39" s="21">
        <v>1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6.5" customHeight="1" x14ac:dyDescent="0.2">
      <c r="A40" s="15" t="s">
        <v>243</v>
      </c>
      <c r="B40" s="21">
        <v>0</v>
      </c>
      <c r="C40" s="21">
        <v>0</v>
      </c>
      <c r="D40" s="21">
        <v>0</v>
      </c>
      <c r="E40" s="21">
        <v>16</v>
      </c>
      <c r="F40" s="21">
        <v>0</v>
      </c>
      <c r="G40" s="21">
        <v>0</v>
      </c>
      <c r="H40" s="21">
        <v>0</v>
      </c>
      <c r="I40" s="21">
        <v>16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2</v>
      </c>
      <c r="Z40" s="21">
        <v>0</v>
      </c>
      <c r="AA40" s="21">
        <v>2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0</v>
      </c>
      <c r="AP40" s="21">
        <v>0</v>
      </c>
      <c r="AQ40" s="21">
        <v>2</v>
      </c>
      <c r="AR40" s="21">
        <v>0</v>
      </c>
      <c r="AS40" s="21">
        <v>0</v>
      </c>
      <c r="AT40" s="21">
        <v>0</v>
      </c>
      <c r="AU40" s="21">
        <v>0</v>
      </c>
      <c r="AV40" s="21">
        <v>45</v>
      </c>
      <c r="AW40" s="21">
        <v>12</v>
      </c>
      <c r="AX40" s="21">
        <v>0</v>
      </c>
      <c r="AY40" s="21">
        <v>0</v>
      </c>
      <c r="AZ40" s="21">
        <v>0</v>
      </c>
      <c r="BA40" s="21">
        <v>0</v>
      </c>
      <c r="BB40" s="21">
        <v>0</v>
      </c>
      <c r="BC40" s="21">
        <v>2</v>
      </c>
      <c r="BD40" s="21">
        <v>1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6.5" customHeight="1" x14ac:dyDescent="0.2">
      <c r="A41" s="15" t="s">
        <v>244</v>
      </c>
      <c r="B41" s="21">
        <v>0</v>
      </c>
      <c r="C41" s="21">
        <v>0</v>
      </c>
      <c r="D41" s="21">
        <v>0</v>
      </c>
      <c r="E41" s="15">
        <v>28</v>
      </c>
      <c r="F41" s="21">
        <v>0</v>
      </c>
      <c r="G41" s="21">
        <v>0</v>
      </c>
      <c r="H41" s="21">
        <v>0</v>
      </c>
      <c r="I41" s="21">
        <v>55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2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1</v>
      </c>
      <c r="Z41" s="21">
        <v>0</v>
      </c>
      <c r="AA41" s="21">
        <v>0</v>
      </c>
      <c r="AB41" s="21">
        <v>0</v>
      </c>
      <c r="AC41" s="21">
        <v>0</v>
      </c>
      <c r="AD41" s="21">
        <v>1</v>
      </c>
      <c r="AE41" s="21">
        <v>0</v>
      </c>
      <c r="AF41" s="21">
        <v>0</v>
      </c>
      <c r="AG41" s="21">
        <v>1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1</v>
      </c>
      <c r="AR41" s="21">
        <v>0</v>
      </c>
      <c r="AS41" s="21">
        <v>0</v>
      </c>
      <c r="AT41" s="21">
        <v>0</v>
      </c>
      <c r="AU41" s="21">
        <v>0</v>
      </c>
      <c r="AV41" s="21">
        <v>15</v>
      </c>
      <c r="AW41" s="21">
        <v>1</v>
      </c>
      <c r="AX41" s="21">
        <v>0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6.5" customHeight="1" x14ac:dyDescent="0.2">
      <c r="A42" s="15" t="s">
        <v>245</v>
      </c>
      <c r="B42" s="15">
        <v>2</v>
      </c>
      <c r="C42" s="21">
        <v>0</v>
      </c>
      <c r="D42" s="21">
        <v>0</v>
      </c>
      <c r="E42" s="15">
        <v>39</v>
      </c>
      <c r="F42" s="21">
        <v>0</v>
      </c>
      <c r="G42" s="21">
        <v>0</v>
      </c>
      <c r="H42" s="21">
        <v>0</v>
      </c>
      <c r="I42" s="21">
        <v>72</v>
      </c>
      <c r="J42" s="21">
        <v>0</v>
      </c>
      <c r="K42" s="15">
        <v>1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1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3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15">
        <v>42</v>
      </c>
      <c r="AW42" s="15">
        <v>20</v>
      </c>
      <c r="AX42" s="15">
        <v>26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1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6.5" customHeight="1" x14ac:dyDescent="0.2">
      <c r="A43" s="15" t="s">
        <v>246</v>
      </c>
      <c r="B43" s="21">
        <v>1</v>
      </c>
      <c r="C43" s="21">
        <v>0</v>
      </c>
      <c r="D43" s="21">
        <v>0</v>
      </c>
      <c r="E43" s="15">
        <v>50</v>
      </c>
      <c r="F43" s="21">
        <v>0</v>
      </c>
      <c r="G43" s="21">
        <v>0</v>
      </c>
      <c r="H43" s="21">
        <v>0</v>
      </c>
      <c r="I43" s="21">
        <v>70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1</v>
      </c>
      <c r="P43" s="21">
        <v>1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2</v>
      </c>
      <c r="AN43" s="21">
        <v>0</v>
      </c>
      <c r="AO43" s="21">
        <v>0</v>
      </c>
      <c r="AP43" s="21">
        <v>0</v>
      </c>
      <c r="AQ43" s="21">
        <v>0</v>
      </c>
      <c r="AR43" s="21">
        <v>4</v>
      </c>
      <c r="AS43" s="21">
        <v>1</v>
      </c>
      <c r="AT43" s="21">
        <v>1</v>
      </c>
      <c r="AU43" s="21">
        <v>0</v>
      </c>
      <c r="AV43" s="21">
        <v>28</v>
      </c>
      <c r="AW43" s="21">
        <v>14</v>
      </c>
      <c r="AX43" s="21">
        <v>4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6.5" customHeight="1" x14ac:dyDescent="0.2">
      <c r="A44" s="15" t="s">
        <v>247</v>
      </c>
      <c r="B44" s="21">
        <v>1</v>
      </c>
      <c r="C44" s="21">
        <v>0</v>
      </c>
      <c r="D44" s="21">
        <v>0</v>
      </c>
      <c r="E44" s="15">
        <v>22</v>
      </c>
      <c r="F44" s="21">
        <v>0</v>
      </c>
      <c r="G44" s="21">
        <v>0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6</v>
      </c>
      <c r="AW44" s="21">
        <v>0</v>
      </c>
      <c r="AX44" s="21">
        <v>2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6.5" customHeight="1" x14ac:dyDescent="0.2">
      <c r="A45" s="15" t="s">
        <v>248</v>
      </c>
      <c r="B45" s="21">
        <v>0</v>
      </c>
      <c r="C45" s="21">
        <v>0</v>
      </c>
      <c r="D45" s="21">
        <v>0</v>
      </c>
      <c r="E45" s="15">
        <v>13</v>
      </c>
      <c r="F45" s="21">
        <v>0</v>
      </c>
      <c r="G45" s="21">
        <v>0</v>
      </c>
      <c r="H45" s="21">
        <v>0</v>
      </c>
      <c r="I45" s="21">
        <v>15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1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3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5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6.5" customHeight="1" x14ac:dyDescent="0.2">
      <c r="A46" s="15" t="s">
        <v>249</v>
      </c>
      <c r="B46" s="21">
        <v>2</v>
      </c>
      <c r="C46" s="21">
        <v>0</v>
      </c>
      <c r="D46" s="21">
        <v>0</v>
      </c>
      <c r="E46" s="15">
        <v>12</v>
      </c>
      <c r="F46" s="21">
        <v>0</v>
      </c>
      <c r="G46" s="21">
        <v>3</v>
      </c>
      <c r="H46" s="21">
        <v>0</v>
      </c>
      <c r="I46" s="21">
        <v>4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2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2</v>
      </c>
      <c r="AW46" s="21">
        <v>0</v>
      </c>
      <c r="AX46" s="21">
        <v>1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6.5" customHeight="1" x14ac:dyDescent="0.2">
      <c r="A47" s="15" t="s">
        <v>250</v>
      </c>
      <c r="B47" s="21">
        <v>0</v>
      </c>
      <c r="C47" s="21">
        <v>0</v>
      </c>
      <c r="D47" s="21">
        <v>0</v>
      </c>
      <c r="E47" s="15">
        <v>15</v>
      </c>
      <c r="F47" s="21">
        <v>0</v>
      </c>
      <c r="G47" s="21">
        <v>1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1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6.5" customHeight="1" x14ac:dyDescent="0.2">
      <c r="A48" s="15" t="s">
        <v>251</v>
      </c>
      <c r="B48" s="21">
        <v>0</v>
      </c>
      <c r="C48" s="21">
        <v>2</v>
      </c>
      <c r="D48" s="21">
        <v>0</v>
      </c>
      <c r="E48" s="15">
        <v>62</v>
      </c>
      <c r="F48" s="21">
        <v>0</v>
      </c>
      <c r="G48" s="21">
        <v>0</v>
      </c>
      <c r="H48" s="21">
        <v>0</v>
      </c>
      <c r="I48" s="21">
        <v>1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6.5" customHeight="1" x14ac:dyDescent="0.2">
      <c r="A49" s="15" t="s">
        <v>252</v>
      </c>
      <c r="B49" s="21">
        <v>0</v>
      </c>
      <c r="C49" s="21">
        <v>0</v>
      </c>
      <c r="D49" s="21">
        <v>0</v>
      </c>
      <c r="E49" s="15">
        <v>75</v>
      </c>
      <c r="F49" s="21">
        <v>0</v>
      </c>
      <c r="G49" s="21">
        <v>0</v>
      </c>
      <c r="H49" s="21">
        <v>0</v>
      </c>
      <c r="I49" s="21">
        <v>2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6.5" customHeight="1" x14ac:dyDescent="0.2">
      <c r="A50" s="15" t="s">
        <v>253</v>
      </c>
      <c r="B50" s="21">
        <v>0</v>
      </c>
      <c r="C50" s="21">
        <v>0</v>
      </c>
      <c r="D50" s="21">
        <v>0</v>
      </c>
      <c r="E50" s="21">
        <v>103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1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1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2</v>
      </c>
      <c r="AR50" s="21">
        <v>0</v>
      </c>
      <c r="AS50" s="21">
        <v>0</v>
      </c>
      <c r="AT50" s="21">
        <v>0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6.5" customHeight="1" x14ac:dyDescent="0.2">
      <c r="A51" s="15" t="s">
        <v>254</v>
      </c>
      <c r="B51" s="21">
        <v>0</v>
      </c>
      <c r="C51" s="21">
        <v>0</v>
      </c>
      <c r="D51" s="21">
        <v>0</v>
      </c>
      <c r="E51" s="21">
        <v>32</v>
      </c>
      <c r="F51" s="21">
        <v>0</v>
      </c>
      <c r="G51" s="21">
        <v>0</v>
      </c>
      <c r="H51" s="21">
        <v>0</v>
      </c>
      <c r="I51" s="21">
        <v>1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1</v>
      </c>
      <c r="R51" s="21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2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  <c r="AI51" s="21">
        <v>0</v>
      </c>
      <c r="AJ51" s="21">
        <v>0</v>
      </c>
      <c r="AK51" s="21">
        <v>0</v>
      </c>
      <c r="AL51" s="21">
        <v>0</v>
      </c>
      <c r="AM51" s="21">
        <v>0</v>
      </c>
      <c r="AN51" s="21">
        <v>0</v>
      </c>
      <c r="AO51" s="21">
        <v>0</v>
      </c>
      <c r="AP51" s="21">
        <v>0</v>
      </c>
      <c r="AQ51" s="21">
        <v>0</v>
      </c>
      <c r="AR51" s="21">
        <v>0</v>
      </c>
      <c r="AS51" s="21">
        <v>0</v>
      </c>
      <c r="AT51" s="21">
        <v>0</v>
      </c>
      <c r="AU51" s="21">
        <v>0</v>
      </c>
      <c r="AV51" s="21">
        <v>1</v>
      </c>
      <c r="AW51" s="21">
        <v>1</v>
      </c>
      <c r="AX51" s="21">
        <v>0</v>
      </c>
      <c r="AY51" s="21">
        <v>0</v>
      </c>
      <c r="AZ51" s="21">
        <v>0</v>
      </c>
      <c r="BA51" s="21">
        <v>0</v>
      </c>
      <c r="BB51" s="21">
        <v>0</v>
      </c>
      <c r="BC51" s="21">
        <v>0</v>
      </c>
      <c r="BD51" s="21">
        <v>0</v>
      </c>
      <c r="BE51" s="21">
        <v>0</v>
      </c>
      <c r="BF51" s="21">
        <v>0</v>
      </c>
      <c r="BG51" s="21">
        <v>0</v>
      </c>
      <c r="BI51" s="3"/>
      <c r="BJ51" s="3"/>
      <c r="BK51" s="3"/>
      <c r="BL51" s="3"/>
      <c r="BM51" s="3"/>
      <c r="BN51" s="3"/>
      <c r="BO51" s="3"/>
    </row>
    <row r="52" spans="1:100" ht="16.5" customHeight="1" x14ac:dyDescent="0.2">
      <c r="A52" s="15" t="s">
        <v>255</v>
      </c>
      <c r="B52" s="21">
        <v>0</v>
      </c>
      <c r="C52" s="21">
        <v>2</v>
      </c>
      <c r="D52" s="21">
        <v>0</v>
      </c>
      <c r="E52" s="21">
        <v>38</v>
      </c>
      <c r="F52" s="21">
        <v>0</v>
      </c>
      <c r="G52" s="21">
        <v>0</v>
      </c>
      <c r="H52" s="21">
        <v>0</v>
      </c>
      <c r="I52" s="21">
        <v>5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  <c r="AI52" s="21">
        <v>0</v>
      </c>
      <c r="AJ52" s="21">
        <v>0</v>
      </c>
      <c r="AK52" s="21">
        <v>0</v>
      </c>
      <c r="AL52" s="21">
        <v>0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0</v>
      </c>
      <c r="AS52" s="21">
        <v>0</v>
      </c>
      <c r="AT52" s="21">
        <v>0</v>
      </c>
      <c r="AU52" s="21">
        <v>0</v>
      </c>
      <c r="AV52" s="21">
        <v>2</v>
      </c>
      <c r="AW52" s="21">
        <v>0</v>
      </c>
      <c r="AX52" s="21">
        <v>1</v>
      </c>
      <c r="AY52" s="21">
        <v>2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0</v>
      </c>
      <c r="BF52" s="21">
        <v>0</v>
      </c>
      <c r="BG52" s="21">
        <v>0</v>
      </c>
      <c r="BI52" s="3"/>
      <c r="BJ52" s="3"/>
      <c r="BK52" s="3"/>
      <c r="BL52" s="3"/>
      <c r="BM52" s="3"/>
      <c r="BN52" s="3"/>
      <c r="BO52" s="3"/>
    </row>
    <row r="53" spans="1:100" ht="16.5" customHeight="1" x14ac:dyDescent="0.2">
      <c r="A53" s="15" t="s">
        <v>256</v>
      </c>
      <c r="B53" s="21">
        <v>1</v>
      </c>
      <c r="C53" s="4">
        <v>0</v>
      </c>
      <c r="D53" s="4">
        <v>0</v>
      </c>
      <c r="E53" s="21">
        <v>75</v>
      </c>
      <c r="F53" s="4">
        <v>0</v>
      </c>
      <c r="G53" s="4">
        <v>0</v>
      </c>
      <c r="H53" s="4">
        <v>0</v>
      </c>
      <c r="I53" s="21">
        <v>24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21">
        <v>2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6.5" customHeight="1" x14ac:dyDescent="0.2">
      <c r="A54" s="15" t="s">
        <v>257</v>
      </c>
      <c r="B54" s="4">
        <v>0</v>
      </c>
      <c r="C54" s="4">
        <v>0</v>
      </c>
      <c r="D54" s="4">
        <v>0</v>
      </c>
      <c r="E54" s="21">
        <v>65</v>
      </c>
      <c r="F54" s="4">
        <v>0</v>
      </c>
      <c r="G54" s="4">
        <v>0</v>
      </c>
      <c r="H54" s="4">
        <v>0</v>
      </c>
      <c r="I54" s="21">
        <v>8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7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6.5" customHeight="1" x14ac:dyDescent="0.2">
      <c r="A55" s="15" t="s">
        <v>258</v>
      </c>
      <c r="B55" s="4">
        <v>0</v>
      </c>
      <c r="C55" s="4">
        <v>0</v>
      </c>
      <c r="D55" s="4">
        <v>0</v>
      </c>
      <c r="E55" s="21">
        <v>110</v>
      </c>
      <c r="F55" s="4">
        <v>0</v>
      </c>
      <c r="G55" s="4">
        <v>0</v>
      </c>
      <c r="H55" s="4">
        <v>0</v>
      </c>
      <c r="I55" s="21">
        <v>50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21">
        <v>2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18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6.5" customHeight="1" x14ac:dyDescent="0.2">
      <c r="A56" s="15" t="s">
        <v>259</v>
      </c>
      <c r="B56" s="21">
        <v>3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21">
        <v>8</v>
      </c>
      <c r="AW56" s="4">
        <v>0</v>
      </c>
      <c r="AX56" s="21">
        <v>1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6.5" customHeight="1" x14ac:dyDescent="0.2">
      <c r="A57" s="15" t="s">
        <v>260</v>
      </c>
      <c r="B57" s="21">
        <v>1</v>
      </c>
      <c r="C57" s="4">
        <v>0</v>
      </c>
      <c r="D57" s="4">
        <v>0</v>
      </c>
      <c r="E57" s="21">
        <v>65</v>
      </c>
      <c r="F57" s="4">
        <v>0</v>
      </c>
      <c r="G57" s="4">
        <v>0</v>
      </c>
      <c r="H57" s="4">
        <v>0</v>
      </c>
      <c r="I57" s="21">
        <v>5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1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6.5" customHeight="1" x14ac:dyDescent="0.2">
      <c r="A58" s="15" t="s">
        <v>261</v>
      </c>
      <c r="B58" s="4">
        <v>0</v>
      </c>
      <c r="C58" s="4">
        <v>0</v>
      </c>
      <c r="D58" s="4">
        <v>0</v>
      </c>
      <c r="E58" s="21">
        <v>67</v>
      </c>
      <c r="F58" s="4">
        <v>0</v>
      </c>
      <c r="G58" s="4">
        <v>0</v>
      </c>
      <c r="H58" s="4">
        <v>0</v>
      </c>
      <c r="I58" s="21">
        <v>2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21">
        <v>1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21">
        <v>1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6.5" customHeight="1" x14ac:dyDescent="0.2">
      <c r="A59" s="15" t="s">
        <v>262</v>
      </c>
      <c r="B59" s="21">
        <v>1</v>
      </c>
      <c r="C59" s="4">
        <v>0</v>
      </c>
      <c r="D59" s="4">
        <v>0</v>
      </c>
      <c r="E59" s="21">
        <v>105</v>
      </c>
      <c r="F59" s="4">
        <v>0</v>
      </c>
      <c r="G59" s="4">
        <v>0</v>
      </c>
      <c r="H59" s="4">
        <v>0</v>
      </c>
      <c r="I59" s="21">
        <v>6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6.5" customHeight="1" x14ac:dyDescent="0.2">
      <c r="A60" s="15" t="s">
        <v>263</v>
      </c>
      <c r="B60" s="21">
        <v>1</v>
      </c>
      <c r="C60" s="4">
        <v>0</v>
      </c>
      <c r="D60" s="4">
        <v>0</v>
      </c>
      <c r="E60" s="21">
        <v>57</v>
      </c>
      <c r="F60" s="4">
        <v>0</v>
      </c>
      <c r="G60" s="4">
        <v>0</v>
      </c>
      <c r="H60" s="4">
        <v>0</v>
      </c>
      <c r="I60" s="21">
        <v>5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21">
        <v>6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23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6.5" customHeight="1" x14ac:dyDescent="0.2">
      <c r="A61" s="15" t="s">
        <v>264</v>
      </c>
      <c r="B61" s="4">
        <v>0</v>
      </c>
      <c r="C61" s="4">
        <v>0</v>
      </c>
      <c r="D61" s="4">
        <v>0</v>
      </c>
      <c r="E61" s="21">
        <v>67</v>
      </c>
      <c r="F61" s="4">
        <v>0</v>
      </c>
      <c r="G61" s="4">
        <v>0</v>
      </c>
      <c r="H61" s="4">
        <v>0</v>
      </c>
      <c r="I61" s="21">
        <v>3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21">
        <v>7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23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6.5" customHeight="1" x14ac:dyDescent="0.25">
      <c r="A62" s="15" t="s">
        <v>265</v>
      </c>
      <c r="B62" s="4">
        <v>634</v>
      </c>
      <c r="C62" s="4">
        <v>127</v>
      </c>
      <c r="D62" s="4">
        <v>47</v>
      </c>
      <c r="E62" s="23">
        <v>187</v>
      </c>
      <c r="F62" s="4">
        <v>0</v>
      </c>
      <c r="G62" s="4">
        <v>0</v>
      </c>
      <c r="H62" s="4">
        <v>0</v>
      </c>
      <c r="I62" s="24">
        <v>1410</v>
      </c>
      <c r="J62" s="4">
        <v>343</v>
      </c>
      <c r="K62" s="4">
        <v>0</v>
      </c>
      <c r="L62" s="4">
        <v>10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6</v>
      </c>
      <c r="T62" s="4">
        <v>1</v>
      </c>
      <c r="U62" s="4">
        <v>0</v>
      </c>
      <c r="V62" s="4">
        <v>1</v>
      </c>
      <c r="W62" s="4">
        <v>0</v>
      </c>
      <c r="X62" s="4">
        <v>0</v>
      </c>
      <c r="Y62" s="4">
        <v>52</v>
      </c>
      <c r="Z62" s="4">
        <v>1</v>
      </c>
      <c r="AA62" s="4">
        <v>1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">
        <v>3</v>
      </c>
      <c r="AL62" s="4">
        <v>62</v>
      </c>
      <c r="AM62" s="4">
        <v>20</v>
      </c>
      <c r="AN62" s="4">
        <v>25</v>
      </c>
      <c r="AO62" s="4">
        <v>2</v>
      </c>
      <c r="AP62" s="4">
        <v>30</v>
      </c>
      <c r="AQ62" s="4">
        <v>12</v>
      </c>
      <c r="AR62" s="4">
        <v>1</v>
      </c>
      <c r="AS62" s="4">
        <v>0</v>
      </c>
      <c r="AT62" s="4">
        <v>0</v>
      </c>
      <c r="AU62" s="4">
        <v>0</v>
      </c>
      <c r="AV62" s="4">
        <v>249</v>
      </c>
      <c r="AW62" s="4">
        <v>0</v>
      </c>
      <c r="AX62" s="4">
        <v>110</v>
      </c>
      <c r="AY62" s="4">
        <v>0</v>
      </c>
      <c r="AZ62" s="4">
        <v>0</v>
      </c>
      <c r="BA62" s="4">
        <v>1</v>
      </c>
      <c r="BB62" s="4">
        <v>0</v>
      </c>
      <c r="BC62" s="4">
        <v>1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6.5" customHeight="1" x14ac:dyDescent="0.2">
      <c r="A63" s="15" t="s">
        <v>266</v>
      </c>
      <c r="B63" s="4">
        <v>158</v>
      </c>
      <c r="C63" s="4">
        <v>31</v>
      </c>
      <c r="D63" s="4">
        <v>10</v>
      </c>
      <c r="E63" s="23">
        <v>197</v>
      </c>
      <c r="F63" s="4">
        <v>1</v>
      </c>
      <c r="G63" s="4">
        <v>0</v>
      </c>
      <c r="H63" s="4">
        <v>0</v>
      </c>
      <c r="I63" s="4">
        <v>407</v>
      </c>
      <c r="J63" s="4">
        <v>136</v>
      </c>
      <c r="K63" s="4">
        <v>0</v>
      </c>
      <c r="L63" s="4">
        <v>3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1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4">
        <v>20</v>
      </c>
      <c r="Z63" s="4">
        <v>1</v>
      </c>
      <c r="AA63" s="4">
        <v>1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4</v>
      </c>
      <c r="AK63" s="4">
        <v>0</v>
      </c>
      <c r="AL63" s="4">
        <v>24</v>
      </c>
      <c r="AM63" s="4">
        <v>3</v>
      </c>
      <c r="AN63" s="25">
        <v>0</v>
      </c>
      <c r="AO63" s="4">
        <v>1</v>
      </c>
      <c r="AP63" s="4">
        <v>4</v>
      </c>
      <c r="AQ63" s="25">
        <v>0</v>
      </c>
      <c r="AR63" s="4">
        <v>3</v>
      </c>
      <c r="AS63" s="4">
        <v>0</v>
      </c>
      <c r="AT63" s="4">
        <v>0</v>
      </c>
      <c r="AU63" s="4">
        <v>0</v>
      </c>
      <c r="AV63" s="4">
        <v>218</v>
      </c>
      <c r="AW63" s="4">
        <v>0</v>
      </c>
      <c r="AX63" s="4">
        <v>2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6.5" customHeight="1" x14ac:dyDescent="0.2">
      <c r="A64" s="15" t="s">
        <v>267</v>
      </c>
      <c r="B64" s="4">
        <v>1</v>
      </c>
      <c r="C64" s="4">
        <v>0</v>
      </c>
      <c r="D64" s="4">
        <v>0</v>
      </c>
      <c r="E64" s="23">
        <v>126</v>
      </c>
      <c r="F64" s="4">
        <v>0</v>
      </c>
      <c r="G64" s="4">
        <v>0</v>
      </c>
      <c r="H64" s="4">
        <v>0</v>
      </c>
      <c r="I64" s="4">
        <v>5</v>
      </c>
      <c r="J64" s="4">
        <v>0</v>
      </c>
      <c r="K64" s="4">
        <v>0</v>
      </c>
      <c r="L64" s="4">
        <v>1</v>
      </c>
      <c r="M64" s="4">
        <v>0</v>
      </c>
      <c r="N64" s="4">
        <v>0</v>
      </c>
      <c r="O64" s="4">
        <v>0</v>
      </c>
      <c r="P64" s="4">
        <v>0</v>
      </c>
      <c r="Q64" s="4">
        <v>1</v>
      </c>
      <c r="R64" s="4">
        <v>0</v>
      </c>
      <c r="S64" s="4">
        <v>0</v>
      </c>
      <c r="T64" s="4">
        <v>2</v>
      </c>
      <c r="U64" s="4">
        <v>0</v>
      </c>
      <c r="V64" s="4">
        <v>0</v>
      </c>
      <c r="W64" s="4">
        <v>0</v>
      </c>
      <c r="X64" s="4">
        <v>0</v>
      </c>
      <c r="Y64" s="4">
        <v>2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1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8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6.5" customHeight="1" x14ac:dyDescent="0.2">
      <c r="A65" s="15" t="s">
        <v>268</v>
      </c>
      <c r="B65" s="4">
        <v>0</v>
      </c>
      <c r="C65" s="4">
        <v>0</v>
      </c>
      <c r="D65" s="4">
        <v>0</v>
      </c>
      <c r="E65" s="23">
        <v>74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6.5" customHeight="1" x14ac:dyDescent="0.2">
      <c r="A66" s="15" t="s">
        <v>269</v>
      </c>
      <c r="B66" s="4">
        <v>1</v>
      </c>
      <c r="C66" s="4">
        <v>0</v>
      </c>
      <c r="D66" s="4">
        <v>0</v>
      </c>
      <c r="E66" s="23">
        <v>78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2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1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1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6.5" customHeight="1" x14ac:dyDescent="0.2">
      <c r="A67" s="15" t="s">
        <v>270</v>
      </c>
      <c r="B67" s="4">
        <v>1</v>
      </c>
      <c r="C67" s="4">
        <v>2</v>
      </c>
      <c r="D67" s="4">
        <v>0</v>
      </c>
      <c r="E67" s="23">
        <v>149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5</v>
      </c>
      <c r="AW67" s="4">
        <v>0</v>
      </c>
      <c r="AX67" s="4">
        <v>0</v>
      </c>
      <c r="AY67" s="4">
        <v>1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6.5" customHeight="1" x14ac:dyDescent="0.2">
      <c r="A68" s="15" t="s">
        <v>271</v>
      </c>
      <c r="B68" s="4">
        <v>7</v>
      </c>
      <c r="C68" s="4">
        <v>0</v>
      </c>
      <c r="D68" s="4">
        <v>0</v>
      </c>
      <c r="E68" s="23">
        <v>105</v>
      </c>
      <c r="F68" s="4">
        <v>0</v>
      </c>
      <c r="G68" s="4">
        <v>0</v>
      </c>
      <c r="H68" s="4">
        <v>0</v>
      </c>
      <c r="I68" s="4">
        <v>2</v>
      </c>
      <c r="J68" s="4"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1</v>
      </c>
      <c r="W68" s="4">
        <v>0</v>
      </c>
      <c r="X68" s="4">
        <v>0</v>
      </c>
      <c r="Y68" s="4">
        <v>0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6.5" customHeight="1" x14ac:dyDescent="0.2">
      <c r="A69" s="15" t="s">
        <v>272</v>
      </c>
      <c r="B69" s="4">
        <v>11</v>
      </c>
      <c r="C69" s="4">
        <v>1</v>
      </c>
      <c r="D69" s="4">
        <v>2</v>
      </c>
      <c r="E69" s="23">
        <v>116</v>
      </c>
      <c r="F69" s="4">
        <v>0</v>
      </c>
      <c r="G69" s="4">
        <v>1</v>
      </c>
      <c r="H69" s="4">
        <v>0</v>
      </c>
      <c r="I69" s="4">
        <v>8</v>
      </c>
      <c r="J69" s="4">
        <v>10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5</v>
      </c>
      <c r="R69" s="4">
        <v>0</v>
      </c>
      <c r="S69" s="4">
        <v>0</v>
      </c>
      <c r="T69" s="4">
        <v>0</v>
      </c>
      <c r="U69" s="4">
        <v>1</v>
      </c>
      <c r="V69" s="4">
        <v>3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1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7</v>
      </c>
      <c r="AW69" s="4">
        <v>0</v>
      </c>
      <c r="AX69" s="4">
        <v>0</v>
      </c>
      <c r="AY69" s="4">
        <v>35</v>
      </c>
      <c r="AZ69" s="4">
        <v>0</v>
      </c>
      <c r="BA69" s="4">
        <v>0</v>
      </c>
      <c r="BB69" s="4">
        <v>0</v>
      </c>
      <c r="BC69" s="4">
        <v>0</v>
      </c>
      <c r="BD69" s="4">
        <v>1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6.5" customHeight="1" x14ac:dyDescent="0.2">
      <c r="A70" s="15" t="s">
        <v>273</v>
      </c>
      <c r="B70" s="4">
        <v>36</v>
      </c>
      <c r="C70" s="4">
        <v>8</v>
      </c>
      <c r="D70" s="4">
        <v>5</v>
      </c>
      <c r="E70" s="23">
        <v>220</v>
      </c>
      <c r="F70" s="4">
        <v>2</v>
      </c>
      <c r="G70" s="4">
        <v>7</v>
      </c>
      <c r="H70" s="4">
        <v>0</v>
      </c>
      <c r="I70" s="4">
        <v>70</v>
      </c>
      <c r="J70" s="4">
        <v>13</v>
      </c>
      <c r="K70" s="4">
        <v>0</v>
      </c>
      <c r="L70" s="4">
        <v>10</v>
      </c>
      <c r="M70" s="4">
        <v>0</v>
      </c>
      <c r="N70" s="4">
        <v>0</v>
      </c>
      <c r="O70" s="4">
        <v>0</v>
      </c>
      <c r="P70" s="4">
        <v>0</v>
      </c>
      <c r="Q70" s="4">
        <v>10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6</v>
      </c>
      <c r="Z70" s="4">
        <v>2</v>
      </c>
      <c r="AA70" s="4">
        <v>2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4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107</v>
      </c>
      <c r="AW70" s="4">
        <v>0</v>
      </c>
      <c r="AX70" s="4">
        <v>1</v>
      </c>
      <c r="AY70" s="4">
        <v>129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1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6.5" customHeight="1" x14ac:dyDescent="0.2">
      <c r="A71" s="15" t="s">
        <v>274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6.5" customHeight="1" x14ac:dyDescent="0.2">
      <c r="A72" s="15" t="s">
        <v>275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6.5" customHeight="1" x14ac:dyDescent="0.2">
      <c r="A73" s="15" t="s">
        <v>276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6.5" customHeight="1" x14ac:dyDescent="0.2">
      <c r="A74" s="15" t="s">
        <v>277</v>
      </c>
      <c r="B74" s="4">
        <v>3</v>
      </c>
      <c r="C74" s="4">
        <v>0</v>
      </c>
      <c r="D74" s="4">
        <v>0</v>
      </c>
      <c r="E74" s="23">
        <v>131</v>
      </c>
      <c r="F74" s="4">
        <v>0</v>
      </c>
      <c r="G74" s="4">
        <v>0</v>
      </c>
      <c r="H74" s="4">
        <v>0</v>
      </c>
      <c r="I74" s="4">
        <v>10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2</v>
      </c>
      <c r="AA74" s="4">
        <v>3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4</v>
      </c>
      <c r="AW74" s="4">
        <v>0</v>
      </c>
      <c r="AX74" s="4">
        <v>0</v>
      </c>
      <c r="AY74" s="4">
        <v>1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6.5" customHeight="1" x14ac:dyDescent="0.2">
      <c r="A75" s="15" t="s">
        <v>278</v>
      </c>
      <c r="B75" s="4">
        <v>2</v>
      </c>
      <c r="C75" s="4">
        <v>0</v>
      </c>
      <c r="D75" s="4">
        <v>0</v>
      </c>
      <c r="E75" s="23">
        <v>209</v>
      </c>
      <c r="F75" s="4">
        <v>0</v>
      </c>
      <c r="G75" s="4">
        <v>0</v>
      </c>
      <c r="H75" s="4">
        <v>0</v>
      </c>
      <c r="I75" s="4">
        <v>3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7</v>
      </c>
      <c r="AW75" s="4">
        <v>0</v>
      </c>
      <c r="AX75" s="4">
        <v>0</v>
      </c>
      <c r="AY75" s="4">
        <v>1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6.5" customHeight="1" x14ac:dyDescent="0.2">
      <c r="A76" s="15" t="s">
        <v>279</v>
      </c>
      <c r="B76" s="4">
        <v>5</v>
      </c>
      <c r="C76" s="4">
        <v>0</v>
      </c>
      <c r="D76" s="4">
        <v>0</v>
      </c>
      <c r="E76" s="23">
        <v>158</v>
      </c>
      <c r="F76" s="4">
        <v>0</v>
      </c>
      <c r="G76" s="4">
        <v>0</v>
      </c>
      <c r="H76" s="4">
        <v>0</v>
      </c>
      <c r="I76" s="4">
        <v>4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1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12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6.5" customHeight="1" x14ac:dyDescent="0.2">
      <c r="A77" s="15" t="s">
        <v>280</v>
      </c>
      <c r="B77" s="4">
        <v>5</v>
      </c>
      <c r="C77" s="4">
        <v>0</v>
      </c>
      <c r="D77" s="4">
        <v>0</v>
      </c>
      <c r="E77" s="23">
        <v>107</v>
      </c>
      <c r="F77" s="4">
        <v>1</v>
      </c>
      <c r="G77" s="4">
        <v>0</v>
      </c>
      <c r="H77" s="4">
        <v>0</v>
      </c>
      <c r="I77" s="4">
        <v>14</v>
      </c>
      <c r="J77" s="4">
        <v>1</v>
      </c>
      <c r="K77" s="4">
        <v>0</v>
      </c>
      <c r="L77" s="4">
        <v>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1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1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5</v>
      </c>
      <c r="AW77" s="4">
        <v>0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6.5" customHeight="1" x14ac:dyDescent="0.2">
      <c r="A78" s="15" t="s">
        <v>281</v>
      </c>
      <c r="B78" s="4">
        <v>4</v>
      </c>
      <c r="C78" s="4">
        <v>0</v>
      </c>
      <c r="D78" s="4">
        <v>0</v>
      </c>
      <c r="E78" s="23">
        <v>105</v>
      </c>
      <c r="F78" s="4">
        <v>0</v>
      </c>
      <c r="G78" s="4">
        <v>0</v>
      </c>
      <c r="H78" s="4">
        <v>0</v>
      </c>
      <c r="I78" s="4">
        <v>11</v>
      </c>
      <c r="J78" s="4">
        <v>0</v>
      </c>
      <c r="K78" s="4">
        <v>0</v>
      </c>
      <c r="L78" s="4">
        <v>1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1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1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2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16</v>
      </c>
      <c r="AW78" s="4">
        <v>0</v>
      </c>
      <c r="AX78" s="4">
        <v>3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6.5" customHeight="1" x14ac:dyDescent="0.2">
      <c r="A79" s="15" t="s">
        <v>282</v>
      </c>
      <c r="B79" s="4">
        <v>3</v>
      </c>
      <c r="C79" s="4">
        <v>2</v>
      </c>
      <c r="D79" s="4">
        <v>0</v>
      </c>
      <c r="E79" s="23">
        <v>157</v>
      </c>
      <c r="F79" s="4">
        <v>0</v>
      </c>
      <c r="G79" s="4">
        <v>0</v>
      </c>
      <c r="H79" s="4">
        <v>0</v>
      </c>
      <c r="I79" s="4">
        <v>13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1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6.5" customHeight="1" x14ac:dyDescent="0.2">
      <c r="A80" s="15" t="s">
        <v>283</v>
      </c>
      <c r="B80" s="4">
        <v>0</v>
      </c>
      <c r="C80" s="4">
        <v>1</v>
      </c>
      <c r="D80" s="4">
        <v>0</v>
      </c>
      <c r="E80" s="23">
        <v>96</v>
      </c>
      <c r="F80" s="4">
        <v>1</v>
      </c>
      <c r="G80" s="4">
        <v>0</v>
      </c>
      <c r="H80" s="4">
        <v>0</v>
      </c>
      <c r="I80" s="4">
        <v>4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9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6.5" customHeight="1" x14ac:dyDescent="0.2">
      <c r="A81" s="15" t="s">
        <v>284</v>
      </c>
      <c r="B81" s="4">
        <v>8</v>
      </c>
      <c r="C81" s="4">
        <v>0</v>
      </c>
      <c r="D81" s="4">
        <v>0</v>
      </c>
      <c r="E81" s="23">
        <v>98</v>
      </c>
      <c r="F81" s="4">
        <v>0</v>
      </c>
      <c r="G81" s="4">
        <v>0</v>
      </c>
      <c r="H81" s="4">
        <v>0</v>
      </c>
      <c r="I81" s="4">
        <v>9</v>
      </c>
      <c r="J81" s="4">
        <v>0</v>
      </c>
      <c r="K81" s="4">
        <v>0</v>
      </c>
      <c r="L81" s="4">
        <v>5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2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5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6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6.5" customHeight="1" x14ac:dyDescent="0.2">
      <c r="A82" s="15" t="s">
        <v>285</v>
      </c>
      <c r="B82" s="4">
        <v>2</v>
      </c>
      <c r="C82" s="4">
        <v>0</v>
      </c>
      <c r="D82" s="4">
        <v>0</v>
      </c>
      <c r="E82" s="23">
        <v>68</v>
      </c>
      <c r="F82" s="4">
        <v>0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2</v>
      </c>
      <c r="M82" s="4">
        <v>0</v>
      </c>
      <c r="N82" s="4">
        <v>0</v>
      </c>
      <c r="O82" s="4">
        <v>0</v>
      </c>
      <c r="P82" s="4">
        <v>0</v>
      </c>
      <c r="Q82" s="4">
        <v>1</v>
      </c>
      <c r="R82" s="4">
        <v>0</v>
      </c>
      <c r="S82" s="4">
        <v>0</v>
      </c>
      <c r="T82" s="4">
        <v>1</v>
      </c>
      <c r="U82" s="4">
        <v>0</v>
      </c>
      <c r="V82" s="4">
        <v>1</v>
      </c>
      <c r="W82" s="4">
        <v>0</v>
      </c>
      <c r="X82" s="4">
        <v>0</v>
      </c>
      <c r="Y82" s="4">
        <v>1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5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6.5" customHeight="1" x14ac:dyDescent="0.2">
      <c r="A83" s="15" t="s">
        <v>286</v>
      </c>
      <c r="B83" s="4">
        <v>2</v>
      </c>
      <c r="C83" s="4">
        <v>0</v>
      </c>
      <c r="D83" s="4">
        <v>0</v>
      </c>
      <c r="E83" s="23">
        <v>134</v>
      </c>
      <c r="F83" s="4">
        <v>4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4</v>
      </c>
      <c r="AW83" s="4">
        <v>0</v>
      </c>
      <c r="AX83" s="4">
        <v>1</v>
      </c>
      <c r="AY83" s="4">
        <v>4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1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6.5" customHeight="1" x14ac:dyDescent="0.2">
      <c r="A84" s="15" t="s">
        <v>287</v>
      </c>
      <c r="B84" s="4">
        <v>0</v>
      </c>
      <c r="C84" s="4">
        <v>0</v>
      </c>
      <c r="D84" s="4">
        <v>0</v>
      </c>
      <c r="E84" s="23">
        <v>69</v>
      </c>
      <c r="F84" s="4">
        <v>2</v>
      </c>
      <c r="G84" s="4">
        <v>0</v>
      </c>
      <c r="H84" s="4">
        <v>0</v>
      </c>
      <c r="I84" s="4">
        <v>2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1</v>
      </c>
      <c r="W84" s="4">
        <v>0</v>
      </c>
      <c r="X84" s="4">
        <v>0</v>
      </c>
      <c r="Y84" s="4">
        <v>0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2</v>
      </c>
      <c r="AW84" s="4">
        <v>0</v>
      </c>
      <c r="AX84" s="4">
        <v>0</v>
      </c>
      <c r="AY84" s="4">
        <v>1</v>
      </c>
      <c r="AZ84" s="4">
        <v>0</v>
      </c>
      <c r="BA84" s="4">
        <v>0</v>
      </c>
      <c r="BB84" s="4">
        <v>0</v>
      </c>
      <c r="BC84" s="4">
        <v>0</v>
      </c>
      <c r="BD84" s="4">
        <v>2</v>
      </c>
      <c r="BE84" s="4">
        <v>0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6.5" customHeight="1" x14ac:dyDescent="0.2">
      <c r="A85" s="15" t="s">
        <v>288</v>
      </c>
      <c r="B85" s="4">
        <v>2</v>
      </c>
      <c r="C85" s="4">
        <v>0</v>
      </c>
      <c r="D85" s="4">
        <v>0</v>
      </c>
      <c r="E85" s="23">
        <v>78</v>
      </c>
      <c r="F85" s="4">
        <v>0</v>
      </c>
      <c r="G85" s="4">
        <v>0</v>
      </c>
      <c r="H85" s="4">
        <v>0</v>
      </c>
      <c r="I85" s="4">
        <v>2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1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2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/>
      <c r="BI85" s="4"/>
      <c r="BJ85" s="4"/>
      <c r="BK85" s="4"/>
      <c r="BL85" s="4"/>
      <c r="BM85" s="4"/>
      <c r="BN85" s="4"/>
      <c r="BO85" s="4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6.5" customHeight="1" x14ac:dyDescent="0.2">
      <c r="A86" s="15" t="s">
        <v>289</v>
      </c>
      <c r="B86" s="4">
        <v>50</v>
      </c>
      <c r="C86" s="4">
        <v>17</v>
      </c>
      <c r="D86" s="4">
        <v>26</v>
      </c>
      <c r="E86" s="23">
        <v>169</v>
      </c>
      <c r="F86" s="4">
        <v>85</v>
      </c>
      <c r="G86" s="4">
        <v>0</v>
      </c>
      <c r="H86" s="4">
        <v>0</v>
      </c>
      <c r="I86" s="4">
        <v>445</v>
      </c>
      <c r="J86" s="4">
        <v>142</v>
      </c>
      <c r="K86" s="4">
        <v>0</v>
      </c>
      <c r="L86" s="4">
        <v>145</v>
      </c>
      <c r="M86" s="4">
        <v>0</v>
      </c>
      <c r="N86" s="4">
        <v>0</v>
      </c>
      <c r="O86" s="4">
        <v>0</v>
      </c>
      <c r="P86" s="4">
        <v>0</v>
      </c>
      <c r="Q86" s="4">
        <v>65</v>
      </c>
      <c r="R86" s="4">
        <v>25</v>
      </c>
      <c r="S86" s="4">
        <v>17</v>
      </c>
      <c r="T86" s="4">
        <v>38</v>
      </c>
      <c r="U86" s="4">
        <v>0</v>
      </c>
      <c r="V86" s="4">
        <v>141</v>
      </c>
      <c r="W86" s="4">
        <v>0</v>
      </c>
      <c r="X86" s="4">
        <v>0</v>
      </c>
      <c r="Y86" s="4">
        <v>13</v>
      </c>
      <c r="Z86" s="4">
        <v>36</v>
      </c>
      <c r="AA86" s="4">
        <v>34</v>
      </c>
      <c r="AB86" s="4">
        <v>0</v>
      </c>
      <c r="AC86" s="4">
        <v>0</v>
      </c>
      <c r="AD86" s="4">
        <v>19</v>
      </c>
      <c r="AE86" s="4">
        <v>0</v>
      </c>
      <c r="AF86" s="4">
        <v>0</v>
      </c>
      <c r="AG86" s="4">
        <v>11</v>
      </c>
      <c r="AH86" s="4">
        <v>0</v>
      </c>
      <c r="AI86" s="4">
        <v>0</v>
      </c>
      <c r="AJ86" s="4">
        <v>0</v>
      </c>
      <c r="AK86" s="4">
        <v>0</v>
      </c>
      <c r="AL86" s="4">
        <v>12</v>
      </c>
      <c r="AM86" s="4">
        <v>0</v>
      </c>
      <c r="AN86" s="4">
        <v>0</v>
      </c>
      <c r="AO86" s="4">
        <v>0</v>
      </c>
      <c r="AP86" s="4">
        <v>41</v>
      </c>
      <c r="AQ86" s="4">
        <v>106</v>
      </c>
      <c r="AR86" s="4">
        <v>4</v>
      </c>
      <c r="AS86" s="4">
        <v>0</v>
      </c>
      <c r="AT86" s="4">
        <v>0</v>
      </c>
      <c r="AU86" s="4">
        <v>0</v>
      </c>
      <c r="AV86" s="4">
        <v>169</v>
      </c>
      <c r="AW86" s="4">
        <v>0</v>
      </c>
      <c r="AX86" s="4">
        <v>14</v>
      </c>
      <c r="AY86" s="4">
        <v>28</v>
      </c>
      <c r="AZ86" s="4">
        <v>0</v>
      </c>
      <c r="BA86" s="4">
        <v>0</v>
      </c>
      <c r="BB86" s="4">
        <v>0</v>
      </c>
      <c r="BC86" s="4">
        <v>0</v>
      </c>
      <c r="BD86" s="4">
        <v>18</v>
      </c>
      <c r="BE86" s="4">
        <v>13</v>
      </c>
      <c r="BF86" s="4">
        <v>0</v>
      </c>
      <c r="BG86" s="4">
        <v>0</v>
      </c>
      <c r="BH86" s="4"/>
      <c r="BI86" s="4"/>
      <c r="BJ86" s="4"/>
      <c r="BK86" s="4"/>
      <c r="BL86" s="4"/>
      <c r="BM86" s="4"/>
      <c r="BN86" s="4"/>
      <c r="BO86" s="4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6.5" customHeight="1" x14ac:dyDescent="0.2">
      <c r="A87" s="15" t="s">
        <v>290</v>
      </c>
      <c r="B87" s="4">
        <v>3</v>
      </c>
      <c r="C87" s="4">
        <v>0</v>
      </c>
      <c r="D87" s="4">
        <v>5</v>
      </c>
      <c r="E87" s="23">
        <v>68</v>
      </c>
      <c r="F87" s="4">
        <v>40</v>
      </c>
      <c r="G87" s="4">
        <v>0</v>
      </c>
      <c r="H87" s="4">
        <v>7</v>
      </c>
      <c r="I87" s="4">
        <v>355</v>
      </c>
      <c r="J87" s="4">
        <v>58</v>
      </c>
      <c r="K87" s="4">
        <v>0</v>
      </c>
      <c r="L87" s="4">
        <v>65</v>
      </c>
      <c r="M87" s="4">
        <v>0</v>
      </c>
      <c r="N87" s="4">
        <v>0</v>
      </c>
      <c r="O87" s="4">
        <v>0</v>
      </c>
      <c r="P87" s="4">
        <v>0</v>
      </c>
      <c r="Q87" s="4">
        <v>50</v>
      </c>
      <c r="R87" s="4">
        <v>0</v>
      </c>
      <c r="S87" s="4">
        <v>0</v>
      </c>
      <c r="T87" s="4">
        <v>35</v>
      </c>
      <c r="U87" s="4">
        <v>0</v>
      </c>
      <c r="V87" s="4">
        <v>40</v>
      </c>
      <c r="W87" s="4">
        <v>0</v>
      </c>
      <c r="X87" s="4">
        <v>0</v>
      </c>
      <c r="Y87" s="4">
        <v>4</v>
      </c>
      <c r="Z87" s="4">
        <v>0</v>
      </c>
      <c r="AA87" s="4">
        <v>35</v>
      </c>
      <c r="AB87" s="4">
        <v>0</v>
      </c>
      <c r="AC87" s="4">
        <v>0</v>
      </c>
      <c r="AD87" s="4">
        <v>10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16</v>
      </c>
      <c r="AM87" s="4">
        <v>0</v>
      </c>
      <c r="AN87" s="4">
        <v>0</v>
      </c>
      <c r="AO87" s="4">
        <v>0</v>
      </c>
      <c r="AP87" s="4">
        <v>81</v>
      </c>
      <c r="AQ87" s="4">
        <v>25</v>
      </c>
      <c r="AR87" s="4">
        <v>4</v>
      </c>
      <c r="AS87" s="4">
        <v>0</v>
      </c>
      <c r="AT87" s="4">
        <v>0</v>
      </c>
      <c r="AU87" s="4">
        <v>0</v>
      </c>
      <c r="AV87" s="4">
        <v>92</v>
      </c>
      <c r="AW87" s="4">
        <v>15</v>
      </c>
      <c r="AX87" s="4">
        <v>5</v>
      </c>
      <c r="AY87" s="4">
        <v>25</v>
      </c>
      <c r="AZ87" s="4">
        <v>0</v>
      </c>
      <c r="BA87" s="4">
        <v>0</v>
      </c>
      <c r="BB87" s="4">
        <v>0</v>
      </c>
      <c r="BC87" s="4">
        <v>0</v>
      </c>
      <c r="BD87" s="4">
        <v>11</v>
      </c>
      <c r="BE87" s="4">
        <v>10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6.5" customHeight="1" x14ac:dyDescent="0.2">
      <c r="A88" s="15" t="s">
        <v>291</v>
      </c>
      <c r="B88" s="4">
        <v>42</v>
      </c>
      <c r="C88" s="4">
        <v>16</v>
      </c>
      <c r="D88" s="4">
        <v>0</v>
      </c>
      <c r="E88" s="23">
        <v>44</v>
      </c>
      <c r="F88" s="4">
        <v>61</v>
      </c>
      <c r="G88" s="4">
        <v>0</v>
      </c>
      <c r="H88" s="4">
        <v>1</v>
      </c>
      <c r="I88" s="4">
        <v>381</v>
      </c>
      <c r="J88" s="4">
        <v>78</v>
      </c>
      <c r="K88" s="4">
        <v>0</v>
      </c>
      <c r="L88" s="4">
        <v>77</v>
      </c>
      <c r="M88" s="4">
        <v>0</v>
      </c>
      <c r="N88" s="4">
        <v>0</v>
      </c>
      <c r="O88" s="4">
        <v>0</v>
      </c>
      <c r="P88" s="4">
        <v>0</v>
      </c>
      <c r="Q88" s="4">
        <v>82</v>
      </c>
      <c r="R88" s="4">
        <v>19</v>
      </c>
      <c r="S88" s="4">
        <v>2</v>
      </c>
      <c r="T88" s="4">
        <v>30</v>
      </c>
      <c r="U88" s="4">
        <v>10</v>
      </c>
      <c r="V88" s="4">
        <v>417</v>
      </c>
      <c r="W88" s="4">
        <v>0</v>
      </c>
      <c r="X88" s="4">
        <v>0</v>
      </c>
      <c r="Y88" s="4">
        <v>3</v>
      </c>
      <c r="Z88" s="4">
        <v>19</v>
      </c>
      <c r="AA88" s="4">
        <v>67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12</v>
      </c>
      <c r="AH88" s="4">
        <v>0</v>
      </c>
      <c r="AI88" s="4">
        <v>0</v>
      </c>
      <c r="AJ88" s="4">
        <v>0</v>
      </c>
      <c r="AK88" s="4">
        <v>0</v>
      </c>
      <c r="AL88" s="4">
        <v>9</v>
      </c>
      <c r="AM88" s="4">
        <v>0</v>
      </c>
      <c r="AN88" s="4">
        <v>0</v>
      </c>
      <c r="AO88" s="4">
        <v>0</v>
      </c>
      <c r="AP88" s="4">
        <v>54</v>
      </c>
      <c r="AQ88" s="4">
        <v>82</v>
      </c>
      <c r="AR88" s="4">
        <v>36</v>
      </c>
      <c r="AS88" s="4">
        <v>0</v>
      </c>
      <c r="AT88" s="4">
        <v>0</v>
      </c>
      <c r="AU88" s="4">
        <v>0</v>
      </c>
      <c r="AV88" s="4">
        <v>99</v>
      </c>
      <c r="AW88" s="4">
        <v>0</v>
      </c>
      <c r="AX88" s="4">
        <v>10</v>
      </c>
      <c r="AY88" s="4">
        <v>128</v>
      </c>
      <c r="AZ88" s="4">
        <v>0</v>
      </c>
      <c r="BA88" s="4">
        <v>0</v>
      </c>
      <c r="BB88" s="4">
        <v>0</v>
      </c>
      <c r="BC88" s="4">
        <v>0</v>
      </c>
      <c r="BD88" s="4">
        <v>8</v>
      </c>
      <c r="BE88" s="4">
        <v>10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6.5" customHeight="1" x14ac:dyDescent="0.2">
      <c r="A89" s="15" t="s">
        <v>292</v>
      </c>
      <c r="B89" s="4">
        <v>1</v>
      </c>
      <c r="C89" s="4">
        <v>0</v>
      </c>
      <c r="D89" s="4">
        <v>0</v>
      </c>
      <c r="E89" s="23">
        <v>83</v>
      </c>
      <c r="F89" s="4">
        <v>2</v>
      </c>
      <c r="G89" s="4">
        <v>0</v>
      </c>
      <c r="H89" s="4">
        <v>0</v>
      </c>
      <c r="I89" s="4">
        <v>5</v>
      </c>
      <c r="J89" s="4">
        <v>3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2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7</v>
      </c>
      <c r="AW89" s="4">
        <v>0</v>
      </c>
      <c r="AX89" s="4">
        <v>0</v>
      </c>
      <c r="AY89" s="4">
        <v>1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6.5" customHeight="1" x14ac:dyDescent="0.2">
      <c r="A90" s="15" t="s">
        <v>293</v>
      </c>
      <c r="B90" s="4">
        <v>18</v>
      </c>
      <c r="C90" s="4">
        <v>0</v>
      </c>
      <c r="D90" s="4">
        <v>3</v>
      </c>
      <c r="E90" s="23">
        <v>91</v>
      </c>
      <c r="F90" s="4">
        <v>14</v>
      </c>
      <c r="G90" s="4">
        <v>0</v>
      </c>
      <c r="H90" s="4">
        <v>0</v>
      </c>
      <c r="I90" s="4">
        <v>38</v>
      </c>
      <c r="J90" s="4">
        <v>21</v>
      </c>
      <c r="K90" s="4">
        <v>0</v>
      </c>
      <c r="L90" s="4">
        <v>12</v>
      </c>
      <c r="M90" s="4">
        <v>0</v>
      </c>
      <c r="N90" s="4">
        <v>0</v>
      </c>
      <c r="O90" s="4">
        <v>0</v>
      </c>
      <c r="P90" s="4">
        <v>1</v>
      </c>
      <c r="Q90" s="4">
        <v>2</v>
      </c>
      <c r="R90" s="4">
        <v>11</v>
      </c>
      <c r="S90" s="4">
        <v>2</v>
      </c>
      <c r="T90" s="4">
        <v>1</v>
      </c>
      <c r="U90" s="4">
        <v>0</v>
      </c>
      <c r="V90" s="4">
        <v>8</v>
      </c>
      <c r="W90" s="4">
        <v>0</v>
      </c>
      <c r="X90" s="4">
        <v>0</v>
      </c>
      <c r="Y90" s="4">
        <v>0</v>
      </c>
      <c r="Z90" s="4">
        <v>8</v>
      </c>
      <c r="AA90" s="4">
        <v>28</v>
      </c>
      <c r="AB90" s="4">
        <v>0</v>
      </c>
      <c r="AC90" s="4">
        <v>0</v>
      </c>
      <c r="AD90" s="4">
        <v>1</v>
      </c>
      <c r="AE90" s="4">
        <v>0</v>
      </c>
      <c r="AF90" s="4">
        <v>0</v>
      </c>
      <c r="AG90" s="4">
        <v>4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14</v>
      </c>
      <c r="AR90" s="4">
        <v>0</v>
      </c>
      <c r="AS90" s="4">
        <v>0</v>
      </c>
      <c r="AT90" s="4">
        <v>0</v>
      </c>
      <c r="AU90" s="4">
        <v>0</v>
      </c>
      <c r="AV90" s="4">
        <v>13</v>
      </c>
      <c r="AW90" s="4">
        <v>0</v>
      </c>
      <c r="AX90" s="4">
        <v>0</v>
      </c>
      <c r="AY90" s="4">
        <v>6</v>
      </c>
      <c r="AZ90" s="4">
        <v>0</v>
      </c>
      <c r="BA90" s="4">
        <v>0</v>
      </c>
      <c r="BB90" s="4">
        <v>0</v>
      </c>
      <c r="BC90" s="4">
        <v>0</v>
      </c>
      <c r="BD90" s="4">
        <v>16</v>
      </c>
      <c r="BE90" s="4">
        <v>4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6.5" customHeight="1" x14ac:dyDescent="0.2">
      <c r="A91" s="15" t="s">
        <v>294</v>
      </c>
      <c r="B91" s="4">
        <v>0</v>
      </c>
      <c r="C91" s="4">
        <v>0</v>
      </c>
      <c r="D91" s="4">
        <v>0</v>
      </c>
      <c r="E91" s="23">
        <v>57</v>
      </c>
      <c r="F91" s="4">
        <v>4</v>
      </c>
      <c r="G91" s="4">
        <v>0</v>
      </c>
      <c r="H91" s="4">
        <v>0</v>
      </c>
      <c r="I91" s="4">
        <v>13</v>
      </c>
      <c r="J91" s="4">
        <v>9</v>
      </c>
      <c r="K91" s="4">
        <v>0</v>
      </c>
      <c r="L91" s="4">
        <v>5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5</v>
      </c>
      <c r="S91" s="4">
        <v>0</v>
      </c>
      <c r="T91" s="4">
        <v>6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2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1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6.5" customHeight="1" x14ac:dyDescent="0.2">
      <c r="A92" s="15" t="s">
        <v>295</v>
      </c>
      <c r="B92" s="4">
        <v>4</v>
      </c>
      <c r="C92" s="4">
        <v>1</v>
      </c>
      <c r="D92" s="4">
        <v>0</v>
      </c>
      <c r="E92" s="23">
        <v>65</v>
      </c>
      <c r="F92" s="4">
        <v>2</v>
      </c>
      <c r="G92" s="4">
        <v>0</v>
      </c>
      <c r="H92" s="4">
        <v>0</v>
      </c>
      <c r="I92" s="4">
        <v>6</v>
      </c>
      <c r="J92" s="4">
        <v>3</v>
      </c>
      <c r="K92" s="4">
        <v>0</v>
      </c>
      <c r="L92" s="4">
        <v>1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1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1</v>
      </c>
      <c r="AW92" s="4">
        <v>0</v>
      </c>
      <c r="AX92" s="4">
        <v>0</v>
      </c>
      <c r="AY92" s="4">
        <v>3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6.5" customHeight="1" x14ac:dyDescent="0.2">
      <c r="A93" s="15" t="s">
        <v>296</v>
      </c>
      <c r="B93" s="4">
        <v>6</v>
      </c>
      <c r="C93" s="4">
        <v>0</v>
      </c>
      <c r="D93" s="4">
        <v>0</v>
      </c>
      <c r="E93" s="23">
        <v>107</v>
      </c>
      <c r="F93" s="4">
        <v>4</v>
      </c>
      <c r="G93" s="4">
        <v>0</v>
      </c>
      <c r="H93" s="4">
        <v>0</v>
      </c>
      <c r="I93" s="4">
        <v>84</v>
      </c>
      <c r="J93" s="4">
        <v>12</v>
      </c>
      <c r="K93" s="4">
        <v>0</v>
      </c>
      <c r="L93" s="4">
        <v>23</v>
      </c>
      <c r="M93" s="4">
        <v>0</v>
      </c>
      <c r="N93" s="4">
        <v>0</v>
      </c>
      <c r="O93" s="4">
        <v>0</v>
      </c>
      <c r="P93" s="4">
        <v>0</v>
      </c>
      <c r="Q93" s="4">
        <v>2</v>
      </c>
      <c r="R93" s="4">
        <v>0</v>
      </c>
      <c r="S93" s="4">
        <v>0</v>
      </c>
      <c r="T93" s="4">
        <v>1</v>
      </c>
      <c r="U93" s="4">
        <v>0</v>
      </c>
      <c r="V93" s="4">
        <v>4</v>
      </c>
      <c r="W93" s="4">
        <v>0</v>
      </c>
      <c r="X93" s="4">
        <v>0</v>
      </c>
      <c r="Y93" s="4">
        <v>3</v>
      </c>
      <c r="Z93" s="4">
        <v>1</v>
      </c>
      <c r="AA93" s="4">
        <v>3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3</v>
      </c>
      <c r="AM93" s="4">
        <v>0</v>
      </c>
      <c r="AN93" s="4">
        <v>0</v>
      </c>
      <c r="AO93" s="4">
        <v>0</v>
      </c>
      <c r="AP93" s="4">
        <v>0</v>
      </c>
      <c r="AQ93" s="4">
        <v>1</v>
      </c>
      <c r="AR93" s="4">
        <v>0</v>
      </c>
      <c r="AS93" s="4">
        <v>0</v>
      </c>
      <c r="AT93" s="4">
        <v>0</v>
      </c>
      <c r="AU93" s="4">
        <v>0</v>
      </c>
      <c r="AV93" s="4">
        <v>41</v>
      </c>
      <c r="AW93" s="4">
        <v>1</v>
      </c>
      <c r="AX93" s="4">
        <v>12</v>
      </c>
      <c r="AY93" s="4">
        <v>4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6.5" customHeight="1" x14ac:dyDescent="0.2">
      <c r="A94" s="15" t="s">
        <v>297</v>
      </c>
      <c r="B94" s="4">
        <v>7</v>
      </c>
      <c r="C94" s="4">
        <v>0</v>
      </c>
      <c r="D94" s="4">
        <v>0</v>
      </c>
      <c r="E94" s="23">
        <v>39</v>
      </c>
      <c r="F94" s="4">
        <v>1</v>
      </c>
      <c r="G94" s="4">
        <v>0</v>
      </c>
      <c r="H94" s="4">
        <v>0</v>
      </c>
      <c r="I94" s="4">
        <v>49</v>
      </c>
      <c r="J94" s="4">
        <v>2</v>
      </c>
      <c r="K94" s="4">
        <v>0</v>
      </c>
      <c r="L94" s="4">
        <v>9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1</v>
      </c>
      <c r="S94" s="4">
        <v>0</v>
      </c>
      <c r="T94" s="4">
        <v>2</v>
      </c>
      <c r="U94" s="4">
        <v>0</v>
      </c>
      <c r="V94" s="4">
        <v>2</v>
      </c>
      <c r="W94" s="4">
        <v>0</v>
      </c>
      <c r="X94" s="4">
        <v>0</v>
      </c>
      <c r="Y94" s="4">
        <v>2</v>
      </c>
      <c r="Z94" s="4">
        <v>0</v>
      </c>
      <c r="AA94" s="4">
        <v>2</v>
      </c>
      <c r="AB94" s="4">
        <v>0</v>
      </c>
      <c r="AC94" s="4">
        <v>0</v>
      </c>
      <c r="AD94" s="4">
        <v>1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2</v>
      </c>
      <c r="AR94" s="4">
        <v>0</v>
      </c>
      <c r="AS94" s="4">
        <v>0</v>
      </c>
      <c r="AT94" s="4">
        <v>0</v>
      </c>
      <c r="AU94" s="4">
        <v>0</v>
      </c>
      <c r="AV94" s="4">
        <v>21</v>
      </c>
      <c r="AW94" s="4">
        <v>16</v>
      </c>
      <c r="AX94" s="4">
        <v>2</v>
      </c>
      <c r="AY94" s="4">
        <v>4</v>
      </c>
      <c r="AZ94" s="4">
        <v>0</v>
      </c>
      <c r="BA94" s="4">
        <v>1</v>
      </c>
      <c r="BB94" s="4">
        <v>0</v>
      </c>
      <c r="BC94" s="4">
        <v>0</v>
      </c>
      <c r="BD94" s="4">
        <v>1</v>
      </c>
      <c r="BE94" s="4">
        <v>1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6.5" customHeight="1" x14ac:dyDescent="0.2">
      <c r="A95" s="15" t="s">
        <v>298</v>
      </c>
      <c r="B95" s="4">
        <v>1</v>
      </c>
      <c r="C95" s="4">
        <v>2</v>
      </c>
      <c r="D95" s="4">
        <v>0</v>
      </c>
      <c r="E95" s="23">
        <v>105</v>
      </c>
      <c r="F95" s="4">
        <v>0</v>
      </c>
      <c r="G95" s="4">
        <v>0</v>
      </c>
      <c r="H95" s="4">
        <v>0</v>
      </c>
      <c r="I95" s="4">
        <v>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1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3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6.5" customHeight="1" x14ac:dyDescent="0.2">
      <c r="A96" s="15" t="s">
        <v>299</v>
      </c>
      <c r="B96" s="4">
        <v>0</v>
      </c>
      <c r="C96" s="4">
        <v>3</v>
      </c>
      <c r="D96" s="4">
        <v>0</v>
      </c>
      <c r="E96" s="23">
        <v>37</v>
      </c>
      <c r="F96" s="4">
        <v>0</v>
      </c>
      <c r="G96" s="4">
        <v>0</v>
      </c>
      <c r="H96" s="4">
        <v>0</v>
      </c>
      <c r="I96" s="4">
        <v>1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2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6.5" customHeight="1" x14ac:dyDescent="0.2">
      <c r="A97" s="15" t="s">
        <v>300</v>
      </c>
      <c r="B97" s="4">
        <v>0</v>
      </c>
      <c r="C97" s="4">
        <v>5</v>
      </c>
      <c r="D97" s="4">
        <v>0</v>
      </c>
      <c r="E97" s="23">
        <v>36</v>
      </c>
      <c r="F97" s="4">
        <v>0</v>
      </c>
      <c r="G97" s="4">
        <v>0</v>
      </c>
      <c r="H97" s="4">
        <v>0</v>
      </c>
      <c r="I97" s="4">
        <v>1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2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6.5" customHeight="1" x14ac:dyDescent="0.2">
      <c r="A98" s="15" t="s">
        <v>301</v>
      </c>
      <c r="B98" s="4">
        <v>1</v>
      </c>
      <c r="C98" s="4">
        <v>0</v>
      </c>
      <c r="D98" s="4">
        <v>0</v>
      </c>
      <c r="E98" s="23">
        <v>35</v>
      </c>
      <c r="F98" s="4">
        <v>0</v>
      </c>
      <c r="G98" s="4">
        <v>0</v>
      </c>
      <c r="H98" s="4">
        <v>0</v>
      </c>
      <c r="I98" s="4">
        <v>1</v>
      </c>
      <c r="J98" s="4">
        <v>2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1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1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/>
      <c r="BI98" s="4"/>
      <c r="BJ98" s="4"/>
      <c r="BK98" s="4"/>
      <c r="BL98" s="4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6.5" customHeight="1" x14ac:dyDescent="0.2">
      <c r="A99" s="15" t="s">
        <v>302</v>
      </c>
      <c r="B99" s="4">
        <v>0</v>
      </c>
      <c r="C99" s="4">
        <v>1</v>
      </c>
      <c r="D99" s="4">
        <v>0</v>
      </c>
      <c r="E99" s="23">
        <v>39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1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1</v>
      </c>
      <c r="AW99" s="4">
        <v>0</v>
      </c>
      <c r="AX99" s="4">
        <v>0</v>
      </c>
      <c r="AY99" s="4">
        <v>1</v>
      </c>
      <c r="AZ99" s="4">
        <v>0</v>
      </c>
      <c r="BA99" s="4">
        <v>0</v>
      </c>
      <c r="BB99" s="4">
        <v>0</v>
      </c>
      <c r="BC99" s="4">
        <v>0</v>
      </c>
      <c r="BD99" s="4">
        <v>1</v>
      </c>
      <c r="BE99" s="4">
        <v>0</v>
      </c>
      <c r="BF99" s="4">
        <v>2</v>
      </c>
      <c r="BG99" s="4">
        <v>0</v>
      </c>
      <c r="BH99" s="4"/>
      <c r="BI99" s="4"/>
      <c r="BJ99" s="4"/>
      <c r="BK99" s="4"/>
      <c r="BL99" s="4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6.5" customHeight="1" x14ac:dyDescent="0.2">
      <c r="A100" s="15" t="s">
        <v>303</v>
      </c>
      <c r="B100" s="4">
        <v>0</v>
      </c>
      <c r="C100" s="4">
        <v>0</v>
      </c>
      <c r="D100" s="4">
        <v>0</v>
      </c>
      <c r="E100" s="23">
        <v>50</v>
      </c>
      <c r="F100" s="4">
        <v>0</v>
      </c>
      <c r="G100" s="4">
        <v>0</v>
      </c>
      <c r="H100" s="4">
        <v>0</v>
      </c>
      <c r="I100" s="23">
        <v>1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6.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6.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6.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6.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6.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6.5" customHeight="1" x14ac:dyDescent="0.2">
      <c r="A106" s="3"/>
      <c r="B106" s="4"/>
      <c r="C106" s="4"/>
      <c r="D106" s="4"/>
      <c r="E106" s="61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6.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6.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6.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6.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6.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6.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6.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6.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6.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6.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6.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6.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6.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6.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6.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6.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6.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6.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6.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6.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6.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6.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6.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6.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6.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6.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6.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6.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6.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6.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6.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6.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6.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6.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6.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6.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6.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6.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6.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6.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6.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6.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6.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6.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6.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6.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6.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6.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6.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6.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6.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6.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6.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6.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6.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6.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6.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6.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6.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6.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6.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6.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6.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6.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6.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6.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6.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6.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6.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6.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6.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6.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6.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6.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6.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6.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6.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6.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6.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6.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6.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6.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6.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6.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6.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6.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6.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6.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6.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6.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6.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6.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6.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6.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6.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6.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6.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6.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6.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6.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6.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6.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6.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6.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6.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6.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6.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6.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6.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6.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6.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6.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6.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6.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6.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6.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6.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6.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6.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6.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6.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6.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6.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6.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6.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6.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6.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6.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6.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6.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6.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6.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6.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6.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6.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6.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6.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6.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6.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6.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6.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6.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6.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6.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6.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6.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6.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6.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6.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6.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6.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6.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6.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6.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6.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6.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6.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6.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6.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6.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6.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6.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6.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6.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6.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6.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6.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6.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6.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6.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6.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6.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6.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6.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6.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6.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6.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6.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6.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6.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6.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6.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6.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6.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6.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6.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6.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6.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6.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6.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6.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6.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6.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6.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6.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6.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6.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6.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6.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6.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6.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6.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6.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6.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6.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6.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6.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6.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6.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6.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6.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6.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6.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6.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6.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6.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6.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6.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6.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6.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6.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6.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6.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6.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6.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6.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6.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6.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6.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6.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100" ht="16.5" customHeight="1" x14ac:dyDescent="0.2">
      <c r="A337" s="3"/>
      <c r="B337" s="4"/>
      <c r="C337" s="4"/>
      <c r="D337" s="4"/>
      <c r="E337" s="23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</row>
    <row r="338" spans="1:100" ht="16.5" customHeight="1" x14ac:dyDescent="0.2">
      <c r="A338" s="3"/>
      <c r="B338" s="4"/>
      <c r="C338" s="4"/>
      <c r="D338" s="4"/>
      <c r="E338" s="23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</row>
    <row r="339" spans="1:100" ht="16.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100" ht="16.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100" ht="16.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100" ht="16.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100" ht="16.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100" ht="16.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100" ht="16.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100" ht="16.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100" ht="16.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100" ht="16.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100" ht="16.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100" ht="16.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100" ht="16.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100" ht="16.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6.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6.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6.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6.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6.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6.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6.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6.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6.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6.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6.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6.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6.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6.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6.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6.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6.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6.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6.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6.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6.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6.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6.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6.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6.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6.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6.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6.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6.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6.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6.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6.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6.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6.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6.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6.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6.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6.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6.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6.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6.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6.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6.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6.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6.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6.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6.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6.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6.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6.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6.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6.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6.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6.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6.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6.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6.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6.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6.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6.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6.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6.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6.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6.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6.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6.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6.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6.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6.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6.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6.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6.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6.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6.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6.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6.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6.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6.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6.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6.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6.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6.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6.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6.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6.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6.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6.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6.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6.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6.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6.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6.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6.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6.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6.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6.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6.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6.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6.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6.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6.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6.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6.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6.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6.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6.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6.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6.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6.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6.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6.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6.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6.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6.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6.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6.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6.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6.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6.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6.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6.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6.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6.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6.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6.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6.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6.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6.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6.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6.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6.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6.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6.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6.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6.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6.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6.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6.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6.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6.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6.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6.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6.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6.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6.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6.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6.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6.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6.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6.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6.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6.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6.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6.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6.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6.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6.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6.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6.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6.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6.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6.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6.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6.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6.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6.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6.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6.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6.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6.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6.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6.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6.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6.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6.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6.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6.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6.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6.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6.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6.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6.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6.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6.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6.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6.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6.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6.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6.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6.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6.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6.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6.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6.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6.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6.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6.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6.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6.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6.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6.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6.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6.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6.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6.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6.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6.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6.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6.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6.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6.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6.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6.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6.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6.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6.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6.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6.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6.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6.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6.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6.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6.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6.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6.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6.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6.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6.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6.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6.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6.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6.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6.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6.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6.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6.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6.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6.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6.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6.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6.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6.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6.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6.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6.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6.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6.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6.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6.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6.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6.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6.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6.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6.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6.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6.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6.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6.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6.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6.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6.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6.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6.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6.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6.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6.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6.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6.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6.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6.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6.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6.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6.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6.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6.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6.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6.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6.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6.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6.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6.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6.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6.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6.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6.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6.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6.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6.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6.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6.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6.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6.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6.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6.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6.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6.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6.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6.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6.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6.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6.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6.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6.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6.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6.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6.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6.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6.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6.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6.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6.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6.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6.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6.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6.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6.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6.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6.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6.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6.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6.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6.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6.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6.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6.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6.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6.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6.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6.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6.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6.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6.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6.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6.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6.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6.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6.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6.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6.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6.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6.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6.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6.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6.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6.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6.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6.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6.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6.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6.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6.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6.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6.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6.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6.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6.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6.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6.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6.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6.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6.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6.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6.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6.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6.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6.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6.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6.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6.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6.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6.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6.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6.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6.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6.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6.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6.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6.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6.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6.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6.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6.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6.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6.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6.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6.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6.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6.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6.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6.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6.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6.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6.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6.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6.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6.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6.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6.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6.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6.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6.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6.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6.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6.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6.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6.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6.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6.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6.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6.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6.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6.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6.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6.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6.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6.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6.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6.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6.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6.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6.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6.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6.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6.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6.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6.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6.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6.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6.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6.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6.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6.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6.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6.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6.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6.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6.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6.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6.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6.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6.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6.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6.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6.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6.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6.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6.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6.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6.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6.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6.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6.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6.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6.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6.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6.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6.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6.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6.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6.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6.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6.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6.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6.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6.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6.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6.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6.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6.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6.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6.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6.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6.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6.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6.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6.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6.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6.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6.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6.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6.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6.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6.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6.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6.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6.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6.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6.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6.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6.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6.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6.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6.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6.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6.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6.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6.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6.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6.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6.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6.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6.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6.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6.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6.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6.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6.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6.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6.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6.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6.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6.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6.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6.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6.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6.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6.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6.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6.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6.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6.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6.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6.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6.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6.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6.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6.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6.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6.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6.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6.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6.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6.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6.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6.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6.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6.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6.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6.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6.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6.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6.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6.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6.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6.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6.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6.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6.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6.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6.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6.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6.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6.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6.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6.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6.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6.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6.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6.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6.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6.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6.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6.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6.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6.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6.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6.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6.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6.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6.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6.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6.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6.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6.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6.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6.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6.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6.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6.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6.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6.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6.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6.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6.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6.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6.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6.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6.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6.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6.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6.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6.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6.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6.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6.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6.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6.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6.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6.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6.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6.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6.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6.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6.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6.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6.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6.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6.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6.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6.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6.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6.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6.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6.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6.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6.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6.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6.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6.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6.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6.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6.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6.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6.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6.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6.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6.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6.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6.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6.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6.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6.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6.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6.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6.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6.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6.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6.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6.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6.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6.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6.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6.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6.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6.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6.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6.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6.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  <row r="1001" spans="1:67" ht="16.5" customHeight="1" x14ac:dyDescent="0.2">
      <c r="A1001" s="3"/>
      <c r="B1001" s="3"/>
      <c r="C1001" s="3"/>
      <c r="D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</row>
    <row r="1002" spans="1:67" ht="16.5" customHeight="1" x14ac:dyDescent="0.2">
      <c r="A1002" s="3"/>
      <c r="B1002" s="3"/>
      <c r="C1002" s="3"/>
      <c r="D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</row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zoomScale="60" zoomScaleNormal="60" workbookViewId="0">
      <selection activeCell="J198" sqref="J198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rebio23_80ml!B4</f>
        <v>Alo.dadayi</v>
      </c>
      <c r="C1" s="3" t="str">
        <f>rebio23_80ml!C4</f>
        <v>Alo.hamulata</v>
      </c>
      <c r="D1" s="3" t="str">
        <f>rebio23_80ml!D4</f>
        <v>Alonella.sp</v>
      </c>
      <c r="E1" s="3" t="str">
        <f>rebio23_80ml!E4</f>
        <v>Bdelloidea</v>
      </c>
      <c r="F1" s="3" t="str">
        <f>rebio23_80ml!F4</f>
        <v>Bra.patulus</v>
      </c>
      <c r="G1" s="3" t="str">
        <f>rebio23_80ml!G4</f>
        <v>Cephalodella.sp</v>
      </c>
      <c r="H1" s="3" t="str">
        <f>rebio23_80ml!H4</f>
        <v>Colurella.sp</v>
      </c>
      <c r="I1" s="3" t="str">
        <f>rebio23_80ml!I4</f>
        <v>Copepodite</v>
      </c>
      <c r="J1" s="3" t="str">
        <f>rebio23_80ml!J4</f>
        <v>Chydorus.sp</v>
      </c>
      <c r="K1" s="3" t="str">
        <f>rebio23_80ml!K4</f>
        <v>Dicranophoroides.sp</v>
      </c>
      <c r="L1" s="3" t="str">
        <f>rebio23_80ml!L4</f>
        <v>Dia.birgei</v>
      </c>
      <c r="M1" s="3" t="str">
        <f>rebio23_80ml!M4</f>
        <v>Dia.spinulosum</v>
      </c>
      <c r="N1" s="3" t="str">
        <f>rebio23_80ml!N4</f>
        <v>Dis.aculeata</v>
      </c>
      <c r="O1" s="3" t="str">
        <f>rebio23_80ml!O4</f>
        <v>Euc.dilatata</v>
      </c>
      <c r="P1" s="3" t="str">
        <f>rebio23_80ml!P4</f>
        <v>Fil.longiseta</v>
      </c>
      <c r="Q1" s="3" t="str">
        <f>rebio23_80ml!Q4</f>
        <v>Ily.spinifer</v>
      </c>
      <c r="R1" s="3" t="str">
        <f>rebio23_80ml!R4</f>
        <v>Lec.aculeata</v>
      </c>
      <c r="S1" s="3" t="str">
        <f>rebio23_80ml!S4</f>
        <v>Lec.bulla</v>
      </c>
      <c r="T1" s="3" t="str">
        <f>rebio23_80ml!T4</f>
        <v>Lec.cornuta</v>
      </c>
      <c r="U1" s="3" t="str">
        <f>rebio23_80ml!U4</f>
        <v>Lec.crepida</v>
      </c>
      <c r="V1" s="3" t="str">
        <f>rebio23_80ml!V4</f>
        <v>Lec.curvicornis</v>
      </c>
      <c r="W1" s="3" t="str">
        <f>rebio23_80ml!W4</f>
        <v>Lec.furcata</v>
      </c>
      <c r="X1" s="3" t="str">
        <f>rebio23_80ml!X4</f>
        <v>Lecane.sp1</v>
      </c>
      <c r="Y1" s="3" t="str">
        <f>rebio23_80ml!Y4</f>
        <v>Lec.leontina</v>
      </c>
      <c r="Z1" s="3" t="str">
        <f>rebio23_80ml!Z4</f>
        <v>Lec.lunaris</v>
      </c>
      <c r="AA1" s="3" t="str">
        <f>rebio23_80ml!AA4</f>
        <v>Lec.luna</v>
      </c>
      <c r="AB1" s="3" t="str">
        <f>rebio23_80ml!AB4</f>
        <v>Lec.monostyla</v>
      </c>
      <c r="AC1" s="3" t="str">
        <f>rebio23_80ml!AC4</f>
        <v>Lecane.sp2</v>
      </c>
      <c r="AD1" s="3" t="str">
        <f>rebio23_80ml!AD4</f>
        <v>Lec.papuana</v>
      </c>
      <c r="AE1" s="3" t="str">
        <f>rebio23_80ml!AE4</f>
        <v>Lec.quadridentata</v>
      </c>
      <c r="AF1" s="3" t="str">
        <f>rebio23_80ml!AF4</f>
        <v>Lecane.sp3</v>
      </c>
      <c r="AG1" s="3" t="str">
        <f>rebio23_80ml!AG4</f>
        <v>Leydigia.sp</v>
      </c>
      <c r="AH1" s="3" t="str">
        <f>rebio23_80ml!AH4</f>
        <v>Lepadella.sp1</v>
      </c>
      <c r="AI1" s="3" t="str">
        <f>rebio23_80ml!AI4</f>
        <v>Lepadella.sp2</v>
      </c>
      <c r="AJ1" s="3" t="str">
        <f>rebio23_80ml!AJ4</f>
        <v>Lep.ovalis</v>
      </c>
      <c r="AK1" s="3" t="str">
        <f>rebio23_80ml!AK4</f>
        <v>Lep.patella</v>
      </c>
      <c r="AL1" s="3" t="str">
        <f>rebio23_80ml!AL4</f>
        <v>Mesocyclops.sp</v>
      </c>
      <c r="AM1" s="3" t="str">
        <f>rebio23_80ml!AM4</f>
        <v>Macrocyclops.sp</v>
      </c>
      <c r="AN1" s="3" t="str">
        <f>rebio23_80ml!AN4</f>
        <v>Macrochaetus.sp</v>
      </c>
      <c r="AO1" s="3" t="str">
        <f>rebio23_80ml!AO4</f>
        <v>Macrothrix.sp</v>
      </c>
      <c r="AP1" s="3" t="str">
        <f>rebio23_80ml!AP4</f>
        <v>Mac.mira</v>
      </c>
      <c r="AQ1" s="3" t="str">
        <f>rebio23_80ml!AQ4</f>
        <v>Mac.laticornis</v>
      </c>
      <c r="AR1" s="3" t="str">
        <f>rebio23_80ml!AR4</f>
        <v>Moi.minuta</v>
      </c>
      <c r="AS1" s="3" t="str">
        <f>rebio23_80ml!AS4</f>
        <v>Myt.crassipes</v>
      </c>
      <c r="AT1" s="3" t="str">
        <f>rebio23_80ml!AT4</f>
        <v>Mytilina.sp</v>
      </c>
      <c r="AU1" s="3" t="str">
        <f>rebio23_80ml!AU4</f>
        <v>Myt.bisulcata</v>
      </c>
      <c r="AV1" s="3" t="str">
        <f>rebio23_80ml!AV4</f>
        <v>Nauplii</v>
      </c>
      <c r="AW1" s="3" t="str">
        <f>rebio23_80ml!AW4</f>
        <v>Notodiaptomus.sp</v>
      </c>
      <c r="AX1" s="3" t="str">
        <f>rebio23_80ml!AX4</f>
        <v>Paracyclops.sp</v>
      </c>
      <c r="AY1" s="3" t="str">
        <f>rebio23_80ml!AY4</f>
        <v>Pla.quadricornis</v>
      </c>
      <c r="AZ1" s="3" t="str">
        <f>rebio23_80ml!AZ4</f>
        <v>Polyarthra.sp</v>
      </c>
      <c r="BA1" s="3" t="str">
        <f>rebio23_80ml!BA4</f>
        <v>Pol.bicerca</v>
      </c>
      <c r="BB1" s="3" t="str">
        <f>rebio23_80ml!BB4</f>
        <v>Pol.dolichoptera</v>
      </c>
      <c r="BC1" s="3" t="str">
        <f>rebio23_80ml!BC4</f>
        <v>Pol.vulgaris</v>
      </c>
      <c r="BD1" s="3" t="str">
        <f>rebio23_80ml!BD4</f>
        <v>Tes.patina</v>
      </c>
      <c r="BE1" s="3" t="str">
        <f>rebio23_80ml!BE4</f>
        <v>Tes.mucronata</v>
      </c>
      <c r="BF1" s="3" t="str">
        <f>rebio23_80ml!BF4</f>
        <v>Trichocerca.sp</v>
      </c>
      <c r="BG1" s="3" t="str">
        <f>rebio23_80ml!BG4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rebio23_80ml!A5</f>
        <v>S-B-P05-H1</v>
      </c>
      <c r="B2" s="27">
        <f>rebio23_80ml!B5/50</f>
        <v>0</v>
      </c>
      <c r="C2" s="27">
        <f>rebio23_80ml!C5/50</f>
        <v>0</v>
      </c>
      <c r="D2" s="27">
        <f>rebio23_80ml!D5/50</f>
        <v>0</v>
      </c>
      <c r="E2" s="27">
        <f>rebio23_80ml!E5/50</f>
        <v>0.74</v>
      </c>
      <c r="F2" s="27">
        <f>rebio23_80ml!F5/50</f>
        <v>0</v>
      </c>
      <c r="G2" s="27">
        <f>rebio23_80ml!G5/50</f>
        <v>0</v>
      </c>
      <c r="H2" s="27">
        <f>rebio23_80ml!H5/50</f>
        <v>0</v>
      </c>
      <c r="I2" s="27">
        <f>rebio23_80ml!I5/50</f>
        <v>0</v>
      </c>
      <c r="J2" s="27">
        <f>rebio23_80ml!J5/50</f>
        <v>0</v>
      </c>
      <c r="K2" s="27">
        <f>rebio23_80ml!K5/50</f>
        <v>0</v>
      </c>
      <c r="L2" s="27">
        <f>rebio23_80ml!L5/50</f>
        <v>0</v>
      </c>
      <c r="M2" s="27">
        <f>rebio23_80ml!M5/50</f>
        <v>0</v>
      </c>
      <c r="N2" s="27">
        <f>rebio23_80ml!N5/50</f>
        <v>0</v>
      </c>
      <c r="O2" s="27">
        <f>rebio23_80ml!O5/50</f>
        <v>0</v>
      </c>
      <c r="P2" s="27">
        <f>rebio23_80ml!P5/50</f>
        <v>0</v>
      </c>
      <c r="Q2" s="27">
        <f>rebio23_80ml!Q5/50</f>
        <v>0</v>
      </c>
      <c r="R2" s="27">
        <f>rebio23_80ml!R5/50</f>
        <v>0</v>
      </c>
      <c r="S2" s="27">
        <f>rebio23_80ml!S5/50</f>
        <v>0.02</v>
      </c>
      <c r="T2" s="27">
        <f>rebio23_80ml!T5/50</f>
        <v>0</v>
      </c>
      <c r="U2" s="27">
        <f>rebio23_80ml!U5/50</f>
        <v>0</v>
      </c>
      <c r="V2" s="27">
        <f>rebio23_80ml!V5/50</f>
        <v>0</v>
      </c>
      <c r="W2" s="27">
        <f>rebio23_80ml!W5/50</f>
        <v>0</v>
      </c>
      <c r="X2" s="27">
        <f>rebio23_80ml!X5/50</f>
        <v>0</v>
      </c>
      <c r="Y2" s="27">
        <f>rebio23_80ml!Y5/50</f>
        <v>0</v>
      </c>
      <c r="Z2" s="27">
        <f>rebio23_80ml!Z5/50</f>
        <v>0</v>
      </c>
      <c r="AA2" s="27">
        <f>rebio23_80ml!AA5/50</f>
        <v>0</v>
      </c>
      <c r="AB2" s="27">
        <f>rebio23_80ml!AB5/50</f>
        <v>0</v>
      </c>
      <c r="AC2" s="27">
        <f>rebio23_80ml!AC5/50</f>
        <v>0</v>
      </c>
      <c r="AD2" s="27">
        <f>rebio23_80ml!AD5/50</f>
        <v>0</v>
      </c>
      <c r="AE2" s="27">
        <f>rebio23_80ml!AE5/50</f>
        <v>0</v>
      </c>
      <c r="AF2" s="27">
        <f>rebio23_80ml!AF5/50</f>
        <v>0</v>
      </c>
      <c r="AG2" s="27">
        <f>rebio23_80ml!AG5/50</f>
        <v>0</v>
      </c>
      <c r="AH2" s="27">
        <f>rebio23_80ml!AH5/50</f>
        <v>0</v>
      </c>
      <c r="AI2" s="27">
        <f>rebio23_80ml!AI5/50</f>
        <v>0</v>
      </c>
      <c r="AJ2" s="27">
        <f>rebio23_80ml!AJ5/50</f>
        <v>0</v>
      </c>
      <c r="AK2" s="27">
        <f>rebio23_80ml!AK5/50</f>
        <v>0</v>
      </c>
      <c r="AL2" s="27">
        <f>rebio23_80ml!AL5/50</f>
        <v>0</v>
      </c>
      <c r="AM2" s="27">
        <f>rebio23_80ml!AM5/50</f>
        <v>0</v>
      </c>
      <c r="AN2" s="27">
        <f>rebio23_80ml!AN5/50</f>
        <v>0</v>
      </c>
      <c r="AO2" s="27">
        <f>rebio23_80ml!AO5/50</f>
        <v>0</v>
      </c>
      <c r="AP2" s="27">
        <f>rebio23_80ml!AP5/50</f>
        <v>0</v>
      </c>
      <c r="AQ2" s="27">
        <f>rebio23_80ml!AQ5/50</f>
        <v>0</v>
      </c>
      <c r="AR2" s="27">
        <f>rebio23_80ml!AR5/50</f>
        <v>0</v>
      </c>
      <c r="AS2" s="27">
        <f>rebio23_80ml!AS5/50</f>
        <v>0</v>
      </c>
      <c r="AT2" s="27">
        <f>rebio23_80ml!AT5/50</f>
        <v>0</v>
      </c>
      <c r="AU2" s="27">
        <f>rebio23_80ml!AU5/50</f>
        <v>0</v>
      </c>
      <c r="AV2" s="27">
        <f>rebio23_80ml!AV5/50</f>
        <v>0.06</v>
      </c>
      <c r="AW2" s="27">
        <f>rebio23_80ml!AW5/50</f>
        <v>0</v>
      </c>
      <c r="AX2" s="27">
        <f>rebio23_80ml!AX5/50</f>
        <v>0.02</v>
      </c>
      <c r="AY2" s="27">
        <f>rebio23_80ml!AY5/50</f>
        <v>0</v>
      </c>
      <c r="AZ2" s="27">
        <f>rebio23_80ml!AZ5/50</f>
        <v>0.02</v>
      </c>
      <c r="BA2" s="27">
        <f>rebio23_80ml!BA5/50</f>
        <v>0</v>
      </c>
      <c r="BB2" s="27">
        <f>rebio23_80ml!BB5/50</f>
        <v>0.02</v>
      </c>
      <c r="BC2" s="27">
        <f>rebio23_80ml!BC5/50</f>
        <v>0</v>
      </c>
      <c r="BD2" s="27">
        <f>rebio23_80ml!BD5/50</f>
        <v>0</v>
      </c>
      <c r="BE2" s="27">
        <f>rebio23_80ml!BE5/50</f>
        <v>0</v>
      </c>
      <c r="BF2" s="27">
        <f>rebio23_80ml!BF5/50</f>
        <v>0</v>
      </c>
      <c r="BG2" s="27">
        <f>rebio23_80ml!BG5/50</f>
        <v>0</v>
      </c>
    </row>
    <row r="3" spans="1:67" ht="12.75" customHeight="1" x14ac:dyDescent="0.25">
      <c r="A3" s="15" t="str">
        <f>rebio23_80ml!A6</f>
        <v>S-B-P05-H2</v>
      </c>
      <c r="B3" s="27">
        <f>rebio23_80ml!B6/50</f>
        <v>0</v>
      </c>
      <c r="C3" s="27">
        <f>rebio23_80ml!C6/50</f>
        <v>0</v>
      </c>
      <c r="D3" s="27">
        <f>rebio23_80ml!D6/50</f>
        <v>0</v>
      </c>
      <c r="E3" s="27">
        <f>rebio23_80ml!E6/50</f>
        <v>0.46</v>
      </c>
      <c r="F3" s="27">
        <f>rebio23_80ml!F6/50</f>
        <v>0</v>
      </c>
      <c r="G3" s="27">
        <f>rebio23_80ml!G6/50</f>
        <v>0</v>
      </c>
      <c r="H3" s="27">
        <f>rebio23_80ml!H6/50</f>
        <v>0</v>
      </c>
      <c r="I3" s="27">
        <f>rebio23_80ml!I6/50</f>
        <v>0.08</v>
      </c>
      <c r="J3" s="27">
        <f>rebio23_80ml!J6/50</f>
        <v>0</v>
      </c>
      <c r="K3" s="27">
        <f>rebio23_80ml!K6/50</f>
        <v>0</v>
      </c>
      <c r="L3" s="27">
        <f>rebio23_80ml!L6/50</f>
        <v>0</v>
      </c>
      <c r="M3" s="27">
        <f>rebio23_80ml!M6/50</f>
        <v>0</v>
      </c>
      <c r="N3" s="27">
        <f>rebio23_80ml!N6/50</f>
        <v>0</v>
      </c>
      <c r="O3" s="27">
        <f>rebio23_80ml!O6/50</f>
        <v>0</v>
      </c>
      <c r="P3" s="27">
        <f>rebio23_80ml!P6/50</f>
        <v>0</v>
      </c>
      <c r="Q3" s="27">
        <f>rebio23_80ml!Q6/50</f>
        <v>0</v>
      </c>
      <c r="R3" s="27">
        <f>rebio23_80ml!R6/50</f>
        <v>0</v>
      </c>
      <c r="S3" s="27">
        <f>rebio23_80ml!S6/50</f>
        <v>0</v>
      </c>
      <c r="T3" s="27">
        <f>rebio23_80ml!T6/50</f>
        <v>0</v>
      </c>
      <c r="U3" s="27">
        <f>rebio23_80ml!U6/50</f>
        <v>0</v>
      </c>
      <c r="V3" s="27">
        <f>rebio23_80ml!V6/50</f>
        <v>0</v>
      </c>
      <c r="W3" s="27">
        <f>rebio23_80ml!W6/50</f>
        <v>0</v>
      </c>
      <c r="X3" s="27">
        <f>rebio23_80ml!X6/50</f>
        <v>0</v>
      </c>
      <c r="Y3" s="27">
        <f>rebio23_80ml!Y6/50</f>
        <v>0</v>
      </c>
      <c r="Z3" s="27">
        <f>rebio23_80ml!Z6/50</f>
        <v>0</v>
      </c>
      <c r="AA3" s="27">
        <f>rebio23_80ml!AA6/50</f>
        <v>0</v>
      </c>
      <c r="AB3" s="27">
        <f>rebio23_80ml!AB6/50</f>
        <v>0</v>
      </c>
      <c r="AC3" s="27">
        <f>rebio23_80ml!AC6/50</f>
        <v>0</v>
      </c>
      <c r="AD3" s="27">
        <f>rebio23_80ml!AD6/50</f>
        <v>0</v>
      </c>
      <c r="AE3" s="27">
        <f>rebio23_80ml!AE6/50</f>
        <v>0</v>
      </c>
      <c r="AF3" s="27">
        <f>rebio23_80ml!AF6/50</f>
        <v>0</v>
      </c>
      <c r="AG3" s="27">
        <f>rebio23_80ml!AG6/50</f>
        <v>0</v>
      </c>
      <c r="AH3" s="27">
        <f>rebio23_80ml!AH6/50</f>
        <v>0</v>
      </c>
      <c r="AI3" s="27">
        <f>rebio23_80ml!AI6/50</f>
        <v>0</v>
      </c>
      <c r="AJ3" s="27">
        <f>rebio23_80ml!AJ6/50</f>
        <v>0</v>
      </c>
      <c r="AK3" s="27">
        <f>rebio23_80ml!AK6/50</f>
        <v>0</v>
      </c>
      <c r="AL3" s="27">
        <f>rebio23_80ml!AL6/50</f>
        <v>0</v>
      </c>
      <c r="AM3" s="27">
        <f>rebio23_80ml!AM6/50</f>
        <v>0</v>
      </c>
      <c r="AN3" s="27">
        <f>rebio23_80ml!AN6/50</f>
        <v>0</v>
      </c>
      <c r="AO3" s="27">
        <f>rebio23_80ml!AO6/50</f>
        <v>0.02</v>
      </c>
      <c r="AP3" s="27">
        <f>rebio23_80ml!AP6/50</f>
        <v>0</v>
      </c>
      <c r="AQ3" s="27">
        <f>rebio23_80ml!AQ6/50</f>
        <v>0</v>
      </c>
      <c r="AR3" s="27">
        <f>rebio23_80ml!AR6/50</f>
        <v>0</v>
      </c>
      <c r="AS3" s="27">
        <f>rebio23_80ml!AS6/50</f>
        <v>0</v>
      </c>
      <c r="AT3" s="27">
        <f>rebio23_80ml!AT6/50</f>
        <v>0</v>
      </c>
      <c r="AU3" s="27">
        <f>rebio23_80ml!AU6/50</f>
        <v>0</v>
      </c>
      <c r="AV3" s="27">
        <f>rebio23_80ml!AV6/50</f>
        <v>0</v>
      </c>
      <c r="AW3" s="27">
        <f>rebio23_80ml!AW6/50</f>
        <v>0</v>
      </c>
      <c r="AX3" s="27">
        <f>rebio23_80ml!AX6/50</f>
        <v>0.02</v>
      </c>
      <c r="AY3" s="27">
        <f>rebio23_80ml!AY6/50</f>
        <v>0</v>
      </c>
      <c r="AZ3" s="27">
        <f>rebio23_80ml!AZ6/50</f>
        <v>0</v>
      </c>
      <c r="BA3" s="27">
        <f>rebio23_80ml!BA6/50</f>
        <v>0</v>
      </c>
      <c r="BB3" s="27">
        <f>rebio23_80ml!BB6/50</f>
        <v>0</v>
      </c>
      <c r="BC3" s="27">
        <f>rebio23_80ml!BC6/50</f>
        <v>0</v>
      </c>
      <c r="BD3" s="27">
        <f>rebio23_80ml!BD6/50</f>
        <v>0</v>
      </c>
      <c r="BE3" s="27">
        <f>rebio23_80ml!BE6/50</f>
        <v>0</v>
      </c>
      <c r="BF3" s="27">
        <f>rebio23_80ml!BF6/50</f>
        <v>0</v>
      </c>
      <c r="BG3" s="27">
        <f>rebio23_80ml!BG6/50</f>
        <v>0</v>
      </c>
    </row>
    <row r="4" spans="1:67" ht="12.75" customHeight="1" x14ac:dyDescent="0.25">
      <c r="A4" s="15" t="str">
        <f>rebio23_80ml!A7</f>
        <v>S-B-P05-H3</v>
      </c>
      <c r="B4" s="27">
        <f>rebio23_80ml!B7/50</f>
        <v>0</v>
      </c>
      <c r="C4" s="27">
        <f>rebio23_80ml!C7/50</f>
        <v>0</v>
      </c>
      <c r="D4" s="27">
        <f>rebio23_80ml!D7/50</f>
        <v>0</v>
      </c>
      <c r="E4" s="27">
        <f>rebio23_80ml!E7/50</f>
        <v>0.64</v>
      </c>
      <c r="F4" s="27">
        <f>rebio23_80ml!F7/50</f>
        <v>0</v>
      </c>
      <c r="G4" s="27">
        <f>rebio23_80ml!G7/50</f>
        <v>0</v>
      </c>
      <c r="H4" s="27">
        <f>rebio23_80ml!H7/50</f>
        <v>0</v>
      </c>
      <c r="I4" s="27">
        <f>rebio23_80ml!I7/50</f>
        <v>0.04</v>
      </c>
      <c r="J4" s="27">
        <f>rebio23_80ml!J7/50</f>
        <v>0</v>
      </c>
      <c r="K4" s="27">
        <f>rebio23_80ml!K7/50</f>
        <v>0</v>
      </c>
      <c r="L4" s="27">
        <f>rebio23_80ml!L7/50</f>
        <v>0</v>
      </c>
      <c r="M4" s="27">
        <f>rebio23_80ml!M7/50</f>
        <v>0</v>
      </c>
      <c r="N4" s="27">
        <f>rebio23_80ml!N7/50</f>
        <v>0</v>
      </c>
      <c r="O4" s="27">
        <f>rebio23_80ml!O7/50</f>
        <v>0</v>
      </c>
      <c r="P4" s="27">
        <f>rebio23_80ml!P7/50</f>
        <v>0</v>
      </c>
      <c r="Q4" s="27">
        <f>rebio23_80ml!Q7/50</f>
        <v>0</v>
      </c>
      <c r="R4" s="27">
        <f>rebio23_80ml!R7/50</f>
        <v>0</v>
      </c>
      <c r="S4" s="27">
        <f>rebio23_80ml!S7/50</f>
        <v>0.04</v>
      </c>
      <c r="T4" s="27">
        <f>rebio23_80ml!T7/50</f>
        <v>0</v>
      </c>
      <c r="U4" s="27">
        <f>rebio23_80ml!U7/50</f>
        <v>0</v>
      </c>
      <c r="V4" s="27">
        <f>rebio23_80ml!V7/50</f>
        <v>0</v>
      </c>
      <c r="W4" s="27">
        <f>rebio23_80ml!W7/50</f>
        <v>0</v>
      </c>
      <c r="X4" s="27">
        <f>rebio23_80ml!X7/50</f>
        <v>0</v>
      </c>
      <c r="Y4" s="27">
        <f>rebio23_80ml!Y7/50</f>
        <v>0</v>
      </c>
      <c r="Z4" s="27">
        <f>rebio23_80ml!Z7/50</f>
        <v>0</v>
      </c>
      <c r="AA4" s="27">
        <f>rebio23_80ml!AA7/50</f>
        <v>0</v>
      </c>
      <c r="AB4" s="27">
        <f>rebio23_80ml!AB7/50</f>
        <v>0</v>
      </c>
      <c r="AC4" s="27">
        <f>rebio23_80ml!AC7/50</f>
        <v>0</v>
      </c>
      <c r="AD4" s="27">
        <f>rebio23_80ml!AD7/50</f>
        <v>0</v>
      </c>
      <c r="AE4" s="27">
        <f>rebio23_80ml!AE7/50</f>
        <v>0</v>
      </c>
      <c r="AF4" s="27">
        <f>rebio23_80ml!AF7/50</f>
        <v>0</v>
      </c>
      <c r="AG4" s="27">
        <f>rebio23_80ml!AG7/50</f>
        <v>0</v>
      </c>
      <c r="AH4" s="27">
        <f>rebio23_80ml!AH7/50</f>
        <v>0</v>
      </c>
      <c r="AI4" s="27">
        <f>rebio23_80ml!AI7/50</f>
        <v>0</v>
      </c>
      <c r="AJ4" s="27">
        <f>rebio23_80ml!AJ7/50</f>
        <v>0</v>
      </c>
      <c r="AK4" s="27">
        <f>rebio23_80ml!AK7/50</f>
        <v>0</v>
      </c>
      <c r="AL4" s="27">
        <f>rebio23_80ml!AL7/50</f>
        <v>0</v>
      </c>
      <c r="AM4" s="27">
        <f>rebio23_80ml!AM7/50</f>
        <v>0</v>
      </c>
      <c r="AN4" s="27">
        <f>rebio23_80ml!AN7/50</f>
        <v>0</v>
      </c>
      <c r="AO4" s="27">
        <f>rebio23_80ml!AO7/50</f>
        <v>0</v>
      </c>
      <c r="AP4" s="27">
        <f>rebio23_80ml!AP7/50</f>
        <v>0</v>
      </c>
      <c r="AQ4" s="27">
        <f>rebio23_80ml!AQ7/50</f>
        <v>0</v>
      </c>
      <c r="AR4" s="27">
        <f>rebio23_80ml!AR7/50</f>
        <v>0</v>
      </c>
      <c r="AS4" s="27">
        <f>rebio23_80ml!AS7/50</f>
        <v>0</v>
      </c>
      <c r="AT4" s="27">
        <f>rebio23_80ml!AT7/50</f>
        <v>0</v>
      </c>
      <c r="AU4" s="27">
        <f>rebio23_80ml!AU7/50</f>
        <v>0</v>
      </c>
      <c r="AV4" s="27">
        <f>rebio23_80ml!AV7/50</f>
        <v>0.12</v>
      </c>
      <c r="AW4" s="27">
        <f>rebio23_80ml!AW7/50</f>
        <v>0</v>
      </c>
      <c r="AX4" s="27">
        <f>rebio23_80ml!AX7/50</f>
        <v>0</v>
      </c>
      <c r="AY4" s="27">
        <f>rebio23_80ml!AY7/50</f>
        <v>0</v>
      </c>
      <c r="AZ4" s="27">
        <f>rebio23_80ml!AZ7/50</f>
        <v>0</v>
      </c>
      <c r="BA4" s="27">
        <f>rebio23_80ml!BA7/50</f>
        <v>0</v>
      </c>
      <c r="BB4" s="27">
        <f>rebio23_80ml!BB7/50</f>
        <v>0</v>
      </c>
      <c r="BC4" s="27">
        <f>rebio23_80ml!BC7/50</f>
        <v>0</v>
      </c>
      <c r="BD4" s="27">
        <f>rebio23_80ml!BD7/50</f>
        <v>0</v>
      </c>
      <c r="BE4" s="27">
        <f>rebio23_80ml!BE7/50</f>
        <v>0</v>
      </c>
      <c r="BF4" s="27">
        <f>rebio23_80ml!BF7/50</f>
        <v>0</v>
      </c>
      <c r="BG4" s="27">
        <f>rebio23_80ml!BG7/50</f>
        <v>0</v>
      </c>
    </row>
    <row r="5" spans="1:67" ht="12.75" customHeight="1" x14ac:dyDescent="0.25">
      <c r="A5" s="15" t="str">
        <f>rebio23_80ml!A8</f>
        <v>S-B-P06-H1</v>
      </c>
      <c r="B5" s="27">
        <f>rebio23_80ml!B8/50</f>
        <v>0</v>
      </c>
      <c r="C5" s="27">
        <f>rebio23_80ml!C8/50</f>
        <v>0</v>
      </c>
      <c r="D5" s="27">
        <f>rebio23_80ml!D8/50</f>
        <v>0</v>
      </c>
      <c r="E5" s="27">
        <f>rebio23_80ml!E8/50</f>
        <v>0.64</v>
      </c>
      <c r="F5" s="27">
        <f>rebio23_80ml!F8/50</f>
        <v>0</v>
      </c>
      <c r="G5" s="27">
        <f>rebio23_80ml!G8/50</f>
        <v>0</v>
      </c>
      <c r="H5" s="27">
        <f>rebio23_80ml!H8/50</f>
        <v>0</v>
      </c>
      <c r="I5" s="27">
        <f>rebio23_80ml!I8/50</f>
        <v>0</v>
      </c>
      <c r="J5" s="27">
        <f>rebio23_80ml!J8/50</f>
        <v>0</v>
      </c>
      <c r="K5" s="27">
        <f>rebio23_80ml!K8/50</f>
        <v>0</v>
      </c>
      <c r="L5" s="27">
        <f>rebio23_80ml!L8/50</f>
        <v>0</v>
      </c>
      <c r="M5" s="27">
        <f>rebio23_80ml!M8/50</f>
        <v>0</v>
      </c>
      <c r="N5" s="27">
        <f>rebio23_80ml!N8/50</f>
        <v>0</v>
      </c>
      <c r="O5" s="27">
        <f>rebio23_80ml!O8/50</f>
        <v>0</v>
      </c>
      <c r="P5" s="27">
        <f>rebio23_80ml!P8/50</f>
        <v>0</v>
      </c>
      <c r="Q5" s="27">
        <f>rebio23_80ml!Q8/50</f>
        <v>0</v>
      </c>
      <c r="R5" s="27">
        <f>rebio23_80ml!R8/50</f>
        <v>0</v>
      </c>
      <c r="S5" s="27">
        <f>rebio23_80ml!S8/50</f>
        <v>0</v>
      </c>
      <c r="T5" s="27">
        <f>rebio23_80ml!T8/50</f>
        <v>0</v>
      </c>
      <c r="U5" s="27">
        <f>rebio23_80ml!U8/50</f>
        <v>0</v>
      </c>
      <c r="V5" s="27">
        <f>rebio23_80ml!V8/50</f>
        <v>0</v>
      </c>
      <c r="W5" s="27">
        <f>rebio23_80ml!W8/50</f>
        <v>0</v>
      </c>
      <c r="X5" s="27">
        <f>rebio23_80ml!X8/50</f>
        <v>0</v>
      </c>
      <c r="Y5" s="27">
        <f>rebio23_80ml!Y8/50</f>
        <v>0</v>
      </c>
      <c r="Z5" s="27">
        <f>rebio23_80ml!Z8/50</f>
        <v>0</v>
      </c>
      <c r="AA5" s="27">
        <f>rebio23_80ml!AA8/50</f>
        <v>0</v>
      </c>
      <c r="AB5" s="27">
        <f>rebio23_80ml!AB8/50</f>
        <v>0</v>
      </c>
      <c r="AC5" s="27">
        <f>rebio23_80ml!AC8/50</f>
        <v>0</v>
      </c>
      <c r="AD5" s="27">
        <f>rebio23_80ml!AD8/50</f>
        <v>0</v>
      </c>
      <c r="AE5" s="27">
        <f>rebio23_80ml!AE8/50</f>
        <v>0</v>
      </c>
      <c r="AF5" s="27">
        <f>rebio23_80ml!AF8/50</f>
        <v>0</v>
      </c>
      <c r="AG5" s="27">
        <f>rebio23_80ml!AG8/50</f>
        <v>0</v>
      </c>
      <c r="AH5" s="27">
        <f>rebio23_80ml!AH8/50</f>
        <v>0</v>
      </c>
      <c r="AI5" s="27">
        <f>rebio23_80ml!AI8/50</f>
        <v>0</v>
      </c>
      <c r="AJ5" s="27">
        <f>rebio23_80ml!AJ8/50</f>
        <v>0</v>
      </c>
      <c r="AK5" s="27">
        <f>rebio23_80ml!AK8/50</f>
        <v>0</v>
      </c>
      <c r="AL5" s="27">
        <f>rebio23_80ml!AL8/50</f>
        <v>0</v>
      </c>
      <c r="AM5" s="27">
        <f>rebio23_80ml!AM8/50</f>
        <v>0</v>
      </c>
      <c r="AN5" s="27">
        <f>rebio23_80ml!AN8/50</f>
        <v>0</v>
      </c>
      <c r="AO5" s="27">
        <f>rebio23_80ml!AO8/50</f>
        <v>0</v>
      </c>
      <c r="AP5" s="27">
        <f>rebio23_80ml!AP8/50</f>
        <v>0</v>
      </c>
      <c r="AQ5" s="27">
        <f>rebio23_80ml!AQ8/50</f>
        <v>0</v>
      </c>
      <c r="AR5" s="27">
        <f>rebio23_80ml!AR8/50</f>
        <v>0</v>
      </c>
      <c r="AS5" s="27">
        <f>rebio23_80ml!AS8/50</f>
        <v>0</v>
      </c>
      <c r="AT5" s="27">
        <f>rebio23_80ml!AT8/50</f>
        <v>0</v>
      </c>
      <c r="AU5" s="27">
        <f>rebio23_80ml!AU8/50</f>
        <v>0</v>
      </c>
      <c r="AV5" s="27">
        <f>rebio23_80ml!AV8/50</f>
        <v>0</v>
      </c>
      <c r="AW5" s="27">
        <f>rebio23_80ml!AW8/50</f>
        <v>0</v>
      </c>
      <c r="AX5" s="27">
        <f>rebio23_80ml!AX8/50</f>
        <v>0</v>
      </c>
      <c r="AY5" s="27">
        <f>rebio23_80ml!AY8/50</f>
        <v>0</v>
      </c>
      <c r="AZ5" s="27">
        <f>rebio23_80ml!AZ8/50</f>
        <v>0</v>
      </c>
      <c r="BA5" s="27">
        <f>rebio23_80ml!BA8/50</f>
        <v>0</v>
      </c>
      <c r="BB5" s="27">
        <f>rebio23_80ml!BB8/50</f>
        <v>0</v>
      </c>
      <c r="BC5" s="27">
        <f>rebio23_80ml!BC8/50</f>
        <v>0</v>
      </c>
      <c r="BD5" s="27">
        <f>rebio23_80ml!BD8/50</f>
        <v>0</v>
      </c>
      <c r="BE5" s="27">
        <f>rebio23_80ml!BE8/50</f>
        <v>0</v>
      </c>
      <c r="BF5" s="27">
        <f>rebio23_80ml!BF8/50</f>
        <v>0</v>
      </c>
      <c r="BG5" s="27">
        <f>rebio23_80ml!BG8/50</f>
        <v>0</v>
      </c>
    </row>
    <row r="6" spans="1:67" ht="12.75" customHeight="1" x14ac:dyDescent="0.25">
      <c r="A6" s="15" t="str">
        <f>rebio23_80ml!A9</f>
        <v>S-B-P06-H2</v>
      </c>
      <c r="B6" s="27">
        <f>rebio23_80ml!B9/50</f>
        <v>0.02</v>
      </c>
      <c r="C6" s="27">
        <f>rebio23_80ml!C9/50</f>
        <v>0</v>
      </c>
      <c r="D6" s="27">
        <f>rebio23_80ml!D9/50</f>
        <v>0</v>
      </c>
      <c r="E6" s="27">
        <f>rebio23_80ml!E9/50</f>
        <v>1.28</v>
      </c>
      <c r="F6" s="27">
        <f>rebio23_80ml!F9/50</f>
        <v>0</v>
      </c>
      <c r="G6" s="27">
        <f>rebio23_80ml!G9/50</f>
        <v>0</v>
      </c>
      <c r="H6" s="27">
        <f>rebio23_80ml!H9/50</f>
        <v>0</v>
      </c>
      <c r="I6" s="27">
        <f>rebio23_80ml!I9/50</f>
        <v>0.02</v>
      </c>
      <c r="J6" s="27">
        <f>rebio23_80ml!J9/50</f>
        <v>0</v>
      </c>
      <c r="K6" s="27">
        <f>rebio23_80ml!K9/50</f>
        <v>0</v>
      </c>
      <c r="L6" s="27">
        <f>rebio23_80ml!L9/50</f>
        <v>0</v>
      </c>
      <c r="M6" s="27">
        <f>rebio23_80ml!M9/50</f>
        <v>0</v>
      </c>
      <c r="N6" s="27">
        <f>rebio23_80ml!N9/50</f>
        <v>0</v>
      </c>
      <c r="O6" s="27">
        <f>rebio23_80ml!O9/50</f>
        <v>0</v>
      </c>
      <c r="P6" s="27">
        <f>rebio23_80ml!P9/50</f>
        <v>0</v>
      </c>
      <c r="Q6" s="27">
        <f>rebio23_80ml!Q9/50</f>
        <v>0</v>
      </c>
      <c r="R6" s="27">
        <f>rebio23_80ml!R9/50</f>
        <v>0</v>
      </c>
      <c r="S6" s="27">
        <f>rebio23_80ml!S9/50</f>
        <v>0</v>
      </c>
      <c r="T6" s="27">
        <f>rebio23_80ml!T9/50</f>
        <v>0</v>
      </c>
      <c r="U6" s="27">
        <f>rebio23_80ml!U9/50</f>
        <v>0</v>
      </c>
      <c r="V6" s="27">
        <f>rebio23_80ml!V9/50</f>
        <v>0</v>
      </c>
      <c r="W6" s="27">
        <f>rebio23_80ml!W9/50</f>
        <v>0</v>
      </c>
      <c r="X6" s="27">
        <f>rebio23_80ml!X9/50</f>
        <v>0</v>
      </c>
      <c r="Y6" s="27">
        <f>rebio23_80ml!Y9/50</f>
        <v>0</v>
      </c>
      <c r="Z6" s="27">
        <f>rebio23_80ml!Z9/50</f>
        <v>0</v>
      </c>
      <c r="AA6" s="27">
        <f>rebio23_80ml!AA9/50</f>
        <v>0</v>
      </c>
      <c r="AB6" s="27">
        <f>rebio23_80ml!AB9/50</f>
        <v>0</v>
      </c>
      <c r="AC6" s="27">
        <f>rebio23_80ml!AC9/50</f>
        <v>0</v>
      </c>
      <c r="AD6" s="27">
        <f>rebio23_80ml!AD9/50</f>
        <v>0</v>
      </c>
      <c r="AE6" s="27">
        <f>rebio23_80ml!AE9/50</f>
        <v>0</v>
      </c>
      <c r="AF6" s="27">
        <f>rebio23_80ml!AF9/50</f>
        <v>0</v>
      </c>
      <c r="AG6" s="27">
        <f>rebio23_80ml!AG9/50</f>
        <v>0</v>
      </c>
      <c r="AH6" s="27">
        <f>rebio23_80ml!AH9/50</f>
        <v>0</v>
      </c>
      <c r="AI6" s="27">
        <f>rebio23_80ml!AI9/50</f>
        <v>0</v>
      </c>
      <c r="AJ6" s="27">
        <f>rebio23_80ml!AJ9/50</f>
        <v>0</v>
      </c>
      <c r="AK6" s="27">
        <f>rebio23_80ml!AK9/50</f>
        <v>0</v>
      </c>
      <c r="AL6" s="27">
        <f>rebio23_80ml!AL9/50</f>
        <v>0</v>
      </c>
      <c r="AM6" s="27">
        <f>rebio23_80ml!AM9/50</f>
        <v>0</v>
      </c>
      <c r="AN6" s="27">
        <f>rebio23_80ml!AN9/50</f>
        <v>0</v>
      </c>
      <c r="AO6" s="27">
        <f>rebio23_80ml!AO9/50</f>
        <v>0</v>
      </c>
      <c r="AP6" s="27">
        <f>rebio23_80ml!AP9/50</f>
        <v>0</v>
      </c>
      <c r="AQ6" s="27">
        <f>rebio23_80ml!AQ9/50</f>
        <v>0</v>
      </c>
      <c r="AR6" s="27">
        <f>rebio23_80ml!AR9/50</f>
        <v>0</v>
      </c>
      <c r="AS6" s="27">
        <f>rebio23_80ml!AS9/50</f>
        <v>0</v>
      </c>
      <c r="AT6" s="27">
        <f>rebio23_80ml!AT9/50</f>
        <v>0</v>
      </c>
      <c r="AU6" s="27">
        <f>rebio23_80ml!AU9/50</f>
        <v>0</v>
      </c>
      <c r="AV6" s="27">
        <f>rebio23_80ml!AV9/50</f>
        <v>0.02</v>
      </c>
      <c r="AW6" s="27">
        <f>rebio23_80ml!AW9/50</f>
        <v>0</v>
      </c>
      <c r="AX6" s="27">
        <f>rebio23_80ml!AX9/50</f>
        <v>0</v>
      </c>
      <c r="AY6" s="27">
        <f>rebio23_80ml!AY9/50</f>
        <v>0</v>
      </c>
      <c r="AZ6" s="27">
        <f>rebio23_80ml!AZ9/50</f>
        <v>0</v>
      </c>
      <c r="BA6" s="27">
        <f>rebio23_80ml!BA9/50</f>
        <v>0</v>
      </c>
      <c r="BB6" s="27">
        <f>rebio23_80ml!BB9/50</f>
        <v>0</v>
      </c>
      <c r="BC6" s="27">
        <f>rebio23_80ml!BC9/50</f>
        <v>0</v>
      </c>
      <c r="BD6" s="27">
        <f>rebio23_80ml!BD9/50</f>
        <v>0</v>
      </c>
      <c r="BE6" s="27">
        <f>rebio23_80ml!BE9/50</f>
        <v>0</v>
      </c>
      <c r="BF6" s="27">
        <f>rebio23_80ml!BF9/50</f>
        <v>0</v>
      </c>
      <c r="BG6" s="27">
        <f>rebio23_80ml!BG9/50</f>
        <v>0</v>
      </c>
    </row>
    <row r="7" spans="1:67" ht="12.75" customHeight="1" x14ac:dyDescent="0.25">
      <c r="A7" s="15" t="str">
        <f>rebio23_80ml!A10</f>
        <v>S-B-P06-H3</v>
      </c>
      <c r="B7" s="27">
        <f>rebio23_80ml!B10/50</f>
        <v>0</v>
      </c>
      <c r="C7" s="27">
        <f>rebio23_80ml!C10/50</f>
        <v>0</v>
      </c>
      <c r="D7" s="27">
        <f>rebio23_80ml!D10/50</f>
        <v>0</v>
      </c>
      <c r="E7" s="27">
        <f>rebio23_80ml!E10/50</f>
        <v>1.54</v>
      </c>
      <c r="F7" s="27">
        <f>rebio23_80ml!F10/50</f>
        <v>0</v>
      </c>
      <c r="G7" s="27">
        <f>rebio23_80ml!G10/50</f>
        <v>0</v>
      </c>
      <c r="H7" s="27">
        <f>rebio23_80ml!H10/50</f>
        <v>0</v>
      </c>
      <c r="I7" s="27">
        <f>rebio23_80ml!I10/50</f>
        <v>0</v>
      </c>
      <c r="J7" s="27">
        <f>rebio23_80ml!J10/50</f>
        <v>0</v>
      </c>
      <c r="K7" s="27">
        <f>rebio23_80ml!K10/50</f>
        <v>0</v>
      </c>
      <c r="L7" s="27">
        <f>rebio23_80ml!L10/50</f>
        <v>0</v>
      </c>
      <c r="M7" s="27">
        <f>rebio23_80ml!M10/50</f>
        <v>0</v>
      </c>
      <c r="N7" s="27">
        <f>rebio23_80ml!N10/50</f>
        <v>0</v>
      </c>
      <c r="O7" s="27">
        <f>rebio23_80ml!O10/50</f>
        <v>0</v>
      </c>
      <c r="P7" s="27">
        <f>rebio23_80ml!P10/50</f>
        <v>0</v>
      </c>
      <c r="Q7" s="27">
        <f>rebio23_80ml!Q10/50</f>
        <v>0</v>
      </c>
      <c r="R7" s="27">
        <f>rebio23_80ml!R10/50</f>
        <v>0</v>
      </c>
      <c r="S7" s="27">
        <f>rebio23_80ml!S10/50</f>
        <v>0</v>
      </c>
      <c r="T7" s="27">
        <f>rebio23_80ml!T10/50</f>
        <v>0</v>
      </c>
      <c r="U7" s="27">
        <f>rebio23_80ml!U10/50</f>
        <v>0</v>
      </c>
      <c r="V7" s="27">
        <f>rebio23_80ml!V10/50</f>
        <v>0</v>
      </c>
      <c r="W7" s="27">
        <f>rebio23_80ml!W10/50</f>
        <v>0</v>
      </c>
      <c r="X7" s="27">
        <f>rebio23_80ml!X10/50</f>
        <v>0</v>
      </c>
      <c r="Y7" s="27">
        <f>rebio23_80ml!Y10/50</f>
        <v>0</v>
      </c>
      <c r="Z7" s="27">
        <f>rebio23_80ml!Z10/50</f>
        <v>0</v>
      </c>
      <c r="AA7" s="27">
        <f>rebio23_80ml!AA10/50</f>
        <v>0</v>
      </c>
      <c r="AB7" s="27">
        <f>rebio23_80ml!AB10/50</f>
        <v>0</v>
      </c>
      <c r="AC7" s="27">
        <f>rebio23_80ml!AC10/50</f>
        <v>0</v>
      </c>
      <c r="AD7" s="27">
        <f>rebio23_80ml!AD10/50</f>
        <v>0</v>
      </c>
      <c r="AE7" s="27">
        <f>rebio23_80ml!AE10/50</f>
        <v>0</v>
      </c>
      <c r="AF7" s="27">
        <f>rebio23_80ml!AF10/50</f>
        <v>0</v>
      </c>
      <c r="AG7" s="27">
        <f>rebio23_80ml!AG10/50</f>
        <v>0</v>
      </c>
      <c r="AH7" s="27">
        <f>rebio23_80ml!AH10/50</f>
        <v>0</v>
      </c>
      <c r="AI7" s="27">
        <f>rebio23_80ml!AI10/50</f>
        <v>0</v>
      </c>
      <c r="AJ7" s="27">
        <f>rebio23_80ml!AJ10/50</f>
        <v>0</v>
      </c>
      <c r="AK7" s="27">
        <f>rebio23_80ml!AK10/50</f>
        <v>0</v>
      </c>
      <c r="AL7" s="27">
        <f>rebio23_80ml!AL10/50</f>
        <v>0</v>
      </c>
      <c r="AM7" s="27">
        <f>rebio23_80ml!AM10/50</f>
        <v>0</v>
      </c>
      <c r="AN7" s="27">
        <f>rebio23_80ml!AN10/50</f>
        <v>0</v>
      </c>
      <c r="AO7" s="27">
        <f>rebio23_80ml!AO10/50</f>
        <v>0</v>
      </c>
      <c r="AP7" s="27">
        <f>rebio23_80ml!AP10/50</f>
        <v>0</v>
      </c>
      <c r="AQ7" s="27">
        <f>rebio23_80ml!AQ10/50</f>
        <v>0</v>
      </c>
      <c r="AR7" s="27">
        <f>rebio23_80ml!AR10/50</f>
        <v>0</v>
      </c>
      <c r="AS7" s="27">
        <f>rebio23_80ml!AS10/50</f>
        <v>0</v>
      </c>
      <c r="AT7" s="27">
        <f>rebio23_80ml!AT10/50</f>
        <v>0</v>
      </c>
      <c r="AU7" s="27">
        <f>rebio23_80ml!AU10/50</f>
        <v>0</v>
      </c>
      <c r="AV7" s="27">
        <f>rebio23_80ml!AV10/50</f>
        <v>0.06</v>
      </c>
      <c r="AW7" s="27">
        <f>rebio23_80ml!AW10/50</f>
        <v>0</v>
      </c>
      <c r="AX7" s="27">
        <f>rebio23_80ml!AX10/50</f>
        <v>0</v>
      </c>
      <c r="AY7" s="27">
        <f>rebio23_80ml!AY10/50</f>
        <v>0</v>
      </c>
      <c r="AZ7" s="27">
        <f>rebio23_80ml!AZ10/50</f>
        <v>0</v>
      </c>
      <c r="BA7" s="27">
        <f>rebio23_80ml!BA10/50</f>
        <v>0</v>
      </c>
      <c r="BB7" s="27">
        <f>rebio23_80ml!BB10/50</f>
        <v>0</v>
      </c>
      <c r="BC7" s="27">
        <f>rebio23_80ml!BC10/50</f>
        <v>0</v>
      </c>
      <c r="BD7" s="27">
        <f>rebio23_80ml!BD10/50</f>
        <v>0</v>
      </c>
      <c r="BE7" s="27">
        <f>rebio23_80ml!BE10/50</f>
        <v>0</v>
      </c>
      <c r="BF7" s="27">
        <f>rebio23_80ml!BF10/50</f>
        <v>0</v>
      </c>
      <c r="BG7" s="27">
        <f>rebio23_80ml!BG10/50</f>
        <v>0</v>
      </c>
    </row>
    <row r="8" spans="1:67" ht="12.75" customHeight="1" x14ac:dyDescent="0.25">
      <c r="A8" s="15" t="str">
        <f>rebio23_80ml!A11</f>
        <v>S-B-P07-H1</v>
      </c>
      <c r="B8" s="27">
        <f>rebio23_80ml!B11/50</f>
        <v>0</v>
      </c>
      <c r="C8" s="27">
        <f>rebio23_80ml!C11/50</f>
        <v>0</v>
      </c>
      <c r="D8" s="27">
        <f>rebio23_80ml!D11/50</f>
        <v>0</v>
      </c>
      <c r="E8" s="27">
        <f>rebio23_80ml!E11/50</f>
        <v>1.18</v>
      </c>
      <c r="F8" s="27">
        <f>rebio23_80ml!F11/50</f>
        <v>0</v>
      </c>
      <c r="G8" s="27">
        <f>rebio23_80ml!G11/50</f>
        <v>0</v>
      </c>
      <c r="H8" s="27">
        <f>rebio23_80ml!H11/50</f>
        <v>0</v>
      </c>
      <c r="I8" s="27">
        <f>rebio23_80ml!I11/50</f>
        <v>0.04</v>
      </c>
      <c r="J8" s="27">
        <f>rebio23_80ml!J11/50</f>
        <v>0</v>
      </c>
      <c r="K8" s="27">
        <f>rebio23_80ml!K11/50</f>
        <v>0</v>
      </c>
      <c r="L8" s="27">
        <f>rebio23_80ml!L11/50</f>
        <v>0</v>
      </c>
      <c r="M8" s="27">
        <f>rebio23_80ml!M11/50</f>
        <v>0</v>
      </c>
      <c r="N8" s="27">
        <f>rebio23_80ml!N11/50</f>
        <v>0</v>
      </c>
      <c r="O8" s="27">
        <f>rebio23_80ml!O11/50</f>
        <v>0</v>
      </c>
      <c r="P8" s="27">
        <f>rebio23_80ml!P11/50</f>
        <v>0</v>
      </c>
      <c r="Q8" s="27">
        <f>rebio23_80ml!Q11/50</f>
        <v>0</v>
      </c>
      <c r="R8" s="27">
        <f>rebio23_80ml!R11/50</f>
        <v>0</v>
      </c>
      <c r="S8" s="27">
        <f>rebio23_80ml!S11/50</f>
        <v>0</v>
      </c>
      <c r="T8" s="27">
        <f>rebio23_80ml!T11/50</f>
        <v>0</v>
      </c>
      <c r="U8" s="27">
        <f>rebio23_80ml!U11/50</f>
        <v>0</v>
      </c>
      <c r="V8" s="27">
        <f>rebio23_80ml!V11/50</f>
        <v>0</v>
      </c>
      <c r="W8" s="27">
        <f>rebio23_80ml!W11/50</f>
        <v>0</v>
      </c>
      <c r="X8" s="27">
        <f>rebio23_80ml!X11/50</f>
        <v>0</v>
      </c>
      <c r="Y8" s="27">
        <f>rebio23_80ml!Y11/50</f>
        <v>0</v>
      </c>
      <c r="Z8" s="27">
        <f>rebio23_80ml!Z11/50</f>
        <v>0</v>
      </c>
      <c r="AA8" s="27">
        <f>rebio23_80ml!AA11/50</f>
        <v>0</v>
      </c>
      <c r="AB8" s="27">
        <f>rebio23_80ml!AB11/50</f>
        <v>0</v>
      </c>
      <c r="AC8" s="27">
        <f>rebio23_80ml!AC11/50</f>
        <v>0</v>
      </c>
      <c r="AD8" s="27">
        <f>rebio23_80ml!AD11/50</f>
        <v>0</v>
      </c>
      <c r="AE8" s="27">
        <f>rebio23_80ml!AE11/50</f>
        <v>0</v>
      </c>
      <c r="AF8" s="27">
        <f>rebio23_80ml!AF11/50</f>
        <v>0</v>
      </c>
      <c r="AG8" s="27">
        <f>rebio23_80ml!AG11/50</f>
        <v>0</v>
      </c>
      <c r="AH8" s="27">
        <f>rebio23_80ml!AH11/50</f>
        <v>0</v>
      </c>
      <c r="AI8" s="27">
        <f>rebio23_80ml!AI11/50</f>
        <v>0</v>
      </c>
      <c r="AJ8" s="27">
        <f>rebio23_80ml!AJ11/50</f>
        <v>0</v>
      </c>
      <c r="AK8" s="27">
        <f>rebio23_80ml!AK11/50</f>
        <v>0</v>
      </c>
      <c r="AL8" s="27">
        <f>rebio23_80ml!AL11/50</f>
        <v>0</v>
      </c>
      <c r="AM8" s="27">
        <f>rebio23_80ml!AM11/50</f>
        <v>0</v>
      </c>
      <c r="AN8" s="27">
        <f>rebio23_80ml!AN11/50</f>
        <v>0</v>
      </c>
      <c r="AO8" s="27">
        <f>rebio23_80ml!AO11/50</f>
        <v>0</v>
      </c>
      <c r="AP8" s="27">
        <f>rebio23_80ml!AP11/50</f>
        <v>0</v>
      </c>
      <c r="AQ8" s="27">
        <f>rebio23_80ml!AQ11/50</f>
        <v>0</v>
      </c>
      <c r="AR8" s="27">
        <f>rebio23_80ml!AR11/50</f>
        <v>0</v>
      </c>
      <c r="AS8" s="27">
        <f>rebio23_80ml!AS11/50</f>
        <v>0</v>
      </c>
      <c r="AT8" s="27">
        <f>rebio23_80ml!AT11/50</f>
        <v>0</v>
      </c>
      <c r="AU8" s="27">
        <f>rebio23_80ml!AU11/50</f>
        <v>0</v>
      </c>
      <c r="AV8" s="27">
        <f>rebio23_80ml!AV11/50</f>
        <v>0.02</v>
      </c>
      <c r="AW8" s="27">
        <f>rebio23_80ml!AW11/50</f>
        <v>0</v>
      </c>
      <c r="AX8" s="27">
        <f>rebio23_80ml!AX11/50</f>
        <v>0</v>
      </c>
      <c r="AY8" s="27">
        <f>rebio23_80ml!AY11/50</f>
        <v>0</v>
      </c>
      <c r="AZ8" s="27">
        <f>rebio23_80ml!AZ11/50</f>
        <v>0</v>
      </c>
      <c r="BA8" s="27">
        <f>rebio23_80ml!BA11/50</f>
        <v>0</v>
      </c>
      <c r="BB8" s="27">
        <f>rebio23_80ml!BB11/50</f>
        <v>0</v>
      </c>
      <c r="BC8" s="27">
        <f>rebio23_80ml!BC11/50</f>
        <v>0</v>
      </c>
      <c r="BD8" s="27">
        <f>rebio23_80ml!BD11/50</f>
        <v>0</v>
      </c>
      <c r="BE8" s="27">
        <f>rebio23_80ml!BE11/50</f>
        <v>0</v>
      </c>
      <c r="BF8" s="27">
        <f>rebio23_80ml!BF11/50</f>
        <v>0</v>
      </c>
      <c r="BG8" s="27">
        <f>rebio23_80ml!BG11/50</f>
        <v>0</v>
      </c>
    </row>
    <row r="9" spans="1:67" ht="12.75" customHeight="1" x14ac:dyDescent="0.25">
      <c r="A9" s="15" t="str">
        <f>rebio23_80ml!A12</f>
        <v>S-B-P07-H2</v>
      </c>
      <c r="B9" s="27">
        <f>rebio23_80ml!B12/50</f>
        <v>0</v>
      </c>
      <c r="C9" s="27">
        <f>rebio23_80ml!C12/50</f>
        <v>0</v>
      </c>
      <c r="D9" s="27">
        <f>rebio23_80ml!D12/50</f>
        <v>0</v>
      </c>
      <c r="E9" s="27">
        <f>rebio23_80ml!E12/50</f>
        <v>0.88</v>
      </c>
      <c r="F9" s="27">
        <f>rebio23_80ml!F12/50</f>
        <v>0</v>
      </c>
      <c r="G9" s="27">
        <f>rebio23_80ml!G12/50</f>
        <v>0</v>
      </c>
      <c r="H9" s="27">
        <f>rebio23_80ml!H12/50</f>
        <v>0</v>
      </c>
      <c r="I9" s="27">
        <f>rebio23_80ml!I12/50</f>
        <v>0</v>
      </c>
      <c r="J9" s="27">
        <f>rebio23_80ml!J12/50</f>
        <v>0</v>
      </c>
      <c r="K9" s="27">
        <f>rebio23_80ml!K12/50</f>
        <v>0</v>
      </c>
      <c r="L9" s="27">
        <f>rebio23_80ml!L12/50</f>
        <v>0</v>
      </c>
      <c r="M9" s="27">
        <f>rebio23_80ml!M12/50</f>
        <v>0</v>
      </c>
      <c r="N9" s="27">
        <f>rebio23_80ml!N12/50</f>
        <v>0</v>
      </c>
      <c r="O9" s="27">
        <f>rebio23_80ml!O12/50</f>
        <v>0</v>
      </c>
      <c r="P9" s="27">
        <f>rebio23_80ml!P12/50</f>
        <v>0</v>
      </c>
      <c r="Q9" s="27">
        <f>rebio23_80ml!Q12/50</f>
        <v>0</v>
      </c>
      <c r="R9" s="27">
        <f>rebio23_80ml!R12/50</f>
        <v>0</v>
      </c>
      <c r="S9" s="27">
        <f>rebio23_80ml!S12/50</f>
        <v>0</v>
      </c>
      <c r="T9" s="27">
        <f>rebio23_80ml!T12/50</f>
        <v>0</v>
      </c>
      <c r="U9" s="27">
        <f>rebio23_80ml!U12/50</f>
        <v>0</v>
      </c>
      <c r="V9" s="27">
        <f>rebio23_80ml!V12/50</f>
        <v>0</v>
      </c>
      <c r="W9" s="27">
        <f>rebio23_80ml!W12/50</f>
        <v>0</v>
      </c>
      <c r="X9" s="27">
        <f>rebio23_80ml!X12/50</f>
        <v>0</v>
      </c>
      <c r="Y9" s="27">
        <f>rebio23_80ml!Y12/50</f>
        <v>0</v>
      </c>
      <c r="Z9" s="27">
        <f>rebio23_80ml!Z12/50</f>
        <v>0</v>
      </c>
      <c r="AA9" s="27">
        <f>rebio23_80ml!AA12/50</f>
        <v>0</v>
      </c>
      <c r="AB9" s="27">
        <f>rebio23_80ml!AB12/50</f>
        <v>0</v>
      </c>
      <c r="AC9" s="27">
        <f>rebio23_80ml!AC12/50</f>
        <v>0</v>
      </c>
      <c r="AD9" s="27">
        <f>rebio23_80ml!AD12/50</f>
        <v>0</v>
      </c>
      <c r="AE9" s="27">
        <f>rebio23_80ml!AE12/50</f>
        <v>0</v>
      </c>
      <c r="AF9" s="27">
        <f>rebio23_80ml!AF12/50</f>
        <v>0</v>
      </c>
      <c r="AG9" s="27">
        <f>rebio23_80ml!AG12/50</f>
        <v>0</v>
      </c>
      <c r="AH9" s="27">
        <f>rebio23_80ml!AH12/50</f>
        <v>0</v>
      </c>
      <c r="AI9" s="27">
        <f>rebio23_80ml!AI12/50</f>
        <v>0</v>
      </c>
      <c r="AJ9" s="27">
        <f>rebio23_80ml!AJ12/50</f>
        <v>0</v>
      </c>
      <c r="AK9" s="27">
        <f>rebio23_80ml!AK12/50</f>
        <v>0</v>
      </c>
      <c r="AL9" s="27">
        <f>rebio23_80ml!AL12/50</f>
        <v>0</v>
      </c>
      <c r="AM9" s="27">
        <f>rebio23_80ml!AM12/50</f>
        <v>0</v>
      </c>
      <c r="AN9" s="27">
        <f>rebio23_80ml!AN12/50</f>
        <v>0</v>
      </c>
      <c r="AO9" s="27">
        <f>rebio23_80ml!AO12/50</f>
        <v>0</v>
      </c>
      <c r="AP9" s="27">
        <f>rebio23_80ml!AP12/50</f>
        <v>0</v>
      </c>
      <c r="AQ9" s="27">
        <f>rebio23_80ml!AQ12/50</f>
        <v>0</v>
      </c>
      <c r="AR9" s="27">
        <f>rebio23_80ml!AR12/50</f>
        <v>0</v>
      </c>
      <c r="AS9" s="27">
        <f>rebio23_80ml!AS12/50</f>
        <v>0</v>
      </c>
      <c r="AT9" s="27">
        <f>rebio23_80ml!AT12/50</f>
        <v>0</v>
      </c>
      <c r="AU9" s="27">
        <f>rebio23_80ml!AU12/50</f>
        <v>0</v>
      </c>
      <c r="AV9" s="27">
        <f>rebio23_80ml!AV12/50</f>
        <v>0.04</v>
      </c>
      <c r="AW9" s="27">
        <f>rebio23_80ml!AW12/50</f>
        <v>0</v>
      </c>
      <c r="AX9" s="27">
        <f>rebio23_80ml!AX12/50</f>
        <v>0.02</v>
      </c>
      <c r="AY9" s="27">
        <f>rebio23_80ml!AY12/50</f>
        <v>0</v>
      </c>
      <c r="AZ9" s="27">
        <f>rebio23_80ml!AZ12/50</f>
        <v>0.02</v>
      </c>
      <c r="BA9" s="27">
        <f>rebio23_80ml!BA12/50</f>
        <v>0</v>
      </c>
      <c r="BB9" s="27">
        <f>rebio23_80ml!BB12/50</f>
        <v>0</v>
      </c>
      <c r="BC9" s="27">
        <f>rebio23_80ml!BC12/50</f>
        <v>0</v>
      </c>
      <c r="BD9" s="27">
        <f>rebio23_80ml!BD12/50</f>
        <v>0</v>
      </c>
      <c r="BE9" s="27">
        <f>rebio23_80ml!BE12/50</f>
        <v>0</v>
      </c>
      <c r="BF9" s="27">
        <f>rebio23_80ml!BF12/50</f>
        <v>0</v>
      </c>
      <c r="BG9" s="27">
        <f>rebio23_80ml!BG12/50</f>
        <v>0</v>
      </c>
    </row>
    <row r="10" spans="1:67" ht="12.75" customHeight="1" x14ac:dyDescent="0.25">
      <c r="A10" s="15" t="str">
        <f>rebio23_80ml!A13</f>
        <v>S-B-P07-H3</v>
      </c>
      <c r="B10" s="27">
        <f>rebio23_80ml!B13/50</f>
        <v>0</v>
      </c>
      <c r="C10" s="27">
        <f>rebio23_80ml!C13/50</f>
        <v>0</v>
      </c>
      <c r="D10" s="27">
        <f>rebio23_80ml!D13/50</f>
        <v>0</v>
      </c>
      <c r="E10" s="27">
        <f>rebio23_80ml!E13/50</f>
        <v>0.86</v>
      </c>
      <c r="F10" s="27">
        <f>rebio23_80ml!F13/50</f>
        <v>0</v>
      </c>
      <c r="G10" s="27">
        <f>rebio23_80ml!G13/50</f>
        <v>0</v>
      </c>
      <c r="H10" s="27">
        <f>rebio23_80ml!H13/50</f>
        <v>0</v>
      </c>
      <c r="I10" s="27">
        <f>rebio23_80ml!I13/50</f>
        <v>0</v>
      </c>
      <c r="J10" s="27">
        <f>rebio23_80ml!J13/50</f>
        <v>0</v>
      </c>
      <c r="K10" s="27">
        <f>rebio23_80ml!K13/50</f>
        <v>0</v>
      </c>
      <c r="L10" s="27">
        <f>rebio23_80ml!L13/50</f>
        <v>0</v>
      </c>
      <c r="M10" s="27">
        <f>rebio23_80ml!M13/50</f>
        <v>0</v>
      </c>
      <c r="N10" s="27">
        <f>rebio23_80ml!N13/50</f>
        <v>0</v>
      </c>
      <c r="O10" s="27">
        <f>rebio23_80ml!O13/50</f>
        <v>0</v>
      </c>
      <c r="P10" s="27">
        <f>rebio23_80ml!P13/50</f>
        <v>0</v>
      </c>
      <c r="Q10" s="27">
        <f>rebio23_80ml!Q13/50</f>
        <v>0</v>
      </c>
      <c r="R10" s="27">
        <f>rebio23_80ml!R13/50</f>
        <v>0</v>
      </c>
      <c r="S10" s="27">
        <f>rebio23_80ml!S13/50</f>
        <v>0.02</v>
      </c>
      <c r="T10" s="27">
        <f>rebio23_80ml!T13/50</f>
        <v>0</v>
      </c>
      <c r="U10" s="27">
        <f>rebio23_80ml!U13/50</f>
        <v>0</v>
      </c>
      <c r="V10" s="27">
        <f>rebio23_80ml!V13/50</f>
        <v>0</v>
      </c>
      <c r="W10" s="27">
        <f>rebio23_80ml!W13/50</f>
        <v>0</v>
      </c>
      <c r="X10" s="27">
        <f>rebio23_80ml!X13/50</f>
        <v>0</v>
      </c>
      <c r="Y10" s="27">
        <f>rebio23_80ml!Y13/50</f>
        <v>0</v>
      </c>
      <c r="Z10" s="27">
        <f>rebio23_80ml!Z13/50</f>
        <v>0</v>
      </c>
      <c r="AA10" s="27">
        <f>rebio23_80ml!AA13/50</f>
        <v>0</v>
      </c>
      <c r="AB10" s="27">
        <f>rebio23_80ml!AB13/50</f>
        <v>0</v>
      </c>
      <c r="AC10" s="27">
        <f>rebio23_80ml!AC13/50</f>
        <v>0</v>
      </c>
      <c r="AD10" s="27">
        <f>rebio23_80ml!AD13/50</f>
        <v>0</v>
      </c>
      <c r="AE10" s="27">
        <f>rebio23_80ml!AE13/50</f>
        <v>0</v>
      </c>
      <c r="AF10" s="27">
        <f>rebio23_80ml!AF13/50</f>
        <v>0.02</v>
      </c>
      <c r="AG10" s="27">
        <f>rebio23_80ml!AG13/50</f>
        <v>0</v>
      </c>
      <c r="AH10" s="27">
        <f>rebio23_80ml!AH13/50</f>
        <v>0</v>
      </c>
      <c r="AI10" s="27">
        <f>rebio23_80ml!AI13/50</f>
        <v>0</v>
      </c>
      <c r="AJ10" s="27">
        <f>rebio23_80ml!AJ13/50</f>
        <v>0</v>
      </c>
      <c r="AK10" s="27">
        <f>rebio23_80ml!AK13/50</f>
        <v>0</v>
      </c>
      <c r="AL10" s="27">
        <f>rebio23_80ml!AL13/50</f>
        <v>0</v>
      </c>
      <c r="AM10" s="27">
        <f>rebio23_80ml!AM13/50</f>
        <v>0</v>
      </c>
      <c r="AN10" s="27">
        <f>rebio23_80ml!AN13/50</f>
        <v>0</v>
      </c>
      <c r="AO10" s="27">
        <f>rebio23_80ml!AO13/50</f>
        <v>0</v>
      </c>
      <c r="AP10" s="27">
        <f>rebio23_80ml!AP13/50</f>
        <v>0</v>
      </c>
      <c r="AQ10" s="27">
        <f>rebio23_80ml!AQ13/50</f>
        <v>0</v>
      </c>
      <c r="AR10" s="27">
        <f>rebio23_80ml!AR13/50</f>
        <v>0</v>
      </c>
      <c r="AS10" s="27">
        <f>rebio23_80ml!AS13/50</f>
        <v>0</v>
      </c>
      <c r="AT10" s="27">
        <f>rebio23_80ml!AT13/50</f>
        <v>0</v>
      </c>
      <c r="AU10" s="27">
        <f>rebio23_80ml!AU13/50</f>
        <v>0</v>
      </c>
      <c r="AV10" s="27">
        <f>rebio23_80ml!AV13/50</f>
        <v>0.08</v>
      </c>
      <c r="AW10" s="27">
        <f>rebio23_80ml!AW13/50</f>
        <v>0</v>
      </c>
      <c r="AX10" s="27">
        <f>rebio23_80ml!AX13/50</f>
        <v>0</v>
      </c>
      <c r="AY10" s="27">
        <f>rebio23_80ml!AY13/50</f>
        <v>0</v>
      </c>
      <c r="AZ10" s="27">
        <f>rebio23_80ml!AZ13/50</f>
        <v>0.02</v>
      </c>
      <c r="BA10" s="27">
        <f>rebio23_80ml!BA13/50</f>
        <v>0</v>
      </c>
      <c r="BB10" s="27">
        <f>rebio23_80ml!BB13/50</f>
        <v>0</v>
      </c>
      <c r="BC10" s="27">
        <f>rebio23_80ml!BC13/50</f>
        <v>0</v>
      </c>
      <c r="BD10" s="27">
        <f>rebio23_80ml!BD13/50</f>
        <v>0</v>
      </c>
      <c r="BE10" s="27">
        <f>rebio23_80ml!BE13/50</f>
        <v>0</v>
      </c>
      <c r="BF10" s="27">
        <f>rebio23_80ml!BF13/50</f>
        <v>0</v>
      </c>
      <c r="BG10" s="27">
        <f>rebio23_80ml!BG13/50</f>
        <v>0</v>
      </c>
    </row>
    <row r="11" spans="1:67" ht="12.75" customHeight="1" x14ac:dyDescent="0.25">
      <c r="A11" s="15" t="str">
        <f>rebio23_80ml!A14</f>
        <v>S-B-P08-H1</v>
      </c>
      <c r="B11" s="27">
        <f>rebio23_80ml!B14/50</f>
        <v>0.02</v>
      </c>
      <c r="C11" s="27">
        <f>rebio23_80ml!C14/50</f>
        <v>0</v>
      </c>
      <c r="D11" s="27">
        <f>rebio23_80ml!D14/50</f>
        <v>0</v>
      </c>
      <c r="E11" s="27">
        <f>rebio23_80ml!E14/50</f>
        <v>1.38</v>
      </c>
      <c r="F11" s="27">
        <f>rebio23_80ml!F14/50</f>
        <v>0</v>
      </c>
      <c r="G11" s="27">
        <f>rebio23_80ml!G14/50</f>
        <v>0</v>
      </c>
      <c r="H11" s="27">
        <f>rebio23_80ml!H14/50</f>
        <v>0.02</v>
      </c>
      <c r="I11" s="27">
        <f>rebio23_80ml!I14/50</f>
        <v>1.52</v>
      </c>
      <c r="J11" s="27">
        <f>rebio23_80ml!J14/50</f>
        <v>0</v>
      </c>
      <c r="K11" s="27">
        <f>rebio23_80ml!K14/50</f>
        <v>0</v>
      </c>
      <c r="L11" s="27">
        <f>rebio23_80ml!L14/50</f>
        <v>0</v>
      </c>
      <c r="M11" s="27">
        <f>rebio23_80ml!M14/50</f>
        <v>0</v>
      </c>
      <c r="N11" s="27">
        <f>rebio23_80ml!N14/50</f>
        <v>0</v>
      </c>
      <c r="O11" s="27">
        <f>rebio23_80ml!O14/50</f>
        <v>0</v>
      </c>
      <c r="P11" s="27">
        <f>rebio23_80ml!P14/50</f>
        <v>0.02</v>
      </c>
      <c r="Q11" s="27">
        <f>rebio23_80ml!Q14/50</f>
        <v>0.02</v>
      </c>
      <c r="R11" s="27">
        <f>rebio23_80ml!R14/50</f>
        <v>0</v>
      </c>
      <c r="S11" s="27">
        <f>rebio23_80ml!S14/50</f>
        <v>0</v>
      </c>
      <c r="T11" s="27">
        <f>rebio23_80ml!T14/50</f>
        <v>0</v>
      </c>
      <c r="U11" s="27">
        <f>rebio23_80ml!U14/50</f>
        <v>0</v>
      </c>
      <c r="V11" s="27">
        <f>rebio23_80ml!V14/50</f>
        <v>0</v>
      </c>
      <c r="W11" s="27">
        <f>rebio23_80ml!W14/50</f>
        <v>0</v>
      </c>
      <c r="X11" s="27">
        <f>rebio23_80ml!X14/50</f>
        <v>0.02</v>
      </c>
      <c r="Y11" s="27">
        <f>rebio23_80ml!Y14/50</f>
        <v>0.02</v>
      </c>
      <c r="Z11" s="27">
        <f>rebio23_80ml!Z14/50</f>
        <v>0</v>
      </c>
      <c r="AA11" s="27">
        <f>rebio23_80ml!AA14/50</f>
        <v>0.08</v>
      </c>
      <c r="AB11" s="27">
        <f>rebio23_80ml!AB14/50</f>
        <v>0</v>
      </c>
      <c r="AC11" s="27">
        <f>rebio23_80ml!AC14/50</f>
        <v>0</v>
      </c>
      <c r="AD11" s="27">
        <f>rebio23_80ml!AD14/50</f>
        <v>0</v>
      </c>
      <c r="AE11" s="27">
        <f>rebio23_80ml!AE14/50</f>
        <v>0</v>
      </c>
      <c r="AF11" s="27">
        <f>rebio23_80ml!AF14/50</f>
        <v>0</v>
      </c>
      <c r="AG11" s="27">
        <f>rebio23_80ml!AG14/50</f>
        <v>0</v>
      </c>
      <c r="AH11" s="27">
        <f>rebio23_80ml!AH14/50</f>
        <v>0</v>
      </c>
      <c r="AI11" s="27">
        <f>rebio23_80ml!AI14/50</f>
        <v>0</v>
      </c>
      <c r="AJ11" s="27">
        <f>rebio23_80ml!AJ14/50</f>
        <v>0</v>
      </c>
      <c r="AK11" s="27">
        <f>rebio23_80ml!AK14/50</f>
        <v>0</v>
      </c>
      <c r="AL11" s="27">
        <f>rebio23_80ml!AL14/50</f>
        <v>0.06</v>
      </c>
      <c r="AM11" s="27">
        <f>rebio23_80ml!AM14/50</f>
        <v>0.04</v>
      </c>
      <c r="AN11" s="27">
        <f>rebio23_80ml!AN14/50</f>
        <v>0</v>
      </c>
      <c r="AO11" s="27">
        <f>rebio23_80ml!AO14/50</f>
        <v>0</v>
      </c>
      <c r="AP11" s="27">
        <f>rebio23_80ml!AP14/50</f>
        <v>0</v>
      </c>
      <c r="AQ11" s="27">
        <f>rebio23_80ml!AQ14/50</f>
        <v>0</v>
      </c>
      <c r="AR11" s="27">
        <f>rebio23_80ml!AR14/50</f>
        <v>0</v>
      </c>
      <c r="AS11" s="27">
        <f>rebio23_80ml!AS14/50</f>
        <v>0</v>
      </c>
      <c r="AT11" s="27">
        <f>rebio23_80ml!AT14/50</f>
        <v>0</v>
      </c>
      <c r="AU11" s="27">
        <f>rebio23_80ml!AU14/50</f>
        <v>0.02</v>
      </c>
      <c r="AV11" s="27">
        <f>rebio23_80ml!AV14/50</f>
        <v>0.3</v>
      </c>
      <c r="AW11" s="27">
        <f>rebio23_80ml!AW14/50</f>
        <v>0</v>
      </c>
      <c r="AX11" s="27">
        <f>rebio23_80ml!AX14/50</f>
        <v>0.18</v>
      </c>
      <c r="AY11" s="27">
        <f>rebio23_80ml!AY14/50</f>
        <v>0</v>
      </c>
      <c r="AZ11" s="27">
        <f>rebio23_80ml!AZ14/50</f>
        <v>0</v>
      </c>
      <c r="BA11" s="27">
        <f>rebio23_80ml!BA14/50</f>
        <v>0</v>
      </c>
      <c r="BB11" s="27">
        <f>rebio23_80ml!BB14/50</f>
        <v>0.02</v>
      </c>
      <c r="BC11" s="27">
        <f>rebio23_80ml!BC14/50</f>
        <v>0</v>
      </c>
      <c r="BD11" s="27">
        <f>rebio23_80ml!BD14/50</f>
        <v>0</v>
      </c>
      <c r="BE11" s="27">
        <f>rebio23_80ml!BE14/50</f>
        <v>0</v>
      </c>
      <c r="BF11" s="27">
        <f>rebio23_80ml!BF14/50</f>
        <v>0</v>
      </c>
      <c r="BG11" s="27">
        <f>rebio23_80ml!BG14/50</f>
        <v>0</v>
      </c>
    </row>
    <row r="12" spans="1:67" ht="12.75" customHeight="1" x14ac:dyDescent="0.25">
      <c r="A12" s="15" t="str">
        <f>rebio23_80ml!A15</f>
        <v>S-B-P08-H2</v>
      </c>
      <c r="B12" s="27">
        <f>rebio23_80ml!B15/50</f>
        <v>0.12</v>
      </c>
      <c r="C12" s="27">
        <f>rebio23_80ml!C15/50</f>
        <v>0</v>
      </c>
      <c r="D12" s="27">
        <f>rebio23_80ml!D15/50</f>
        <v>0</v>
      </c>
      <c r="E12" s="27">
        <f>rebio23_80ml!E15/50</f>
        <v>1</v>
      </c>
      <c r="F12" s="27">
        <f>rebio23_80ml!F15/50</f>
        <v>0</v>
      </c>
      <c r="G12" s="27">
        <f>rebio23_80ml!G15/50</f>
        <v>0</v>
      </c>
      <c r="H12" s="27">
        <f>rebio23_80ml!H15/50</f>
        <v>0</v>
      </c>
      <c r="I12" s="27">
        <f>rebio23_80ml!I15/50</f>
        <v>1.54</v>
      </c>
      <c r="J12" s="27">
        <f>rebio23_80ml!J15/50</f>
        <v>0</v>
      </c>
      <c r="K12" s="27">
        <f>rebio23_80ml!K15/50</f>
        <v>0</v>
      </c>
      <c r="L12" s="27">
        <f>rebio23_80ml!L15/50</f>
        <v>0</v>
      </c>
      <c r="M12" s="27">
        <f>rebio23_80ml!M15/50</f>
        <v>0</v>
      </c>
      <c r="N12" s="27">
        <f>rebio23_80ml!N15/50</f>
        <v>0</v>
      </c>
      <c r="O12" s="27">
        <f>rebio23_80ml!O15/50</f>
        <v>0</v>
      </c>
      <c r="P12" s="27">
        <f>rebio23_80ml!P15/50</f>
        <v>0</v>
      </c>
      <c r="Q12" s="27">
        <f>rebio23_80ml!Q15/50</f>
        <v>0</v>
      </c>
      <c r="R12" s="27">
        <f>rebio23_80ml!R15/50</f>
        <v>0</v>
      </c>
      <c r="S12" s="27">
        <f>rebio23_80ml!S15/50</f>
        <v>0.16</v>
      </c>
      <c r="T12" s="27">
        <f>rebio23_80ml!T15/50</f>
        <v>0</v>
      </c>
      <c r="U12" s="27">
        <f>rebio23_80ml!U15/50</f>
        <v>0.08</v>
      </c>
      <c r="V12" s="27">
        <f>rebio23_80ml!V15/50</f>
        <v>0</v>
      </c>
      <c r="W12" s="27">
        <f>rebio23_80ml!W15/50</f>
        <v>0</v>
      </c>
      <c r="X12" s="27">
        <f>rebio23_80ml!X15/50</f>
        <v>0</v>
      </c>
      <c r="Y12" s="27">
        <f>rebio23_80ml!Y15/50</f>
        <v>0</v>
      </c>
      <c r="Z12" s="27">
        <f>rebio23_80ml!Z15/50</f>
        <v>0.04</v>
      </c>
      <c r="AA12" s="27">
        <f>rebio23_80ml!AA15/50</f>
        <v>0.04</v>
      </c>
      <c r="AB12" s="27">
        <f>rebio23_80ml!AB15/50</f>
        <v>0</v>
      </c>
      <c r="AC12" s="27">
        <f>rebio23_80ml!AC15/50</f>
        <v>0</v>
      </c>
      <c r="AD12" s="27">
        <f>rebio23_80ml!AD15/50</f>
        <v>0</v>
      </c>
      <c r="AE12" s="27">
        <f>rebio23_80ml!AE15/50</f>
        <v>0.02</v>
      </c>
      <c r="AF12" s="27">
        <f>rebio23_80ml!AF15/50</f>
        <v>0</v>
      </c>
      <c r="AG12" s="27">
        <f>rebio23_80ml!AG15/50</f>
        <v>0</v>
      </c>
      <c r="AH12" s="27">
        <f>rebio23_80ml!AH15/50</f>
        <v>0</v>
      </c>
      <c r="AI12" s="27">
        <f>rebio23_80ml!AI15/50</f>
        <v>0</v>
      </c>
      <c r="AJ12" s="27">
        <f>rebio23_80ml!AJ15/50</f>
        <v>0.04</v>
      </c>
      <c r="AK12" s="27">
        <f>rebio23_80ml!AK15/50</f>
        <v>0</v>
      </c>
      <c r="AL12" s="27">
        <f>rebio23_80ml!AL15/50</f>
        <v>0.02</v>
      </c>
      <c r="AM12" s="27">
        <f>rebio23_80ml!AM15/50</f>
        <v>0</v>
      </c>
      <c r="AN12" s="27">
        <f>rebio23_80ml!AN15/50</f>
        <v>0</v>
      </c>
      <c r="AO12" s="27">
        <f>rebio23_80ml!AO15/50</f>
        <v>0</v>
      </c>
      <c r="AP12" s="27">
        <f>rebio23_80ml!AP15/50</f>
        <v>0</v>
      </c>
      <c r="AQ12" s="27">
        <f>rebio23_80ml!AQ15/50</f>
        <v>0</v>
      </c>
      <c r="AR12" s="27">
        <f>rebio23_80ml!AR15/50</f>
        <v>0</v>
      </c>
      <c r="AS12" s="27">
        <f>rebio23_80ml!AS15/50</f>
        <v>0</v>
      </c>
      <c r="AT12" s="27">
        <f>rebio23_80ml!AT15/50</f>
        <v>0</v>
      </c>
      <c r="AU12" s="27">
        <f>rebio23_80ml!AU15/50</f>
        <v>0</v>
      </c>
      <c r="AV12" s="27">
        <f>rebio23_80ml!AV15/50</f>
        <v>1.2</v>
      </c>
      <c r="AW12" s="27">
        <f>rebio23_80ml!AW15/50</f>
        <v>0</v>
      </c>
      <c r="AX12" s="27">
        <f>rebio23_80ml!AX15/50</f>
        <v>0.08</v>
      </c>
      <c r="AY12" s="27">
        <f>rebio23_80ml!AY15/50</f>
        <v>0</v>
      </c>
      <c r="AZ12" s="27">
        <f>rebio23_80ml!AZ15/50</f>
        <v>0</v>
      </c>
      <c r="BA12" s="27">
        <f>rebio23_80ml!BA15/50</f>
        <v>0</v>
      </c>
      <c r="BB12" s="27">
        <f>rebio23_80ml!BB15/50</f>
        <v>0</v>
      </c>
      <c r="BC12" s="27">
        <f>rebio23_80ml!BC15/50</f>
        <v>0</v>
      </c>
      <c r="BD12" s="27">
        <f>rebio23_80ml!BD15/50</f>
        <v>0</v>
      </c>
      <c r="BE12" s="27">
        <f>rebio23_80ml!BE15/50</f>
        <v>0</v>
      </c>
      <c r="BF12" s="27">
        <f>rebio23_80ml!BF15/50</f>
        <v>0</v>
      </c>
      <c r="BG12" s="27">
        <f>rebio23_80ml!BG15/50</f>
        <v>0</v>
      </c>
    </row>
    <row r="13" spans="1:67" ht="12.75" customHeight="1" x14ac:dyDescent="0.25">
      <c r="A13" s="15" t="str">
        <f>rebio23_80ml!A16</f>
        <v>S-B-P08-H3</v>
      </c>
      <c r="B13" s="27">
        <f>rebio23_80ml!B16/50</f>
        <v>0.02</v>
      </c>
      <c r="C13" s="27">
        <f>rebio23_80ml!C16/50</f>
        <v>0</v>
      </c>
      <c r="D13" s="27">
        <f>rebio23_80ml!D16/50</f>
        <v>0</v>
      </c>
      <c r="E13" s="27">
        <f>rebio23_80ml!E16/50</f>
        <v>1.02</v>
      </c>
      <c r="F13" s="27">
        <f>rebio23_80ml!F16/50</f>
        <v>0</v>
      </c>
      <c r="G13" s="27">
        <f>rebio23_80ml!G16/50</f>
        <v>0</v>
      </c>
      <c r="H13" s="27">
        <f>rebio23_80ml!H16/50</f>
        <v>0</v>
      </c>
      <c r="I13" s="27">
        <f>rebio23_80ml!I16/50</f>
        <v>0.06</v>
      </c>
      <c r="J13" s="27">
        <f>rebio23_80ml!J16/50</f>
        <v>0</v>
      </c>
      <c r="K13" s="27">
        <f>rebio23_80ml!K16/50</f>
        <v>0</v>
      </c>
      <c r="L13" s="27">
        <f>rebio23_80ml!L16/50</f>
        <v>0</v>
      </c>
      <c r="M13" s="27">
        <f>rebio23_80ml!M16/50</f>
        <v>0</v>
      </c>
      <c r="N13" s="27">
        <f>rebio23_80ml!N16/50</f>
        <v>0</v>
      </c>
      <c r="O13" s="27">
        <f>rebio23_80ml!O16/50</f>
        <v>0</v>
      </c>
      <c r="P13" s="27">
        <f>rebio23_80ml!P16/50</f>
        <v>0</v>
      </c>
      <c r="Q13" s="27">
        <f>rebio23_80ml!Q16/50</f>
        <v>0</v>
      </c>
      <c r="R13" s="27">
        <f>rebio23_80ml!R16/50</f>
        <v>0</v>
      </c>
      <c r="S13" s="27">
        <f>rebio23_80ml!S16/50</f>
        <v>0.04</v>
      </c>
      <c r="T13" s="27">
        <f>rebio23_80ml!T16/50</f>
        <v>0</v>
      </c>
      <c r="U13" s="27">
        <f>rebio23_80ml!U16/50</f>
        <v>0.02</v>
      </c>
      <c r="V13" s="27">
        <f>rebio23_80ml!V16/50</f>
        <v>0.02</v>
      </c>
      <c r="W13" s="27">
        <f>rebio23_80ml!W16/50</f>
        <v>0</v>
      </c>
      <c r="X13" s="27">
        <f>rebio23_80ml!X16/50</f>
        <v>0</v>
      </c>
      <c r="Y13" s="27">
        <f>rebio23_80ml!Y16/50</f>
        <v>0</v>
      </c>
      <c r="Z13" s="27">
        <f>rebio23_80ml!Z16/50</f>
        <v>0</v>
      </c>
      <c r="AA13" s="27">
        <f>rebio23_80ml!AA16/50</f>
        <v>0.08</v>
      </c>
      <c r="AB13" s="27">
        <f>rebio23_80ml!AB16/50</f>
        <v>0.02</v>
      </c>
      <c r="AC13" s="27">
        <f>rebio23_80ml!AC16/50</f>
        <v>0</v>
      </c>
      <c r="AD13" s="27">
        <f>rebio23_80ml!AD16/50</f>
        <v>0.04</v>
      </c>
      <c r="AE13" s="27">
        <f>rebio23_80ml!AE16/50</f>
        <v>0.02</v>
      </c>
      <c r="AF13" s="27">
        <f>rebio23_80ml!AF16/50</f>
        <v>0</v>
      </c>
      <c r="AG13" s="27">
        <f>rebio23_80ml!AG16/50</f>
        <v>0</v>
      </c>
      <c r="AH13" s="27">
        <f>rebio23_80ml!AH16/50</f>
        <v>0</v>
      </c>
      <c r="AI13" s="27">
        <f>rebio23_80ml!AI16/50</f>
        <v>0</v>
      </c>
      <c r="AJ13" s="27">
        <f>rebio23_80ml!AJ16/50</f>
        <v>0</v>
      </c>
      <c r="AK13" s="27">
        <f>rebio23_80ml!AK16/50</f>
        <v>0</v>
      </c>
      <c r="AL13" s="27">
        <f>rebio23_80ml!AL16/50</f>
        <v>0</v>
      </c>
      <c r="AM13" s="27">
        <f>rebio23_80ml!AM16/50</f>
        <v>0</v>
      </c>
      <c r="AN13" s="27">
        <f>rebio23_80ml!AN16/50</f>
        <v>0</v>
      </c>
      <c r="AO13" s="27">
        <f>rebio23_80ml!AO16/50</f>
        <v>0</v>
      </c>
      <c r="AP13" s="27">
        <f>rebio23_80ml!AP16/50</f>
        <v>0.02</v>
      </c>
      <c r="AQ13" s="27">
        <f>rebio23_80ml!AQ16/50</f>
        <v>0</v>
      </c>
      <c r="AR13" s="27">
        <f>rebio23_80ml!AR16/50</f>
        <v>0</v>
      </c>
      <c r="AS13" s="27">
        <f>rebio23_80ml!AS16/50</f>
        <v>0</v>
      </c>
      <c r="AT13" s="27">
        <f>rebio23_80ml!AT16/50</f>
        <v>0</v>
      </c>
      <c r="AU13" s="27">
        <f>rebio23_80ml!AU16/50</f>
        <v>0</v>
      </c>
      <c r="AV13" s="27">
        <f>rebio23_80ml!AV16/50</f>
        <v>0.3</v>
      </c>
      <c r="AW13" s="27">
        <f>rebio23_80ml!AW16/50</f>
        <v>0</v>
      </c>
      <c r="AX13" s="27">
        <f>rebio23_80ml!AX16/50</f>
        <v>0.02</v>
      </c>
      <c r="AY13" s="27">
        <f>rebio23_80ml!AY16/50</f>
        <v>0</v>
      </c>
      <c r="AZ13" s="27">
        <f>rebio23_80ml!AZ16/50</f>
        <v>0</v>
      </c>
      <c r="BA13" s="27">
        <f>rebio23_80ml!BA16/50</f>
        <v>0</v>
      </c>
      <c r="BB13" s="27">
        <f>rebio23_80ml!BB16/50</f>
        <v>0</v>
      </c>
      <c r="BC13" s="27">
        <f>rebio23_80ml!BC16/50</f>
        <v>0</v>
      </c>
      <c r="BD13" s="27">
        <f>rebio23_80ml!BD16/50</f>
        <v>0</v>
      </c>
      <c r="BE13" s="27">
        <f>rebio23_80ml!BE16/50</f>
        <v>0</v>
      </c>
      <c r="BF13" s="27">
        <f>rebio23_80ml!BF16/50</f>
        <v>0</v>
      </c>
      <c r="BG13" s="27">
        <f>rebio23_80ml!BG16/50</f>
        <v>0</v>
      </c>
    </row>
    <row r="14" spans="1:67" ht="12.75" customHeight="1" x14ac:dyDescent="0.25">
      <c r="A14" s="15" t="str">
        <f>rebio23_80ml!A17</f>
        <v>S-B-P09-H1</v>
      </c>
      <c r="B14" s="27">
        <f>rebio23_80ml!B17/50</f>
        <v>0</v>
      </c>
      <c r="C14" s="27">
        <f>rebio23_80ml!C17/50</f>
        <v>0</v>
      </c>
      <c r="D14" s="27">
        <f>rebio23_80ml!D17/50</f>
        <v>0</v>
      </c>
      <c r="E14" s="27">
        <f>rebio23_80ml!E17/50</f>
        <v>0.7</v>
      </c>
      <c r="F14" s="27">
        <f>rebio23_80ml!F17/50</f>
        <v>0</v>
      </c>
      <c r="G14" s="27">
        <f>rebio23_80ml!G17/50</f>
        <v>0</v>
      </c>
      <c r="H14" s="27">
        <f>rebio23_80ml!H17/50</f>
        <v>0</v>
      </c>
      <c r="I14" s="27">
        <f>rebio23_80ml!I17/50</f>
        <v>0.02</v>
      </c>
      <c r="J14" s="27">
        <f>rebio23_80ml!J17/50</f>
        <v>0</v>
      </c>
      <c r="K14" s="27">
        <f>rebio23_80ml!K17/50</f>
        <v>0</v>
      </c>
      <c r="L14" s="27">
        <f>rebio23_80ml!L17/50</f>
        <v>0</v>
      </c>
      <c r="M14" s="27">
        <f>rebio23_80ml!M17/50</f>
        <v>0</v>
      </c>
      <c r="N14" s="27">
        <f>rebio23_80ml!N17/50</f>
        <v>0</v>
      </c>
      <c r="O14" s="27">
        <f>rebio23_80ml!O17/50</f>
        <v>0</v>
      </c>
      <c r="P14" s="27">
        <f>rebio23_80ml!P17/50</f>
        <v>0</v>
      </c>
      <c r="Q14" s="27">
        <f>rebio23_80ml!Q17/50</f>
        <v>0</v>
      </c>
      <c r="R14" s="27">
        <f>rebio23_80ml!R17/50</f>
        <v>0</v>
      </c>
      <c r="S14" s="27">
        <f>rebio23_80ml!S17/50</f>
        <v>0</v>
      </c>
      <c r="T14" s="27">
        <f>rebio23_80ml!T17/50</f>
        <v>0</v>
      </c>
      <c r="U14" s="27">
        <f>rebio23_80ml!U17/50</f>
        <v>0.02</v>
      </c>
      <c r="V14" s="27">
        <f>rebio23_80ml!V17/50</f>
        <v>0</v>
      </c>
      <c r="W14" s="27">
        <f>rebio23_80ml!W17/50</f>
        <v>0</v>
      </c>
      <c r="X14" s="27">
        <f>rebio23_80ml!X17/50</f>
        <v>0</v>
      </c>
      <c r="Y14" s="27">
        <f>rebio23_80ml!Y17/50</f>
        <v>0</v>
      </c>
      <c r="Z14" s="27">
        <f>rebio23_80ml!Z17/50</f>
        <v>0.02</v>
      </c>
      <c r="AA14" s="27">
        <f>rebio23_80ml!AA17/50</f>
        <v>0</v>
      </c>
      <c r="AB14" s="27">
        <f>rebio23_80ml!AB17/50</f>
        <v>0</v>
      </c>
      <c r="AC14" s="27">
        <f>rebio23_80ml!AC17/50</f>
        <v>0</v>
      </c>
      <c r="AD14" s="27">
        <f>rebio23_80ml!AD17/50</f>
        <v>0</v>
      </c>
      <c r="AE14" s="27">
        <f>rebio23_80ml!AE17/50</f>
        <v>0</v>
      </c>
      <c r="AF14" s="27">
        <f>rebio23_80ml!AF17/50</f>
        <v>0</v>
      </c>
      <c r="AG14" s="27">
        <f>rebio23_80ml!AG17/50</f>
        <v>0</v>
      </c>
      <c r="AH14" s="27">
        <f>rebio23_80ml!AH17/50</f>
        <v>0</v>
      </c>
      <c r="AI14" s="27">
        <f>rebio23_80ml!AI17/50</f>
        <v>0</v>
      </c>
      <c r="AJ14" s="27">
        <f>rebio23_80ml!AJ17/50</f>
        <v>0.02</v>
      </c>
      <c r="AK14" s="27">
        <f>rebio23_80ml!AK17/50</f>
        <v>0</v>
      </c>
      <c r="AL14" s="27">
        <f>rebio23_80ml!AL17/50</f>
        <v>0</v>
      </c>
      <c r="AM14" s="27">
        <f>rebio23_80ml!AM17/50</f>
        <v>0</v>
      </c>
      <c r="AN14" s="27">
        <f>rebio23_80ml!AN17/50</f>
        <v>0</v>
      </c>
      <c r="AO14" s="27">
        <f>rebio23_80ml!AO17/50</f>
        <v>0</v>
      </c>
      <c r="AP14" s="27">
        <f>rebio23_80ml!AP17/50</f>
        <v>0</v>
      </c>
      <c r="AQ14" s="27">
        <f>rebio23_80ml!AQ17/50</f>
        <v>0</v>
      </c>
      <c r="AR14" s="27">
        <f>rebio23_80ml!AR17/50</f>
        <v>0</v>
      </c>
      <c r="AS14" s="27">
        <f>rebio23_80ml!AS17/50</f>
        <v>0</v>
      </c>
      <c r="AT14" s="27">
        <f>rebio23_80ml!AT17/50</f>
        <v>0</v>
      </c>
      <c r="AU14" s="27">
        <f>rebio23_80ml!AU17/50</f>
        <v>0</v>
      </c>
      <c r="AV14" s="27">
        <f>rebio23_80ml!AV17/50</f>
        <v>0.06</v>
      </c>
      <c r="AW14" s="27">
        <f>rebio23_80ml!AW17/50</f>
        <v>0</v>
      </c>
      <c r="AX14" s="27">
        <f>rebio23_80ml!AX17/50</f>
        <v>0</v>
      </c>
      <c r="AY14" s="27">
        <f>rebio23_80ml!AY17/50</f>
        <v>0.02</v>
      </c>
      <c r="AZ14" s="27">
        <f>rebio23_80ml!AZ17/50</f>
        <v>0</v>
      </c>
      <c r="BA14" s="27">
        <f>rebio23_80ml!BA17/50</f>
        <v>0</v>
      </c>
      <c r="BB14" s="27">
        <f>rebio23_80ml!BB17/50</f>
        <v>0</v>
      </c>
      <c r="BC14" s="27">
        <f>rebio23_80ml!BC17/50</f>
        <v>0</v>
      </c>
      <c r="BD14" s="27">
        <f>rebio23_80ml!BD17/50</f>
        <v>0</v>
      </c>
      <c r="BE14" s="27">
        <f>rebio23_80ml!BE17/50</f>
        <v>0</v>
      </c>
      <c r="BF14" s="27">
        <f>rebio23_80ml!BF17/50</f>
        <v>0</v>
      </c>
      <c r="BG14" s="27">
        <f>rebio23_80ml!BG17/50</f>
        <v>0</v>
      </c>
    </row>
    <row r="15" spans="1:67" ht="12.75" customHeight="1" x14ac:dyDescent="0.25">
      <c r="A15" s="15" t="str">
        <f>rebio23_80ml!A18</f>
        <v>S-B-P09-H2</v>
      </c>
      <c r="B15" s="27">
        <f>rebio23_80ml!B18/50</f>
        <v>0</v>
      </c>
      <c r="C15" s="27">
        <f>rebio23_80ml!C18/50</f>
        <v>0</v>
      </c>
      <c r="D15" s="27">
        <f>rebio23_80ml!D18/50</f>
        <v>0</v>
      </c>
      <c r="E15" s="27">
        <f>rebio23_80ml!E18/50</f>
        <v>2.08</v>
      </c>
      <c r="F15" s="27">
        <f>rebio23_80ml!F18/50</f>
        <v>0</v>
      </c>
      <c r="G15" s="27">
        <f>rebio23_80ml!G18/50</f>
        <v>0</v>
      </c>
      <c r="H15" s="27">
        <f>rebio23_80ml!H18/50</f>
        <v>0</v>
      </c>
      <c r="I15" s="27">
        <f>rebio23_80ml!I18/50</f>
        <v>0</v>
      </c>
      <c r="J15" s="27">
        <f>rebio23_80ml!J18/50</f>
        <v>0</v>
      </c>
      <c r="K15" s="27">
        <f>rebio23_80ml!K18/50</f>
        <v>0</v>
      </c>
      <c r="L15" s="27">
        <f>rebio23_80ml!L18/50</f>
        <v>0</v>
      </c>
      <c r="M15" s="27">
        <f>rebio23_80ml!M18/50</f>
        <v>0</v>
      </c>
      <c r="N15" s="27">
        <f>rebio23_80ml!N18/50</f>
        <v>0</v>
      </c>
      <c r="O15" s="27">
        <f>rebio23_80ml!O18/50</f>
        <v>0</v>
      </c>
      <c r="P15" s="27">
        <f>rebio23_80ml!P18/50</f>
        <v>0</v>
      </c>
      <c r="Q15" s="27">
        <f>rebio23_80ml!Q18/50</f>
        <v>0</v>
      </c>
      <c r="R15" s="27">
        <f>rebio23_80ml!R18/50</f>
        <v>0</v>
      </c>
      <c r="S15" s="27">
        <f>rebio23_80ml!S18/50</f>
        <v>0.06</v>
      </c>
      <c r="T15" s="27">
        <f>rebio23_80ml!T18/50</f>
        <v>0.02</v>
      </c>
      <c r="U15" s="27">
        <f>rebio23_80ml!U18/50</f>
        <v>0</v>
      </c>
      <c r="V15" s="27">
        <f>rebio23_80ml!V18/50</f>
        <v>0</v>
      </c>
      <c r="W15" s="27">
        <f>rebio23_80ml!W18/50</f>
        <v>0</v>
      </c>
      <c r="X15" s="27">
        <f>rebio23_80ml!X18/50</f>
        <v>0</v>
      </c>
      <c r="Y15" s="27">
        <f>rebio23_80ml!Y18/50</f>
        <v>0</v>
      </c>
      <c r="Z15" s="27">
        <f>rebio23_80ml!Z18/50</f>
        <v>0.04</v>
      </c>
      <c r="AA15" s="27">
        <f>rebio23_80ml!AA18/50</f>
        <v>0</v>
      </c>
      <c r="AB15" s="27">
        <f>rebio23_80ml!AB18/50</f>
        <v>0</v>
      </c>
      <c r="AC15" s="27">
        <f>rebio23_80ml!AC18/50</f>
        <v>0</v>
      </c>
      <c r="AD15" s="27">
        <f>rebio23_80ml!AD18/50</f>
        <v>0</v>
      </c>
      <c r="AE15" s="27">
        <f>rebio23_80ml!AE18/50</f>
        <v>0</v>
      </c>
      <c r="AF15" s="27">
        <f>rebio23_80ml!AF18/50</f>
        <v>0</v>
      </c>
      <c r="AG15" s="27">
        <f>rebio23_80ml!AG18/50</f>
        <v>0</v>
      </c>
      <c r="AH15" s="27">
        <f>rebio23_80ml!AH18/50</f>
        <v>0</v>
      </c>
      <c r="AI15" s="27">
        <f>rebio23_80ml!AI18/50</f>
        <v>0</v>
      </c>
      <c r="AJ15" s="27">
        <f>rebio23_80ml!AJ18/50</f>
        <v>0.04</v>
      </c>
      <c r="AK15" s="27">
        <f>rebio23_80ml!AK18/50</f>
        <v>0</v>
      </c>
      <c r="AL15" s="27">
        <f>rebio23_80ml!AL18/50</f>
        <v>0</v>
      </c>
      <c r="AM15" s="27">
        <f>rebio23_80ml!AM18/50</f>
        <v>0</v>
      </c>
      <c r="AN15" s="27">
        <f>rebio23_80ml!AN18/50</f>
        <v>0</v>
      </c>
      <c r="AO15" s="27">
        <f>rebio23_80ml!AO18/50</f>
        <v>0</v>
      </c>
      <c r="AP15" s="27">
        <f>rebio23_80ml!AP18/50</f>
        <v>0</v>
      </c>
      <c r="AQ15" s="27">
        <f>rebio23_80ml!AQ18/50</f>
        <v>0</v>
      </c>
      <c r="AR15" s="27">
        <f>rebio23_80ml!AR18/50</f>
        <v>0</v>
      </c>
      <c r="AS15" s="27">
        <f>rebio23_80ml!AS18/50</f>
        <v>0</v>
      </c>
      <c r="AT15" s="27">
        <f>rebio23_80ml!AT18/50</f>
        <v>0</v>
      </c>
      <c r="AU15" s="27">
        <f>rebio23_80ml!AU18/50</f>
        <v>0</v>
      </c>
      <c r="AV15" s="27">
        <f>rebio23_80ml!AV18/50</f>
        <v>0.04</v>
      </c>
      <c r="AW15" s="27">
        <f>rebio23_80ml!AW18/50</f>
        <v>0</v>
      </c>
      <c r="AX15" s="27">
        <f>rebio23_80ml!AX18/50</f>
        <v>0</v>
      </c>
      <c r="AY15" s="27">
        <f>rebio23_80ml!AY18/50</f>
        <v>0</v>
      </c>
      <c r="AZ15" s="27">
        <f>rebio23_80ml!AZ18/50</f>
        <v>0.1</v>
      </c>
      <c r="BA15" s="27">
        <f>rebio23_80ml!BA18/50</f>
        <v>0</v>
      </c>
      <c r="BB15" s="27">
        <f>rebio23_80ml!BB18/50</f>
        <v>0</v>
      </c>
      <c r="BC15" s="27">
        <f>rebio23_80ml!BC18/50</f>
        <v>0</v>
      </c>
      <c r="BD15" s="27">
        <f>rebio23_80ml!BD18/50</f>
        <v>0</v>
      </c>
      <c r="BE15" s="27">
        <f>rebio23_80ml!BE18/50</f>
        <v>0</v>
      </c>
      <c r="BF15" s="27">
        <f>rebio23_80ml!BF18/50</f>
        <v>0</v>
      </c>
      <c r="BG15" s="27">
        <f>rebio23_80ml!BG18/50</f>
        <v>0</v>
      </c>
    </row>
    <row r="16" spans="1:67" ht="12.75" customHeight="1" x14ac:dyDescent="0.25">
      <c r="A16" s="15" t="str">
        <f>rebio23_80ml!A19</f>
        <v>S-B-P09-H3</v>
      </c>
      <c r="B16" s="27">
        <f>rebio23_80ml!B19/50</f>
        <v>0</v>
      </c>
      <c r="C16" s="27">
        <f>rebio23_80ml!C19/50</f>
        <v>0</v>
      </c>
      <c r="D16" s="27">
        <f>rebio23_80ml!D19/50</f>
        <v>0</v>
      </c>
      <c r="E16" s="27">
        <f>rebio23_80ml!E19/50</f>
        <v>1.68</v>
      </c>
      <c r="F16" s="27">
        <f>rebio23_80ml!F19/50</f>
        <v>0</v>
      </c>
      <c r="G16" s="27">
        <f>rebio23_80ml!G19/50</f>
        <v>0</v>
      </c>
      <c r="H16" s="27">
        <f>rebio23_80ml!H19/50</f>
        <v>0.04</v>
      </c>
      <c r="I16" s="27">
        <f>rebio23_80ml!I19/50</f>
        <v>0</v>
      </c>
      <c r="J16" s="27">
        <f>rebio23_80ml!J19/50</f>
        <v>0.02</v>
      </c>
      <c r="K16" s="27">
        <f>rebio23_80ml!K19/50</f>
        <v>0</v>
      </c>
      <c r="L16" s="27">
        <f>rebio23_80ml!L19/50</f>
        <v>0</v>
      </c>
      <c r="M16" s="27">
        <f>rebio23_80ml!M19/50</f>
        <v>0</v>
      </c>
      <c r="N16" s="27">
        <f>rebio23_80ml!N19/50</f>
        <v>0</v>
      </c>
      <c r="O16" s="27">
        <f>rebio23_80ml!O19/50</f>
        <v>0</v>
      </c>
      <c r="P16" s="27">
        <f>rebio23_80ml!P19/50</f>
        <v>0</v>
      </c>
      <c r="Q16" s="27">
        <f>rebio23_80ml!Q19/50</f>
        <v>0</v>
      </c>
      <c r="R16" s="27">
        <f>rebio23_80ml!R19/50</f>
        <v>0</v>
      </c>
      <c r="S16" s="27">
        <f>rebio23_80ml!S19/50</f>
        <v>0.08</v>
      </c>
      <c r="T16" s="27">
        <f>rebio23_80ml!T19/50</f>
        <v>0.02</v>
      </c>
      <c r="U16" s="27">
        <f>rebio23_80ml!U19/50</f>
        <v>0</v>
      </c>
      <c r="V16" s="27">
        <f>rebio23_80ml!V19/50</f>
        <v>0</v>
      </c>
      <c r="W16" s="27">
        <f>rebio23_80ml!W19/50</f>
        <v>0</v>
      </c>
      <c r="X16" s="27">
        <f>rebio23_80ml!X19/50</f>
        <v>0</v>
      </c>
      <c r="Y16" s="27">
        <f>rebio23_80ml!Y19/50</f>
        <v>0.02</v>
      </c>
      <c r="Z16" s="27">
        <f>rebio23_80ml!Z19/50</f>
        <v>0</v>
      </c>
      <c r="AA16" s="27">
        <f>rebio23_80ml!AA19/50</f>
        <v>0</v>
      </c>
      <c r="AB16" s="27">
        <f>rebio23_80ml!AB19/50</f>
        <v>0</v>
      </c>
      <c r="AC16" s="27">
        <f>rebio23_80ml!AC19/50</f>
        <v>0</v>
      </c>
      <c r="AD16" s="27">
        <f>rebio23_80ml!AD19/50</f>
        <v>0</v>
      </c>
      <c r="AE16" s="27">
        <f>rebio23_80ml!AE19/50</f>
        <v>0</v>
      </c>
      <c r="AF16" s="27">
        <f>rebio23_80ml!AF19/50</f>
        <v>0</v>
      </c>
      <c r="AG16" s="27">
        <f>rebio23_80ml!AG19/50</f>
        <v>0</v>
      </c>
      <c r="AH16" s="27">
        <f>rebio23_80ml!AH19/50</f>
        <v>0</v>
      </c>
      <c r="AI16" s="27">
        <f>rebio23_80ml!AI19/50</f>
        <v>0</v>
      </c>
      <c r="AJ16" s="27">
        <f>rebio23_80ml!AJ19/50</f>
        <v>0</v>
      </c>
      <c r="AK16" s="27">
        <f>rebio23_80ml!AK19/50</f>
        <v>0.02</v>
      </c>
      <c r="AL16" s="27">
        <f>rebio23_80ml!AL19/50</f>
        <v>0</v>
      </c>
      <c r="AM16" s="27">
        <f>rebio23_80ml!AM19/50</f>
        <v>0</v>
      </c>
      <c r="AN16" s="27">
        <f>rebio23_80ml!AN19/50</f>
        <v>0</v>
      </c>
      <c r="AO16" s="27">
        <f>rebio23_80ml!AO19/50</f>
        <v>0</v>
      </c>
      <c r="AP16" s="27">
        <f>rebio23_80ml!AP19/50</f>
        <v>0</v>
      </c>
      <c r="AQ16" s="27">
        <f>rebio23_80ml!AQ19/50</f>
        <v>0</v>
      </c>
      <c r="AR16" s="27">
        <f>rebio23_80ml!AR19/50</f>
        <v>0</v>
      </c>
      <c r="AS16" s="27">
        <f>rebio23_80ml!AS19/50</f>
        <v>0</v>
      </c>
      <c r="AT16" s="27">
        <f>rebio23_80ml!AT19/50</f>
        <v>0</v>
      </c>
      <c r="AU16" s="27">
        <f>rebio23_80ml!AU19/50</f>
        <v>0</v>
      </c>
      <c r="AV16" s="27">
        <f>rebio23_80ml!AV19/50</f>
        <v>0.08</v>
      </c>
      <c r="AW16" s="27">
        <f>rebio23_80ml!AW19/50</f>
        <v>0</v>
      </c>
      <c r="AX16" s="27">
        <f>rebio23_80ml!AX19/50</f>
        <v>0</v>
      </c>
      <c r="AY16" s="27">
        <f>rebio23_80ml!AY19/50</f>
        <v>0</v>
      </c>
      <c r="AZ16" s="27">
        <f>rebio23_80ml!AZ19/50</f>
        <v>0</v>
      </c>
      <c r="BA16" s="27">
        <f>rebio23_80ml!BA19/50</f>
        <v>0</v>
      </c>
      <c r="BB16" s="27">
        <f>rebio23_80ml!BB19/50</f>
        <v>0</v>
      </c>
      <c r="BC16" s="27">
        <f>rebio23_80ml!BC19/50</f>
        <v>0</v>
      </c>
      <c r="BD16" s="27">
        <f>rebio23_80ml!BD19/50</f>
        <v>0.02</v>
      </c>
      <c r="BE16" s="27">
        <f>rebio23_80ml!BE19/50</f>
        <v>0</v>
      </c>
      <c r="BF16" s="27">
        <f>rebio23_80ml!BF19/50</f>
        <v>0</v>
      </c>
      <c r="BG16" s="27">
        <f>rebio23_80ml!BG19/50</f>
        <v>0</v>
      </c>
    </row>
    <row r="17" spans="1:59" ht="12.75" customHeight="1" x14ac:dyDescent="0.25">
      <c r="A17" s="15" t="str">
        <f>rebio23_80ml!A20</f>
        <v>S-B-P10-H1</v>
      </c>
      <c r="B17" s="27">
        <f>rebio23_80ml!B20/50</f>
        <v>0.02</v>
      </c>
      <c r="C17" s="27">
        <f>rebio23_80ml!C20/50</f>
        <v>0</v>
      </c>
      <c r="D17" s="27">
        <f>rebio23_80ml!D20/50</f>
        <v>0</v>
      </c>
      <c r="E17" s="27">
        <f>rebio23_80ml!E20/50</f>
        <v>1.18</v>
      </c>
      <c r="F17" s="27">
        <f>rebio23_80ml!F20/50</f>
        <v>0.04</v>
      </c>
      <c r="G17" s="27">
        <f>rebio23_80ml!G20/50</f>
        <v>0</v>
      </c>
      <c r="H17" s="27">
        <f>rebio23_80ml!H20/50</f>
        <v>0.02</v>
      </c>
      <c r="I17" s="27">
        <f>rebio23_80ml!I20/50</f>
        <v>0.02</v>
      </c>
      <c r="J17" s="27">
        <f>rebio23_80ml!J20/50</f>
        <v>0</v>
      </c>
      <c r="K17" s="27">
        <f>rebio23_80ml!K20/50</f>
        <v>0</v>
      </c>
      <c r="L17" s="27">
        <f>rebio23_80ml!L20/50</f>
        <v>0</v>
      </c>
      <c r="M17" s="27">
        <f>rebio23_80ml!M20/50</f>
        <v>0</v>
      </c>
      <c r="N17" s="27">
        <f>rebio23_80ml!N20/50</f>
        <v>0</v>
      </c>
      <c r="O17" s="27">
        <f>rebio23_80ml!O20/50</f>
        <v>0</v>
      </c>
      <c r="P17" s="27">
        <f>rebio23_80ml!P20/50</f>
        <v>0</v>
      </c>
      <c r="Q17" s="27">
        <f>rebio23_80ml!Q20/50</f>
        <v>0</v>
      </c>
      <c r="R17" s="27">
        <f>rebio23_80ml!R20/50</f>
        <v>0.02</v>
      </c>
      <c r="S17" s="27">
        <f>rebio23_80ml!S20/50</f>
        <v>0.16</v>
      </c>
      <c r="T17" s="27">
        <f>rebio23_80ml!T20/50</f>
        <v>0.02</v>
      </c>
      <c r="U17" s="27">
        <f>rebio23_80ml!U20/50</f>
        <v>0</v>
      </c>
      <c r="V17" s="27">
        <f>rebio23_80ml!V20/50</f>
        <v>0</v>
      </c>
      <c r="W17" s="27">
        <f>rebio23_80ml!W20/50</f>
        <v>0</v>
      </c>
      <c r="X17" s="27">
        <f>rebio23_80ml!X20/50</f>
        <v>0</v>
      </c>
      <c r="Y17" s="27">
        <f>rebio23_80ml!Y20/50</f>
        <v>0</v>
      </c>
      <c r="Z17" s="27">
        <f>rebio23_80ml!Z20/50</f>
        <v>0.02</v>
      </c>
      <c r="AA17" s="27">
        <f>rebio23_80ml!AA20/50</f>
        <v>0.02</v>
      </c>
      <c r="AB17" s="27">
        <f>rebio23_80ml!AB20/50</f>
        <v>0</v>
      </c>
      <c r="AC17" s="27">
        <f>rebio23_80ml!AC20/50</f>
        <v>0</v>
      </c>
      <c r="AD17" s="27">
        <f>rebio23_80ml!AD20/50</f>
        <v>0</v>
      </c>
      <c r="AE17" s="27">
        <f>rebio23_80ml!AE20/50</f>
        <v>0</v>
      </c>
      <c r="AF17" s="27">
        <f>rebio23_80ml!AF20/50</f>
        <v>0</v>
      </c>
      <c r="AG17" s="27">
        <f>rebio23_80ml!AG20/50</f>
        <v>0</v>
      </c>
      <c r="AH17" s="27">
        <f>rebio23_80ml!AH20/50</f>
        <v>0</v>
      </c>
      <c r="AI17" s="27">
        <f>rebio23_80ml!AI20/50</f>
        <v>0</v>
      </c>
      <c r="AJ17" s="27">
        <f>rebio23_80ml!AJ20/50</f>
        <v>0.14000000000000001</v>
      </c>
      <c r="AK17" s="27">
        <f>rebio23_80ml!AK20/50</f>
        <v>0</v>
      </c>
      <c r="AL17" s="27">
        <f>rebio23_80ml!AL20/50</f>
        <v>0</v>
      </c>
      <c r="AM17" s="27">
        <f>rebio23_80ml!AM20/50</f>
        <v>0</v>
      </c>
      <c r="AN17" s="27">
        <f>rebio23_80ml!AN20/50</f>
        <v>0.02</v>
      </c>
      <c r="AO17" s="27">
        <f>rebio23_80ml!AO20/50</f>
        <v>0</v>
      </c>
      <c r="AP17" s="27">
        <f>rebio23_80ml!AP20/50</f>
        <v>0</v>
      </c>
      <c r="AQ17" s="27">
        <f>rebio23_80ml!AQ20/50</f>
        <v>0</v>
      </c>
      <c r="AR17" s="27">
        <f>rebio23_80ml!AR20/50</f>
        <v>0</v>
      </c>
      <c r="AS17" s="27">
        <f>rebio23_80ml!AS20/50</f>
        <v>0</v>
      </c>
      <c r="AT17" s="27">
        <f>rebio23_80ml!AT20/50</f>
        <v>0</v>
      </c>
      <c r="AU17" s="27">
        <f>rebio23_80ml!AU20/50</f>
        <v>0</v>
      </c>
      <c r="AV17" s="27">
        <f>rebio23_80ml!AV20/50</f>
        <v>0.42</v>
      </c>
      <c r="AW17" s="27">
        <f>rebio23_80ml!AW20/50</f>
        <v>0</v>
      </c>
      <c r="AX17" s="27">
        <f>rebio23_80ml!AX20/50</f>
        <v>0</v>
      </c>
      <c r="AY17" s="27">
        <f>rebio23_80ml!AY20/50</f>
        <v>0.04</v>
      </c>
      <c r="AZ17" s="27">
        <f>rebio23_80ml!AZ20/50</f>
        <v>0</v>
      </c>
      <c r="BA17" s="27">
        <f>rebio23_80ml!BA20/50</f>
        <v>0</v>
      </c>
      <c r="BB17" s="27">
        <f>rebio23_80ml!BB20/50</f>
        <v>0</v>
      </c>
      <c r="BC17" s="27">
        <f>rebio23_80ml!BC20/50</f>
        <v>0</v>
      </c>
      <c r="BD17" s="27">
        <f>rebio23_80ml!BD20/50</f>
        <v>0.04</v>
      </c>
      <c r="BE17" s="27">
        <f>rebio23_80ml!BE20/50</f>
        <v>0</v>
      </c>
      <c r="BF17" s="27">
        <f>rebio23_80ml!BF20/50</f>
        <v>0</v>
      </c>
      <c r="BG17" s="27">
        <f>rebio23_80ml!BG20/50</f>
        <v>0.02</v>
      </c>
    </row>
    <row r="18" spans="1:59" ht="12.75" customHeight="1" x14ac:dyDescent="0.25">
      <c r="A18" s="15" t="str">
        <f>rebio23_80ml!A21</f>
        <v>S-B-P10-H2</v>
      </c>
      <c r="B18" s="27">
        <f>rebio23_80ml!B21/50</f>
        <v>0.02</v>
      </c>
      <c r="C18" s="27">
        <f>rebio23_80ml!C21/50</f>
        <v>0</v>
      </c>
      <c r="D18" s="27">
        <f>rebio23_80ml!D21/50</f>
        <v>0</v>
      </c>
      <c r="E18" s="27">
        <f>rebio23_80ml!E21/50</f>
        <v>0.5</v>
      </c>
      <c r="F18" s="27">
        <f>rebio23_80ml!F21/50</f>
        <v>0</v>
      </c>
      <c r="G18" s="27">
        <f>rebio23_80ml!G21/50</f>
        <v>0.04</v>
      </c>
      <c r="H18" s="27">
        <f>rebio23_80ml!H21/50</f>
        <v>0.06</v>
      </c>
      <c r="I18" s="27">
        <f>rebio23_80ml!I21/50</f>
        <v>0</v>
      </c>
      <c r="J18" s="27">
        <f>rebio23_80ml!J21/50</f>
        <v>0</v>
      </c>
      <c r="K18" s="27">
        <f>rebio23_80ml!K21/50</f>
        <v>0</v>
      </c>
      <c r="L18" s="27">
        <f>rebio23_80ml!L21/50</f>
        <v>0</v>
      </c>
      <c r="M18" s="27">
        <f>rebio23_80ml!M21/50</f>
        <v>0</v>
      </c>
      <c r="N18" s="27">
        <f>rebio23_80ml!N21/50</f>
        <v>0</v>
      </c>
      <c r="O18" s="27">
        <f>rebio23_80ml!O21/50</f>
        <v>0</v>
      </c>
      <c r="P18" s="27">
        <f>rebio23_80ml!P21/50</f>
        <v>0</v>
      </c>
      <c r="Q18" s="27">
        <f>rebio23_80ml!Q21/50</f>
        <v>0</v>
      </c>
      <c r="R18" s="27">
        <f>rebio23_80ml!R21/50</f>
        <v>0</v>
      </c>
      <c r="S18" s="27">
        <f>rebio23_80ml!S21/50</f>
        <v>0.26</v>
      </c>
      <c r="T18" s="27">
        <f>rebio23_80ml!T21/50</f>
        <v>0</v>
      </c>
      <c r="U18" s="27">
        <f>rebio23_80ml!U21/50</f>
        <v>0.14000000000000001</v>
      </c>
      <c r="V18" s="27">
        <f>rebio23_80ml!V21/50</f>
        <v>0</v>
      </c>
      <c r="W18" s="27">
        <f>rebio23_80ml!W21/50</f>
        <v>0.02</v>
      </c>
      <c r="X18" s="27">
        <f>rebio23_80ml!X21/50</f>
        <v>0</v>
      </c>
      <c r="Y18" s="27">
        <f>rebio23_80ml!Y21/50</f>
        <v>0.02</v>
      </c>
      <c r="Z18" s="27">
        <f>rebio23_80ml!Z21/50</f>
        <v>0</v>
      </c>
      <c r="AA18" s="27">
        <f>rebio23_80ml!AA21/50</f>
        <v>0.02</v>
      </c>
      <c r="AB18" s="27">
        <f>rebio23_80ml!AB21/50</f>
        <v>0</v>
      </c>
      <c r="AC18" s="27">
        <f>rebio23_80ml!AC21/50</f>
        <v>0</v>
      </c>
      <c r="AD18" s="27">
        <f>rebio23_80ml!AD21/50</f>
        <v>0</v>
      </c>
      <c r="AE18" s="27">
        <f>rebio23_80ml!AE21/50</f>
        <v>0</v>
      </c>
      <c r="AF18" s="27">
        <f>rebio23_80ml!AF21/50</f>
        <v>0</v>
      </c>
      <c r="AG18" s="27">
        <f>rebio23_80ml!AG21/50</f>
        <v>0</v>
      </c>
      <c r="AH18" s="27">
        <f>rebio23_80ml!AH21/50</f>
        <v>0</v>
      </c>
      <c r="AI18" s="27">
        <f>rebio23_80ml!AI21/50</f>
        <v>0</v>
      </c>
      <c r="AJ18" s="27">
        <f>rebio23_80ml!AJ21/50</f>
        <v>0.04</v>
      </c>
      <c r="AK18" s="27">
        <f>rebio23_80ml!AK21/50</f>
        <v>0</v>
      </c>
      <c r="AL18" s="27">
        <f>rebio23_80ml!AL21/50</f>
        <v>0</v>
      </c>
      <c r="AM18" s="27">
        <f>rebio23_80ml!AM21/50</f>
        <v>0</v>
      </c>
      <c r="AN18" s="27">
        <f>rebio23_80ml!AN21/50</f>
        <v>0</v>
      </c>
      <c r="AO18" s="27">
        <f>rebio23_80ml!AO21/50</f>
        <v>0.02</v>
      </c>
      <c r="AP18" s="27">
        <f>rebio23_80ml!AP21/50</f>
        <v>0</v>
      </c>
      <c r="AQ18" s="27">
        <f>rebio23_80ml!AQ21/50</f>
        <v>0</v>
      </c>
      <c r="AR18" s="27">
        <f>rebio23_80ml!AR21/50</f>
        <v>0</v>
      </c>
      <c r="AS18" s="27">
        <f>rebio23_80ml!AS21/50</f>
        <v>0</v>
      </c>
      <c r="AT18" s="27">
        <f>rebio23_80ml!AT21/50</f>
        <v>0.02</v>
      </c>
      <c r="AU18" s="27">
        <f>rebio23_80ml!AU21/50</f>
        <v>0</v>
      </c>
      <c r="AV18" s="27">
        <f>rebio23_80ml!AV21/50</f>
        <v>0.02</v>
      </c>
      <c r="AW18" s="27">
        <f>rebio23_80ml!AW21/50</f>
        <v>0</v>
      </c>
      <c r="AX18" s="27">
        <f>rebio23_80ml!AX21/50</f>
        <v>0</v>
      </c>
      <c r="AY18" s="27">
        <f>rebio23_80ml!AY21/50</f>
        <v>0.06</v>
      </c>
      <c r="AZ18" s="27">
        <f>rebio23_80ml!AZ21/50</f>
        <v>0</v>
      </c>
      <c r="BA18" s="27">
        <f>rebio23_80ml!BA21/50</f>
        <v>0</v>
      </c>
      <c r="BB18" s="27">
        <f>rebio23_80ml!BB21/50</f>
        <v>0</v>
      </c>
      <c r="BC18" s="27">
        <f>rebio23_80ml!BC21/50</f>
        <v>0</v>
      </c>
      <c r="BD18" s="27">
        <f>rebio23_80ml!BD21/50</f>
        <v>0.02</v>
      </c>
      <c r="BE18" s="27">
        <f>rebio23_80ml!BE21/50</f>
        <v>0</v>
      </c>
      <c r="BF18" s="27">
        <f>rebio23_80ml!BF21/50</f>
        <v>0</v>
      </c>
      <c r="BG18" s="27">
        <f>rebio23_80ml!BG21/50</f>
        <v>0.02</v>
      </c>
    </row>
    <row r="19" spans="1:59" ht="12.75" customHeight="1" x14ac:dyDescent="0.25">
      <c r="A19" s="15" t="str">
        <f>rebio23_80ml!A22</f>
        <v>S-B-P10-H3</v>
      </c>
      <c r="B19" s="27">
        <f>rebio23_80ml!B22/50</f>
        <v>0.04</v>
      </c>
      <c r="C19" s="27">
        <f>rebio23_80ml!C22/50</f>
        <v>0</v>
      </c>
      <c r="D19" s="27">
        <f>rebio23_80ml!D22/50</f>
        <v>0</v>
      </c>
      <c r="E19" s="27">
        <f>rebio23_80ml!E22/50</f>
        <v>2.12</v>
      </c>
      <c r="F19" s="27">
        <f>rebio23_80ml!F22/50</f>
        <v>0.02</v>
      </c>
      <c r="G19" s="27">
        <f>rebio23_80ml!G22/50</f>
        <v>0</v>
      </c>
      <c r="H19" s="27">
        <f>rebio23_80ml!H22/50</f>
        <v>0.02</v>
      </c>
      <c r="I19" s="27">
        <f>rebio23_80ml!I22/50</f>
        <v>0</v>
      </c>
      <c r="J19" s="27">
        <f>rebio23_80ml!J22/50</f>
        <v>0.02</v>
      </c>
      <c r="K19" s="27">
        <f>rebio23_80ml!K22/50</f>
        <v>0</v>
      </c>
      <c r="L19" s="27">
        <f>rebio23_80ml!L22/50</f>
        <v>0</v>
      </c>
      <c r="M19" s="27">
        <f>rebio23_80ml!M22/50</f>
        <v>0</v>
      </c>
      <c r="N19" s="27">
        <f>rebio23_80ml!N22/50</f>
        <v>0</v>
      </c>
      <c r="O19" s="27">
        <f>rebio23_80ml!O22/50</f>
        <v>0</v>
      </c>
      <c r="P19" s="27">
        <f>rebio23_80ml!P22/50</f>
        <v>0</v>
      </c>
      <c r="Q19" s="27">
        <f>rebio23_80ml!Q22/50</f>
        <v>0</v>
      </c>
      <c r="R19" s="27">
        <f>rebio23_80ml!R22/50</f>
        <v>0</v>
      </c>
      <c r="S19" s="27">
        <f>rebio23_80ml!S22/50</f>
        <v>0.36</v>
      </c>
      <c r="T19" s="27">
        <f>rebio23_80ml!T22/50</f>
        <v>0.02</v>
      </c>
      <c r="U19" s="27">
        <f>rebio23_80ml!U22/50</f>
        <v>0</v>
      </c>
      <c r="V19" s="27">
        <f>rebio23_80ml!V22/50</f>
        <v>0</v>
      </c>
      <c r="W19" s="27">
        <f>rebio23_80ml!W22/50</f>
        <v>0</v>
      </c>
      <c r="X19" s="27">
        <f>rebio23_80ml!X22/50</f>
        <v>0</v>
      </c>
      <c r="Y19" s="27">
        <f>rebio23_80ml!Y22/50</f>
        <v>0</v>
      </c>
      <c r="Z19" s="27">
        <f>rebio23_80ml!Z22/50</f>
        <v>0.02</v>
      </c>
      <c r="AA19" s="27">
        <f>rebio23_80ml!AA22/50</f>
        <v>0.02</v>
      </c>
      <c r="AB19" s="27">
        <f>rebio23_80ml!AB22/50</f>
        <v>0</v>
      </c>
      <c r="AC19" s="27">
        <f>rebio23_80ml!AC22/50</f>
        <v>0</v>
      </c>
      <c r="AD19" s="27">
        <f>rebio23_80ml!AD22/50</f>
        <v>0</v>
      </c>
      <c r="AE19" s="27">
        <f>rebio23_80ml!AE22/50</f>
        <v>0</v>
      </c>
      <c r="AF19" s="27">
        <f>rebio23_80ml!AF22/50</f>
        <v>0</v>
      </c>
      <c r="AG19" s="27">
        <f>rebio23_80ml!AG22/50</f>
        <v>0</v>
      </c>
      <c r="AH19" s="27">
        <f>rebio23_80ml!AH22/50</f>
        <v>0</v>
      </c>
      <c r="AI19" s="27">
        <f>rebio23_80ml!AI22/50</f>
        <v>0</v>
      </c>
      <c r="AJ19" s="27">
        <f>rebio23_80ml!AJ22/50</f>
        <v>0.06</v>
      </c>
      <c r="AK19" s="27">
        <f>rebio23_80ml!AK22/50</f>
        <v>0.02</v>
      </c>
      <c r="AL19" s="27">
        <f>rebio23_80ml!AL22/50</f>
        <v>0</v>
      </c>
      <c r="AM19" s="27">
        <f>rebio23_80ml!AM22/50</f>
        <v>0</v>
      </c>
      <c r="AN19" s="27">
        <f>rebio23_80ml!AN22/50</f>
        <v>0.02</v>
      </c>
      <c r="AO19" s="27">
        <f>rebio23_80ml!AO22/50</f>
        <v>0.02</v>
      </c>
      <c r="AP19" s="27">
        <f>rebio23_80ml!AP22/50</f>
        <v>0</v>
      </c>
      <c r="AQ19" s="27">
        <f>rebio23_80ml!AQ22/50</f>
        <v>0</v>
      </c>
      <c r="AR19" s="27">
        <f>rebio23_80ml!AR22/50</f>
        <v>0</v>
      </c>
      <c r="AS19" s="27">
        <f>rebio23_80ml!AS22/50</f>
        <v>0</v>
      </c>
      <c r="AT19" s="27">
        <f>rebio23_80ml!AT22/50</f>
        <v>0</v>
      </c>
      <c r="AU19" s="27">
        <f>rebio23_80ml!AU22/50</f>
        <v>0</v>
      </c>
      <c r="AV19" s="27">
        <f>rebio23_80ml!AV22/50</f>
        <v>0.3</v>
      </c>
      <c r="AW19" s="27">
        <f>rebio23_80ml!AW22/50</f>
        <v>0</v>
      </c>
      <c r="AX19" s="27">
        <f>rebio23_80ml!AX22/50</f>
        <v>0</v>
      </c>
      <c r="AY19" s="27">
        <f>rebio23_80ml!AY22/50</f>
        <v>0</v>
      </c>
      <c r="AZ19" s="27">
        <f>rebio23_80ml!AZ22/50</f>
        <v>0</v>
      </c>
      <c r="BA19" s="27">
        <f>rebio23_80ml!BA22/50</f>
        <v>0</v>
      </c>
      <c r="BB19" s="27">
        <f>rebio23_80ml!BB22/50</f>
        <v>0</v>
      </c>
      <c r="BC19" s="27">
        <f>rebio23_80ml!BC22/50</f>
        <v>0</v>
      </c>
      <c r="BD19" s="27">
        <f>rebio23_80ml!BD22/50</f>
        <v>0</v>
      </c>
      <c r="BE19" s="27">
        <f>rebio23_80ml!BE22/50</f>
        <v>0</v>
      </c>
      <c r="BF19" s="27">
        <f>rebio23_80ml!BF22/50</f>
        <v>0</v>
      </c>
      <c r="BG19" s="27">
        <f>rebio23_80ml!BG22/50</f>
        <v>0</v>
      </c>
    </row>
    <row r="20" spans="1:59" ht="12.75" customHeight="1" x14ac:dyDescent="0.25">
      <c r="A20" s="48" t="str">
        <f>rebio23_80ml!A23</f>
        <v>S-C-P11-H1</v>
      </c>
      <c r="B20" s="49">
        <f>rebio23_80ml!B23/50</f>
        <v>0</v>
      </c>
      <c r="C20" s="49">
        <f>rebio23_80ml!C23/50</f>
        <v>0</v>
      </c>
      <c r="D20" s="49">
        <f>rebio23_80ml!D23/50</f>
        <v>0</v>
      </c>
      <c r="E20" s="49">
        <f>rebio23_80ml!E23/50</f>
        <v>0</v>
      </c>
      <c r="F20" s="49">
        <f>rebio23_80ml!F23/50</f>
        <v>0</v>
      </c>
      <c r="G20" s="49">
        <f>rebio23_80ml!G23/50</f>
        <v>0</v>
      </c>
      <c r="H20" s="49">
        <f>rebio23_80ml!H23/50</f>
        <v>0</v>
      </c>
      <c r="I20" s="49">
        <f>rebio23_80ml!I23/50</f>
        <v>0</v>
      </c>
      <c r="J20" s="49">
        <f>rebio23_80ml!J23/50</f>
        <v>0</v>
      </c>
      <c r="K20" s="49">
        <f>rebio23_80ml!K23/50</f>
        <v>0</v>
      </c>
      <c r="L20" s="49">
        <f>rebio23_80ml!L23/50</f>
        <v>0</v>
      </c>
      <c r="M20" s="49">
        <f>rebio23_80ml!M23/50</f>
        <v>0</v>
      </c>
      <c r="N20" s="49">
        <f>rebio23_80ml!N23/50</f>
        <v>0</v>
      </c>
      <c r="O20" s="49">
        <f>rebio23_80ml!O23/50</f>
        <v>0</v>
      </c>
      <c r="P20" s="49">
        <f>rebio23_80ml!P23/50</f>
        <v>0</v>
      </c>
      <c r="Q20" s="49">
        <f>rebio23_80ml!Q23/50</f>
        <v>0</v>
      </c>
      <c r="R20" s="49">
        <f>rebio23_80ml!R23/50</f>
        <v>0</v>
      </c>
      <c r="S20" s="49">
        <f>rebio23_80ml!S23/50</f>
        <v>0</v>
      </c>
      <c r="T20" s="49">
        <f>rebio23_80ml!T23/50</f>
        <v>0</v>
      </c>
      <c r="U20" s="49">
        <f>rebio23_80ml!U23/50</f>
        <v>0</v>
      </c>
      <c r="V20" s="49">
        <f>rebio23_80ml!V23/50</f>
        <v>0</v>
      </c>
      <c r="W20" s="49">
        <f>rebio23_80ml!W23/50</f>
        <v>0</v>
      </c>
      <c r="X20" s="49">
        <f>rebio23_80ml!X23/50</f>
        <v>0</v>
      </c>
      <c r="Y20" s="49">
        <f>rebio23_80ml!Y23/50</f>
        <v>0</v>
      </c>
      <c r="Z20" s="49">
        <f>rebio23_80ml!Z23/50</f>
        <v>0</v>
      </c>
      <c r="AA20" s="49">
        <f>rebio23_80ml!AA23/50</f>
        <v>0</v>
      </c>
      <c r="AB20" s="49">
        <f>rebio23_80ml!AB23/50</f>
        <v>0</v>
      </c>
      <c r="AC20" s="49">
        <f>rebio23_80ml!AC23/50</f>
        <v>0</v>
      </c>
      <c r="AD20" s="49">
        <f>rebio23_80ml!AD23/50</f>
        <v>0</v>
      </c>
      <c r="AE20" s="49">
        <f>rebio23_80ml!AE23/50</f>
        <v>0</v>
      </c>
      <c r="AF20" s="49">
        <f>rebio23_80ml!AF23/50</f>
        <v>0</v>
      </c>
      <c r="AG20" s="49">
        <f>rebio23_80ml!AG23/50</f>
        <v>0</v>
      </c>
      <c r="AH20" s="49">
        <f>rebio23_80ml!AH23/50</f>
        <v>0</v>
      </c>
      <c r="AI20" s="49">
        <f>rebio23_80ml!AI23/50</f>
        <v>0</v>
      </c>
      <c r="AJ20" s="49">
        <f>rebio23_80ml!AJ23/50</f>
        <v>0</v>
      </c>
      <c r="AK20" s="49">
        <f>rebio23_80ml!AK23/50</f>
        <v>0</v>
      </c>
      <c r="AL20" s="49">
        <f>rebio23_80ml!AL23/50</f>
        <v>0</v>
      </c>
      <c r="AM20" s="49">
        <f>rebio23_80ml!AM23/50</f>
        <v>0</v>
      </c>
      <c r="AN20" s="49">
        <f>rebio23_80ml!AN23/50</f>
        <v>0</v>
      </c>
      <c r="AO20" s="49">
        <f>rebio23_80ml!AO23/50</f>
        <v>0</v>
      </c>
      <c r="AP20" s="49">
        <f>rebio23_80ml!AP23/50</f>
        <v>0</v>
      </c>
      <c r="AQ20" s="49">
        <f>rebio23_80ml!AQ23/50</f>
        <v>0</v>
      </c>
      <c r="AR20" s="49">
        <f>rebio23_80ml!AR23/50</f>
        <v>0</v>
      </c>
      <c r="AS20" s="49">
        <f>rebio23_80ml!AS23/50</f>
        <v>0</v>
      </c>
      <c r="AT20" s="49">
        <f>rebio23_80ml!AT23/50</f>
        <v>0</v>
      </c>
      <c r="AU20" s="49">
        <f>rebio23_80ml!AU23/50</f>
        <v>0</v>
      </c>
      <c r="AV20" s="49">
        <f>rebio23_80ml!AV23/50</f>
        <v>0</v>
      </c>
      <c r="AW20" s="49">
        <f>rebio23_80ml!AW23/50</f>
        <v>0</v>
      </c>
      <c r="AX20" s="49">
        <f>rebio23_80ml!AX23/50</f>
        <v>0</v>
      </c>
      <c r="AY20" s="49">
        <f>rebio23_80ml!AY23/50</f>
        <v>0</v>
      </c>
      <c r="AZ20" s="49">
        <f>rebio23_80ml!AZ23/50</f>
        <v>0</v>
      </c>
      <c r="BA20" s="49">
        <f>rebio23_80ml!BA23/50</f>
        <v>0</v>
      </c>
      <c r="BB20" s="49">
        <f>rebio23_80ml!BB23/50</f>
        <v>0</v>
      </c>
      <c r="BC20" s="49">
        <f>rebio23_80ml!BC23/50</f>
        <v>0</v>
      </c>
      <c r="BD20" s="49">
        <f>rebio23_80ml!BD23/50</f>
        <v>0</v>
      </c>
      <c r="BE20" s="49">
        <f>rebio23_80ml!BE23/50</f>
        <v>0</v>
      </c>
      <c r="BF20" s="49">
        <f>rebio23_80ml!BF23/50</f>
        <v>0</v>
      </c>
      <c r="BG20" s="49">
        <f>rebio23_80ml!BG23/50</f>
        <v>0</v>
      </c>
    </row>
    <row r="21" spans="1:59" ht="12.75" customHeight="1" x14ac:dyDescent="0.25">
      <c r="A21" s="48" t="str">
        <f>rebio23_80ml!A24</f>
        <v>S-C-P11-H2</v>
      </c>
      <c r="B21" s="49">
        <f>rebio23_80ml!B24/50</f>
        <v>0</v>
      </c>
      <c r="C21" s="49">
        <f>rebio23_80ml!C24/50</f>
        <v>0</v>
      </c>
      <c r="D21" s="49">
        <f>rebio23_80ml!D24/50</f>
        <v>0</v>
      </c>
      <c r="E21" s="49">
        <f>rebio23_80ml!E24/50</f>
        <v>0</v>
      </c>
      <c r="F21" s="49">
        <f>rebio23_80ml!F24/50</f>
        <v>0</v>
      </c>
      <c r="G21" s="49">
        <f>rebio23_80ml!G24/50</f>
        <v>0</v>
      </c>
      <c r="H21" s="49">
        <f>rebio23_80ml!H24/50</f>
        <v>0</v>
      </c>
      <c r="I21" s="49">
        <f>rebio23_80ml!I24/50</f>
        <v>0</v>
      </c>
      <c r="J21" s="49">
        <f>rebio23_80ml!J24/50</f>
        <v>0</v>
      </c>
      <c r="K21" s="49">
        <f>rebio23_80ml!K24/50</f>
        <v>0</v>
      </c>
      <c r="L21" s="49">
        <f>rebio23_80ml!L24/50</f>
        <v>0</v>
      </c>
      <c r="M21" s="49">
        <f>rebio23_80ml!M24/50</f>
        <v>0</v>
      </c>
      <c r="N21" s="49">
        <f>rebio23_80ml!N24/50</f>
        <v>0</v>
      </c>
      <c r="O21" s="49">
        <f>rebio23_80ml!O24/50</f>
        <v>0</v>
      </c>
      <c r="P21" s="49">
        <f>rebio23_80ml!P24/50</f>
        <v>0</v>
      </c>
      <c r="Q21" s="49">
        <f>rebio23_80ml!Q24/50</f>
        <v>0</v>
      </c>
      <c r="R21" s="49">
        <f>rebio23_80ml!R24/50</f>
        <v>0</v>
      </c>
      <c r="S21" s="49">
        <f>rebio23_80ml!S24/50</f>
        <v>0</v>
      </c>
      <c r="T21" s="49">
        <f>rebio23_80ml!T24/50</f>
        <v>0</v>
      </c>
      <c r="U21" s="49">
        <f>rebio23_80ml!U24/50</f>
        <v>0</v>
      </c>
      <c r="V21" s="49">
        <f>rebio23_80ml!V24/50</f>
        <v>0</v>
      </c>
      <c r="W21" s="49">
        <f>rebio23_80ml!W24/50</f>
        <v>0</v>
      </c>
      <c r="X21" s="49">
        <f>rebio23_80ml!X24/50</f>
        <v>0</v>
      </c>
      <c r="Y21" s="49">
        <f>rebio23_80ml!Y24/50</f>
        <v>0</v>
      </c>
      <c r="Z21" s="49">
        <f>rebio23_80ml!Z24/50</f>
        <v>0</v>
      </c>
      <c r="AA21" s="49">
        <f>rebio23_80ml!AA24/50</f>
        <v>0</v>
      </c>
      <c r="AB21" s="49">
        <f>rebio23_80ml!AB24/50</f>
        <v>0</v>
      </c>
      <c r="AC21" s="49">
        <f>rebio23_80ml!AC24/50</f>
        <v>0</v>
      </c>
      <c r="AD21" s="49">
        <f>rebio23_80ml!AD24/50</f>
        <v>0</v>
      </c>
      <c r="AE21" s="49">
        <f>rebio23_80ml!AE24/50</f>
        <v>0</v>
      </c>
      <c r="AF21" s="49">
        <f>rebio23_80ml!AF24/50</f>
        <v>0</v>
      </c>
      <c r="AG21" s="49">
        <f>rebio23_80ml!AG24/50</f>
        <v>0</v>
      </c>
      <c r="AH21" s="49">
        <f>rebio23_80ml!AH24/50</f>
        <v>0</v>
      </c>
      <c r="AI21" s="49">
        <f>rebio23_80ml!AI24/50</f>
        <v>0</v>
      </c>
      <c r="AJ21" s="49">
        <f>rebio23_80ml!AJ24/50</f>
        <v>0</v>
      </c>
      <c r="AK21" s="49">
        <f>rebio23_80ml!AK24/50</f>
        <v>0</v>
      </c>
      <c r="AL21" s="49">
        <f>rebio23_80ml!AL24/50</f>
        <v>0</v>
      </c>
      <c r="AM21" s="49">
        <f>rebio23_80ml!AM24/50</f>
        <v>0</v>
      </c>
      <c r="AN21" s="49">
        <f>rebio23_80ml!AN24/50</f>
        <v>0</v>
      </c>
      <c r="AO21" s="49">
        <f>rebio23_80ml!AO24/50</f>
        <v>0</v>
      </c>
      <c r="AP21" s="49">
        <f>rebio23_80ml!AP24/50</f>
        <v>0</v>
      </c>
      <c r="AQ21" s="49">
        <f>rebio23_80ml!AQ24/50</f>
        <v>0</v>
      </c>
      <c r="AR21" s="49">
        <f>rebio23_80ml!AR24/50</f>
        <v>0</v>
      </c>
      <c r="AS21" s="49">
        <f>rebio23_80ml!AS24/50</f>
        <v>0</v>
      </c>
      <c r="AT21" s="49">
        <f>rebio23_80ml!AT24/50</f>
        <v>0</v>
      </c>
      <c r="AU21" s="49">
        <f>rebio23_80ml!AU24/50</f>
        <v>0</v>
      </c>
      <c r="AV21" s="49">
        <f>rebio23_80ml!AV24/50</f>
        <v>0</v>
      </c>
      <c r="AW21" s="49">
        <f>rebio23_80ml!AW24/50</f>
        <v>0</v>
      </c>
      <c r="AX21" s="49">
        <f>rebio23_80ml!AX24/50</f>
        <v>0</v>
      </c>
      <c r="AY21" s="49">
        <f>rebio23_80ml!AY24/50</f>
        <v>0</v>
      </c>
      <c r="AZ21" s="49">
        <f>rebio23_80ml!AZ24/50</f>
        <v>0</v>
      </c>
      <c r="BA21" s="49">
        <f>rebio23_80ml!BA24/50</f>
        <v>0</v>
      </c>
      <c r="BB21" s="49">
        <f>rebio23_80ml!BB24/50</f>
        <v>0</v>
      </c>
      <c r="BC21" s="49">
        <f>rebio23_80ml!BC24/50</f>
        <v>0</v>
      </c>
      <c r="BD21" s="49">
        <f>rebio23_80ml!BD24/50</f>
        <v>0</v>
      </c>
      <c r="BE21" s="49">
        <f>rebio23_80ml!BE24/50</f>
        <v>0</v>
      </c>
      <c r="BF21" s="49">
        <f>rebio23_80ml!BF24/50</f>
        <v>0</v>
      </c>
      <c r="BG21" s="49">
        <f>rebio23_80ml!BG24/50</f>
        <v>0</v>
      </c>
    </row>
    <row r="22" spans="1:59" ht="12.75" customHeight="1" x14ac:dyDescent="0.25">
      <c r="A22" s="48" t="str">
        <f>rebio23_80ml!A25</f>
        <v>S-C-P11-H3</v>
      </c>
      <c r="B22" s="49">
        <f>rebio23_80ml!B25/50</f>
        <v>0</v>
      </c>
      <c r="C22" s="49">
        <f>rebio23_80ml!C25/50</f>
        <v>0</v>
      </c>
      <c r="D22" s="49">
        <f>rebio23_80ml!D25/50</f>
        <v>0</v>
      </c>
      <c r="E22" s="49">
        <f>rebio23_80ml!E25/50</f>
        <v>0</v>
      </c>
      <c r="F22" s="49">
        <f>rebio23_80ml!F25/50</f>
        <v>0</v>
      </c>
      <c r="G22" s="49">
        <f>rebio23_80ml!G25/50</f>
        <v>0</v>
      </c>
      <c r="H22" s="49">
        <f>rebio23_80ml!H25/50</f>
        <v>0</v>
      </c>
      <c r="I22" s="49">
        <f>rebio23_80ml!I25/50</f>
        <v>0</v>
      </c>
      <c r="J22" s="49">
        <f>rebio23_80ml!J25/50</f>
        <v>0</v>
      </c>
      <c r="K22" s="49">
        <f>rebio23_80ml!K25/50</f>
        <v>0</v>
      </c>
      <c r="L22" s="49">
        <f>rebio23_80ml!L25/50</f>
        <v>0</v>
      </c>
      <c r="M22" s="49">
        <f>rebio23_80ml!M25/50</f>
        <v>0</v>
      </c>
      <c r="N22" s="49">
        <f>rebio23_80ml!N25/50</f>
        <v>0</v>
      </c>
      <c r="O22" s="49">
        <f>rebio23_80ml!O25/50</f>
        <v>0</v>
      </c>
      <c r="P22" s="49">
        <f>rebio23_80ml!P25/50</f>
        <v>0</v>
      </c>
      <c r="Q22" s="49">
        <f>rebio23_80ml!Q25/50</f>
        <v>0</v>
      </c>
      <c r="R22" s="49">
        <f>rebio23_80ml!R25/50</f>
        <v>0</v>
      </c>
      <c r="S22" s="49">
        <f>rebio23_80ml!S25/50</f>
        <v>0</v>
      </c>
      <c r="T22" s="49">
        <f>rebio23_80ml!T25/50</f>
        <v>0</v>
      </c>
      <c r="U22" s="49">
        <f>rebio23_80ml!U25/50</f>
        <v>0</v>
      </c>
      <c r="V22" s="49">
        <f>rebio23_80ml!V25/50</f>
        <v>0</v>
      </c>
      <c r="W22" s="49">
        <f>rebio23_80ml!W25/50</f>
        <v>0</v>
      </c>
      <c r="X22" s="49">
        <f>rebio23_80ml!X25/50</f>
        <v>0</v>
      </c>
      <c r="Y22" s="49">
        <f>rebio23_80ml!Y25/50</f>
        <v>0</v>
      </c>
      <c r="Z22" s="49">
        <f>rebio23_80ml!Z25/50</f>
        <v>0</v>
      </c>
      <c r="AA22" s="49">
        <f>rebio23_80ml!AA25/50</f>
        <v>0</v>
      </c>
      <c r="AB22" s="49">
        <f>rebio23_80ml!AB25/50</f>
        <v>0</v>
      </c>
      <c r="AC22" s="49">
        <f>rebio23_80ml!AC25/50</f>
        <v>0</v>
      </c>
      <c r="AD22" s="49">
        <f>rebio23_80ml!AD25/50</f>
        <v>0</v>
      </c>
      <c r="AE22" s="49">
        <f>rebio23_80ml!AE25/50</f>
        <v>0</v>
      </c>
      <c r="AF22" s="49">
        <f>rebio23_80ml!AF25/50</f>
        <v>0</v>
      </c>
      <c r="AG22" s="49">
        <f>rebio23_80ml!AG25/50</f>
        <v>0</v>
      </c>
      <c r="AH22" s="49">
        <f>rebio23_80ml!AH25/50</f>
        <v>0</v>
      </c>
      <c r="AI22" s="49">
        <f>rebio23_80ml!AI25/50</f>
        <v>0</v>
      </c>
      <c r="AJ22" s="49">
        <f>rebio23_80ml!AJ25/50</f>
        <v>0</v>
      </c>
      <c r="AK22" s="49">
        <f>rebio23_80ml!AK25/50</f>
        <v>0</v>
      </c>
      <c r="AL22" s="49">
        <f>rebio23_80ml!AL25/50</f>
        <v>0</v>
      </c>
      <c r="AM22" s="49">
        <f>rebio23_80ml!AM25/50</f>
        <v>0</v>
      </c>
      <c r="AN22" s="49">
        <f>rebio23_80ml!AN25/50</f>
        <v>0</v>
      </c>
      <c r="AO22" s="49">
        <f>rebio23_80ml!AO25/50</f>
        <v>0</v>
      </c>
      <c r="AP22" s="49">
        <f>rebio23_80ml!AP25/50</f>
        <v>0</v>
      </c>
      <c r="AQ22" s="49">
        <f>rebio23_80ml!AQ25/50</f>
        <v>0</v>
      </c>
      <c r="AR22" s="49">
        <f>rebio23_80ml!AR25/50</f>
        <v>0</v>
      </c>
      <c r="AS22" s="49">
        <f>rebio23_80ml!AS25/50</f>
        <v>0</v>
      </c>
      <c r="AT22" s="49">
        <f>rebio23_80ml!AT25/50</f>
        <v>0</v>
      </c>
      <c r="AU22" s="49">
        <f>rebio23_80ml!AU25/50</f>
        <v>0</v>
      </c>
      <c r="AV22" s="49">
        <f>rebio23_80ml!AV25/50</f>
        <v>0</v>
      </c>
      <c r="AW22" s="49">
        <f>rebio23_80ml!AW25/50</f>
        <v>0</v>
      </c>
      <c r="AX22" s="49">
        <f>rebio23_80ml!AX25/50</f>
        <v>0</v>
      </c>
      <c r="AY22" s="49">
        <f>rebio23_80ml!AY25/50</f>
        <v>0</v>
      </c>
      <c r="AZ22" s="49">
        <f>rebio23_80ml!AZ25/50</f>
        <v>0</v>
      </c>
      <c r="BA22" s="49">
        <f>rebio23_80ml!BA25/50</f>
        <v>0</v>
      </c>
      <c r="BB22" s="49">
        <f>rebio23_80ml!BB25/50</f>
        <v>0</v>
      </c>
      <c r="BC22" s="49">
        <f>rebio23_80ml!BC25/50</f>
        <v>0</v>
      </c>
      <c r="BD22" s="49">
        <f>rebio23_80ml!BD25/50</f>
        <v>0</v>
      </c>
      <c r="BE22" s="49">
        <f>rebio23_80ml!BE25/50</f>
        <v>0</v>
      </c>
      <c r="BF22" s="49">
        <f>rebio23_80ml!BF25/50</f>
        <v>0</v>
      </c>
      <c r="BG22" s="49">
        <f>rebio23_80ml!BG25/50</f>
        <v>0</v>
      </c>
    </row>
    <row r="23" spans="1:59" ht="12.75" customHeight="1" x14ac:dyDescent="0.25">
      <c r="A23" s="15" t="str">
        <f>rebio23_80ml!A26</f>
        <v>S-C-P12-H1</v>
      </c>
      <c r="B23" s="27">
        <f>rebio23_80ml!B26/50</f>
        <v>0.02</v>
      </c>
      <c r="C23" s="27">
        <f>rebio23_80ml!C26/50</f>
        <v>0</v>
      </c>
      <c r="D23" s="27">
        <f>rebio23_80ml!D26/50</f>
        <v>0</v>
      </c>
      <c r="E23" s="27">
        <f>rebio23_80ml!E26/50</f>
        <v>0.5</v>
      </c>
      <c r="F23" s="27">
        <f>rebio23_80ml!F26/50</f>
        <v>0</v>
      </c>
      <c r="G23" s="27">
        <f>rebio23_80ml!G26/50</f>
        <v>0</v>
      </c>
      <c r="H23" s="27">
        <f>rebio23_80ml!H26/50</f>
        <v>0</v>
      </c>
      <c r="I23" s="27">
        <f>rebio23_80ml!I26/50</f>
        <v>0.04</v>
      </c>
      <c r="J23" s="27">
        <f>rebio23_80ml!J26/50</f>
        <v>0</v>
      </c>
      <c r="K23" s="27">
        <f>rebio23_80ml!K26/50</f>
        <v>0</v>
      </c>
      <c r="L23" s="27">
        <f>rebio23_80ml!L26/50</f>
        <v>0</v>
      </c>
      <c r="M23" s="27">
        <f>rebio23_80ml!M26/50</f>
        <v>0</v>
      </c>
      <c r="N23" s="27">
        <f>rebio23_80ml!N26/50</f>
        <v>0</v>
      </c>
      <c r="O23" s="27">
        <f>rebio23_80ml!O26/50</f>
        <v>0</v>
      </c>
      <c r="P23" s="27">
        <f>rebio23_80ml!P26/50</f>
        <v>0</v>
      </c>
      <c r="Q23" s="27">
        <f>rebio23_80ml!Q26/50</f>
        <v>0</v>
      </c>
      <c r="R23" s="27">
        <f>rebio23_80ml!R26/50</f>
        <v>0</v>
      </c>
      <c r="S23" s="27">
        <f>rebio23_80ml!S26/50</f>
        <v>0.02</v>
      </c>
      <c r="T23" s="27">
        <f>rebio23_80ml!T26/50</f>
        <v>0</v>
      </c>
      <c r="U23" s="27">
        <f>rebio23_80ml!U26/50</f>
        <v>0.02</v>
      </c>
      <c r="V23" s="27">
        <f>rebio23_80ml!V26/50</f>
        <v>0</v>
      </c>
      <c r="W23" s="27">
        <f>rebio23_80ml!W26/50</f>
        <v>0</v>
      </c>
      <c r="X23" s="27">
        <f>rebio23_80ml!X26/50</f>
        <v>0</v>
      </c>
      <c r="Y23" s="27">
        <f>rebio23_80ml!Y26/50</f>
        <v>0</v>
      </c>
      <c r="Z23" s="27">
        <f>rebio23_80ml!Z26/50</f>
        <v>0</v>
      </c>
      <c r="AA23" s="27">
        <f>rebio23_80ml!AA26/50</f>
        <v>0</v>
      </c>
      <c r="AB23" s="27">
        <f>rebio23_80ml!AB26/50</f>
        <v>0</v>
      </c>
      <c r="AC23" s="27">
        <f>rebio23_80ml!AC26/50</f>
        <v>0.04</v>
      </c>
      <c r="AD23" s="27">
        <f>rebio23_80ml!AD26/50</f>
        <v>0.02</v>
      </c>
      <c r="AE23" s="27">
        <f>rebio23_80ml!AE26/50</f>
        <v>0</v>
      </c>
      <c r="AF23" s="27">
        <f>rebio23_80ml!AF26/50</f>
        <v>0</v>
      </c>
      <c r="AG23" s="27">
        <f>rebio23_80ml!AG26/50</f>
        <v>0</v>
      </c>
      <c r="AH23" s="27">
        <f>rebio23_80ml!AH26/50</f>
        <v>0.02</v>
      </c>
      <c r="AI23" s="27">
        <f>rebio23_80ml!AI26/50</f>
        <v>0</v>
      </c>
      <c r="AJ23" s="27">
        <f>rebio23_80ml!AJ26/50</f>
        <v>0</v>
      </c>
      <c r="AK23" s="27">
        <f>rebio23_80ml!AK26/50</f>
        <v>0</v>
      </c>
      <c r="AL23" s="27">
        <f>rebio23_80ml!AL26/50</f>
        <v>0</v>
      </c>
      <c r="AM23" s="27">
        <f>rebio23_80ml!AM26/50</f>
        <v>0</v>
      </c>
      <c r="AN23" s="27">
        <f>rebio23_80ml!AN26/50</f>
        <v>0</v>
      </c>
      <c r="AO23" s="27">
        <f>rebio23_80ml!AO26/50</f>
        <v>0</v>
      </c>
      <c r="AP23" s="27">
        <f>rebio23_80ml!AP26/50</f>
        <v>0</v>
      </c>
      <c r="AQ23" s="27">
        <f>rebio23_80ml!AQ26/50</f>
        <v>0</v>
      </c>
      <c r="AR23" s="27">
        <f>rebio23_80ml!AR26/50</f>
        <v>0</v>
      </c>
      <c r="AS23" s="27">
        <f>rebio23_80ml!AS26/50</f>
        <v>0</v>
      </c>
      <c r="AT23" s="27">
        <f>rebio23_80ml!AT26/50</f>
        <v>0</v>
      </c>
      <c r="AU23" s="27">
        <f>rebio23_80ml!AU26/50</f>
        <v>0</v>
      </c>
      <c r="AV23" s="27">
        <f>rebio23_80ml!AV26/50</f>
        <v>0.24</v>
      </c>
      <c r="AW23" s="27">
        <f>rebio23_80ml!AW26/50</f>
        <v>0</v>
      </c>
      <c r="AX23" s="27">
        <f>rebio23_80ml!AX26/50</f>
        <v>0</v>
      </c>
      <c r="AY23" s="27">
        <f>rebio23_80ml!AY26/50</f>
        <v>0</v>
      </c>
      <c r="AZ23" s="27">
        <f>rebio23_80ml!AZ26/50</f>
        <v>0</v>
      </c>
      <c r="BA23" s="27">
        <f>rebio23_80ml!BA26/50</f>
        <v>0</v>
      </c>
      <c r="BB23" s="27">
        <f>rebio23_80ml!BB26/50</f>
        <v>0</v>
      </c>
      <c r="BC23" s="27">
        <f>rebio23_80ml!BC26/50</f>
        <v>0</v>
      </c>
      <c r="BD23" s="27">
        <f>rebio23_80ml!BD26/50</f>
        <v>0</v>
      </c>
      <c r="BE23" s="27">
        <f>rebio23_80ml!BE26/50</f>
        <v>0</v>
      </c>
      <c r="BF23" s="27">
        <f>rebio23_80ml!BF26/50</f>
        <v>0</v>
      </c>
      <c r="BG23" s="27">
        <f>rebio23_80ml!BG26/50</f>
        <v>0</v>
      </c>
    </row>
    <row r="24" spans="1:59" ht="12.75" customHeight="1" x14ac:dyDescent="0.25">
      <c r="A24" s="15" t="str">
        <f>rebio23_80ml!A27</f>
        <v>S-C-P12-H2</v>
      </c>
      <c r="B24" s="27">
        <f>rebio23_80ml!B27/50</f>
        <v>0.02</v>
      </c>
      <c r="C24" s="27">
        <f>rebio23_80ml!C27/50</f>
        <v>0</v>
      </c>
      <c r="D24" s="27">
        <f>rebio23_80ml!D27/50</f>
        <v>0</v>
      </c>
      <c r="E24" s="27">
        <f>rebio23_80ml!E27/50</f>
        <v>0.38</v>
      </c>
      <c r="F24" s="27">
        <f>rebio23_80ml!F27/50</f>
        <v>0</v>
      </c>
      <c r="G24" s="27">
        <f>rebio23_80ml!G27/50</f>
        <v>0</v>
      </c>
      <c r="H24" s="27">
        <f>rebio23_80ml!H27/50</f>
        <v>0</v>
      </c>
      <c r="I24" s="27">
        <f>rebio23_80ml!I27/50</f>
        <v>0.14000000000000001</v>
      </c>
      <c r="J24" s="27">
        <f>rebio23_80ml!J27/50</f>
        <v>0</v>
      </c>
      <c r="K24" s="27">
        <f>rebio23_80ml!K27/50</f>
        <v>0</v>
      </c>
      <c r="L24" s="27">
        <f>rebio23_80ml!L27/50</f>
        <v>0</v>
      </c>
      <c r="M24" s="27">
        <f>rebio23_80ml!M27/50</f>
        <v>0</v>
      </c>
      <c r="N24" s="27">
        <f>rebio23_80ml!N27/50</f>
        <v>0</v>
      </c>
      <c r="O24" s="27">
        <f>rebio23_80ml!O27/50</f>
        <v>0</v>
      </c>
      <c r="P24" s="27">
        <f>rebio23_80ml!P27/50</f>
        <v>0</v>
      </c>
      <c r="Q24" s="27">
        <f>rebio23_80ml!Q27/50</f>
        <v>0</v>
      </c>
      <c r="R24" s="27">
        <f>rebio23_80ml!R27/50</f>
        <v>0</v>
      </c>
      <c r="S24" s="27">
        <f>rebio23_80ml!S27/50</f>
        <v>0.06</v>
      </c>
      <c r="T24" s="27">
        <f>rebio23_80ml!T27/50</f>
        <v>0</v>
      </c>
      <c r="U24" s="27">
        <f>rebio23_80ml!U27/50</f>
        <v>0</v>
      </c>
      <c r="V24" s="27">
        <f>rebio23_80ml!V27/50</f>
        <v>0</v>
      </c>
      <c r="W24" s="27">
        <f>rebio23_80ml!W27/50</f>
        <v>0</v>
      </c>
      <c r="X24" s="27">
        <f>rebio23_80ml!X27/50</f>
        <v>0</v>
      </c>
      <c r="Y24" s="27">
        <f>rebio23_80ml!Y27/50</f>
        <v>0</v>
      </c>
      <c r="Z24" s="27">
        <f>rebio23_80ml!Z27/50</f>
        <v>0</v>
      </c>
      <c r="AA24" s="27">
        <f>rebio23_80ml!AA27/50</f>
        <v>0.06</v>
      </c>
      <c r="AB24" s="27">
        <f>rebio23_80ml!AB27/50</f>
        <v>0</v>
      </c>
      <c r="AC24" s="27">
        <f>rebio23_80ml!AC27/50</f>
        <v>0</v>
      </c>
      <c r="AD24" s="27">
        <f>rebio23_80ml!AD27/50</f>
        <v>0</v>
      </c>
      <c r="AE24" s="27">
        <f>rebio23_80ml!AE27/50</f>
        <v>0</v>
      </c>
      <c r="AF24" s="27">
        <f>rebio23_80ml!AF27/50</f>
        <v>0</v>
      </c>
      <c r="AG24" s="27">
        <f>rebio23_80ml!AG27/50</f>
        <v>0</v>
      </c>
      <c r="AH24" s="27">
        <f>rebio23_80ml!AH27/50</f>
        <v>0</v>
      </c>
      <c r="AI24" s="27">
        <f>rebio23_80ml!AI27/50</f>
        <v>0</v>
      </c>
      <c r="AJ24" s="27">
        <f>rebio23_80ml!AJ27/50</f>
        <v>0.02</v>
      </c>
      <c r="AK24" s="27">
        <f>rebio23_80ml!AK27/50</f>
        <v>0</v>
      </c>
      <c r="AL24" s="27">
        <f>rebio23_80ml!AL27/50</f>
        <v>0</v>
      </c>
      <c r="AM24" s="27">
        <f>rebio23_80ml!AM27/50</f>
        <v>0</v>
      </c>
      <c r="AN24" s="27">
        <f>rebio23_80ml!AN27/50</f>
        <v>0</v>
      </c>
      <c r="AO24" s="27">
        <f>rebio23_80ml!AO27/50</f>
        <v>0</v>
      </c>
      <c r="AP24" s="27">
        <f>rebio23_80ml!AP27/50</f>
        <v>0</v>
      </c>
      <c r="AQ24" s="27">
        <f>rebio23_80ml!AQ27/50</f>
        <v>0</v>
      </c>
      <c r="AR24" s="27">
        <f>rebio23_80ml!AR27/50</f>
        <v>0</v>
      </c>
      <c r="AS24" s="27">
        <f>rebio23_80ml!AS27/50</f>
        <v>0</v>
      </c>
      <c r="AT24" s="27">
        <f>rebio23_80ml!AT27/50</f>
        <v>0</v>
      </c>
      <c r="AU24" s="27">
        <f>rebio23_80ml!AU27/50</f>
        <v>0</v>
      </c>
      <c r="AV24" s="27">
        <f>rebio23_80ml!AV27/50</f>
        <v>0.06</v>
      </c>
      <c r="AW24" s="27">
        <f>rebio23_80ml!AW27/50</f>
        <v>0</v>
      </c>
      <c r="AX24" s="27">
        <f>rebio23_80ml!AX27/50</f>
        <v>0</v>
      </c>
      <c r="AY24" s="27">
        <f>rebio23_80ml!AY27/50</f>
        <v>0</v>
      </c>
      <c r="AZ24" s="27">
        <f>rebio23_80ml!AZ27/50</f>
        <v>0</v>
      </c>
      <c r="BA24" s="27">
        <f>rebio23_80ml!BA27/50</f>
        <v>0</v>
      </c>
      <c r="BB24" s="27">
        <f>rebio23_80ml!BB27/50</f>
        <v>0</v>
      </c>
      <c r="BC24" s="27">
        <f>rebio23_80ml!BC27/50</f>
        <v>0</v>
      </c>
      <c r="BD24" s="27">
        <f>rebio23_80ml!BD27/50</f>
        <v>0</v>
      </c>
      <c r="BE24" s="27">
        <f>rebio23_80ml!BE27/50</f>
        <v>0</v>
      </c>
      <c r="BF24" s="27">
        <f>rebio23_80ml!BF27/50</f>
        <v>0</v>
      </c>
      <c r="BG24" s="27">
        <f>rebio23_80ml!BG27/50</f>
        <v>0</v>
      </c>
    </row>
    <row r="25" spans="1:59" ht="12.75" customHeight="1" x14ac:dyDescent="0.25">
      <c r="A25" s="15" t="str">
        <f>rebio23_80ml!A28</f>
        <v>S-C-P12-H3</v>
      </c>
      <c r="B25" s="27">
        <f>rebio23_80ml!B28/50</f>
        <v>0.04</v>
      </c>
      <c r="C25" s="27">
        <f>rebio23_80ml!C28/50</f>
        <v>0</v>
      </c>
      <c r="D25" s="27">
        <f>rebio23_80ml!D28/50</f>
        <v>0</v>
      </c>
      <c r="E25" s="27">
        <f>rebio23_80ml!E28/50</f>
        <v>0.46</v>
      </c>
      <c r="F25" s="27">
        <f>rebio23_80ml!F28/50</f>
        <v>0</v>
      </c>
      <c r="G25" s="27">
        <f>rebio23_80ml!G28/50</f>
        <v>0</v>
      </c>
      <c r="H25" s="27">
        <f>rebio23_80ml!H28/50</f>
        <v>0</v>
      </c>
      <c r="I25" s="27">
        <f>rebio23_80ml!I28/50</f>
        <v>0.02</v>
      </c>
      <c r="J25" s="27">
        <f>rebio23_80ml!J28/50</f>
        <v>0</v>
      </c>
      <c r="K25" s="27">
        <f>rebio23_80ml!K28/50</f>
        <v>0</v>
      </c>
      <c r="L25" s="27">
        <f>rebio23_80ml!L28/50</f>
        <v>0</v>
      </c>
      <c r="M25" s="27">
        <f>rebio23_80ml!M28/50</f>
        <v>0</v>
      </c>
      <c r="N25" s="27">
        <f>rebio23_80ml!N28/50</f>
        <v>0</v>
      </c>
      <c r="O25" s="27">
        <f>rebio23_80ml!O28/50</f>
        <v>0</v>
      </c>
      <c r="P25" s="27">
        <f>rebio23_80ml!P28/50</f>
        <v>0</v>
      </c>
      <c r="Q25" s="27">
        <f>rebio23_80ml!Q28/50</f>
        <v>0</v>
      </c>
      <c r="R25" s="27">
        <f>rebio23_80ml!R28/50</f>
        <v>0</v>
      </c>
      <c r="S25" s="27">
        <f>rebio23_80ml!S28/50</f>
        <v>0.08</v>
      </c>
      <c r="T25" s="27">
        <f>rebio23_80ml!T28/50</f>
        <v>0.04</v>
      </c>
      <c r="U25" s="27">
        <f>rebio23_80ml!U28/50</f>
        <v>0</v>
      </c>
      <c r="V25" s="27">
        <f>rebio23_80ml!V28/50</f>
        <v>0</v>
      </c>
      <c r="W25" s="27">
        <f>rebio23_80ml!W28/50</f>
        <v>0</v>
      </c>
      <c r="X25" s="27">
        <f>rebio23_80ml!X28/50</f>
        <v>0.02</v>
      </c>
      <c r="Y25" s="27">
        <f>rebio23_80ml!Y28/50</f>
        <v>0</v>
      </c>
      <c r="Z25" s="27">
        <f>rebio23_80ml!Z28/50</f>
        <v>0.02</v>
      </c>
      <c r="AA25" s="27">
        <f>rebio23_80ml!AA28/50</f>
        <v>0</v>
      </c>
      <c r="AB25" s="27">
        <f>rebio23_80ml!AB28/50</f>
        <v>0</v>
      </c>
      <c r="AC25" s="27">
        <f>rebio23_80ml!AC28/50</f>
        <v>0</v>
      </c>
      <c r="AD25" s="27">
        <f>rebio23_80ml!AD28/50</f>
        <v>0</v>
      </c>
      <c r="AE25" s="27">
        <f>rebio23_80ml!AE28/50</f>
        <v>0</v>
      </c>
      <c r="AF25" s="27">
        <f>rebio23_80ml!AF28/50</f>
        <v>0</v>
      </c>
      <c r="AG25" s="27">
        <f>rebio23_80ml!AG28/50</f>
        <v>0</v>
      </c>
      <c r="AH25" s="27">
        <f>rebio23_80ml!AH28/50</f>
        <v>0</v>
      </c>
      <c r="AI25" s="27">
        <f>rebio23_80ml!AI28/50</f>
        <v>0.02</v>
      </c>
      <c r="AJ25" s="27">
        <f>rebio23_80ml!AJ28/50</f>
        <v>0</v>
      </c>
      <c r="AK25" s="27">
        <f>rebio23_80ml!AK28/50</f>
        <v>0</v>
      </c>
      <c r="AL25" s="27">
        <f>rebio23_80ml!AL28/50</f>
        <v>0.02</v>
      </c>
      <c r="AM25" s="27">
        <f>rebio23_80ml!AM28/50</f>
        <v>0</v>
      </c>
      <c r="AN25" s="27">
        <f>rebio23_80ml!AN28/50</f>
        <v>0</v>
      </c>
      <c r="AO25" s="27">
        <f>rebio23_80ml!AO28/50</f>
        <v>0</v>
      </c>
      <c r="AP25" s="27">
        <f>rebio23_80ml!AP28/50</f>
        <v>0</v>
      </c>
      <c r="AQ25" s="27">
        <f>rebio23_80ml!AQ28/50</f>
        <v>0</v>
      </c>
      <c r="AR25" s="27">
        <f>rebio23_80ml!AR28/50</f>
        <v>0</v>
      </c>
      <c r="AS25" s="27">
        <f>rebio23_80ml!AS28/50</f>
        <v>0</v>
      </c>
      <c r="AT25" s="27">
        <f>rebio23_80ml!AT28/50</f>
        <v>0</v>
      </c>
      <c r="AU25" s="27">
        <f>rebio23_80ml!AU28/50</f>
        <v>0</v>
      </c>
      <c r="AV25" s="27">
        <f>rebio23_80ml!AV28/50</f>
        <v>0.08</v>
      </c>
      <c r="AW25" s="27">
        <f>rebio23_80ml!AW28/50</f>
        <v>0</v>
      </c>
      <c r="AX25" s="27">
        <f>rebio23_80ml!AX28/50</f>
        <v>0.02</v>
      </c>
      <c r="AY25" s="27">
        <f>rebio23_80ml!AY28/50</f>
        <v>0</v>
      </c>
      <c r="AZ25" s="27">
        <f>rebio23_80ml!AZ28/50</f>
        <v>0</v>
      </c>
      <c r="BA25" s="27">
        <f>rebio23_80ml!BA28/50</f>
        <v>0</v>
      </c>
      <c r="BB25" s="27">
        <f>rebio23_80ml!BB28/50</f>
        <v>0</v>
      </c>
      <c r="BC25" s="27">
        <f>rebio23_80ml!BC28/50</f>
        <v>0</v>
      </c>
      <c r="BD25" s="27">
        <f>rebio23_80ml!BD28/50</f>
        <v>0</v>
      </c>
      <c r="BE25" s="27">
        <f>rebio23_80ml!BE28/50</f>
        <v>0</v>
      </c>
      <c r="BF25" s="27">
        <f>rebio23_80ml!BF28/50</f>
        <v>0</v>
      </c>
      <c r="BG25" s="27">
        <f>rebio23_80ml!BG28/50</f>
        <v>0</v>
      </c>
    </row>
    <row r="26" spans="1:59" ht="12.75" customHeight="1" x14ac:dyDescent="0.25">
      <c r="A26" s="15" t="str">
        <f>rebio23_80ml!A29</f>
        <v>S-C-P13-H1</v>
      </c>
      <c r="B26" s="27">
        <f>rebio23_80ml!B29/50</f>
        <v>0</v>
      </c>
      <c r="C26" s="27">
        <f>rebio23_80ml!C29/50</f>
        <v>0</v>
      </c>
      <c r="D26" s="27">
        <f>rebio23_80ml!D29/50</f>
        <v>0</v>
      </c>
      <c r="E26" s="27">
        <f>rebio23_80ml!E29/50</f>
        <v>0.14000000000000001</v>
      </c>
      <c r="F26" s="27">
        <f>rebio23_80ml!F29/50</f>
        <v>0</v>
      </c>
      <c r="G26" s="27">
        <f>rebio23_80ml!G29/50</f>
        <v>0</v>
      </c>
      <c r="H26" s="27">
        <f>rebio23_80ml!H29/50</f>
        <v>0</v>
      </c>
      <c r="I26" s="27">
        <f>rebio23_80ml!I29/50</f>
        <v>0</v>
      </c>
      <c r="J26" s="27">
        <f>rebio23_80ml!J29/50</f>
        <v>0</v>
      </c>
      <c r="K26" s="27">
        <f>rebio23_80ml!K29/50</f>
        <v>0</v>
      </c>
      <c r="L26" s="27">
        <f>rebio23_80ml!L29/50</f>
        <v>0</v>
      </c>
      <c r="M26" s="27">
        <f>rebio23_80ml!M29/50</f>
        <v>0</v>
      </c>
      <c r="N26" s="27">
        <f>rebio23_80ml!N29/50</f>
        <v>0</v>
      </c>
      <c r="O26" s="27">
        <f>rebio23_80ml!O29/50</f>
        <v>0</v>
      </c>
      <c r="P26" s="27">
        <f>rebio23_80ml!P29/50</f>
        <v>0</v>
      </c>
      <c r="Q26" s="27">
        <f>rebio23_80ml!Q29/50</f>
        <v>0</v>
      </c>
      <c r="R26" s="27">
        <f>rebio23_80ml!R29/50</f>
        <v>0</v>
      </c>
      <c r="S26" s="27">
        <f>rebio23_80ml!S29/50</f>
        <v>0.02</v>
      </c>
      <c r="T26" s="27">
        <f>rebio23_80ml!T29/50</f>
        <v>0</v>
      </c>
      <c r="U26" s="27">
        <f>rebio23_80ml!U29/50</f>
        <v>0</v>
      </c>
      <c r="V26" s="27">
        <f>rebio23_80ml!V29/50</f>
        <v>0</v>
      </c>
      <c r="W26" s="27">
        <f>rebio23_80ml!W29/50</f>
        <v>0</v>
      </c>
      <c r="X26" s="27">
        <f>rebio23_80ml!X29/50</f>
        <v>0</v>
      </c>
      <c r="Y26" s="27">
        <f>rebio23_80ml!Y29/50</f>
        <v>0</v>
      </c>
      <c r="Z26" s="27">
        <f>rebio23_80ml!Z29/50</f>
        <v>0</v>
      </c>
      <c r="AA26" s="27">
        <f>rebio23_80ml!AA29/50</f>
        <v>0</v>
      </c>
      <c r="AB26" s="27">
        <f>rebio23_80ml!AB29/50</f>
        <v>0</v>
      </c>
      <c r="AC26" s="27">
        <f>rebio23_80ml!AC29/50</f>
        <v>0</v>
      </c>
      <c r="AD26" s="27">
        <f>rebio23_80ml!AD29/50</f>
        <v>0</v>
      </c>
      <c r="AE26" s="27">
        <f>rebio23_80ml!AE29/50</f>
        <v>0</v>
      </c>
      <c r="AF26" s="27">
        <f>rebio23_80ml!AF29/50</f>
        <v>0</v>
      </c>
      <c r="AG26" s="27">
        <f>rebio23_80ml!AG29/50</f>
        <v>0</v>
      </c>
      <c r="AH26" s="27">
        <f>rebio23_80ml!AH29/50</f>
        <v>0</v>
      </c>
      <c r="AI26" s="27">
        <f>rebio23_80ml!AI29/50</f>
        <v>0</v>
      </c>
      <c r="AJ26" s="27">
        <f>rebio23_80ml!AJ29/50</f>
        <v>0</v>
      </c>
      <c r="AK26" s="27">
        <f>rebio23_80ml!AK29/50</f>
        <v>0</v>
      </c>
      <c r="AL26" s="27">
        <f>rebio23_80ml!AL29/50</f>
        <v>0</v>
      </c>
      <c r="AM26" s="27">
        <f>rebio23_80ml!AM29/50</f>
        <v>0</v>
      </c>
      <c r="AN26" s="27">
        <f>rebio23_80ml!AN29/50</f>
        <v>0</v>
      </c>
      <c r="AO26" s="27">
        <f>rebio23_80ml!AO29/50</f>
        <v>0</v>
      </c>
      <c r="AP26" s="27">
        <f>rebio23_80ml!AP29/50</f>
        <v>0</v>
      </c>
      <c r="AQ26" s="27">
        <f>rebio23_80ml!AQ29/50</f>
        <v>0</v>
      </c>
      <c r="AR26" s="27">
        <f>rebio23_80ml!AR29/50</f>
        <v>0</v>
      </c>
      <c r="AS26" s="27">
        <f>rebio23_80ml!AS29/50</f>
        <v>0</v>
      </c>
      <c r="AT26" s="27">
        <f>rebio23_80ml!AT29/50</f>
        <v>0</v>
      </c>
      <c r="AU26" s="27">
        <f>rebio23_80ml!AU29/50</f>
        <v>0</v>
      </c>
      <c r="AV26" s="27">
        <f>rebio23_80ml!AV29/50</f>
        <v>0</v>
      </c>
      <c r="AW26" s="27">
        <f>rebio23_80ml!AW29/50</f>
        <v>0</v>
      </c>
      <c r="AX26" s="27">
        <f>rebio23_80ml!AX29/50</f>
        <v>0</v>
      </c>
      <c r="AY26" s="27">
        <f>rebio23_80ml!AY29/50</f>
        <v>0</v>
      </c>
      <c r="AZ26" s="27">
        <f>rebio23_80ml!AZ29/50</f>
        <v>0</v>
      </c>
      <c r="BA26" s="27">
        <f>rebio23_80ml!BA29/50</f>
        <v>0</v>
      </c>
      <c r="BB26" s="27">
        <f>rebio23_80ml!BB29/50</f>
        <v>0</v>
      </c>
      <c r="BC26" s="27">
        <f>rebio23_80ml!BC29/50</f>
        <v>0</v>
      </c>
      <c r="BD26" s="27">
        <f>rebio23_80ml!BD29/50</f>
        <v>0</v>
      </c>
      <c r="BE26" s="27">
        <f>rebio23_80ml!BE29/50</f>
        <v>0</v>
      </c>
      <c r="BF26" s="27">
        <f>rebio23_80ml!BF29/50</f>
        <v>0</v>
      </c>
      <c r="BG26" s="27">
        <f>rebio23_80ml!BG29/50</f>
        <v>0</v>
      </c>
    </row>
    <row r="27" spans="1:59" ht="12.75" customHeight="1" x14ac:dyDescent="0.25">
      <c r="A27" s="15" t="str">
        <f>rebio23_80ml!A30</f>
        <v>S-C-P13-H2</v>
      </c>
      <c r="B27" s="27">
        <f>rebio23_80ml!B30/50</f>
        <v>0</v>
      </c>
      <c r="C27" s="27">
        <f>rebio23_80ml!C30/50</f>
        <v>0</v>
      </c>
      <c r="D27" s="27">
        <f>rebio23_80ml!D30/50</f>
        <v>0</v>
      </c>
      <c r="E27" s="27">
        <f>rebio23_80ml!E30/50</f>
        <v>0.24</v>
      </c>
      <c r="F27" s="27">
        <f>rebio23_80ml!F30/50</f>
        <v>0</v>
      </c>
      <c r="G27" s="27">
        <f>rebio23_80ml!G30/50</f>
        <v>0</v>
      </c>
      <c r="H27" s="27">
        <f>rebio23_80ml!H30/50</f>
        <v>0</v>
      </c>
      <c r="I27" s="27">
        <f>rebio23_80ml!I30/50</f>
        <v>0</v>
      </c>
      <c r="J27" s="27">
        <f>rebio23_80ml!J30/50</f>
        <v>0</v>
      </c>
      <c r="K27" s="27">
        <f>rebio23_80ml!K30/50</f>
        <v>0</v>
      </c>
      <c r="L27" s="27">
        <f>rebio23_80ml!L30/50</f>
        <v>0</v>
      </c>
      <c r="M27" s="27">
        <f>rebio23_80ml!M30/50</f>
        <v>0</v>
      </c>
      <c r="N27" s="27">
        <f>rebio23_80ml!N30/50</f>
        <v>0</v>
      </c>
      <c r="O27" s="27">
        <f>rebio23_80ml!O30/50</f>
        <v>0</v>
      </c>
      <c r="P27" s="27">
        <f>rebio23_80ml!P30/50</f>
        <v>0</v>
      </c>
      <c r="Q27" s="27">
        <f>rebio23_80ml!Q30/50</f>
        <v>0</v>
      </c>
      <c r="R27" s="27">
        <f>rebio23_80ml!R30/50</f>
        <v>0</v>
      </c>
      <c r="S27" s="27">
        <f>rebio23_80ml!S30/50</f>
        <v>0</v>
      </c>
      <c r="T27" s="27">
        <f>rebio23_80ml!T30/50</f>
        <v>0</v>
      </c>
      <c r="U27" s="27">
        <f>rebio23_80ml!U30/50</f>
        <v>0</v>
      </c>
      <c r="V27" s="27">
        <f>rebio23_80ml!V30/50</f>
        <v>0</v>
      </c>
      <c r="W27" s="27">
        <f>rebio23_80ml!W30/50</f>
        <v>0</v>
      </c>
      <c r="X27" s="27">
        <f>rebio23_80ml!X30/50</f>
        <v>0</v>
      </c>
      <c r="Y27" s="27">
        <f>rebio23_80ml!Y30/50</f>
        <v>0</v>
      </c>
      <c r="Z27" s="27">
        <f>rebio23_80ml!Z30/50</f>
        <v>0</v>
      </c>
      <c r="AA27" s="27">
        <f>rebio23_80ml!AA30/50</f>
        <v>0</v>
      </c>
      <c r="AB27" s="27">
        <f>rebio23_80ml!AB30/50</f>
        <v>0</v>
      </c>
      <c r="AC27" s="27">
        <f>rebio23_80ml!AC30/50</f>
        <v>0</v>
      </c>
      <c r="AD27" s="27">
        <f>rebio23_80ml!AD30/50</f>
        <v>0</v>
      </c>
      <c r="AE27" s="27">
        <f>rebio23_80ml!AE30/50</f>
        <v>0</v>
      </c>
      <c r="AF27" s="27">
        <f>rebio23_80ml!AF30/50</f>
        <v>0</v>
      </c>
      <c r="AG27" s="27">
        <f>rebio23_80ml!AG30/50</f>
        <v>0</v>
      </c>
      <c r="AH27" s="27">
        <f>rebio23_80ml!AH30/50</f>
        <v>0</v>
      </c>
      <c r="AI27" s="27">
        <f>rebio23_80ml!AI30/50</f>
        <v>0</v>
      </c>
      <c r="AJ27" s="27">
        <f>rebio23_80ml!AJ30/50</f>
        <v>0</v>
      </c>
      <c r="AK27" s="27">
        <f>rebio23_80ml!AK30/50</f>
        <v>0</v>
      </c>
      <c r="AL27" s="27">
        <f>rebio23_80ml!AL30/50</f>
        <v>0</v>
      </c>
      <c r="AM27" s="27">
        <f>rebio23_80ml!AM30/50</f>
        <v>0</v>
      </c>
      <c r="AN27" s="27">
        <f>rebio23_80ml!AN30/50</f>
        <v>0</v>
      </c>
      <c r="AO27" s="27">
        <f>rebio23_80ml!AO30/50</f>
        <v>0</v>
      </c>
      <c r="AP27" s="27">
        <f>rebio23_80ml!AP30/50</f>
        <v>0</v>
      </c>
      <c r="AQ27" s="27">
        <f>rebio23_80ml!AQ30/50</f>
        <v>0</v>
      </c>
      <c r="AR27" s="27">
        <f>rebio23_80ml!AR30/50</f>
        <v>0</v>
      </c>
      <c r="AS27" s="27">
        <f>rebio23_80ml!AS30/50</f>
        <v>0</v>
      </c>
      <c r="AT27" s="27">
        <f>rebio23_80ml!AT30/50</f>
        <v>0</v>
      </c>
      <c r="AU27" s="27">
        <f>rebio23_80ml!AU30/50</f>
        <v>0</v>
      </c>
      <c r="AV27" s="27">
        <f>rebio23_80ml!AV30/50</f>
        <v>0</v>
      </c>
      <c r="AW27" s="27">
        <f>rebio23_80ml!AW30/50</f>
        <v>0</v>
      </c>
      <c r="AX27" s="27">
        <f>rebio23_80ml!AX30/50</f>
        <v>0</v>
      </c>
      <c r="AY27" s="27">
        <f>rebio23_80ml!AY30/50</f>
        <v>0</v>
      </c>
      <c r="AZ27" s="27">
        <f>rebio23_80ml!AZ30/50</f>
        <v>0</v>
      </c>
      <c r="BA27" s="27">
        <f>rebio23_80ml!BA30/50</f>
        <v>0</v>
      </c>
      <c r="BB27" s="27">
        <f>rebio23_80ml!BB30/50</f>
        <v>0</v>
      </c>
      <c r="BC27" s="27">
        <f>rebio23_80ml!BC30/50</f>
        <v>0</v>
      </c>
      <c r="BD27" s="27">
        <f>rebio23_80ml!BD30/50</f>
        <v>0</v>
      </c>
      <c r="BE27" s="27">
        <f>rebio23_80ml!BE30/50</f>
        <v>0</v>
      </c>
      <c r="BF27" s="27">
        <f>rebio23_80ml!BF30/50</f>
        <v>0</v>
      </c>
      <c r="BG27" s="27">
        <f>rebio23_80ml!BG30/50</f>
        <v>0</v>
      </c>
    </row>
    <row r="28" spans="1:59" ht="12.75" customHeight="1" x14ac:dyDescent="0.25">
      <c r="A28" s="15" t="str">
        <f>rebio23_80ml!A31</f>
        <v>S-C-P13-H3</v>
      </c>
      <c r="B28" s="27">
        <f>rebio23_80ml!B31/50</f>
        <v>0</v>
      </c>
      <c r="C28" s="27">
        <f>rebio23_80ml!C31/50</f>
        <v>0</v>
      </c>
      <c r="D28" s="27">
        <f>rebio23_80ml!D31/50</f>
        <v>0</v>
      </c>
      <c r="E28" s="27">
        <f>rebio23_80ml!E31/50</f>
        <v>0.72</v>
      </c>
      <c r="F28" s="27">
        <f>rebio23_80ml!F31/50</f>
        <v>0</v>
      </c>
      <c r="G28" s="27">
        <f>rebio23_80ml!G31/50</f>
        <v>0</v>
      </c>
      <c r="H28" s="27">
        <f>rebio23_80ml!H31/50</f>
        <v>0</v>
      </c>
      <c r="I28" s="27">
        <f>rebio23_80ml!I31/50</f>
        <v>0</v>
      </c>
      <c r="J28" s="27">
        <f>rebio23_80ml!J31/50</f>
        <v>0</v>
      </c>
      <c r="K28" s="27">
        <f>rebio23_80ml!K31/50</f>
        <v>0</v>
      </c>
      <c r="L28" s="27">
        <f>rebio23_80ml!L31/50</f>
        <v>0</v>
      </c>
      <c r="M28" s="27">
        <f>rebio23_80ml!M31/50</f>
        <v>0</v>
      </c>
      <c r="N28" s="27">
        <f>rebio23_80ml!N31/50</f>
        <v>0</v>
      </c>
      <c r="O28" s="27">
        <f>rebio23_80ml!O31/50</f>
        <v>0</v>
      </c>
      <c r="P28" s="27">
        <f>rebio23_80ml!P31/50</f>
        <v>0</v>
      </c>
      <c r="Q28" s="27">
        <f>rebio23_80ml!Q31/50</f>
        <v>0</v>
      </c>
      <c r="R28" s="27">
        <f>rebio23_80ml!R31/50</f>
        <v>0</v>
      </c>
      <c r="S28" s="27">
        <f>rebio23_80ml!S31/50</f>
        <v>0.02</v>
      </c>
      <c r="T28" s="27">
        <f>rebio23_80ml!T31/50</f>
        <v>0</v>
      </c>
      <c r="U28" s="27">
        <f>rebio23_80ml!U31/50</f>
        <v>0</v>
      </c>
      <c r="V28" s="27">
        <f>rebio23_80ml!V31/50</f>
        <v>0</v>
      </c>
      <c r="W28" s="27">
        <f>rebio23_80ml!W31/50</f>
        <v>0</v>
      </c>
      <c r="X28" s="27">
        <f>rebio23_80ml!X31/50</f>
        <v>0</v>
      </c>
      <c r="Y28" s="27">
        <f>rebio23_80ml!Y31/50</f>
        <v>0</v>
      </c>
      <c r="Z28" s="27">
        <f>rebio23_80ml!Z31/50</f>
        <v>0</v>
      </c>
      <c r="AA28" s="27">
        <f>rebio23_80ml!AA31/50</f>
        <v>0</v>
      </c>
      <c r="AB28" s="27">
        <f>rebio23_80ml!AB31/50</f>
        <v>0</v>
      </c>
      <c r="AC28" s="27">
        <f>rebio23_80ml!AC31/50</f>
        <v>0</v>
      </c>
      <c r="AD28" s="27">
        <f>rebio23_80ml!AD31/50</f>
        <v>0</v>
      </c>
      <c r="AE28" s="27">
        <f>rebio23_80ml!AE31/50</f>
        <v>0</v>
      </c>
      <c r="AF28" s="27">
        <f>rebio23_80ml!AF31/50</f>
        <v>0</v>
      </c>
      <c r="AG28" s="27">
        <f>rebio23_80ml!AG31/50</f>
        <v>0</v>
      </c>
      <c r="AH28" s="27">
        <f>rebio23_80ml!AH31/50</f>
        <v>0</v>
      </c>
      <c r="AI28" s="27">
        <f>rebio23_80ml!AI31/50</f>
        <v>0</v>
      </c>
      <c r="AJ28" s="27">
        <f>rebio23_80ml!AJ31/50</f>
        <v>0</v>
      </c>
      <c r="AK28" s="27">
        <f>rebio23_80ml!AK31/50</f>
        <v>0</v>
      </c>
      <c r="AL28" s="27">
        <f>rebio23_80ml!AL31/50</f>
        <v>0</v>
      </c>
      <c r="AM28" s="27">
        <f>rebio23_80ml!AM31/50</f>
        <v>0</v>
      </c>
      <c r="AN28" s="27">
        <f>rebio23_80ml!AN31/50</f>
        <v>0</v>
      </c>
      <c r="AO28" s="27">
        <f>rebio23_80ml!AO31/50</f>
        <v>0</v>
      </c>
      <c r="AP28" s="27">
        <f>rebio23_80ml!AP31/50</f>
        <v>0</v>
      </c>
      <c r="AQ28" s="27">
        <f>rebio23_80ml!AQ31/50</f>
        <v>0</v>
      </c>
      <c r="AR28" s="27">
        <f>rebio23_80ml!AR31/50</f>
        <v>0</v>
      </c>
      <c r="AS28" s="27">
        <f>rebio23_80ml!AS31/50</f>
        <v>0</v>
      </c>
      <c r="AT28" s="27">
        <f>rebio23_80ml!AT31/50</f>
        <v>0</v>
      </c>
      <c r="AU28" s="27">
        <f>rebio23_80ml!AU31/50</f>
        <v>0</v>
      </c>
      <c r="AV28" s="27">
        <f>rebio23_80ml!AV31/50</f>
        <v>0.06</v>
      </c>
      <c r="AW28" s="27">
        <f>rebio23_80ml!AW31/50</f>
        <v>0</v>
      </c>
      <c r="AX28" s="27">
        <f>rebio23_80ml!AX31/50</f>
        <v>0</v>
      </c>
      <c r="AY28" s="27">
        <f>rebio23_80ml!AY31/50</f>
        <v>0</v>
      </c>
      <c r="AZ28" s="27">
        <f>rebio23_80ml!AZ31/50</f>
        <v>0</v>
      </c>
      <c r="BA28" s="27">
        <f>rebio23_80ml!BA31/50</f>
        <v>0</v>
      </c>
      <c r="BB28" s="27">
        <f>rebio23_80ml!BB31/50</f>
        <v>0</v>
      </c>
      <c r="BC28" s="27">
        <f>rebio23_80ml!BC31/50</f>
        <v>0</v>
      </c>
      <c r="BD28" s="27">
        <f>rebio23_80ml!BD31/50</f>
        <v>0</v>
      </c>
      <c r="BE28" s="27">
        <f>rebio23_80ml!BE31/50</f>
        <v>0</v>
      </c>
      <c r="BF28" s="27">
        <f>rebio23_80ml!BF31/50</f>
        <v>0</v>
      </c>
      <c r="BG28" s="27">
        <f>rebio23_80ml!BG31/50</f>
        <v>0</v>
      </c>
    </row>
    <row r="29" spans="1:59" ht="12.75" customHeight="1" x14ac:dyDescent="0.25">
      <c r="A29" s="15" t="str">
        <f>rebio23_80ml!A32</f>
        <v>S-C-P14-H1</v>
      </c>
      <c r="B29" s="27">
        <f>rebio23_80ml!B32/50</f>
        <v>0</v>
      </c>
      <c r="C29" s="27">
        <f>rebio23_80ml!C32/50</f>
        <v>0</v>
      </c>
      <c r="D29" s="27">
        <f>rebio23_80ml!D32/50</f>
        <v>0</v>
      </c>
      <c r="E29" s="27">
        <f>rebio23_80ml!E32/50</f>
        <v>0.26</v>
      </c>
      <c r="F29" s="27">
        <f>rebio23_80ml!F32/50</f>
        <v>0</v>
      </c>
      <c r="G29" s="27">
        <f>rebio23_80ml!G32/50</f>
        <v>0</v>
      </c>
      <c r="H29" s="27">
        <f>rebio23_80ml!H32/50</f>
        <v>0</v>
      </c>
      <c r="I29" s="27">
        <f>rebio23_80ml!I32/50</f>
        <v>0</v>
      </c>
      <c r="J29" s="27">
        <f>rebio23_80ml!J32/50</f>
        <v>0</v>
      </c>
      <c r="K29" s="27">
        <f>rebio23_80ml!K32/50</f>
        <v>0</v>
      </c>
      <c r="L29" s="27">
        <f>rebio23_80ml!L32/50</f>
        <v>0</v>
      </c>
      <c r="M29" s="27">
        <f>rebio23_80ml!M32/50</f>
        <v>0</v>
      </c>
      <c r="N29" s="27">
        <f>rebio23_80ml!N32/50</f>
        <v>0</v>
      </c>
      <c r="O29" s="27">
        <f>rebio23_80ml!O32/50</f>
        <v>0</v>
      </c>
      <c r="P29" s="27">
        <f>rebio23_80ml!P32/50</f>
        <v>0</v>
      </c>
      <c r="Q29" s="27">
        <f>rebio23_80ml!Q32/50</f>
        <v>0</v>
      </c>
      <c r="R29" s="27">
        <f>rebio23_80ml!R32/50</f>
        <v>0</v>
      </c>
      <c r="S29" s="27">
        <f>rebio23_80ml!S32/50</f>
        <v>0.02</v>
      </c>
      <c r="T29" s="27">
        <f>rebio23_80ml!T32/50</f>
        <v>0</v>
      </c>
      <c r="U29" s="27">
        <f>rebio23_80ml!U32/50</f>
        <v>0</v>
      </c>
      <c r="V29" s="27">
        <f>rebio23_80ml!V32/50</f>
        <v>0</v>
      </c>
      <c r="W29" s="27">
        <f>rebio23_80ml!W32/50</f>
        <v>0</v>
      </c>
      <c r="X29" s="27">
        <f>rebio23_80ml!X32/50</f>
        <v>0</v>
      </c>
      <c r="Y29" s="27">
        <f>rebio23_80ml!Y32/50</f>
        <v>0</v>
      </c>
      <c r="Z29" s="27">
        <f>rebio23_80ml!Z32/50</f>
        <v>0</v>
      </c>
      <c r="AA29" s="27">
        <f>rebio23_80ml!AA32/50</f>
        <v>0.02</v>
      </c>
      <c r="AB29" s="27">
        <f>rebio23_80ml!AB32/50</f>
        <v>0</v>
      </c>
      <c r="AC29" s="27">
        <f>rebio23_80ml!AC32/50</f>
        <v>0</v>
      </c>
      <c r="AD29" s="27">
        <f>rebio23_80ml!AD32/50</f>
        <v>0</v>
      </c>
      <c r="AE29" s="27">
        <f>rebio23_80ml!AE32/50</f>
        <v>0</v>
      </c>
      <c r="AF29" s="27">
        <f>rebio23_80ml!AF32/50</f>
        <v>0</v>
      </c>
      <c r="AG29" s="27">
        <f>rebio23_80ml!AG32/50</f>
        <v>0</v>
      </c>
      <c r="AH29" s="27">
        <f>rebio23_80ml!AH32/50</f>
        <v>0</v>
      </c>
      <c r="AI29" s="27">
        <f>rebio23_80ml!AI32/50</f>
        <v>0</v>
      </c>
      <c r="AJ29" s="27">
        <f>rebio23_80ml!AJ32/50</f>
        <v>0.02</v>
      </c>
      <c r="AK29" s="27">
        <f>rebio23_80ml!AK32/50</f>
        <v>0</v>
      </c>
      <c r="AL29" s="27">
        <f>rebio23_80ml!AL32/50</f>
        <v>0</v>
      </c>
      <c r="AM29" s="27">
        <f>rebio23_80ml!AM32/50</f>
        <v>0</v>
      </c>
      <c r="AN29" s="27">
        <f>rebio23_80ml!AN32/50</f>
        <v>0</v>
      </c>
      <c r="AO29" s="27">
        <f>rebio23_80ml!AO32/50</f>
        <v>0</v>
      </c>
      <c r="AP29" s="27">
        <f>rebio23_80ml!AP32/50</f>
        <v>0</v>
      </c>
      <c r="AQ29" s="27">
        <f>rebio23_80ml!AQ32/50</f>
        <v>0</v>
      </c>
      <c r="AR29" s="27">
        <f>rebio23_80ml!AR32/50</f>
        <v>0</v>
      </c>
      <c r="AS29" s="27">
        <f>rebio23_80ml!AS32/50</f>
        <v>0</v>
      </c>
      <c r="AT29" s="27">
        <f>rebio23_80ml!AT32/50</f>
        <v>0</v>
      </c>
      <c r="AU29" s="27">
        <f>rebio23_80ml!AU32/50</f>
        <v>0</v>
      </c>
      <c r="AV29" s="27">
        <f>rebio23_80ml!AV32/50</f>
        <v>0</v>
      </c>
      <c r="AW29" s="27">
        <f>rebio23_80ml!AW32/50</f>
        <v>0</v>
      </c>
      <c r="AX29" s="27">
        <f>rebio23_80ml!AX32/50</f>
        <v>0</v>
      </c>
      <c r="AY29" s="27">
        <f>rebio23_80ml!AY32/50</f>
        <v>0</v>
      </c>
      <c r="AZ29" s="27">
        <f>rebio23_80ml!AZ32/50</f>
        <v>0</v>
      </c>
      <c r="BA29" s="27">
        <f>rebio23_80ml!BA32/50</f>
        <v>0</v>
      </c>
      <c r="BB29" s="27">
        <f>rebio23_80ml!BB32/50</f>
        <v>0</v>
      </c>
      <c r="BC29" s="27">
        <f>rebio23_80ml!BC32/50</f>
        <v>0</v>
      </c>
      <c r="BD29" s="27">
        <f>rebio23_80ml!BD32/50</f>
        <v>0</v>
      </c>
      <c r="BE29" s="27">
        <f>rebio23_80ml!BE32/50</f>
        <v>0</v>
      </c>
      <c r="BF29" s="27">
        <f>rebio23_80ml!BF32/50</f>
        <v>0</v>
      </c>
      <c r="BG29" s="27">
        <f>rebio23_80ml!BG32/50</f>
        <v>0</v>
      </c>
    </row>
    <row r="30" spans="1:59" ht="12.75" customHeight="1" x14ac:dyDescent="0.25">
      <c r="A30" s="15" t="str">
        <f>rebio23_80ml!A33</f>
        <v>S-C-P14-H2</v>
      </c>
      <c r="B30" s="27">
        <f>rebio23_80ml!B33/50</f>
        <v>0</v>
      </c>
      <c r="C30" s="27">
        <f>rebio23_80ml!C33/50</f>
        <v>0</v>
      </c>
      <c r="D30" s="27">
        <f>rebio23_80ml!D33/50</f>
        <v>0</v>
      </c>
      <c r="E30" s="27">
        <f>rebio23_80ml!E33/50</f>
        <v>0.54</v>
      </c>
      <c r="F30" s="27">
        <f>rebio23_80ml!F33/50</f>
        <v>0</v>
      </c>
      <c r="G30" s="27">
        <f>rebio23_80ml!G33/50</f>
        <v>0</v>
      </c>
      <c r="H30" s="27">
        <f>rebio23_80ml!H33/50</f>
        <v>0</v>
      </c>
      <c r="I30" s="27">
        <f>rebio23_80ml!I33/50</f>
        <v>0.02</v>
      </c>
      <c r="J30" s="27">
        <f>rebio23_80ml!J33/50</f>
        <v>0</v>
      </c>
      <c r="K30" s="27">
        <f>rebio23_80ml!K33/50</f>
        <v>0</v>
      </c>
      <c r="L30" s="27">
        <f>rebio23_80ml!L33/50</f>
        <v>0</v>
      </c>
      <c r="M30" s="27">
        <f>rebio23_80ml!M33/50</f>
        <v>0</v>
      </c>
      <c r="N30" s="27">
        <f>rebio23_80ml!N33/50</f>
        <v>0</v>
      </c>
      <c r="O30" s="27">
        <f>rebio23_80ml!O33/50</f>
        <v>0</v>
      </c>
      <c r="P30" s="27">
        <f>rebio23_80ml!P33/50</f>
        <v>0</v>
      </c>
      <c r="Q30" s="27">
        <f>rebio23_80ml!Q33/50</f>
        <v>0</v>
      </c>
      <c r="R30" s="27">
        <f>rebio23_80ml!R33/50</f>
        <v>0</v>
      </c>
      <c r="S30" s="27">
        <f>rebio23_80ml!S33/50</f>
        <v>0</v>
      </c>
      <c r="T30" s="27">
        <f>rebio23_80ml!T33/50</f>
        <v>0</v>
      </c>
      <c r="U30" s="27">
        <f>rebio23_80ml!U33/50</f>
        <v>0</v>
      </c>
      <c r="V30" s="27">
        <f>rebio23_80ml!V33/50</f>
        <v>0</v>
      </c>
      <c r="W30" s="27">
        <f>rebio23_80ml!W33/50</f>
        <v>0</v>
      </c>
      <c r="X30" s="27">
        <f>rebio23_80ml!X33/50</f>
        <v>0</v>
      </c>
      <c r="Y30" s="27">
        <f>rebio23_80ml!Y33/50</f>
        <v>0</v>
      </c>
      <c r="Z30" s="27">
        <f>rebio23_80ml!Z33/50</f>
        <v>0</v>
      </c>
      <c r="AA30" s="27">
        <f>rebio23_80ml!AA33/50</f>
        <v>0</v>
      </c>
      <c r="AB30" s="27">
        <f>rebio23_80ml!AB33/50</f>
        <v>0</v>
      </c>
      <c r="AC30" s="27">
        <f>rebio23_80ml!AC33/50</f>
        <v>0</v>
      </c>
      <c r="AD30" s="27">
        <f>rebio23_80ml!AD33/50</f>
        <v>0</v>
      </c>
      <c r="AE30" s="27">
        <f>rebio23_80ml!AE33/50</f>
        <v>0</v>
      </c>
      <c r="AF30" s="27">
        <f>rebio23_80ml!AF33/50</f>
        <v>0</v>
      </c>
      <c r="AG30" s="27">
        <f>rebio23_80ml!AG33/50</f>
        <v>0</v>
      </c>
      <c r="AH30" s="27">
        <f>rebio23_80ml!AH33/50</f>
        <v>0</v>
      </c>
      <c r="AI30" s="27">
        <f>rebio23_80ml!AI33/50</f>
        <v>0</v>
      </c>
      <c r="AJ30" s="27">
        <f>rebio23_80ml!AJ33/50</f>
        <v>0</v>
      </c>
      <c r="AK30" s="27">
        <f>rebio23_80ml!AK33/50</f>
        <v>0</v>
      </c>
      <c r="AL30" s="27">
        <f>rebio23_80ml!AL33/50</f>
        <v>0</v>
      </c>
      <c r="AM30" s="27">
        <f>rebio23_80ml!AM33/50</f>
        <v>0</v>
      </c>
      <c r="AN30" s="27">
        <f>rebio23_80ml!AN33/50</f>
        <v>0</v>
      </c>
      <c r="AO30" s="27">
        <f>rebio23_80ml!AO33/50</f>
        <v>0</v>
      </c>
      <c r="AP30" s="27">
        <f>rebio23_80ml!AP33/50</f>
        <v>0</v>
      </c>
      <c r="AQ30" s="27">
        <f>rebio23_80ml!AQ33/50</f>
        <v>0</v>
      </c>
      <c r="AR30" s="27">
        <f>rebio23_80ml!AR33/50</f>
        <v>0</v>
      </c>
      <c r="AS30" s="27">
        <f>rebio23_80ml!AS33/50</f>
        <v>0</v>
      </c>
      <c r="AT30" s="27">
        <f>rebio23_80ml!AT33/50</f>
        <v>0</v>
      </c>
      <c r="AU30" s="27">
        <f>rebio23_80ml!AU33/50</f>
        <v>0</v>
      </c>
      <c r="AV30" s="27">
        <f>rebio23_80ml!AV33/50</f>
        <v>0.04</v>
      </c>
      <c r="AW30" s="27">
        <f>rebio23_80ml!AW33/50</f>
        <v>0</v>
      </c>
      <c r="AX30" s="27">
        <f>rebio23_80ml!AX33/50</f>
        <v>0</v>
      </c>
      <c r="AY30" s="27">
        <f>rebio23_80ml!AY33/50</f>
        <v>0</v>
      </c>
      <c r="AZ30" s="27">
        <f>rebio23_80ml!AZ33/50</f>
        <v>0</v>
      </c>
      <c r="BA30" s="27">
        <f>rebio23_80ml!BA33/50</f>
        <v>0</v>
      </c>
      <c r="BB30" s="27">
        <f>rebio23_80ml!BB33/50</f>
        <v>0</v>
      </c>
      <c r="BC30" s="27">
        <f>rebio23_80ml!BC33/50</f>
        <v>0</v>
      </c>
      <c r="BD30" s="27">
        <f>rebio23_80ml!BD33/50</f>
        <v>0</v>
      </c>
      <c r="BE30" s="27">
        <f>rebio23_80ml!BE33/50</f>
        <v>0</v>
      </c>
      <c r="BF30" s="27">
        <f>rebio23_80ml!BF33/50</f>
        <v>0</v>
      </c>
      <c r="BG30" s="27">
        <f>rebio23_80ml!BG33/50</f>
        <v>0</v>
      </c>
    </row>
    <row r="31" spans="1:59" ht="12.75" customHeight="1" x14ac:dyDescent="0.25">
      <c r="A31" s="15" t="str">
        <f>rebio23_80ml!A34</f>
        <v>S-C-P14-H3</v>
      </c>
      <c r="B31" s="27">
        <f>rebio23_80ml!B34/50</f>
        <v>0</v>
      </c>
      <c r="C31" s="27">
        <f>rebio23_80ml!C34/50</f>
        <v>0</v>
      </c>
      <c r="D31" s="27">
        <f>rebio23_80ml!D34/50</f>
        <v>0</v>
      </c>
      <c r="E31" s="27">
        <f>rebio23_80ml!E34/50</f>
        <v>1</v>
      </c>
      <c r="F31" s="27">
        <f>rebio23_80ml!F34/50</f>
        <v>0</v>
      </c>
      <c r="G31" s="27">
        <f>rebio23_80ml!G34/50</f>
        <v>0</v>
      </c>
      <c r="H31" s="27">
        <f>rebio23_80ml!H34/50</f>
        <v>0</v>
      </c>
      <c r="I31" s="27">
        <f>rebio23_80ml!I34/50</f>
        <v>0.02</v>
      </c>
      <c r="J31" s="27">
        <f>rebio23_80ml!J34/50</f>
        <v>0</v>
      </c>
      <c r="K31" s="27">
        <f>rebio23_80ml!K34/50</f>
        <v>0</v>
      </c>
      <c r="L31" s="27">
        <f>rebio23_80ml!L34/50</f>
        <v>0</v>
      </c>
      <c r="M31" s="27">
        <f>rebio23_80ml!M34/50</f>
        <v>0</v>
      </c>
      <c r="N31" s="27">
        <f>rebio23_80ml!N34/50</f>
        <v>0</v>
      </c>
      <c r="O31" s="27">
        <f>rebio23_80ml!O34/50</f>
        <v>0</v>
      </c>
      <c r="P31" s="27">
        <f>rebio23_80ml!P34/50</f>
        <v>0</v>
      </c>
      <c r="Q31" s="27">
        <f>rebio23_80ml!Q34/50</f>
        <v>0</v>
      </c>
      <c r="R31" s="27">
        <f>rebio23_80ml!R34/50</f>
        <v>0</v>
      </c>
      <c r="S31" s="27">
        <f>rebio23_80ml!S34/50</f>
        <v>0</v>
      </c>
      <c r="T31" s="27">
        <f>rebio23_80ml!T34/50</f>
        <v>0</v>
      </c>
      <c r="U31" s="27">
        <f>rebio23_80ml!U34/50</f>
        <v>0</v>
      </c>
      <c r="V31" s="27">
        <f>rebio23_80ml!V34/50</f>
        <v>0</v>
      </c>
      <c r="W31" s="27">
        <f>rebio23_80ml!W34/50</f>
        <v>0</v>
      </c>
      <c r="X31" s="27">
        <f>rebio23_80ml!X34/50</f>
        <v>0</v>
      </c>
      <c r="Y31" s="27">
        <f>rebio23_80ml!Y34/50</f>
        <v>0</v>
      </c>
      <c r="Z31" s="27">
        <f>rebio23_80ml!Z34/50</f>
        <v>0.02</v>
      </c>
      <c r="AA31" s="27">
        <f>rebio23_80ml!AA34/50</f>
        <v>0</v>
      </c>
      <c r="AB31" s="27">
        <f>rebio23_80ml!AB34/50</f>
        <v>0</v>
      </c>
      <c r="AC31" s="27">
        <f>rebio23_80ml!AC34/50</f>
        <v>0</v>
      </c>
      <c r="AD31" s="27">
        <f>rebio23_80ml!AD34/50</f>
        <v>0</v>
      </c>
      <c r="AE31" s="27">
        <f>rebio23_80ml!AE34/50</f>
        <v>0</v>
      </c>
      <c r="AF31" s="27">
        <f>rebio23_80ml!AF34/50</f>
        <v>0</v>
      </c>
      <c r="AG31" s="27">
        <f>rebio23_80ml!AG34/50</f>
        <v>0</v>
      </c>
      <c r="AH31" s="27">
        <f>rebio23_80ml!AH34/50</f>
        <v>0</v>
      </c>
      <c r="AI31" s="27">
        <f>rebio23_80ml!AI34/50</f>
        <v>0</v>
      </c>
      <c r="AJ31" s="27">
        <f>rebio23_80ml!AJ34/50</f>
        <v>0</v>
      </c>
      <c r="AK31" s="27">
        <f>rebio23_80ml!AK34/50</f>
        <v>0</v>
      </c>
      <c r="AL31" s="27">
        <f>rebio23_80ml!AL34/50</f>
        <v>0</v>
      </c>
      <c r="AM31" s="27">
        <f>rebio23_80ml!AM34/50</f>
        <v>0</v>
      </c>
      <c r="AN31" s="27">
        <f>rebio23_80ml!AN34/50</f>
        <v>0</v>
      </c>
      <c r="AO31" s="27">
        <f>rebio23_80ml!AO34/50</f>
        <v>0</v>
      </c>
      <c r="AP31" s="27">
        <f>rebio23_80ml!AP34/50</f>
        <v>0</v>
      </c>
      <c r="AQ31" s="27">
        <f>rebio23_80ml!AQ34/50</f>
        <v>0</v>
      </c>
      <c r="AR31" s="27">
        <f>rebio23_80ml!AR34/50</f>
        <v>0</v>
      </c>
      <c r="AS31" s="27">
        <f>rebio23_80ml!AS34/50</f>
        <v>0</v>
      </c>
      <c r="AT31" s="27">
        <f>rebio23_80ml!AT34/50</f>
        <v>0</v>
      </c>
      <c r="AU31" s="27">
        <f>rebio23_80ml!AU34/50</f>
        <v>0</v>
      </c>
      <c r="AV31" s="27">
        <f>rebio23_80ml!AV34/50</f>
        <v>0.16</v>
      </c>
      <c r="AW31" s="27">
        <f>rebio23_80ml!AW34/50</f>
        <v>0</v>
      </c>
      <c r="AX31" s="27">
        <f>rebio23_80ml!AX34/50</f>
        <v>0</v>
      </c>
      <c r="AY31" s="27">
        <f>rebio23_80ml!AY34/50</f>
        <v>0</v>
      </c>
      <c r="AZ31" s="27">
        <f>rebio23_80ml!AZ34/50</f>
        <v>0</v>
      </c>
      <c r="BA31" s="27">
        <f>rebio23_80ml!BA34/50</f>
        <v>0</v>
      </c>
      <c r="BB31" s="27">
        <f>rebio23_80ml!BB34/50</f>
        <v>0</v>
      </c>
      <c r="BC31" s="27">
        <f>rebio23_80ml!BC34/50</f>
        <v>0</v>
      </c>
      <c r="BD31" s="27">
        <f>rebio23_80ml!BD34/50</f>
        <v>0</v>
      </c>
      <c r="BE31" s="27">
        <f>rebio23_80ml!BE34/50</f>
        <v>0</v>
      </c>
      <c r="BF31" s="27">
        <f>rebio23_80ml!BF34/50</f>
        <v>0</v>
      </c>
      <c r="BG31" s="27">
        <f>rebio23_80ml!BG34/50</f>
        <v>0</v>
      </c>
    </row>
    <row r="32" spans="1:59" ht="12.75" customHeight="1" x14ac:dyDescent="0.25">
      <c r="A32" s="15" t="str">
        <f>rebio23_80ml!A35</f>
        <v>S-C-P15-H1</v>
      </c>
      <c r="B32" s="27">
        <f>rebio23_80ml!B35/50</f>
        <v>0</v>
      </c>
      <c r="C32" s="27">
        <f>rebio23_80ml!C35/50</f>
        <v>0</v>
      </c>
      <c r="D32" s="27">
        <f>rebio23_80ml!D35/50</f>
        <v>0</v>
      </c>
      <c r="E32" s="27">
        <f>rebio23_80ml!E35/50</f>
        <v>0.32</v>
      </c>
      <c r="F32" s="27">
        <f>rebio23_80ml!F35/50</f>
        <v>0</v>
      </c>
      <c r="G32" s="27">
        <f>rebio23_80ml!G35/50</f>
        <v>0</v>
      </c>
      <c r="H32" s="27">
        <f>rebio23_80ml!H35/50</f>
        <v>0</v>
      </c>
      <c r="I32" s="27">
        <f>rebio23_80ml!I35/50</f>
        <v>0</v>
      </c>
      <c r="J32" s="27">
        <f>rebio23_80ml!J35/50</f>
        <v>0</v>
      </c>
      <c r="K32" s="27">
        <f>rebio23_80ml!K35/50</f>
        <v>0</v>
      </c>
      <c r="L32" s="27">
        <f>rebio23_80ml!L35/50</f>
        <v>0</v>
      </c>
      <c r="M32" s="27">
        <f>rebio23_80ml!M35/50</f>
        <v>0</v>
      </c>
      <c r="N32" s="27">
        <f>rebio23_80ml!N35/50</f>
        <v>0</v>
      </c>
      <c r="O32" s="27">
        <f>rebio23_80ml!O35/50</f>
        <v>0</v>
      </c>
      <c r="P32" s="27">
        <f>rebio23_80ml!P35/50</f>
        <v>0</v>
      </c>
      <c r="Q32" s="27">
        <f>rebio23_80ml!Q35/50</f>
        <v>0</v>
      </c>
      <c r="R32" s="27">
        <f>rebio23_80ml!R35/50</f>
        <v>0</v>
      </c>
      <c r="S32" s="27">
        <f>rebio23_80ml!S35/50</f>
        <v>0</v>
      </c>
      <c r="T32" s="27">
        <f>rebio23_80ml!T35/50</f>
        <v>0</v>
      </c>
      <c r="U32" s="27">
        <f>rebio23_80ml!U35/50</f>
        <v>0</v>
      </c>
      <c r="V32" s="27">
        <f>rebio23_80ml!V35/50</f>
        <v>0</v>
      </c>
      <c r="W32" s="27">
        <f>rebio23_80ml!W35/50</f>
        <v>0</v>
      </c>
      <c r="X32" s="27">
        <f>rebio23_80ml!X35/50</f>
        <v>0</v>
      </c>
      <c r="Y32" s="27">
        <f>rebio23_80ml!Y35/50</f>
        <v>0</v>
      </c>
      <c r="Z32" s="27">
        <f>rebio23_80ml!Z35/50</f>
        <v>0</v>
      </c>
      <c r="AA32" s="27">
        <f>rebio23_80ml!AA35/50</f>
        <v>0</v>
      </c>
      <c r="AB32" s="27">
        <f>rebio23_80ml!AB35/50</f>
        <v>0</v>
      </c>
      <c r="AC32" s="27">
        <f>rebio23_80ml!AC35/50</f>
        <v>0</v>
      </c>
      <c r="AD32" s="27">
        <f>rebio23_80ml!AD35/50</f>
        <v>0</v>
      </c>
      <c r="AE32" s="27">
        <f>rebio23_80ml!AE35/50</f>
        <v>0</v>
      </c>
      <c r="AF32" s="27">
        <f>rebio23_80ml!AF35/50</f>
        <v>0</v>
      </c>
      <c r="AG32" s="27">
        <f>rebio23_80ml!AG35/50</f>
        <v>0</v>
      </c>
      <c r="AH32" s="27">
        <f>rebio23_80ml!AH35/50</f>
        <v>0</v>
      </c>
      <c r="AI32" s="27">
        <f>rebio23_80ml!AI35/50</f>
        <v>0</v>
      </c>
      <c r="AJ32" s="27">
        <f>rebio23_80ml!AJ35/50</f>
        <v>0</v>
      </c>
      <c r="AK32" s="27">
        <f>rebio23_80ml!AK35/50</f>
        <v>0</v>
      </c>
      <c r="AL32" s="27">
        <f>rebio23_80ml!AL35/50</f>
        <v>0</v>
      </c>
      <c r="AM32" s="27">
        <f>rebio23_80ml!AM35/50</f>
        <v>0</v>
      </c>
      <c r="AN32" s="27">
        <f>rebio23_80ml!AN35/50</f>
        <v>0</v>
      </c>
      <c r="AO32" s="27">
        <f>rebio23_80ml!AO35/50</f>
        <v>0</v>
      </c>
      <c r="AP32" s="27">
        <f>rebio23_80ml!AP35/50</f>
        <v>0</v>
      </c>
      <c r="AQ32" s="27">
        <f>rebio23_80ml!AQ35/50</f>
        <v>0</v>
      </c>
      <c r="AR32" s="27">
        <f>rebio23_80ml!AR35/50</f>
        <v>0</v>
      </c>
      <c r="AS32" s="27">
        <f>rebio23_80ml!AS35/50</f>
        <v>0</v>
      </c>
      <c r="AT32" s="27">
        <f>rebio23_80ml!AT35/50</f>
        <v>0</v>
      </c>
      <c r="AU32" s="27">
        <f>rebio23_80ml!AU35/50</f>
        <v>0</v>
      </c>
      <c r="AV32" s="27">
        <f>rebio23_80ml!AV35/50</f>
        <v>0.04</v>
      </c>
      <c r="AW32" s="27">
        <f>rebio23_80ml!AW35/50</f>
        <v>0</v>
      </c>
      <c r="AX32" s="27">
        <f>rebio23_80ml!AX35/50</f>
        <v>0</v>
      </c>
      <c r="AY32" s="27">
        <f>rebio23_80ml!AY35/50</f>
        <v>0</v>
      </c>
      <c r="AZ32" s="27">
        <f>rebio23_80ml!AZ35/50</f>
        <v>0</v>
      </c>
      <c r="BA32" s="27">
        <f>rebio23_80ml!BA35/50</f>
        <v>0</v>
      </c>
      <c r="BB32" s="27">
        <f>rebio23_80ml!BB35/50</f>
        <v>0</v>
      </c>
      <c r="BC32" s="27">
        <f>rebio23_80ml!BC35/50</f>
        <v>0</v>
      </c>
      <c r="BD32" s="27">
        <f>rebio23_80ml!BD35/50</f>
        <v>0</v>
      </c>
      <c r="BE32" s="27">
        <f>rebio23_80ml!BE35/50</f>
        <v>0</v>
      </c>
      <c r="BF32" s="27">
        <f>rebio23_80ml!BF35/50</f>
        <v>0</v>
      </c>
      <c r="BG32" s="27">
        <f>rebio23_80ml!BG35/50</f>
        <v>0</v>
      </c>
    </row>
    <row r="33" spans="1:59" ht="12.75" customHeight="1" x14ac:dyDescent="0.25">
      <c r="A33" s="15" t="str">
        <f>rebio23_80ml!A36</f>
        <v>S-C-P15-H2</v>
      </c>
      <c r="B33" s="27">
        <f>rebio23_80ml!B36/50</f>
        <v>0</v>
      </c>
      <c r="C33" s="27">
        <f>rebio23_80ml!C36/50</f>
        <v>0</v>
      </c>
      <c r="D33" s="27">
        <f>rebio23_80ml!D36/50</f>
        <v>0</v>
      </c>
      <c r="E33" s="27">
        <f>rebio23_80ml!E36/50</f>
        <v>0.44</v>
      </c>
      <c r="F33" s="27">
        <f>rebio23_80ml!F36/50</f>
        <v>0</v>
      </c>
      <c r="G33" s="27">
        <f>rebio23_80ml!G36/50</f>
        <v>0</v>
      </c>
      <c r="H33" s="27">
        <f>rebio23_80ml!H36/50</f>
        <v>0</v>
      </c>
      <c r="I33" s="27">
        <f>rebio23_80ml!I36/50</f>
        <v>0.08</v>
      </c>
      <c r="J33" s="27">
        <f>rebio23_80ml!J36/50</f>
        <v>0</v>
      </c>
      <c r="K33" s="27">
        <f>rebio23_80ml!K36/50</f>
        <v>0</v>
      </c>
      <c r="L33" s="27">
        <f>rebio23_80ml!L36/50</f>
        <v>0</v>
      </c>
      <c r="M33" s="27">
        <f>rebio23_80ml!M36/50</f>
        <v>0</v>
      </c>
      <c r="N33" s="27">
        <f>rebio23_80ml!N36/50</f>
        <v>0</v>
      </c>
      <c r="O33" s="27">
        <f>rebio23_80ml!O36/50</f>
        <v>0</v>
      </c>
      <c r="P33" s="27">
        <f>rebio23_80ml!P36/50</f>
        <v>0</v>
      </c>
      <c r="Q33" s="27">
        <f>rebio23_80ml!Q36/50</f>
        <v>0</v>
      </c>
      <c r="R33" s="27">
        <f>rebio23_80ml!R36/50</f>
        <v>0</v>
      </c>
      <c r="S33" s="27">
        <f>rebio23_80ml!S36/50</f>
        <v>0</v>
      </c>
      <c r="T33" s="27">
        <f>rebio23_80ml!T36/50</f>
        <v>0</v>
      </c>
      <c r="U33" s="27">
        <f>rebio23_80ml!U36/50</f>
        <v>0</v>
      </c>
      <c r="V33" s="27">
        <f>rebio23_80ml!V36/50</f>
        <v>0</v>
      </c>
      <c r="W33" s="27">
        <f>rebio23_80ml!W36/50</f>
        <v>0</v>
      </c>
      <c r="X33" s="27">
        <f>rebio23_80ml!X36/50</f>
        <v>0</v>
      </c>
      <c r="Y33" s="27">
        <f>rebio23_80ml!Y36/50</f>
        <v>0</v>
      </c>
      <c r="Z33" s="27">
        <f>rebio23_80ml!Z36/50</f>
        <v>0</v>
      </c>
      <c r="AA33" s="27">
        <f>rebio23_80ml!AA36/50</f>
        <v>0</v>
      </c>
      <c r="AB33" s="27">
        <f>rebio23_80ml!AB36/50</f>
        <v>0</v>
      </c>
      <c r="AC33" s="27">
        <f>rebio23_80ml!AC36/50</f>
        <v>0</v>
      </c>
      <c r="AD33" s="27">
        <f>rebio23_80ml!AD36/50</f>
        <v>0</v>
      </c>
      <c r="AE33" s="27">
        <f>rebio23_80ml!AE36/50</f>
        <v>0</v>
      </c>
      <c r="AF33" s="27">
        <f>rebio23_80ml!AF36/50</f>
        <v>0</v>
      </c>
      <c r="AG33" s="27">
        <f>rebio23_80ml!AG36/50</f>
        <v>0</v>
      </c>
      <c r="AH33" s="27">
        <f>rebio23_80ml!AH36/50</f>
        <v>0</v>
      </c>
      <c r="AI33" s="27">
        <f>rebio23_80ml!AI36/50</f>
        <v>0</v>
      </c>
      <c r="AJ33" s="27">
        <f>rebio23_80ml!AJ36/50</f>
        <v>0</v>
      </c>
      <c r="AK33" s="27">
        <f>rebio23_80ml!AK36/50</f>
        <v>0</v>
      </c>
      <c r="AL33" s="27">
        <f>rebio23_80ml!AL36/50</f>
        <v>0</v>
      </c>
      <c r="AM33" s="27">
        <f>rebio23_80ml!AM36/50</f>
        <v>0</v>
      </c>
      <c r="AN33" s="27">
        <f>rebio23_80ml!AN36/50</f>
        <v>0</v>
      </c>
      <c r="AO33" s="27">
        <f>rebio23_80ml!AO36/50</f>
        <v>0</v>
      </c>
      <c r="AP33" s="27">
        <f>rebio23_80ml!AP36/50</f>
        <v>0</v>
      </c>
      <c r="AQ33" s="27">
        <f>rebio23_80ml!AQ36/50</f>
        <v>0.02</v>
      </c>
      <c r="AR33" s="27">
        <f>rebio23_80ml!AR36/50</f>
        <v>0</v>
      </c>
      <c r="AS33" s="27">
        <f>rebio23_80ml!AS36/50</f>
        <v>0</v>
      </c>
      <c r="AT33" s="27">
        <f>rebio23_80ml!AT36/50</f>
        <v>0</v>
      </c>
      <c r="AU33" s="27">
        <f>rebio23_80ml!AU36/50</f>
        <v>0</v>
      </c>
      <c r="AV33" s="27">
        <f>rebio23_80ml!AV36/50</f>
        <v>0.12</v>
      </c>
      <c r="AW33" s="27">
        <f>rebio23_80ml!AW36/50</f>
        <v>0</v>
      </c>
      <c r="AX33" s="27">
        <f>rebio23_80ml!AX36/50</f>
        <v>0</v>
      </c>
      <c r="AY33" s="27">
        <f>rebio23_80ml!AY36/50</f>
        <v>0</v>
      </c>
      <c r="AZ33" s="27">
        <f>rebio23_80ml!AZ36/50</f>
        <v>0</v>
      </c>
      <c r="BA33" s="27">
        <f>rebio23_80ml!BA36/50</f>
        <v>0</v>
      </c>
      <c r="BB33" s="27">
        <f>rebio23_80ml!BB36/50</f>
        <v>0</v>
      </c>
      <c r="BC33" s="27">
        <f>rebio23_80ml!BC36/50</f>
        <v>0</v>
      </c>
      <c r="BD33" s="27">
        <f>rebio23_80ml!BD36/50</f>
        <v>0</v>
      </c>
      <c r="BE33" s="27">
        <f>rebio23_80ml!BE36/50</f>
        <v>0</v>
      </c>
      <c r="BF33" s="27">
        <f>rebio23_80ml!BF36/50</f>
        <v>0</v>
      </c>
      <c r="BG33" s="27">
        <f>rebio23_80ml!BG36/50</f>
        <v>0</v>
      </c>
    </row>
    <row r="34" spans="1:59" ht="12.75" customHeight="1" x14ac:dyDescent="0.25">
      <c r="A34" s="15" t="str">
        <f>rebio23_80ml!A37</f>
        <v>S-C-P15-H3</v>
      </c>
      <c r="B34" s="27">
        <f>rebio23_80ml!B37/50</f>
        <v>0</v>
      </c>
      <c r="C34" s="27">
        <f>rebio23_80ml!C37/50</f>
        <v>0</v>
      </c>
      <c r="D34" s="27">
        <f>rebio23_80ml!D37/50</f>
        <v>0</v>
      </c>
      <c r="E34" s="27">
        <f>rebio23_80ml!E37/50</f>
        <v>0.34</v>
      </c>
      <c r="F34" s="27">
        <f>rebio23_80ml!F37/50</f>
        <v>0</v>
      </c>
      <c r="G34" s="27">
        <f>rebio23_80ml!G37/50</f>
        <v>0</v>
      </c>
      <c r="H34" s="27">
        <f>rebio23_80ml!H37/50</f>
        <v>0</v>
      </c>
      <c r="I34" s="27">
        <f>rebio23_80ml!I37/50</f>
        <v>0.32</v>
      </c>
      <c r="J34" s="27">
        <f>rebio23_80ml!J37/50</f>
        <v>0</v>
      </c>
      <c r="K34" s="27">
        <f>rebio23_80ml!K37/50</f>
        <v>0</v>
      </c>
      <c r="L34" s="27">
        <f>rebio23_80ml!L37/50</f>
        <v>0</v>
      </c>
      <c r="M34" s="27">
        <f>rebio23_80ml!M37/50</f>
        <v>0</v>
      </c>
      <c r="N34" s="27">
        <f>rebio23_80ml!N37/50</f>
        <v>0</v>
      </c>
      <c r="O34" s="27">
        <f>rebio23_80ml!O37/50</f>
        <v>0</v>
      </c>
      <c r="P34" s="27">
        <f>rebio23_80ml!P37/50</f>
        <v>0</v>
      </c>
      <c r="Q34" s="27">
        <f>rebio23_80ml!Q37/50</f>
        <v>0</v>
      </c>
      <c r="R34" s="27">
        <f>rebio23_80ml!R37/50</f>
        <v>0</v>
      </c>
      <c r="S34" s="27">
        <f>rebio23_80ml!S37/50</f>
        <v>0</v>
      </c>
      <c r="T34" s="27">
        <f>rebio23_80ml!T37/50</f>
        <v>0</v>
      </c>
      <c r="U34" s="27">
        <f>rebio23_80ml!U37/50</f>
        <v>0</v>
      </c>
      <c r="V34" s="27">
        <f>rebio23_80ml!V37/50</f>
        <v>0</v>
      </c>
      <c r="W34" s="27">
        <f>rebio23_80ml!W37/50</f>
        <v>0</v>
      </c>
      <c r="X34" s="27">
        <f>rebio23_80ml!X37/50</f>
        <v>0</v>
      </c>
      <c r="Y34" s="27">
        <f>rebio23_80ml!Y37/50</f>
        <v>0</v>
      </c>
      <c r="Z34" s="27">
        <f>rebio23_80ml!Z37/50</f>
        <v>0</v>
      </c>
      <c r="AA34" s="27">
        <f>rebio23_80ml!AA37/50</f>
        <v>0</v>
      </c>
      <c r="AB34" s="27">
        <f>rebio23_80ml!AB37/50</f>
        <v>0</v>
      </c>
      <c r="AC34" s="27">
        <f>rebio23_80ml!AC37/50</f>
        <v>0</v>
      </c>
      <c r="AD34" s="27">
        <f>rebio23_80ml!AD37/50</f>
        <v>0</v>
      </c>
      <c r="AE34" s="27">
        <f>rebio23_80ml!AE37/50</f>
        <v>0</v>
      </c>
      <c r="AF34" s="27">
        <f>rebio23_80ml!AF37/50</f>
        <v>0</v>
      </c>
      <c r="AG34" s="27">
        <f>rebio23_80ml!AG37/50</f>
        <v>0</v>
      </c>
      <c r="AH34" s="27">
        <f>rebio23_80ml!AH37/50</f>
        <v>0</v>
      </c>
      <c r="AI34" s="27">
        <f>rebio23_80ml!AI37/50</f>
        <v>0</v>
      </c>
      <c r="AJ34" s="27">
        <f>rebio23_80ml!AJ37/50</f>
        <v>0.02</v>
      </c>
      <c r="AK34" s="27">
        <f>rebio23_80ml!AK37/50</f>
        <v>0</v>
      </c>
      <c r="AL34" s="27">
        <f>rebio23_80ml!AL37/50</f>
        <v>0</v>
      </c>
      <c r="AM34" s="27">
        <f>rebio23_80ml!AM37/50</f>
        <v>0</v>
      </c>
      <c r="AN34" s="27">
        <f>rebio23_80ml!AN37/50</f>
        <v>0</v>
      </c>
      <c r="AO34" s="27">
        <f>rebio23_80ml!AO37/50</f>
        <v>0</v>
      </c>
      <c r="AP34" s="27">
        <f>rebio23_80ml!AP37/50</f>
        <v>0</v>
      </c>
      <c r="AQ34" s="27">
        <f>rebio23_80ml!AQ37/50</f>
        <v>0</v>
      </c>
      <c r="AR34" s="27">
        <f>rebio23_80ml!AR37/50</f>
        <v>0</v>
      </c>
      <c r="AS34" s="27">
        <f>rebio23_80ml!AS37/50</f>
        <v>0</v>
      </c>
      <c r="AT34" s="27">
        <f>rebio23_80ml!AT37/50</f>
        <v>0</v>
      </c>
      <c r="AU34" s="27">
        <f>rebio23_80ml!AU37/50</f>
        <v>0</v>
      </c>
      <c r="AV34" s="27">
        <f>rebio23_80ml!AV37/50</f>
        <v>0.18</v>
      </c>
      <c r="AW34" s="27">
        <f>rebio23_80ml!AW37/50</f>
        <v>0</v>
      </c>
      <c r="AX34" s="27">
        <f>rebio23_80ml!AX37/50</f>
        <v>0.08</v>
      </c>
      <c r="AY34" s="27">
        <f>rebio23_80ml!AY37/50</f>
        <v>0</v>
      </c>
      <c r="AZ34" s="27">
        <f>rebio23_80ml!AZ37/50</f>
        <v>0</v>
      </c>
      <c r="BA34" s="27">
        <f>rebio23_80ml!BA37/50</f>
        <v>0</v>
      </c>
      <c r="BB34" s="27">
        <f>rebio23_80ml!BB37/50</f>
        <v>0</v>
      </c>
      <c r="BC34" s="27">
        <f>rebio23_80ml!BC37/50</f>
        <v>0</v>
      </c>
      <c r="BD34" s="27">
        <f>rebio23_80ml!BD37/50</f>
        <v>0</v>
      </c>
      <c r="BE34" s="27">
        <f>rebio23_80ml!BE37/50</f>
        <v>0</v>
      </c>
      <c r="BF34" s="27">
        <f>rebio23_80ml!BF37/50</f>
        <v>0</v>
      </c>
      <c r="BG34" s="27">
        <f>rebio23_80ml!BG37/50</f>
        <v>0</v>
      </c>
    </row>
    <row r="35" spans="1:59" ht="12.75" customHeight="1" x14ac:dyDescent="0.25">
      <c r="A35" s="15" t="str">
        <f>rebio23_80ml!A38</f>
        <v>S-C-P16-H1</v>
      </c>
      <c r="B35" s="27">
        <f>rebio23_80ml!B38/50</f>
        <v>0.02</v>
      </c>
      <c r="C35" s="27">
        <f>rebio23_80ml!C38/50</f>
        <v>0</v>
      </c>
      <c r="D35" s="27">
        <f>rebio23_80ml!D38/50</f>
        <v>0</v>
      </c>
      <c r="E35" s="27">
        <f>rebio23_80ml!E38/50</f>
        <v>1.08</v>
      </c>
      <c r="F35" s="27">
        <f>rebio23_80ml!F38/50</f>
        <v>0</v>
      </c>
      <c r="G35" s="27">
        <f>rebio23_80ml!G38/50</f>
        <v>0</v>
      </c>
      <c r="H35" s="27">
        <f>rebio23_80ml!H38/50</f>
        <v>0</v>
      </c>
      <c r="I35" s="27">
        <f>rebio23_80ml!I38/50</f>
        <v>2.64</v>
      </c>
      <c r="J35" s="27">
        <f>rebio23_80ml!J38/50</f>
        <v>0</v>
      </c>
      <c r="K35" s="27">
        <f>rebio23_80ml!K38/50</f>
        <v>0</v>
      </c>
      <c r="L35" s="27">
        <f>rebio23_80ml!L38/50</f>
        <v>0</v>
      </c>
      <c r="M35" s="27">
        <f>rebio23_80ml!M38/50</f>
        <v>0.02</v>
      </c>
      <c r="N35" s="27">
        <f>rebio23_80ml!N38/50</f>
        <v>0.04</v>
      </c>
      <c r="O35" s="27">
        <f>rebio23_80ml!O38/50</f>
        <v>0</v>
      </c>
      <c r="P35" s="27">
        <f>rebio23_80ml!P38/50</f>
        <v>0</v>
      </c>
      <c r="Q35" s="27">
        <f>rebio23_80ml!Q38/50</f>
        <v>0</v>
      </c>
      <c r="R35" s="27">
        <f>rebio23_80ml!R38/50</f>
        <v>0</v>
      </c>
      <c r="S35" s="27">
        <f>rebio23_80ml!S38/50</f>
        <v>0.04</v>
      </c>
      <c r="T35" s="27">
        <f>rebio23_80ml!T38/50</f>
        <v>0.02</v>
      </c>
      <c r="U35" s="27">
        <f>rebio23_80ml!U38/50</f>
        <v>0.02</v>
      </c>
      <c r="V35" s="27">
        <f>rebio23_80ml!V38/50</f>
        <v>0.02</v>
      </c>
      <c r="W35" s="27">
        <f>rebio23_80ml!W38/50</f>
        <v>0</v>
      </c>
      <c r="X35" s="27">
        <f>rebio23_80ml!X38/50</f>
        <v>0</v>
      </c>
      <c r="Y35" s="27">
        <f>rebio23_80ml!Y38/50</f>
        <v>0.02</v>
      </c>
      <c r="Z35" s="27">
        <f>rebio23_80ml!Z38/50</f>
        <v>0</v>
      </c>
      <c r="AA35" s="27">
        <f>rebio23_80ml!AA38/50</f>
        <v>0</v>
      </c>
      <c r="AB35" s="27">
        <f>rebio23_80ml!AB38/50</f>
        <v>0.02</v>
      </c>
      <c r="AC35" s="27">
        <f>rebio23_80ml!AC38/50</f>
        <v>0.02</v>
      </c>
      <c r="AD35" s="27">
        <f>rebio23_80ml!AD38/50</f>
        <v>0.02</v>
      </c>
      <c r="AE35" s="27">
        <f>rebio23_80ml!AE38/50</f>
        <v>0</v>
      </c>
      <c r="AF35" s="27">
        <f>rebio23_80ml!AF38/50</f>
        <v>0</v>
      </c>
      <c r="AG35" s="27">
        <f>rebio23_80ml!AG38/50</f>
        <v>0</v>
      </c>
      <c r="AH35" s="27">
        <f>rebio23_80ml!AH38/50</f>
        <v>0</v>
      </c>
      <c r="AI35" s="27">
        <f>rebio23_80ml!AI38/50</f>
        <v>0</v>
      </c>
      <c r="AJ35" s="27">
        <f>rebio23_80ml!AJ38/50</f>
        <v>0</v>
      </c>
      <c r="AK35" s="27">
        <f>rebio23_80ml!AK38/50</f>
        <v>0</v>
      </c>
      <c r="AL35" s="27">
        <f>rebio23_80ml!AL38/50</f>
        <v>0</v>
      </c>
      <c r="AM35" s="27">
        <f>rebio23_80ml!AM38/50</f>
        <v>0</v>
      </c>
      <c r="AN35" s="27">
        <f>rebio23_80ml!AN38/50</f>
        <v>0</v>
      </c>
      <c r="AO35" s="27">
        <f>rebio23_80ml!AO38/50</f>
        <v>0</v>
      </c>
      <c r="AP35" s="27">
        <f>rebio23_80ml!AP38/50</f>
        <v>0</v>
      </c>
      <c r="AQ35" s="27">
        <f>rebio23_80ml!AQ38/50</f>
        <v>0</v>
      </c>
      <c r="AR35" s="27">
        <f>rebio23_80ml!AR38/50</f>
        <v>0</v>
      </c>
      <c r="AS35" s="27">
        <f>rebio23_80ml!AS38/50</f>
        <v>0</v>
      </c>
      <c r="AT35" s="27">
        <f>rebio23_80ml!AT38/50</f>
        <v>0</v>
      </c>
      <c r="AU35" s="27">
        <f>rebio23_80ml!AU38/50</f>
        <v>0</v>
      </c>
      <c r="AV35" s="27">
        <f>rebio23_80ml!AV38/50</f>
        <v>16.34</v>
      </c>
      <c r="AW35" s="27">
        <f>rebio23_80ml!AW38/50</f>
        <v>0.56000000000000005</v>
      </c>
      <c r="AX35" s="27">
        <f>rebio23_80ml!AX38/50</f>
        <v>0.08</v>
      </c>
      <c r="AY35" s="27">
        <f>rebio23_80ml!AY38/50</f>
        <v>0</v>
      </c>
      <c r="AZ35" s="27">
        <f>rebio23_80ml!AZ38/50</f>
        <v>0</v>
      </c>
      <c r="BA35" s="27">
        <f>rebio23_80ml!BA38/50</f>
        <v>0.68</v>
      </c>
      <c r="BB35" s="27">
        <f>rebio23_80ml!BB38/50</f>
        <v>0</v>
      </c>
      <c r="BC35" s="27">
        <f>rebio23_80ml!BC38/50</f>
        <v>2.82</v>
      </c>
      <c r="BD35" s="27">
        <f>rebio23_80ml!BD38/50</f>
        <v>0.18</v>
      </c>
      <c r="BE35" s="27">
        <f>rebio23_80ml!BE38/50</f>
        <v>0.04</v>
      </c>
      <c r="BF35" s="27">
        <f>rebio23_80ml!BF38/50</f>
        <v>0</v>
      </c>
      <c r="BG35" s="27">
        <f>rebio23_80ml!BG38/50</f>
        <v>0</v>
      </c>
    </row>
    <row r="36" spans="1:59" ht="12.75" customHeight="1" x14ac:dyDescent="0.25">
      <c r="A36" s="15" t="str">
        <f>rebio23_80ml!A39</f>
        <v>S-C-P16-H2</v>
      </c>
      <c r="B36" s="27">
        <f>rebio23_80ml!B39/50</f>
        <v>0.04</v>
      </c>
      <c r="C36" s="27">
        <f>rebio23_80ml!C39/50</f>
        <v>0</v>
      </c>
      <c r="D36" s="27">
        <f>rebio23_80ml!D39/50</f>
        <v>0.06</v>
      </c>
      <c r="E36" s="27">
        <f>rebio23_80ml!E39/50</f>
        <v>0.18</v>
      </c>
      <c r="F36" s="27">
        <f>rebio23_80ml!F39/50</f>
        <v>0</v>
      </c>
      <c r="G36" s="27">
        <f>rebio23_80ml!G39/50</f>
        <v>0.08</v>
      </c>
      <c r="H36" s="27">
        <f>rebio23_80ml!H39/50</f>
        <v>0</v>
      </c>
      <c r="I36" s="27">
        <f>rebio23_80ml!I39/50</f>
        <v>0.38</v>
      </c>
      <c r="J36" s="27">
        <f>rebio23_80ml!J39/50</f>
        <v>0</v>
      </c>
      <c r="K36" s="27">
        <f>rebio23_80ml!K39/50</f>
        <v>0.02</v>
      </c>
      <c r="L36" s="27">
        <f>rebio23_80ml!L39/50</f>
        <v>0.66</v>
      </c>
      <c r="M36" s="27">
        <f>rebio23_80ml!M39/50</f>
        <v>0.34</v>
      </c>
      <c r="N36" s="27">
        <f>rebio23_80ml!N39/50</f>
        <v>0</v>
      </c>
      <c r="O36" s="27">
        <f>rebio23_80ml!O39/50</f>
        <v>0</v>
      </c>
      <c r="P36" s="27">
        <f>rebio23_80ml!P39/50</f>
        <v>0</v>
      </c>
      <c r="Q36" s="27">
        <f>rebio23_80ml!Q39/50</f>
        <v>0</v>
      </c>
      <c r="R36" s="27">
        <f>rebio23_80ml!R39/50</f>
        <v>0</v>
      </c>
      <c r="S36" s="27">
        <f>rebio23_80ml!S39/50</f>
        <v>0.12</v>
      </c>
      <c r="T36" s="27">
        <f>rebio23_80ml!T39/50</f>
        <v>0.04</v>
      </c>
      <c r="U36" s="27">
        <f>rebio23_80ml!U39/50</f>
        <v>0</v>
      </c>
      <c r="V36" s="27">
        <f>rebio23_80ml!V39/50</f>
        <v>0.06</v>
      </c>
      <c r="W36" s="27">
        <f>rebio23_80ml!W39/50</f>
        <v>0</v>
      </c>
      <c r="X36" s="27">
        <f>rebio23_80ml!X39/50</f>
        <v>0</v>
      </c>
      <c r="Y36" s="27">
        <f>rebio23_80ml!Y39/50</f>
        <v>0</v>
      </c>
      <c r="Z36" s="27">
        <f>rebio23_80ml!Z39/50</f>
        <v>0</v>
      </c>
      <c r="AA36" s="27">
        <f>rebio23_80ml!AA39/50</f>
        <v>0.02</v>
      </c>
      <c r="AB36" s="27">
        <f>rebio23_80ml!AB39/50</f>
        <v>0</v>
      </c>
      <c r="AC36" s="27">
        <f>rebio23_80ml!AC39/50</f>
        <v>0</v>
      </c>
      <c r="AD36" s="27">
        <f>rebio23_80ml!AD39/50</f>
        <v>0</v>
      </c>
      <c r="AE36" s="27">
        <f>rebio23_80ml!AE39/50</f>
        <v>0</v>
      </c>
      <c r="AF36" s="27">
        <f>rebio23_80ml!AF39/50</f>
        <v>0</v>
      </c>
      <c r="AG36" s="27">
        <f>rebio23_80ml!AG39/50</f>
        <v>0</v>
      </c>
      <c r="AH36" s="27">
        <f>rebio23_80ml!AH39/50</f>
        <v>0</v>
      </c>
      <c r="AI36" s="27">
        <f>rebio23_80ml!AI39/50</f>
        <v>0</v>
      </c>
      <c r="AJ36" s="27">
        <f>rebio23_80ml!AJ39/50</f>
        <v>0</v>
      </c>
      <c r="AK36" s="27">
        <f>rebio23_80ml!AK39/50</f>
        <v>0</v>
      </c>
      <c r="AL36" s="27">
        <f>rebio23_80ml!AL39/50</f>
        <v>0</v>
      </c>
      <c r="AM36" s="27">
        <f>rebio23_80ml!AM39/50</f>
        <v>0.06</v>
      </c>
      <c r="AN36" s="27">
        <f>rebio23_80ml!AN39/50</f>
        <v>0.04</v>
      </c>
      <c r="AO36" s="27">
        <f>rebio23_80ml!AO39/50</f>
        <v>0.08</v>
      </c>
      <c r="AP36" s="27">
        <f>rebio23_80ml!AP39/50</f>
        <v>0.04</v>
      </c>
      <c r="AQ36" s="27">
        <f>rebio23_80ml!AQ39/50</f>
        <v>0.08</v>
      </c>
      <c r="AR36" s="27">
        <f>rebio23_80ml!AR39/50</f>
        <v>0</v>
      </c>
      <c r="AS36" s="27">
        <f>rebio23_80ml!AS39/50</f>
        <v>0</v>
      </c>
      <c r="AT36" s="27">
        <f>rebio23_80ml!AT39/50</f>
        <v>0</v>
      </c>
      <c r="AU36" s="27">
        <f>rebio23_80ml!AU39/50</f>
        <v>0</v>
      </c>
      <c r="AV36" s="27">
        <f>rebio23_80ml!AV39/50</f>
        <v>1.82</v>
      </c>
      <c r="AW36" s="27">
        <f>rebio23_80ml!AW39/50</f>
        <v>0.16</v>
      </c>
      <c r="AX36" s="27">
        <f>rebio23_80ml!AX39/50</f>
        <v>0.14000000000000001</v>
      </c>
      <c r="AY36" s="27">
        <f>rebio23_80ml!AY39/50</f>
        <v>0</v>
      </c>
      <c r="AZ36" s="27">
        <f>rebio23_80ml!AZ39/50</f>
        <v>0</v>
      </c>
      <c r="BA36" s="27">
        <f>rebio23_80ml!BA39/50</f>
        <v>0.04</v>
      </c>
      <c r="BB36" s="27">
        <f>rebio23_80ml!BB39/50</f>
        <v>0</v>
      </c>
      <c r="BC36" s="27">
        <f>rebio23_80ml!BC39/50</f>
        <v>0.04</v>
      </c>
      <c r="BD36" s="27">
        <f>rebio23_80ml!BD39/50</f>
        <v>0.02</v>
      </c>
      <c r="BE36" s="27">
        <f>rebio23_80ml!BE39/50</f>
        <v>0.02</v>
      </c>
      <c r="BF36" s="27">
        <f>rebio23_80ml!BF39/50</f>
        <v>0</v>
      </c>
      <c r="BG36" s="27">
        <f>rebio23_80ml!BG39/50</f>
        <v>0</v>
      </c>
    </row>
    <row r="37" spans="1:59" ht="12.75" customHeight="1" x14ac:dyDescent="0.25">
      <c r="A37" s="15" t="str">
        <f>rebio23_80ml!A40</f>
        <v>S-C-P16-H3</v>
      </c>
      <c r="B37" s="27">
        <f>rebio23_80ml!B40/50</f>
        <v>0</v>
      </c>
      <c r="C37" s="27">
        <f>rebio23_80ml!C40/50</f>
        <v>0</v>
      </c>
      <c r="D37" s="27">
        <f>rebio23_80ml!D40/50</f>
        <v>0</v>
      </c>
      <c r="E37" s="27">
        <f>rebio23_80ml!E40/50</f>
        <v>0.32</v>
      </c>
      <c r="F37" s="27">
        <f>rebio23_80ml!F40/50</f>
        <v>0</v>
      </c>
      <c r="G37" s="27">
        <f>rebio23_80ml!G40/50</f>
        <v>0</v>
      </c>
      <c r="H37" s="27">
        <f>rebio23_80ml!H40/50</f>
        <v>0</v>
      </c>
      <c r="I37" s="27">
        <f>rebio23_80ml!I40/50</f>
        <v>0.32</v>
      </c>
      <c r="J37" s="27">
        <f>rebio23_80ml!J40/50</f>
        <v>0</v>
      </c>
      <c r="K37" s="27">
        <f>rebio23_80ml!K40/50</f>
        <v>0</v>
      </c>
      <c r="L37" s="27">
        <f>rebio23_80ml!L40/50</f>
        <v>0</v>
      </c>
      <c r="M37" s="27">
        <f>rebio23_80ml!M40/50</f>
        <v>0</v>
      </c>
      <c r="N37" s="27">
        <f>rebio23_80ml!N40/50</f>
        <v>0</v>
      </c>
      <c r="O37" s="27">
        <f>rebio23_80ml!O40/50</f>
        <v>0</v>
      </c>
      <c r="P37" s="27">
        <f>rebio23_80ml!P40/50</f>
        <v>0</v>
      </c>
      <c r="Q37" s="27">
        <f>rebio23_80ml!Q40/50</f>
        <v>0</v>
      </c>
      <c r="R37" s="27">
        <f>rebio23_80ml!R40/50</f>
        <v>0</v>
      </c>
      <c r="S37" s="27">
        <f>rebio23_80ml!S40/50</f>
        <v>0</v>
      </c>
      <c r="T37" s="27">
        <f>rebio23_80ml!T40/50</f>
        <v>0</v>
      </c>
      <c r="U37" s="27">
        <f>rebio23_80ml!U40/50</f>
        <v>0</v>
      </c>
      <c r="V37" s="27">
        <f>rebio23_80ml!V40/50</f>
        <v>0</v>
      </c>
      <c r="W37" s="27">
        <f>rebio23_80ml!W40/50</f>
        <v>0</v>
      </c>
      <c r="X37" s="27">
        <f>rebio23_80ml!X40/50</f>
        <v>0</v>
      </c>
      <c r="Y37" s="27">
        <f>rebio23_80ml!Y40/50</f>
        <v>0.04</v>
      </c>
      <c r="Z37" s="27">
        <f>rebio23_80ml!Z40/50</f>
        <v>0</v>
      </c>
      <c r="AA37" s="27">
        <f>rebio23_80ml!AA40/50</f>
        <v>0.04</v>
      </c>
      <c r="AB37" s="27">
        <f>rebio23_80ml!AB40/50</f>
        <v>0</v>
      </c>
      <c r="AC37" s="27">
        <f>rebio23_80ml!AC40/50</f>
        <v>0</v>
      </c>
      <c r="AD37" s="27">
        <f>rebio23_80ml!AD40/50</f>
        <v>0</v>
      </c>
      <c r="AE37" s="27">
        <f>rebio23_80ml!AE40/50</f>
        <v>0</v>
      </c>
      <c r="AF37" s="27">
        <f>rebio23_80ml!AF40/50</f>
        <v>0</v>
      </c>
      <c r="AG37" s="27">
        <f>rebio23_80ml!AG40/50</f>
        <v>0</v>
      </c>
      <c r="AH37" s="27">
        <f>rebio23_80ml!AH40/50</f>
        <v>0</v>
      </c>
      <c r="AI37" s="27">
        <f>rebio23_80ml!AI40/50</f>
        <v>0</v>
      </c>
      <c r="AJ37" s="27">
        <f>rebio23_80ml!AJ40/50</f>
        <v>0</v>
      </c>
      <c r="AK37" s="27">
        <f>rebio23_80ml!AK40/50</f>
        <v>0</v>
      </c>
      <c r="AL37" s="27">
        <f>rebio23_80ml!AL40/50</f>
        <v>0</v>
      </c>
      <c r="AM37" s="27">
        <f>rebio23_80ml!AM40/50</f>
        <v>0</v>
      </c>
      <c r="AN37" s="27">
        <f>rebio23_80ml!AN40/50</f>
        <v>0</v>
      </c>
      <c r="AO37" s="27">
        <f>rebio23_80ml!AO40/50</f>
        <v>0</v>
      </c>
      <c r="AP37" s="27">
        <f>rebio23_80ml!AP40/50</f>
        <v>0</v>
      </c>
      <c r="AQ37" s="27">
        <f>rebio23_80ml!AQ40/50</f>
        <v>0.04</v>
      </c>
      <c r="AR37" s="27">
        <f>rebio23_80ml!AR40/50</f>
        <v>0</v>
      </c>
      <c r="AS37" s="27">
        <f>rebio23_80ml!AS40/50</f>
        <v>0</v>
      </c>
      <c r="AT37" s="27">
        <f>rebio23_80ml!AT40/50</f>
        <v>0</v>
      </c>
      <c r="AU37" s="27">
        <f>rebio23_80ml!AU40/50</f>
        <v>0</v>
      </c>
      <c r="AV37" s="27">
        <f>rebio23_80ml!AV40/50</f>
        <v>0.9</v>
      </c>
      <c r="AW37" s="27">
        <f>rebio23_80ml!AW40/50</f>
        <v>0.24</v>
      </c>
      <c r="AX37" s="27">
        <f>rebio23_80ml!AX40/50</f>
        <v>0</v>
      </c>
      <c r="AY37" s="27">
        <f>rebio23_80ml!AY40/50</f>
        <v>0</v>
      </c>
      <c r="AZ37" s="27">
        <f>rebio23_80ml!AZ40/50</f>
        <v>0</v>
      </c>
      <c r="BA37" s="27">
        <f>rebio23_80ml!BA40/50</f>
        <v>0</v>
      </c>
      <c r="BB37" s="27">
        <f>rebio23_80ml!BB40/50</f>
        <v>0</v>
      </c>
      <c r="BC37" s="27">
        <f>rebio23_80ml!BC40/50</f>
        <v>0.04</v>
      </c>
      <c r="BD37" s="27">
        <f>rebio23_80ml!BD40/50</f>
        <v>0.02</v>
      </c>
      <c r="BE37" s="27">
        <f>rebio23_80ml!BE40/50</f>
        <v>0</v>
      </c>
      <c r="BF37" s="27">
        <f>rebio23_80ml!BF40/50</f>
        <v>0.02</v>
      </c>
      <c r="BG37" s="27">
        <f>rebio23_80ml!BG40/50</f>
        <v>0</v>
      </c>
    </row>
    <row r="38" spans="1:59" ht="12.75" customHeight="1" x14ac:dyDescent="0.25">
      <c r="A38" s="15" t="str">
        <f>rebio23_80ml!A41</f>
        <v>S-C-P17-H1</v>
      </c>
      <c r="B38" s="27">
        <f>rebio23_80ml!B41/50</f>
        <v>0</v>
      </c>
      <c r="C38" s="27">
        <f>rebio23_80ml!C41/50</f>
        <v>0</v>
      </c>
      <c r="D38" s="27">
        <f>rebio23_80ml!D41/50</f>
        <v>0</v>
      </c>
      <c r="E38" s="27">
        <f>rebio23_80ml!E41/50</f>
        <v>0.56000000000000005</v>
      </c>
      <c r="F38" s="27">
        <f>rebio23_80ml!F41/50</f>
        <v>0</v>
      </c>
      <c r="G38" s="27">
        <f>rebio23_80ml!G41/50</f>
        <v>0</v>
      </c>
      <c r="H38" s="27">
        <f>rebio23_80ml!H41/50</f>
        <v>0</v>
      </c>
      <c r="I38" s="27">
        <f>rebio23_80ml!I41/50</f>
        <v>1.1000000000000001</v>
      </c>
      <c r="J38" s="27">
        <f>rebio23_80ml!J41/50</f>
        <v>0</v>
      </c>
      <c r="K38" s="27">
        <f>rebio23_80ml!K41/50</f>
        <v>0</v>
      </c>
      <c r="L38" s="27">
        <f>rebio23_80ml!L41/50</f>
        <v>0</v>
      </c>
      <c r="M38" s="27">
        <f>rebio23_80ml!M41/50</f>
        <v>0</v>
      </c>
      <c r="N38" s="27">
        <f>rebio23_80ml!N41/50</f>
        <v>0</v>
      </c>
      <c r="O38" s="27">
        <f>rebio23_80ml!O41/50</f>
        <v>0</v>
      </c>
      <c r="P38" s="27">
        <f>rebio23_80ml!P41/50</f>
        <v>0</v>
      </c>
      <c r="Q38" s="27">
        <f>rebio23_80ml!Q41/50</f>
        <v>0.04</v>
      </c>
      <c r="R38" s="27">
        <f>rebio23_80ml!R41/50</f>
        <v>0</v>
      </c>
      <c r="S38" s="27">
        <f>rebio23_80ml!S41/50</f>
        <v>0</v>
      </c>
      <c r="T38" s="27">
        <f>rebio23_80ml!T41/50</f>
        <v>0</v>
      </c>
      <c r="U38" s="27">
        <f>rebio23_80ml!U41/50</f>
        <v>0</v>
      </c>
      <c r="V38" s="27">
        <f>rebio23_80ml!V41/50</f>
        <v>0</v>
      </c>
      <c r="W38" s="27">
        <f>rebio23_80ml!W41/50</f>
        <v>0</v>
      </c>
      <c r="X38" s="27">
        <f>rebio23_80ml!X41/50</f>
        <v>0</v>
      </c>
      <c r="Y38" s="27">
        <f>rebio23_80ml!Y41/50</f>
        <v>0.02</v>
      </c>
      <c r="Z38" s="27">
        <f>rebio23_80ml!Z41/50</f>
        <v>0</v>
      </c>
      <c r="AA38" s="27">
        <f>rebio23_80ml!AA41/50</f>
        <v>0</v>
      </c>
      <c r="AB38" s="27">
        <f>rebio23_80ml!AB41/50</f>
        <v>0</v>
      </c>
      <c r="AC38" s="27">
        <f>rebio23_80ml!AC41/50</f>
        <v>0</v>
      </c>
      <c r="AD38" s="27">
        <f>rebio23_80ml!AD41/50</f>
        <v>0.02</v>
      </c>
      <c r="AE38" s="27">
        <f>rebio23_80ml!AE41/50</f>
        <v>0</v>
      </c>
      <c r="AF38" s="27">
        <f>rebio23_80ml!AF41/50</f>
        <v>0</v>
      </c>
      <c r="AG38" s="27">
        <f>rebio23_80ml!AG41/50</f>
        <v>0.02</v>
      </c>
      <c r="AH38" s="27">
        <f>rebio23_80ml!AH41/50</f>
        <v>0</v>
      </c>
      <c r="AI38" s="27">
        <f>rebio23_80ml!AI41/50</f>
        <v>0</v>
      </c>
      <c r="AJ38" s="27">
        <f>rebio23_80ml!AJ41/50</f>
        <v>0</v>
      </c>
      <c r="AK38" s="27">
        <f>rebio23_80ml!AK41/50</f>
        <v>0</v>
      </c>
      <c r="AL38" s="27">
        <f>rebio23_80ml!AL41/50</f>
        <v>0</v>
      </c>
      <c r="AM38" s="27">
        <f>rebio23_80ml!AM41/50</f>
        <v>0</v>
      </c>
      <c r="AN38" s="27">
        <f>rebio23_80ml!AN41/50</f>
        <v>0</v>
      </c>
      <c r="AO38" s="27">
        <f>rebio23_80ml!AO41/50</f>
        <v>0</v>
      </c>
      <c r="AP38" s="27">
        <f>rebio23_80ml!AP41/50</f>
        <v>0</v>
      </c>
      <c r="AQ38" s="27">
        <f>rebio23_80ml!AQ41/50</f>
        <v>0.02</v>
      </c>
      <c r="AR38" s="27">
        <f>rebio23_80ml!AR41/50</f>
        <v>0</v>
      </c>
      <c r="AS38" s="27">
        <f>rebio23_80ml!AS41/50</f>
        <v>0</v>
      </c>
      <c r="AT38" s="27">
        <f>rebio23_80ml!AT41/50</f>
        <v>0</v>
      </c>
      <c r="AU38" s="27">
        <f>rebio23_80ml!AU41/50</f>
        <v>0</v>
      </c>
      <c r="AV38" s="27">
        <f>rebio23_80ml!AV41/50</f>
        <v>0.3</v>
      </c>
      <c r="AW38" s="27">
        <f>rebio23_80ml!AW41/50</f>
        <v>0.02</v>
      </c>
      <c r="AX38" s="27">
        <f>rebio23_80ml!AX41/50</f>
        <v>0</v>
      </c>
      <c r="AY38" s="27">
        <f>rebio23_80ml!AY41/50</f>
        <v>0</v>
      </c>
      <c r="AZ38" s="27">
        <f>rebio23_80ml!AZ41/50</f>
        <v>0</v>
      </c>
      <c r="BA38" s="27">
        <f>rebio23_80ml!BA41/50</f>
        <v>0</v>
      </c>
      <c r="BB38" s="27">
        <f>rebio23_80ml!BB41/50</f>
        <v>0</v>
      </c>
      <c r="BC38" s="27">
        <f>rebio23_80ml!BC41/50</f>
        <v>0</v>
      </c>
      <c r="BD38" s="27">
        <f>rebio23_80ml!BD41/50</f>
        <v>0</v>
      </c>
      <c r="BE38" s="27">
        <f>rebio23_80ml!BE41/50</f>
        <v>0</v>
      </c>
      <c r="BF38" s="27">
        <f>rebio23_80ml!BF41/50</f>
        <v>0</v>
      </c>
      <c r="BG38" s="27">
        <f>rebio23_80ml!BG41/50</f>
        <v>0</v>
      </c>
    </row>
    <row r="39" spans="1:59" ht="12.75" customHeight="1" x14ac:dyDescent="0.25">
      <c r="A39" s="15" t="str">
        <f>rebio23_80ml!A42</f>
        <v>S-C-P17-H2</v>
      </c>
      <c r="B39" s="27">
        <f>rebio23_80ml!B42/50</f>
        <v>0.04</v>
      </c>
      <c r="C39" s="27">
        <f>rebio23_80ml!C42/50</f>
        <v>0</v>
      </c>
      <c r="D39" s="27">
        <f>rebio23_80ml!D42/50</f>
        <v>0</v>
      </c>
      <c r="E39" s="27">
        <f>rebio23_80ml!E42/50</f>
        <v>0.78</v>
      </c>
      <c r="F39" s="27">
        <f>rebio23_80ml!F42/50</f>
        <v>0</v>
      </c>
      <c r="G39" s="27">
        <f>rebio23_80ml!G42/50</f>
        <v>0</v>
      </c>
      <c r="H39" s="27">
        <f>rebio23_80ml!H42/50</f>
        <v>0</v>
      </c>
      <c r="I39" s="27">
        <f>rebio23_80ml!I42/50</f>
        <v>1.44</v>
      </c>
      <c r="J39" s="27">
        <f>rebio23_80ml!J42/50</f>
        <v>0</v>
      </c>
      <c r="K39" s="27">
        <f>rebio23_80ml!K42/50</f>
        <v>0.02</v>
      </c>
      <c r="L39" s="27">
        <f>rebio23_80ml!L42/50</f>
        <v>0</v>
      </c>
      <c r="M39" s="27">
        <f>rebio23_80ml!M42/50</f>
        <v>0</v>
      </c>
      <c r="N39" s="27">
        <f>rebio23_80ml!N42/50</f>
        <v>0</v>
      </c>
      <c r="O39" s="27">
        <f>rebio23_80ml!O42/50</f>
        <v>0</v>
      </c>
      <c r="P39" s="27">
        <f>rebio23_80ml!P42/50</f>
        <v>0</v>
      </c>
      <c r="Q39" s="27">
        <f>rebio23_80ml!Q42/50</f>
        <v>0</v>
      </c>
      <c r="R39" s="27">
        <f>rebio23_80ml!R42/50</f>
        <v>0</v>
      </c>
      <c r="S39" s="27">
        <f>rebio23_80ml!S42/50</f>
        <v>0.02</v>
      </c>
      <c r="T39" s="27">
        <f>rebio23_80ml!T42/50</f>
        <v>0</v>
      </c>
      <c r="U39" s="27">
        <f>rebio23_80ml!U42/50</f>
        <v>0</v>
      </c>
      <c r="V39" s="27">
        <f>rebio23_80ml!V42/50</f>
        <v>0</v>
      </c>
      <c r="W39" s="27">
        <f>rebio23_80ml!W42/50</f>
        <v>0</v>
      </c>
      <c r="X39" s="27">
        <f>rebio23_80ml!X42/50</f>
        <v>0</v>
      </c>
      <c r="Y39" s="27">
        <f>rebio23_80ml!Y42/50</f>
        <v>0</v>
      </c>
      <c r="Z39" s="27">
        <f>rebio23_80ml!Z42/50</f>
        <v>0</v>
      </c>
      <c r="AA39" s="27">
        <f>rebio23_80ml!AA42/50</f>
        <v>0</v>
      </c>
      <c r="AB39" s="27">
        <f>rebio23_80ml!AB42/50</f>
        <v>0</v>
      </c>
      <c r="AC39" s="27">
        <f>rebio23_80ml!AC42/50</f>
        <v>0</v>
      </c>
      <c r="AD39" s="27">
        <f>rebio23_80ml!AD42/50</f>
        <v>0</v>
      </c>
      <c r="AE39" s="27">
        <f>rebio23_80ml!AE42/50</f>
        <v>0</v>
      </c>
      <c r="AF39" s="27">
        <f>rebio23_80ml!AF42/50</f>
        <v>0</v>
      </c>
      <c r="AG39" s="27">
        <f>rebio23_80ml!AG42/50</f>
        <v>0</v>
      </c>
      <c r="AH39" s="27">
        <f>rebio23_80ml!AH42/50</f>
        <v>0</v>
      </c>
      <c r="AI39" s="27">
        <f>rebio23_80ml!AI42/50</f>
        <v>0</v>
      </c>
      <c r="AJ39" s="27">
        <f>rebio23_80ml!AJ42/50</f>
        <v>0</v>
      </c>
      <c r="AK39" s="27">
        <f>rebio23_80ml!AK42/50</f>
        <v>0</v>
      </c>
      <c r="AL39" s="27">
        <f>rebio23_80ml!AL42/50</f>
        <v>0</v>
      </c>
      <c r="AM39" s="27">
        <f>rebio23_80ml!AM42/50</f>
        <v>0</v>
      </c>
      <c r="AN39" s="27">
        <f>rebio23_80ml!AN42/50</f>
        <v>0</v>
      </c>
      <c r="AO39" s="27">
        <f>rebio23_80ml!AO42/50</f>
        <v>0.06</v>
      </c>
      <c r="AP39" s="27">
        <f>rebio23_80ml!AP42/50</f>
        <v>0</v>
      </c>
      <c r="AQ39" s="27">
        <f>rebio23_80ml!AQ42/50</f>
        <v>0</v>
      </c>
      <c r="AR39" s="27">
        <f>rebio23_80ml!AR42/50</f>
        <v>0</v>
      </c>
      <c r="AS39" s="27">
        <f>rebio23_80ml!AS42/50</f>
        <v>0</v>
      </c>
      <c r="AT39" s="27">
        <f>rebio23_80ml!AT42/50</f>
        <v>0</v>
      </c>
      <c r="AU39" s="27">
        <f>rebio23_80ml!AU42/50</f>
        <v>0</v>
      </c>
      <c r="AV39" s="27">
        <f>rebio23_80ml!AV42/50</f>
        <v>0.84</v>
      </c>
      <c r="AW39" s="27">
        <f>rebio23_80ml!AW42/50</f>
        <v>0.4</v>
      </c>
      <c r="AX39" s="27">
        <f>rebio23_80ml!AX42/50</f>
        <v>0.52</v>
      </c>
      <c r="AY39" s="27">
        <f>rebio23_80ml!AY42/50</f>
        <v>0</v>
      </c>
      <c r="AZ39" s="27">
        <f>rebio23_80ml!AZ42/50</f>
        <v>0</v>
      </c>
      <c r="BA39" s="27">
        <f>rebio23_80ml!BA42/50</f>
        <v>0</v>
      </c>
      <c r="BB39" s="27">
        <f>rebio23_80ml!BB42/50</f>
        <v>0</v>
      </c>
      <c r="BC39" s="27">
        <f>rebio23_80ml!BC42/50</f>
        <v>0</v>
      </c>
      <c r="BD39" s="27">
        <f>rebio23_80ml!BD42/50</f>
        <v>0</v>
      </c>
      <c r="BE39" s="27">
        <f>rebio23_80ml!BE42/50</f>
        <v>0</v>
      </c>
      <c r="BF39" s="27">
        <f>rebio23_80ml!BF42/50</f>
        <v>0.02</v>
      </c>
      <c r="BG39" s="27">
        <f>rebio23_80ml!BG42/50</f>
        <v>0</v>
      </c>
    </row>
    <row r="40" spans="1:59" ht="12.75" customHeight="1" x14ac:dyDescent="0.25">
      <c r="A40" s="15" t="str">
        <f>rebio23_80ml!A43</f>
        <v>S-C-P17-H3</v>
      </c>
      <c r="B40" s="27">
        <f>rebio23_80ml!B43/50</f>
        <v>0.02</v>
      </c>
      <c r="C40" s="27">
        <f>rebio23_80ml!C43/50</f>
        <v>0</v>
      </c>
      <c r="D40" s="27">
        <f>rebio23_80ml!D43/50</f>
        <v>0</v>
      </c>
      <c r="E40" s="27">
        <f>rebio23_80ml!E43/50</f>
        <v>1</v>
      </c>
      <c r="F40" s="27">
        <f>rebio23_80ml!F43/50</f>
        <v>0</v>
      </c>
      <c r="G40" s="27">
        <f>rebio23_80ml!G43/50</f>
        <v>0</v>
      </c>
      <c r="H40" s="27">
        <f>rebio23_80ml!H43/50</f>
        <v>0</v>
      </c>
      <c r="I40" s="27">
        <f>rebio23_80ml!I43/50</f>
        <v>1.4</v>
      </c>
      <c r="J40" s="27">
        <f>rebio23_80ml!J43/50</f>
        <v>0</v>
      </c>
      <c r="K40" s="27">
        <f>rebio23_80ml!K43/50</f>
        <v>0</v>
      </c>
      <c r="L40" s="27">
        <f>rebio23_80ml!L43/50</f>
        <v>0</v>
      </c>
      <c r="M40" s="27">
        <f>rebio23_80ml!M43/50</f>
        <v>0</v>
      </c>
      <c r="N40" s="27">
        <f>rebio23_80ml!N43/50</f>
        <v>0</v>
      </c>
      <c r="O40" s="27">
        <f>rebio23_80ml!O43/50</f>
        <v>0.02</v>
      </c>
      <c r="P40" s="27">
        <f>rebio23_80ml!P43/50</f>
        <v>0.02</v>
      </c>
      <c r="Q40" s="27">
        <f>rebio23_80ml!Q43/50</f>
        <v>0.02</v>
      </c>
      <c r="R40" s="27">
        <f>rebio23_80ml!R43/50</f>
        <v>0</v>
      </c>
      <c r="S40" s="27">
        <f>rebio23_80ml!S43/50</f>
        <v>0</v>
      </c>
      <c r="T40" s="27">
        <f>rebio23_80ml!T43/50</f>
        <v>0</v>
      </c>
      <c r="U40" s="27">
        <f>rebio23_80ml!U43/50</f>
        <v>0</v>
      </c>
      <c r="V40" s="27">
        <f>rebio23_80ml!V43/50</f>
        <v>0</v>
      </c>
      <c r="W40" s="27">
        <f>rebio23_80ml!W43/50</f>
        <v>0</v>
      </c>
      <c r="X40" s="27">
        <f>rebio23_80ml!X43/50</f>
        <v>0</v>
      </c>
      <c r="Y40" s="27">
        <f>rebio23_80ml!Y43/50</f>
        <v>0</v>
      </c>
      <c r="Z40" s="27">
        <f>rebio23_80ml!Z43/50</f>
        <v>0</v>
      </c>
      <c r="AA40" s="27">
        <f>rebio23_80ml!AA43/50</f>
        <v>0</v>
      </c>
      <c r="AB40" s="27">
        <f>rebio23_80ml!AB43/50</f>
        <v>0</v>
      </c>
      <c r="AC40" s="27">
        <f>rebio23_80ml!AC43/50</f>
        <v>0</v>
      </c>
      <c r="AD40" s="27">
        <f>rebio23_80ml!AD43/50</f>
        <v>0</v>
      </c>
      <c r="AE40" s="27">
        <f>rebio23_80ml!AE43/50</f>
        <v>0</v>
      </c>
      <c r="AF40" s="27">
        <f>rebio23_80ml!AF43/50</f>
        <v>0</v>
      </c>
      <c r="AG40" s="27">
        <f>rebio23_80ml!AG43/50</f>
        <v>0</v>
      </c>
      <c r="AH40" s="27">
        <f>rebio23_80ml!AH43/50</f>
        <v>0</v>
      </c>
      <c r="AI40" s="27">
        <f>rebio23_80ml!AI43/50</f>
        <v>0</v>
      </c>
      <c r="AJ40" s="27">
        <f>rebio23_80ml!AJ43/50</f>
        <v>0</v>
      </c>
      <c r="AK40" s="27">
        <f>rebio23_80ml!AK43/50</f>
        <v>0</v>
      </c>
      <c r="AL40" s="27">
        <f>rebio23_80ml!AL43/50</f>
        <v>0</v>
      </c>
      <c r="AM40" s="27">
        <f>rebio23_80ml!AM43/50</f>
        <v>0.04</v>
      </c>
      <c r="AN40" s="27">
        <f>rebio23_80ml!AN43/50</f>
        <v>0</v>
      </c>
      <c r="AO40" s="27">
        <f>rebio23_80ml!AO43/50</f>
        <v>0</v>
      </c>
      <c r="AP40" s="27">
        <f>rebio23_80ml!AP43/50</f>
        <v>0</v>
      </c>
      <c r="AQ40" s="27">
        <f>rebio23_80ml!AQ43/50</f>
        <v>0</v>
      </c>
      <c r="AR40" s="27">
        <f>rebio23_80ml!AR43/50</f>
        <v>0.08</v>
      </c>
      <c r="AS40" s="27">
        <f>rebio23_80ml!AS43/50</f>
        <v>0.02</v>
      </c>
      <c r="AT40" s="27">
        <f>rebio23_80ml!AT43/50</f>
        <v>0.02</v>
      </c>
      <c r="AU40" s="27">
        <f>rebio23_80ml!AU43/50</f>
        <v>0</v>
      </c>
      <c r="AV40" s="27">
        <f>rebio23_80ml!AV43/50</f>
        <v>0.56000000000000005</v>
      </c>
      <c r="AW40" s="27">
        <f>rebio23_80ml!AW43/50</f>
        <v>0.28000000000000003</v>
      </c>
      <c r="AX40" s="27">
        <f>rebio23_80ml!AX43/50</f>
        <v>0.08</v>
      </c>
      <c r="AY40" s="27">
        <f>rebio23_80ml!AY43/50</f>
        <v>0</v>
      </c>
      <c r="AZ40" s="27">
        <f>rebio23_80ml!AZ43/50</f>
        <v>0</v>
      </c>
      <c r="BA40" s="27">
        <f>rebio23_80ml!BA43/50</f>
        <v>0</v>
      </c>
      <c r="BB40" s="27">
        <f>rebio23_80ml!BB43/50</f>
        <v>0</v>
      </c>
      <c r="BC40" s="27">
        <f>rebio23_80ml!BC43/50</f>
        <v>0</v>
      </c>
      <c r="BD40" s="27">
        <f>rebio23_80ml!BD43/50</f>
        <v>0</v>
      </c>
      <c r="BE40" s="27">
        <f>rebio23_80ml!BE43/50</f>
        <v>0</v>
      </c>
      <c r="BF40" s="27">
        <f>rebio23_80ml!BF43/50</f>
        <v>0</v>
      </c>
      <c r="BG40" s="27">
        <f>rebio23_80ml!BG43/50</f>
        <v>0</v>
      </c>
    </row>
    <row r="41" spans="1:59" ht="12.75" customHeight="1" x14ac:dyDescent="0.25">
      <c r="A41" s="15" t="str">
        <f>rebio23_80ml!A44</f>
        <v>S-C-P18-H1</v>
      </c>
      <c r="B41" s="27">
        <f>rebio23_80ml!B44/50</f>
        <v>0.02</v>
      </c>
      <c r="C41" s="27">
        <f>rebio23_80ml!C44/50</f>
        <v>0</v>
      </c>
      <c r="D41" s="27">
        <f>rebio23_80ml!D44/50</f>
        <v>0</v>
      </c>
      <c r="E41" s="27">
        <f>rebio23_80ml!E44/50</f>
        <v>0.44</v>
      </c>
      <c r="F41" s="27">
        <f>rebio23_80ml!F44/50</f>
        <v>0</v>
      </c>
      <c r="G41" s="27">
        <f>rebio23_80ml!G44/50</f>
        <v>0</v>
      </c>
      <c r="H41" s="27">
        <f>rebio23_80ml!H44/50</f>
        <v>0</v>
      </c>
      <c r="I41" s="27">
        <f>rebio23_80ml!I44/50</f>
        <v>0.08</v>
      </c>
      <c r="J41" s="27">
        <f>rebio23_80ml!J44/50</f>
        <v>0</v>
      </c>
      <c r="K41" s="27">
        <f>rebio23_80ml!K44/50</f>
        <v>0</v>
      </c>
      <c r="L41" s="27">
        <f>rebio23_80ml!L44/50</f>
        <v>0</v>
      </c>
      <c r="M41" s="27">
        <f>rebio23_80ml!M44/50</f>
        <v>0</v>
      </c>
      <c r="N41" s="27">
        <f>rebio23_80ml!N44/50</f>
        <v>0</v>
      </c>
      <c r="O41" s="27">
        <f>rebio23_80ml!O44/50</f>
        <v>0</v>
      </c>
      <c r="P41" s="27">
        <f>rebio23_80ml!P44/50</f>
        <v>0</v>
      </c>
      <c r="Q41" s="27">
        <f>rebio23_80ml!Q44/50</f>
        <v>0</v>
      </c>
      <c r="R41" s="27">
        <f>rebio23_80ml!R44/50</f>
        <v>0</v>
      </c>
      <c r="S41" s="27">
        <f>rebio23_80ml!S44/50</f>
        <v>0</v>
      </c>
      <c r="T41" s="27">
        <f>rebio23_80ml!T44/50</f>
        <v>0</v>
      </c>
      <c r="U41" s="27">
        <f>rebio23_80ml!U44/50</f>
        <v>0</v>
      </c>
      <c r="V41" s="27">
        <f>rebio23_80ml!V44/50</f>
        <v>0</v>
      </c>
      <c r="W41" s="27">
        <f>rebio23_80ml!W44/50</f>
        <v>0</v>
      </c>
      <c r="X41" s="27">
        <f>rebio23_80ml!X44/50</f>
        <v>0</v>
      </c>
      <c r="Y41" s="27">
        <f>rebio23_80ml!Y44/50</f>
        <v>0</v>
      </c>
      <c r="Z41" s="27">
        <f>rebio23_80ml!Z44/50</f>
        <v>0</v>
      </c>
      <c r="AA41" s="27">
        <f>rebio23_80ml!AA44/50</f>
        <v>0</v>
      </c>
      <c r="AB41" s="27">
        <f>rebio23_80ml!AB44/50</f>
        <v>0</v>
      </c>
      <c r="AC41" s="27">
        <f>rebio23_80ml!AC44/50</f>
        <v>0</v>
      </c>
      <c r="AD41" s="27">
        <f>rebio23_80ml!AD44/50</f>
        <v>0</v>
      </c>
      <c r="AE41" s="27">
        <f>rebio23_80ml!AE44/50</f>
        <v>0</v>
      </c>
      <c r="AF41" s="27">
        <f>rebio23_80ml!AF44/50</f>
        <v>0</v>
      </c>
      <c r="AG41" s="27">
        <f>rebio23_80ml!AG44/50</f>
        <v>0</v>
      </c>
      <c r="AH41" s="27">
        <f>rebio23_80ml!AH44/50</f>
        <v>0</v>
      </c>
      <c r="AI41" s="27">
        <f>rebio23_80ml!AI44/50</f>
        <v>0</v>
      </c>
      <c r="AJ41" s="27">
        <f>rebio23_80ml!AJ44/50</f>
        <v>0</v>
      </c>
      <c r="AK41" s="27">
        <f>rebio23_80ml!AK44/50</f>
        <v>0</v>
      </c>
      <c r="AL41" s="27">
        <f>rebio23_80ml!AL44/50</f>
        <v>0</v>
      </c>
      <c r="AM41" s="27">
        <f>rebio23_80ml!AM44/50</f>
        <v>0</v>
      </c>
      <c r="AN41" s="27">
        <f>rebio23_80ml!AN44/50</f>
        <v>0</v>
      </c>
      <c r="AO41" s="27">
        <f>rebio23_80ml!AO44/50</f>
        <v>0</v>
      </c>
      <c r="AP41" s="27">
        <f>rebio23_80ml!AP44/50</f>
        <v>0</v>
      </c>
      <c r="AQ41" s="27">
        <f>rebio23_80ml!AQ44/50</f>
        <v>0</v>
      </c>
      <c r="AR41" s="27">
        <f>rebio23_80ml!AR44/50</f>
        <v>0</v>
      </c>
      <c r="AS41" s="27">
        <f>rebio23_80ml!AS44/50</f>
        <v>0</v>
      </c>
      <c r="AT41" s="27">
        <f>rebio23_80ml!AT44/50</f>
        <v>0</v>
      </c>
      <c r="AU41" s="27">
        <f>rebio23_80ml!AU44/50</f>
        <v>0</v>
      </c>
      <c r="AV41" s="27">
        <f>rebio23_80ml!AV44/50</f>
        <v>0.12</v>
      </c>
      <c r="AW41" s="27">
        <f>rebio23_80ml!AW44/50</f>
        <v>0</v>
      </c>
      <c r="AX41" s="27">
        <f>rebio23_80ml!AX44/50</f>
        <v>0.04</v>
      </c>
      <c r="AY41" s="27">
        <f>rebio23_80ml!AY44/50</f>
        <v>0</v>
      </c>
      <c r="AZ41" s="27">
        <f>rebio23_80ml!AZ44/50</f>
        <v>0</v>
      </c>
      <c r="BA41" s="27">
        <f>rebio23_80ml!BA44/50</f>
        <v>0</v>
      </c>
      <c r="BB41" s="27">
        <f>rebio23_80ml!BB44/50</f>
        <v>0</v>
      </c>
      <c r="BC41" s="27">
        <f>rebio23_80ml!BC44/50</f>
        <v>0</v>
      </c>
      <c r="BD41" s="27">
        <f>rebio23_80ml!BD44/50</f>
        <v>0</v>
      </c>
      <c r="BE41" s="27">
        <f>rebio23_80ml!BE44/50</f>
        <v>0</v>
      </c>
      <c r="BF41" s="27">
        <f>rebio23_80ml!BF44/50</f>
        <v>0</v>
      </c>
      <c r="BG41" s="27">
        <f>rebio23_80ml!BG44/50</f>
        <v>0</v>
      </c>
    </row>
    <row r="42" spans="1:59" ht="12.75" customHeight="1" x14ac:dyDescent="0.25">
      <c r="A42" s="15" t="str">
        <f>rebio23_80ml!A45</f>
        <v>S-C-P18-H2</v>
      </c>
      <c r="B42" s="27">
        <f>rebio23_80ml!B45/50</f>
        <v>0</v>
      </c>
      <c r="C42" s="27">
        <f>rebio23_80ml!C45/50</f>
        <v>0</v>
      </c>
      <c r="D42" s="27">
        <f>rebio23_80ml!D45/50</f>
        <v>0</v>
      </c>
      <c r="E42" s="27">
        <f>rebio23_80ml!E45/50</f>
        <v>0.26</v>
      </c>
      <c r="F42" s="27">
        <f>rebio23_80ml!F45/50</f>
        <v>0</v>
      </c>
      <c r="G42" s="27">
        <f>rebio23_80ml!G45/50</f>
        <v>0</v>
      </c>
      <c r="H42" s="27">
        <f>rebio23_80ml!H45/50</f>
        <v>0</v>
      </c>
      <c r="I42" s="27">
        <f>rebio23_80ml!I45/50</f>
        <v>0.3</v>
      </c>
      <c r="J42" s="27">
        <f>rebio23_80ml!J45/50</f>
        <v>0</v>
      </c>
      <c r="K42" s="27">
        <f>rebio23_80ml!K45/50</f>
        <v>0</v>
      </c>
      <c r="L42" s="27">
        <f>rebio23_80ml!L45/50</f>
        <v>0</v>
      </c>
      <c r="M42" s="27">
        <f>rebio23_80ml!M45/50</f>
        <v>0</v>
      </c>
      <c r="N42" s="27">
        <f>rebio23_80ml!N45/50</f>
        <v>0</v>
      </c>
      <c r="O42" s="27">
        <f>rebio23_80ml!O45/50</f>
        <v>0</v>
      </c>
      <c r="P42" s="27">
        <f>rebio23_80ml!P45/50</f>
        <v>0</v>
      </c>
      <c r="Q42" s="27">
        <f>rebio23_80ml!Q45/50</f>
        <v>0.02</v>
      </c>
      <c r="R42" s="27">
        <f>rebio23_80ml!R45/50</f>
        <v>0</v>
      </c>
      <c r="S42" s="27">
        <f>rebio23_80ml!S45/50</f>
        <v>0</v>
      </c>
      <c r="T42" s="27">
        <f>rebio23_80ml!T45/50</f>
        <v>0</v>
      </c>
      <c r="U42" s="27">
        <f>rebio23_80ml!U45/50</f>
        <v>0</v>
      </c>
      <c r="V42" s="27">
        <f>rebio23_80ml!V45/50</f>
        <v>0</v>
      </c>
      <c r="W42" s="27">
        <f>rebio23_80ml!W45/50</f>
        <v>0</v>
      </c>
      <c r="X42" s="27">
        <f>rebio23_80ml!X45/50</f>
        <v>0</v>
      </c>
      <c r="Y42" s="27">
        <f>rebio23_80ml!Y45/50</f>
        <v>0.06</v>
      </c>
      <c r="Z42" s="27">
        <f>rebio23_80ml!Z45/50</f>
        <v>0</v>
      </c>
      <c r="AA42" s="27">
        <f>rebio23_80ml!AA45/50</f>
        <v>0</v>
      </c>
      <c r="AB42" s="27">
        <f>rebio23_80ml!AB45/50</f>
        <v>0</v>
      </c>
      <c r="AC42" s="27">
        <f>rebio23_80ml!AC45/50</f>
        <v>0</v>
      </c>
      <c r="AD42" s="27">
        <f>rebio23_80ml!AD45/50</f>
        <v>0</v>
      </c>
      <c r="AE42" s="27">
        <f>rebio23_80ml!AE45/50</f>
        <v>0</v>
      </c>
      <c r="AF42" s="27">
        <f>rebio23_80ml!AF45/50</f>
        <v>0</v>
      </c>
      <c r="AG42" s="27">
        <f>rebio23_80ml!AG45/50</f>
        <v>0</v>
      </c>
      <c r="AH42" s="27">
        <f>rebio23_80ml!AH45/50</f>
        <v>0</v>
      </c>
      <c r="AI42" s="27">
        <f>rebio23_80ml!AI45/50</f>
        <v>0</v>
      </c>
      <c r="AJ42" s="27">
        <f>rebio23_80ml!AJ45/50</f>
        <v>0</v>
      </c>
      <c r="AK42" s="27">
        <f>rebio23_80ml!AK45/50</f>
        <v>0</v>
      </c>
      <c r="AL42" s="27">
        <f>rebio23_80ml!AL45/50</f>
        <v>0</v>
      </c>
      <c r="AM42" s="27">
        <f>rebio23_80ml!AM45/50</f>
        <v>0</v>
      </c>
      <c r="AN42" s="27">
        <f>rebio23_80ml!AN45/50</f>
        <v>0</v>
      </c>
      <c r="AO42" s="27">
        <f>rebio23_80ml!AO45/50</f>
        <v>0</v>
      </c>
      <c r="AP42" s="27">
        <f>rebio23_80ml!AP45/50</f>
        <v>0</v>
      </c>
      <c r="AQ42" s="27">
        <f>rebio23_80ml!AQ45/50</f>
        <v>0</v>
      </c>
      <c r="AR42" s="27">
        <f>rebio23_80ml!AR45/50</f>
        <v>0</v>
      </c>
      <c r="AS42" s="27">
        <f>rebio23_80ml!AS45/50</f>
        <v>0</v>
      </c>
      <c r="AT42" s="27">
        <f>rebio23_80ml!AT45/50</f>
        <v>0</v>
      </c>
      <c r="AU42" s="27">
        <f>rebio23_80ml!AU45/50</f>
        <v>0</v>
      </c>
      <c r="AV42" s="27">
        <f>rebio23_80ml!AV45/50</f>
        <v>0.1</v>
      </c>
      <c r="AW42" s="27">
        <f>rebio23_80ml!AW45/50</f>
        <v>0</v>
      </c>
      <c r="AX42" s="27">
        <f>rebio23_80ml!AX45/50</f>
        <v>0</v>
      </c>
      <c r="AY42" s="27">
        <f>rebio23_80ml!AY45/50</f>
        <v>0</v>
      </c>
      <c r="AZ42" s="27">
        <f>rebio23_80ml!AZ45/50</f>
        <v>0</v>
      </c>
      <c r="BA42" s="27">
        <f>rebio23_80ml!BA45/50</f>
        <v>0</v>
      </c>
      <c r="BB42" s="27">
        <f>rebio23_80ml!BB45/50</f>
        <v>0</v>
      </c>
      <c r="BC42" s="27">
        <f>rebio23_80ml!BC45/50</f>
        <v>0</v>
      </c>
      <c r="BD42" s="27">
        <f>rebio23_80ml!BD45/50</f>
        <v>0</v>
      </c>
      <c r="BE42" s="27">
        <f>rebio23_80ml!BE45/50</f>
        <v>0</v>
      </c>
      <c r="BF42" s="27">
        <f>rebio23_80ml!BF45/50</f>
        <v>0</v>
      </c>
      <c r="BG42" s="27">
        <f>rebio23_80ml!BG45/50</f>
        <v>0</v>
      </c>
    </row>
    <row r="43" spans="1:59" ht="12.75" customHeight="1" x14ac:dyDescent="0.25">
      <c r="A43" s="15" t="str">
        <f>rebio23_80ml!A46</f>
        <v>S-C-P18-H3</v>
      </c>
      <c r="B43" s="27">
        <f>rebio23_80ml!B46/50</f>
        <v>0.04</v>
      </c>
      <c r="C43" s="27">
        <f>rebio23_80ml!C46/50</f>
        <v>0</v>
      </c>
      <c r="D43" s="27">
        <f>rebio23_80ml!D46/50</f>
        <v>0</v>
      </c>
      <c r="E43" s="27">
        <f>rebio23_80ml!E46/50</f>
        <v>0.24</v>
      </c>
      <c r="F43" s="27">
        <f>rebio23_80ml!F46/50</f>
        <v>0</v>
      </c>
      <c r="G43" s="27">
        <f>rebio23_80ml!G46/50</f>
        <v>0.06</v>
      </c>
      <c r="H43" s="27">
        <f>rebio23_80ml!H46/50</f>
        <v>0</v>
      </c>
      <c r="I43" s="27">
        <f>rebio23_80ml!I46/50</f>
        <v>0.08</v>
      </c>
      <c r="J43" s="27">
        <f>rebio23_80ml!J46/50</f>
        <v>0</v>
      </c>
      <c r="K43" s="27">
        <f>rebio23_80ml!K46/50</f>
        <v>0</v>
      </c>
      <c r="L43" s="27">
        <f>rebio23_80ml!L46/50</f>
        <v>0</v>
      </c>
      <c r="M43" s="27">
        <f>rebio23_80ml!M46/50</f>
        <v>0</v>
      </c>
      <c r="N43" s="27">
        <f>rebio23_80ml!N46/50</f>
        <v>0</v>
      </c>
      <c r="O43" s="27">
        <f>rebio23_80ml!O46/50</f>
        <v>0</v>
      </c>
      <c r="P43" s="27">
        <f>rebio23_80ml!P46/50</f>
        <v>0</v>
      </c>
      <c r="Q43" s="27">
        <f>rebio23_80ml!Q46/50</f>
        <v>0</v>
      </c>
      <c r="R43" s="27">
        <f>rebio23_80ml!R46/50</f>
        <v>0</v>
      </c>
      <c r="S43" s="27">
        <f>rebio23_80ml!S46/50</f>
        <v>0</v>
      </c>
      <c r="T43" s="27">
        <f>rebio23_80ml!T46/50</f>
        <v>0</v>
      </c>
      <c r="U43" s="27">
        <f>rebio23_80ml!U46/50</f>
        <v>0</v>
      </c>
      <c r="V43" s="27">
        <f>rebio23_80ml!V46/50</f>
        <v>0.04</v>
      </c>
      <c r="W43" s="27">
        <f>rebio23_80ml!W46/50</f>
        <v>0</v>
      </c>
      <c r="X43" s="27">
        <f>rebio23_80ml!X46/50</f>
        <v>0</v>
      </c>
      <c r="Y43" s="27">
        <f>rebio23_80ml!Y46/50</f>
        <v>0</v>
      </c>
      <c r="Z43" s="27">
        <f>rebio23_80ml!Z46/50</f>
        <v>0</v>
      </c>
      <c r="AA43" s="27">
        <f>rebio23_80ml!AA46/50</f>
        <v>0</v>
      </c>
      <c r="AB43" s="27">
        <f>rebio23_80ml!AB46/50</f>
        <v>0</v>
      </c>
      <c r="AC43" s="27">
        <f>rebio23_80ml!AC46/50</f>
        <v>0</v>
      </c>
      <c r="AD43" s="27">
        <f>rebio23_80ml!AD46/50</f>
        <v>0</v>
      </c>
      <c r="AE43" s="27">
        <f>rebio23_80ml!AE46/50</f>
        <v>0</v>
      </c>
      <c r="AF43" s="27">
        <f>rebio23_80ml!AF46/50</f>
        <v>0</v>
      </c>
      <c r="AG43" s="27">
        <f>rebio23_80ml!AG46/50</f>
        <v>0</v>
      </c>
      <c r="AH43" s="27">
        <f>rebio23_80ml!AH46/50</f>
        <v>0</v>
      </c>
      <c r="AI43" s="27">
        <f>rebio23_80ml!AI46/50</f>
        <v>0</v>
      </c>
      <c r="AJ43" s="27">
        <f>rebio23_80ml!AJ46/50</f>
        <v>0</v>
      </c>
      <c r="AK43" s="27">
        <f>rebio23_80ml!AK46/50</f>
        <v>0</v>
      </c>
      <c r="AL43" s="27">
        <f>rebio23_80ml!AL46/50</f>
        <v>0</v>
      </c>
      <c r="AM43" s="27">
        <f>rebio23_80ml!AM46/50</f>
        <v>0</v>
      </c>
      <c r="AN43" s="27">
        <f>rebio23_80ml!AN46/50</f>
        <v>0</v>
      </c>
      <c r="AO43" s="27">
        <f>rebio23_80ml!AO46/50</f>
        <v>0</v>
      </c>
      <c r="AP43" s="27">
        <f>rebio23_80ml!AP46/50</f>
        <v>0</v>
      </c>
      <c r="AQ43" s="27">
        <f>rebio23_80ml!AQ46/50</f>
        <v>0</v>
      </c>
      <c r="AR43" s="27">
        <f>rebio23_80ml!AR46/50</f>
        <v>0</v>
      </c>
      <c r="AS43" s="27">
        <f>rebio23_80ml!AS46/50</f>
        <v>0</v>
      </c>
      <c r="AT43" s="27">
        <f>rebio23_80ml!AT46/50</f>
        <v>0</v>
      </c>
      <c r="AU43" s="27">
        <f>rebio23_80ml!AU46/50</f>
        <v>0</v>
      </c>
      <c r="AV43" s="27">
        <f>rebio23_80ml!AV46/50</f>
        <v>0.04</v>
      </c>
      <c r="AW43" s="27">
        <f>rebio23_80ml!AW46/50</f>
        <v>0</v>
      </c>
      <c r="AX43" s="27">
        <f>rebio23_80ml!AX46/50</f>
        <v>0.02</v>
      </c>
      <c r="AY43" s="27">
        <f>rebio23_80ml!AY46/50</f>
        <v>0</v>
      </c>
      <c r="AZ43" s="27">
        <f>rebio23_80ml!AZ46/50</f>
        <v>0</v>
      </c>
      <c r="BA43" s="27">
        <f>rebio23_80ml!BA46/50</f>
        <v>0</v>
      </c>
      <c r="BB43" s="27">
        <f>rebio23_80ml!BB46/50</f>
        <v>0</v>
      </c>
      <c r="BC43" s="27">
        <f>rebio23_80ml!BC46/50</f>
        <v>0</v>
      </c>
      <c r="BD43" s="27">
        <f>rebio23_80ml!BD46/50</f>
        <v>0</v>
      </c>
      <c r="BE43" s="27">
        <f>rebio23_80ml!BE46/50</f>
        <v>0</v>
      </c>
      <c r="BF43" s="27">
        <f>rebio23_80ml!BF46/50</f>
        <v>0</v>
      </c>
      <c r="BG43" s="27">
        <f>rebio23_80ml!BG46/50</f>
        <v>0</v>
      </c>
    </row>
    <row r="44" spans="1:59" ht="12.75" customHeight="1" x14ac:dyDescent="0.25">
      <c r="A44" s="15" t="str">
        <f>rebio23_80ml!A47</f>
        <v>S-C-P19-H1</v>
      </c>
      <c r="B44" s="27">
        <f>rebio23_80ml!B47/50</f>
        <v>0</v>
      </c>
      <c r="C44" s="27">
        <f>rebio23_80ml!C47/50</f>
        <v>0</v>
      </c>
      <c r="D44" s="27">
        <f>rebio23_80ml!D47/50</f>
        <v>0</v>
      </c>
      <c r="E44" s="27">
        <f>rebio23_80ml!E47/50</f>
        <v>0.3</v>
      </c>
      <c r="F44" s="27">
        <f>rebio23_80ml!F47/50</f>
        <v>0</v>
      </c>
      <c r="G44" s="27">
        <f>rebio23_80ml!G47/50</f>
        <v>0.02</v>
      </c>
      <c r="H44" s="27">
        <f>rebio23_80ml!H47/50</f>
        <v>0</v>
      </c>
      <c r="I44" s="27">
        <f>rebio23_80ml!I47/50</f>
        <v>0</v>
      </c>
      <c r="J44" s="27">
        <f>rebio23_80ml!J47/50</f>
        <v>0</v>
      </c>
      <c r="K44" s="27">
        <f>rebio23_80ml!K47/50</f>
        <v>0</v>
      </c>
      <c r="L44" s="27">
        <f>rebio23_80ml!L47/50</f>
        <v>0</v>
      </c>
      <c r="M44" s="27">
        <f>rebio23_80ml!M47/50</f>
        <v>0</v>
      </c>
      <c r="N44" s="27">
        <f>rebio23_80ml!N47/50</f>
        <v>0</v>
      </c>
      <c r="O44" s="27">
        <f>rebio23_80ml!O47/50</f>
        <v>0</v>
      </c>
      <c r="P44" s="27">
        <f>rebio23_80ml!P47/50</f>
        <v>0</v>
      </c>
      <c r="Q44" s="27">
        <f>rebio23_80ml!Q47/50</f>
        <v>0</v>
      </c>
      <c r="R44" s="27">
        <f>rebio23_80ml!R47/50</f>
        <v>0</v>
      </c>
      <c r="S44" s="27">
        <f>rebio23_80ml!S47/50</f>
        <v>0</v>
      </c>
      <c r="T44" s="27">
        <f>rebio23_80ml!T47/50</f>
        <v>0</v>
      </c>
      <c r="U44" s="27">
        <f>rebio23_80ml!U47/50</f>
        <v>0</v>
      </c>
      <c r="V44" s="27">
        <f>rebio23_80ml!V47/50</f>
        <v>0</v>
      </c>
      <c r="W44" s="27">
        <f>rebio23_80ml!W47/50</f>
        <v>0</v>
      </c>
      <c r="X44" s="27">
        <f>rebio23_80ml!X47/50</f>
        <v>0</v>
      </c>
      <c r="Y44" s="27">
        <f>rebio23_80ml!Y47/50</f>
        <v>0</v>
      </c>
      <c r="Z44" s="27">
        <f>rebio23_80ml!Z47/50</f>
        <v>0</v>
      </c>
      <c r="AA44" s="27">
        <f>rebio23_80ml!AA47/50</f>
        <v>0</v>
      </c>
      <c r="AB44" s="27">
        <f>rebio23_80ml!AB47/50</f>
        <v>0</v>
      </c>
      <c r="AC44" s="27">
        <f>rebio23_80ml!AC47/50</f>
        <v>0</v>
      </c>
      <c r="AD44" s="27">
        <f>rebio23_80ml!AD47/50</f>
        <v>0</v>
      </c>
      <c r="AE44" s="27">
        <f>rebio23_80ml!AE47/50</f>
        <v>0</v>
      </c>
      <c r="AF44" s="27">
        <f>rebio23_80ml!AF47/50</f>
        <v>0</v>
      </c>
      <c r="AG44" s="27">
        <f>rebio23_80ml!AG47/50</f>
        <v>0</v>
      </c>
      <c r="AH44" s="27">
        <f>rebio23_80ml!AH47/50</f>
        <v>0</v>
      </c>
      <c r="AI44" s="27">
        <f>rebio23_80ml!AI47/50</f>
        <v>0</v>
      </c>
      <c r="AJ44" s="27">
        <f>rebio23_80ml!AJ47/50</f>
        <v>0</v>
      </c>
      <c r="AK44" s="27">
        <f>rebio23_80ml!AK47/50</f>
        <v>0</v>
      </c>
      <c r="AL44" s="27">
        <f>rebio23_80ml!AL47/50</f>
        <v>0</v>
      </c>
      <c r="AM44" s="27">
        <f>rebio23_80ml!AM47/50</f>
        <v>0</v>
      </c>
      <c r="AN44" s="27">
        <f>rebio23_80ml!AN47/50</f>
        <v>0</v>
      </c>
      <c r="AO44" s="27">
        <f>rebio23_80ml!AO47/50</f>
        <v>0</v>
      </c>
      <c r="AP44" s="27">
        <f>rebio23_80ml!AP47/50</f>
        <v>0</v>
      </c>
      <c r="AQ44" s="27">
        <f>rebio23_80ml!AQ47/50</f>
        <v>0</v>
      </c>
      <c r="AR44" s="27">
        <f>rebio23_80ml!AR47/50</f>
        <v>0</v>
      </c>
      <c r="AS44" s="27">
        <f>rebio23_80ml!AS47/50</f>
        <v>0</v>
      </c>
      <c r="AT44" s="27">
        <f>rebio23_80ml!AT47/50</f>
        <v>0</v>
      </c>
      <c r="AU44" s="27">
        <f>rebio23_80ml!AU47/50</f>
        <v>0</v>
      </c>
      <c r="AV44" s="27">
        <f>rebio23_80ml!AV47/50</f>
        <v>0.02</v>
      </c>
      <c r="AW44" s="27">
        <f>rebio23_80ml!AW47/50</f>
        <v>0</v>
      </c>
      <c r="AX44" s="27">
        <f>rebio23_80ml!AX47/50</f>
        <v>0</v>
      </c>
      <c r="AY44" s="27">
        <f>rebio23_80ml!AY47/50</f>
        <v>0</v>
      </c>
      <c r="AZ44" s="27">
        <f>rebio23_80ml!AZ47/50</f>
        <v>0</v>
      </c>
      <c r="BA44" s="27">
        <f>rebio23_80ml!BA47/50</f>
        <v>0</v>
      </c>
      <c r="BB44" s="27">
        <f>rebio23_80ml!BB47/50</f>
        <v>0</v>
      </c>
      <c r="BC44" s="27">
        <f>rebio23_80ml!BC47/50</f>
        <v>0</v>
      </c>
      <c r="BD44" s="27">
        <f>rebio23_80ml!BD47/50</f>
        <v>0</v>
      </c>
      <c r="BE44" s="27">
        <f>rebio23_80ml!BE47/50</f>
        <v>0</v>
      </c>
      <c r="BF44" s="27">
        <f>rebio23_80ml!BF47/50</f>
        <v>0</v>
      </c>
      <c r="BG44" s="27">
        <f>rebio23_80ml!BG47/50</f>
        <v>0</v>
      </c>
    </row>
    <row r="45" spans="1:59" ht="12.75" customHeight="1" x14ac:dyDescent="0.25">
      <c r="A45" s="15" t="str">
        <f>rebio23_80ml!A48</f>
        <v>S-C-P19-H2</v>
      </c>
      <c r="B45" s="27">
        <f>rebio23_80ml!B48/50</f>
        <v>0</v>
      </c>
      <c r="C45" s="27">
        <f>rebio23_80ml!C48/50</f>
        <v>0.04</v>
      </c>
      <c r="D45" s="27">
        <f>rebio23_80ml!D48/50</f>
        <v>0</v>
      </c>
      <c r="E45" s="27">
        <f>rebio23_80ml!E48/50</f>
        <v>1.24</v>
      </c>
      <c r="F45" s="27">
        <f>rebio23_80ml!F48/50</f>
        <v>0</v>
      </c>
      <c r="G45" s="27">
        <f>rebio23_80ml!G48/50</f>
        <v>0</v>
      </c>
      <c r="H45" s="27">
        <f>rebio23_80ml!H48/50</f>
        <v>0</v>
      </c>
      <c r="I45" s="27">
        <f>rebio23_80ml!I48/50</f>
        <v>0.02</v>
      </c>
      <c r="J45" s="27">
        <f>rebio23_80ml!J48/50</f>
        <v>0</v>
      </c>
      <c r="K45" s="27">
        <f>rebio23_80ml!K48/50</f>
        <v>0</v>
      </c>
      <c r="L45" s="27">
        <f>rebio23_80ml!L48/50</f>
        <v>0</v>
      </c>
      <c r="M45" s="27">
        <f>rebio23_80ml!M48/50</f>
        <v>0</v>
      </c>
      <c r="N45" s="27">
        <f>rebio23_80ml!N48/50</f>
        <v>0</v>
      </c>
      <c r="O45" s="27">
        <f>rebio23_80ml!O48/50</f>
        <v>0</v>
      </c>
      <c r="P45" s="27">
        <f>rebio23_80ml!P48/50</f>
        <v>0</v>
      </c>
      <c r="Q45" s="27">
        <f>rebio23_80ml!Q48/50</f>
        <v>0</v>
      </c>
      <c r="R45" s="27">
        <f>rebio23_80ml!R48/50</f>
        <v>0</v>
      </c>
      <c r="S45" s="27">
        <f>rebio23_80ml!S48/50</f>
        <v>0</v>
      </c>
      <c r="T45" s="27">
        <f>rebio23_80ml!T48/50</f>
        <v>0</v>
      </c>
      <c r="U45" s="27">
        <f>rebio23_80ml!U48/50</f>
        <v>0</v>
      </c>
      <c r="V45" s="27">
        <f>rebio23_80ml!V48/50</f>
        <v>0</v>
      </c>
      <c r="W45" s="27">
        <f>rebio23_80ml!W48/50</f>
        <v>0</v>
      </c>
      <c r="X45" s="27">
        <f>rebio23_80ml!X48/50</f>
        <v>0</v>
      </c>
      <c r="Y45" s="27">
        <f>rebio23_80ml!Y48/50</f>
        <v>0</v>
      </c>
      <c r="Z45" s="27">
        <f>rebio23_80ml!Z48/50</f>
        <v>0</v>
      </c>
      <c r="AA45" s="27">
        <f>rebio23_80ml!AA48/50</f>
        <v>0</v>
      </c>
      <c r="AB45" s="27">
        <f>rebio23_80ml!AB48/50</f>
        <v>0</v>
      </c>
      <c r="AC45" s="27">
        <f>rebio23_80ml!AC48/50</f>
        <v>0</v>
      </c>
      <c r="AD45" s="27">
        <f>rebio23_80ml!AD48/50</f>
        <v>0</v>
      </c>
      <c r="AE45" s="27">
        <f>rebio23_80ml!AE48/50</f>
        <v>0</v>
      </c>
      <c r="AF45" s="27">
        <f>rebio23_80ml!AF48/50</f>
        <v>0</v>
      </c>
      <c r="AG45" s="27">
        <f>rebio23_80ml!AG48/50</f>
        <v>0</v>
      </c>
      <c r="AH45" s="27">
        <f>rebio23_80ml!AH48/50</f>
        <v>0</v>
      </c>
      <c r="AI45" s="27">
        <f>rebio23_80ml!AI48/50</f>
        <v>0</v>
      </c>
      <c r="AJ45" s="27">
        <f>rebio23_80ml!AJ48/50</f>
        <v>0</v>
      </c>
      <c r="AK45" s="27">
        <f>rebio23_80ml!AK48/50</f>
        <v>0</v>
      </c>
      <c r="AL45" s="27">
        <f>rebio23_80ml!AL48/50</f>
        <v>0</v>
      </c>
      <c r="AM45" s="27">
        <f>rebio23_80ml!AM48/50</f>
        <v>0</v>
      </c>
      <c r="AN45" s="27">
        <f>rebio23_80ml!AN48/50</f>
        <v>0</v>
      </c>
      <c r="AO45" s="27">
        <f>rebio23_80ml!AO48/50</f>
        <v>0</v>
      </c>
      <c r="AP45" s="27">
        <f>rebio23_80ml!AP48/50</f>
        <v>0</v>
      </c>
      <c r="AQ45" s="27">
        <f>rebio23_80ml!AQ48/50</f>
        <v>0</v>
      </c>
      <c r="AR45" s="27">
        <f>rebio23_80ml!AR48/50</f>
        <v>0</v>
      </c>
      <c r="AS45" s="27">
        <f>rebio23_80ml!AS48/50</f>
        <v>0</v>
      </c>
      <c r="AT45" s="27">
        <f>rebio23_80ml!AT48/50</f>
        <v>0</v>
      </c>
      <c r="AU45" s="27">
        <f>rebio23_80ml!AU48/50</f>
        <v>0</v>
      </c>
      <c r="AV45" s="27">
        <f>rebio23_80ml!AV48/50</f>
        <v>0</v>
      </c>
      <c r="AW45" s="27">
        <f>rebio23_80ml!AW48/50</f>
        <v>0</v>
      </c>
      <c r="AX45" s="27">
        <f>rebio23_80ml!AX48/50</f>
        <v>0</v>
      </c>
      <c r="AY45" s="27">
        <f>rebio23_80ml!AY48/50</f>
        <v>0</v>
      </c>
      <c r="AZ45" s="27">
        <f>rebio23_80ml!AZ48/50</f>
        <v>0</v>
      </c>
      <c r="BA45" s="27">
        <f>rebio23_80ml!BA48/50</f>
        <v>0</v>
      </c>
      <c r="BB45" s="27">
        <f>rebio23_80ml!BB48/50</f>
        <v>0</v>
      </c>
      <c r="BC45" s="27">
        <f>rebio23_80ml!BC48/50</f>
        <v>0</v>
      </c>
      <c r="BD45" s="27">
        <f>rebio23_80ml!BD48/50</f>
        <v>0</v>
      </c>
      <c r="BE45" s="27">
        <f>rebio23_80ml!BE48/50</f>
        <v>0</v>
      </c>
      <c r="BF45" s="27">
        <f>rebio23_80ml!BF48/50</f>
        <v>0</v>
      </c>
      <c r="BG45" s="27">
        <f>rebio23_80ml!BG48/50</f>
        <v>0</v>
      </c>
    </row>
    <row r="46" spans="1:59" ht="12.75" customHeight="1" x14ac:dyDescent="0.25">
      <c r="A46" s="15" t="str">
        <f>rebio23_80ml!A49</f>
        <v>S-C-P19-H3</v>
      </c>
      <c r="B46" s="27">
        <f>rebio23_80ml!B49/50</f>
        <v>0</v>
      </c>
      <c r="C46" s="27">
        <f>rebio23_80ml!C49/50</f>
        <v>0</v>
      </c>
      <c r="D46" s="27">
        <f>rebio23_80ml!D49/50</f>
        <v>0</v>
      </c>
      <c r="E46" s="27">
        <f>rebio23_80ml!E49/50</f>
        <v>1.5</v>
      </c>
      <c r="F46" s="27">
        <f>rebio23_80ml!F49/50</f>
        <v>0</v>
      </c>
      <c r="G46" s="27">
        <f>rebio23_80ml!G49/50</f>
        <v>0</v>
      </c>
      <c r="H46" s="27">
        <f>rebio23_80ml!H49/50</f>
        <v>0</v>
      </c>
      <c r="I46" s="27">
        <f>rebio23_80ml!I49/50</f>
        <v>0.04</v>
      </c>
      <c r="J46" s="27">
        <f>rebio23_80ml!J49/50</f>
        <v>0</v>
      </c>
      <c r="K46" s="27">
        <f>rebio23_80ml!K49/50</f>
        <v>0</v>
      </c>
      <c r="L46" s="27">
        <f>rebio23_80ml!L49/50</f>
        <v>0</v>
      </c>
      <c r="M46" s="27">
        <f>rebio23_80ml!M49/50</f>
        <v>0</v>
      </c>
      <c r="N46" s="27">
        <f>rebio23_80ml!N49/50</f>
        <v>0</v>
      </c>
      <c r="O46" s="27">
        <f>rebio23_80ml!O49/50</f>
        <v>0</v>
      </c>
      <c r="P46" s="27">
        <f>rebio23_80ml!P49/50</f>
        <v>0</v>
      </c>
      <c r="Q46" s="27">
        <f>rebio23_80ml!Q49/50</f>
        <v>0.02</v>
      </c>
      <c r="R46" s="27">
        <f>rebio23_80ml!R49/50</f>
        <v>0</v>
      </c>
      <c r="S46" s="27">
        <f>rebio23_80ml!S49/50</f>
        <v>0</v>
      </c>
      <c r="T46" s="27">
        <f>rebio23_80ml!T49/50</f>
        <v>0</v>
      </c>
      <c r="U46" s="27">
        <f>rebio23_80ml!U49/50</f>
        <v>0</v>
      </c>
      <c r="V46" s="27">
        <f>rebio23_80ml!V49/50</f>
        <v>0</v>
      </c>
      <c r="W46" s="27">
        <f>rebio23_80ml!W49/50</f>
        <v>0</v>
      </c>
      <c r="X46" s="27">
        <f>rebio23_80ml!X49/50</f>
        <v>0</v>
      </c>
      <c r="Y46" s="27">
        <f>rebio23_80ml!Y49/50</f>
        <v>0</v>
      </c>
      <c r="Z46" s="27">
        <f>rebio23_80ml!Z49/50</f>
        <v>0</v>
      </c>
      <c r="AA46" s="27">
        <f>rebio23_80ml!AA49/50</f>
        <v>0</v>
      </c>
      <c r="AB46" s="27">
        <f>rebio23_80ml!AB49/50</f>
        <v>0</v>
      </c>
      <c r="AC46" s="27">
        <f>rebio23_80ml!AC49/50</f>
        <v>0</v>
      </c>
      <c r="AD46" s="27">
        <f>rebio23_80ml!AD49/50</f>
        <v>0</v>
      </c>
      <c r="AE46" s="27">
        <f>rebio23_80ml!AE49/50</f>
        <v>0</v>
      </c>
      <c r="AF46" s="27">
        <f>rebio23_80ml!AF49/50</f>
        <v>0</v>
      </c>
      <c r="AG46" s="27">
        <f>rebio23_80ml!AG49/50</f>
        <v>0</v>
      </c>
      <c r="AH46" s="27">
        <f>rebio23_80ml!AH49/50</f>
        <v>0</v>
      </c>
      <c r="AI46" s="27">
        <f>rebio23_80ml!AI49/50</f>
        <v>0</v>
      </c>
      <c r="AJ46" s="27">
        <f>rebio23_80ml!AJ49/50</f>
        <v>0</v>
      </c>
      <c r="AK46" s="27">
        <f>rebio23_80ml!AK49/50</f>
        <v>0</v>
      </c>
      <c r="AL46" s="27">
        <f>rebio23_80ml!AL49/50</f>
        <v>0</v>
      </c>
      <c r="AM46" s="27">
        <f>rebio23_80ml!AM49/50</f>
        <v>0</v>
      </c>
      <c r="AN46" s="27">
        <f>rebio23_80ml!AN49/50</f>
        <v>0</v>
      </c>
      <c r="AO46" s="27">
        <f>rebio23_80ml!AO49/50</f>
        <v>0</v>
      </c>
      <c r="AP46" s="27">
        <f>rebio23_80ml!AP49/50</f>
        <v>0</v>
      </c>
      <c r="AQ46" s="27">
        <f>rebio23_80ml!AQ49/50</f>
        <v>0</v>
      </c>
      <c r="AR46" s="27">
        <f>rebio23_80ml!AR49/50</f>
        <v>0</v>
      </c>
      <c r="AS46" s="27">
        <f>rebio23_80ml!AS49/50</f>
        <v>0</v>
      </c>
      <c r="AT46" s="27">
        <f>rebio23_80ml!AT49/50</f>
        <v>0</v>
      </c>
      <c r="AU46" s="27">
        <f>rebio23_80ml!AU49/50</f>
        <v>0</v>
      </c>
      <c r="AV46" s="27">
        <f>rebio23_80ml!AV49/50</f>
        <v>0</v>
      </c>
      <c r="AW46" s="27">
        <f>rebio23_80ml!AW49/50</f>
        <v>0</v>
      </c>
      <c r="AX46" s="27">
        <f>rebio23_80ml!AX49/50</f>
        <v>0</v>
      </c>
      <c r="AY46" s="27">
        <f>rebio23_80ml!AY49/50</f>
        <v>0</v>
      </c>
      <c r="AZ46" s="27">
        <f>rebio23_80ml!AZ49/50</f>
        <v>0</v>
      </c>
      <c r="BA46" s="27">
        <f>rebio23_80ml!BA49/50</f>
        <v>0</v>
      </c>
      <c r="BB46" s="27">
        <f>rebio23_80ml!BB49/50</f>
        <v>0</v>
      </c>
      <c r="BC46" s="27">
        <f>rebio23_80ml!BC49/50</f>
        <v>0</v>
      </c>
      <c r="BD46" s="27">
        <f>rebio23_80ml!BD49/50</f>
        <v>0</v>
      </c>
      <c r="BE46" s="27">
        <f>rebio23_80ml!BE49/50</f>
        <v>0</v>
      </c>
      <c r="BF46" s="27">
        <f>rebio23_80ml!BF49/50</f>
        <v>0</v>
      </c>
      <c r="BG46" s="27">
        <f>rebio23_80ml!BG49/50</f>
        <v>0</v>
      </c>
    </row>
    <row r="47" spans="1:59" ht="12.75" customHeight="1" x14ac:dyDescent="0.25">
      <c r="A47" s="15" t="str">
        <f>rebio23_80ml!A50</f>
        <v>S-C-P20-H1</v>
      </c>
      <c r="B47" s="27">
        <f>rebio23_80ml!B50/50</f>
        <v>0</v>
      </c>
      <c r="C47" s="27">
        <f>rebio23_80ml!C50/50</f>
        <v>0</v>
      </c>
      <c r="D47" s="27">
        <f>rebio23_80ml!D50/50</f>
        <v>0</v>
      </c>
      <c r="E47" s="27">
        <f>rebio23_80ml!E50/50</f>
        <v>2.06</v>
      </c>
      <c r="F47" s="27">
        <f>rebio23_80ml!F50/50</f>
        <v>0</v>
      </c>
      <c r="G47" s="27">
        <f>rebio23_80ml!G50/50</f>
        <v>0</v>
      </c>
      <c r="H47" s="27">
        <f>rebio23_80ml!H50/50</f>
        <v>0</v>
      </c>
      <c r="I47" s="27">
        <f>rebio23_80ml!I50/50</f>
        <v>0</v>
      </c>
      <c r="J47" s="27">
        <f>rebio23_80ml!J50/50</f>
        <v>0</v>
      </c>
      <c r="K47" s="27">
        <f>rebio23_80ml!K50/50</f>
        <v>0</v>
      </c>
      <c r="L47" s="27">
        <f>rebio23_80ml!L50/50</f>
        <v>0</v>
      </c>
      <c r="M47" s="27">
        <f>rebio23_80ml!M50/50</f>
        <v>0</v>
      </c>
      <c r="N47" s="27">
        <f>rebio23_80ml!N50/50</f>
        <v>0</v>
      </c>
      <c r="O47" s="27">
        <f>rebio23_80ml!O50/50</f>
        <v>0</v>
      </c>
      <c r="P47" s="27">
        <f>rebio23_80ml!P50/50</f>
        <v>0</v>
      </c>
      <c r="Q47" s="27">
        <f>rebio23_80ml!Q50/50</f>
        <v>0.02</v>
      </c>
      <c r="R47" s="27">
        <f>rebio23_80ml!R50/50</f>
        <v>0</v>
      </c>
      <c r="S47" s="27">
        <f>rebio23_80ml!S50/50</f>
        <v>0</v>
      </c>
      <c r="T47" s="27">
        <f>rebio23_80ml!T50/50</f>
        <v>0</v>
      </c>
      <c r="U47" s="27">
        <f>rebio23_80ml!U50/50</f>
        <v>0</v>
      </c>
      <c r="V47" s="27">
        <f>rebio23_80ml!V50/50</f>
        <v>0</v>
      </c>
      <c r="W47" s="27">
        <f>rebio23_80ml!W50/50</f>
        <v>0</v>
      </c>
      <c r="X47" s="27">
        <f>rebio23_80ml!X50/50</f>
        <v>0</v>
      </c>
      <c r="Y47" s="27">
        <f>rebio23_80ml!Y50/50</f>
        <v>0</v>
      </c>
      <c r="Z47" s="27">
        <f>rebio23_80ml!Z50/50</f>
        <v>0</v>
      </c>
      <c r="AA47" s="27">
        <f>rebio23_80ml!AA50/50</f>
        <v>0.02</v>
      </c>
      <c r="AB47" s="27">
        <f>rebio23_80ml!AB50/50</f>
        <v>0</v>
      </c>
      <c r="AC47" s="27">
        <f>rebio23_80ml!AC50/50</f>
        <v>0</v>
      </c>
      <c r="AD47" s="27">
        <f>rebio23_80ml!AD50/50</f>
        <v>0</v>
      </c>
      <c r="AE47" s="27">
        <f>rebio23_80ml!AE50/50</f>
        <v>0</v>
      </c>
      <c r="AF47" s="27">
        <f>rebio23_80ml!AF50/50</f>
        <v>0</v>
      </c>
      <c r="AG47" s="27">
        <f>rebio23_80ml!AG50/50</f>
        <v>0</v>
      </c>
      <c r="AH47" s="27">
        <f>rebio23_80ml!AH50/50</f>
        <v>0</v>
      </c>
      <c r="AI47" s="27">
        <f>rebio23_80ml!AI50/50</f>
        <v>0</v>
      </c>
      <c r="AJ47" s="27">
        <f>rebio23_80ml!AJ50/50</f>
        <v>0</v>
      </c>
      <c r="AK47" s="27">
        <f>rebio23_80ml!AK50/50</f>
        <v>0</v>
      </c>
      <c r="AL47" s="27">
        <f>rebio23_80ml!AL50/50</f>
        <v>0</v>
      </c>
      <c r="AM47" s="27">
        <f>rebio23_80ml!AM50/50</f>
        <v>0</v>
      </c>
      <c r="AN47" s="27">
        <f>rebio23_80ml!AN50/50</f>
        <v>0</v>
      </c>
      <c r="AO47" s="27">
        <f>rebio23_80ml!AO50/50</f>
        <v>0</v>
      </c>
      <c r="AP47" s="27">
        <f>rebio23_80ml!AP50/50</f>
        <v>0</v>
      </c>
      <c r="AQ47" s="27">
        <f>rebio23_80ml!AQ50/50</f>
        <v>0.04</v>
      </c>
      <c r="AR47" s="27">
        <f>rebio23_80ml!AR50/50</f>
        <v>0</v>
      </c>
      <c r="AS47" s="27">
        <f>rebio23_80ml!AS50/50</f>
        <v>0</v>
      </c>
      <c r="AT47" s="27">
        <f>rebio23_80ml!AT50/50</f>
        <v>0</v>
      </c>
      <c r="AU47" s="27">
        <f>rebio23_80ml!AU50/50</f>
        <v>0</v>
      </c>
      <c r="AV47" s="27">
        <f>rebio23_80ml!AV50/50</f>
        <v>0</v>
      </c>
      <c r="AW47" s="27">
        <f>rebio23_80ml!AW50/50</f>
        <v>0</v>
      </c>
      <c r="AX47" s="27">
        <f>rebio23_80ml!AX50/50</f>
        <v>0</v>
      </c>
      <c r="AY47" s="27">
        <f>rebio23_80ml!AY50/50</f>
        <v>0</v>
      </c>
      <c r="AZ47" s="27">
        <f>rebio23_80ml!AZ50/50</f>
        <v>0</v>
      </c>
      <c r="BA47" s="27">
        <f>rebio23_80ml!BA50/50</f>
        <v>0</v>
      </c>
      <c r="BB47" s="27">
        <f>rebio23_80ml!BB50/50</f>
        <v>0</v>
      </c>
      <c r="BC47" s="27">
        <f>rebio23_80ml!BC50/50</f>
        <v>0</v>
      </c>
      <c r="BD47" s="27">
        <f>rebio23_80ml!BD50/50</f>
        <v>0</v>
      </c>
      <c r="BE47" s="27">
        <f>rebio23_80ml!BE50/50</f>
        <v>0</v>
      </c>
      <c r="BF47" s="27">
        <f>rebio23_80ml!BF50/50</f>
        <v>0</v>
      </c>
      <c r="BG47" s="27">
        <f>rebio23_80ml!BG50/50</f>
        <v>0</v>
      </c>
    </row>
    <row r="48" spans="1:59" ht="12.75" customHeight="1" x14ac:dyDescent="0.25">
      <c r="A48" s="15" t="str">
        <f>rebio23_80ml!A51</f>
        <v>S-C-P20-H2</v>
      </c>
      <c r="B48" s="27">
        <f>rebio23_80ml!B51/50</f>
        <v>0</v>
      </c>
      <c r="C48" s="27">
        <f>rebio23_80ml!C51/50</f>
        <v>0</v>
      </c>
      <c r="D48" s="27">
        <f>rebio23_80ml!D51/50</f>
        <v>0</v>
      </c>
      <c r="E48" s="27">
        <f>rebio23_80ml!E51/50</f>
        <v>0.64</v>
      </c>
      <c r="F48" s="27">
        <f>rebio23_80ml!F51/50</f>
        <v>0</v>
      </c>
      <c r="G48" s="27">
        <f>rebio23_80ml!G51/50</f>
        <v>0</v>
      </c>
      <c r="H48" s="27">
        <f>rebio23_80ml!H51/50</f>
        <v>0</v>
      </c>
      <c r="I48" s="27">
        <f>rebio23_80ml!I51/50</f>
        <v>0.02</v>
      </c>
      <c r="J48" s="27">
        <f>rebio23_80ml!J51/50</f>
        <v>0</v>
      </c>
      <c r="K48" s="27">
        <f>rebio23_80ml!K51/50</f>
        <v>0</v>
      </c>
      <c r="L48" s="27">
        <f>rebio23_80ml!L51/50</f>
        <v>0</v>
      </c>
      <c r="M48" s="27">
        <f>rebio23_80ml!M51/50</f>
        <v>0</v>
      </c>
      <c r="N48" s="27">
        <f>rebio23_80ml!N51/50</f>
        <v>0</v>
      </c>
      <c r="O48" s="27">
        <f>rebio23_80ml!O51/50</f>
        <v>0</v>
      </c>
      <c r="P48" s="27">
        <f>rebio23_80ml!P51/50</f>
        <v>0</v>
      </c>
      <c r="Q48" s="27">
        <f>rebio23_80ml!Q51/50</f>
        <v>0.02</v>
      </c>
      <c r="R48" s="27">
        <f>rebio23_80ml!R51/50</f>
        <v>0</v>
      </c>
      <c r="S48" s="27">
        <f>rebio23_80ml!S51/50</f>
        <v>0</v>
      </c>
      <c r="T48" s="27">
        <f>rebio23_80ml!T51/50</f>
        <v>0</v>
      </c>
      <c r="U48" s="27">
        <f>rebio23_80ml!U51/50</f>
        <v>0</v>
      </c>
      <c r="V48" s="27">
        <f>rebio23_80ml!V51/50</f>
        <v>0</v>
      </c>
      <c r="W48" s="27">
        <f>rebio23_80ml!W51/50</f>
        <v>0</v>
      </c>
      <c r="X48" s="27">
        <f>rebio23_80ml!X51/50</f>
        <v>0</v>
      </c>
      <c r="Y48" s="27">
        <f>rebio23_80ml!Y51/50</f>
        <v>0</v>
      </c>
      <c r="Z48" s="27">
        <f>rebio23_80ml!Z51/50</f>
        <v>0.04</v>
      </c>
      <c r="AA48" s="27">
        <f>rebio23_80ml!AA51/50</f>
        <v>0</v>
      </c>
      <c r="AB48" s="27">
        <f>rebio23_80ml!AB51/50</f>
        <v>0</v>
      </c>
      <c r="AC48" s="27">
        <f>rebio23_80ml!AC51/50</f>
        <v>0</v>
      </c>
      <c r="AD48" s="27">
        <f>rebio23_80ml!AD51/50</f>
        <v>0</v>
      </c>
      <c r="AE48" s="27">
        <f>rebio23_80ml!AE51/50</f>
        <v>0</v>
      </c>
      <c r="AF48" s="27">
        <f>rebio23_80ml!AF51/50</f>
        <v>0</v>
      </c>
      <c r="AG48" s="27">
        <f>rebio23_80ml!AG51/50</f>
        <v>0</v>
      </c>
      <c r="AH48" s="27">
        <f>rebio23_80ml!AH51/50</f>
        <v>0</v>
      </c>
      <c r="AI48" s="27">
        <f>rebio23_80ml!AI51/50</f>
        <v>0</v>
      </c>
      <c r="AJ48" s="27">
        <f>rebio23_80ml!AJ51/50</f>
        <v>0</v>
      </c>
      <c r="AK48" s="27">
        <f>rebio23_80ml!AK51/50</f>
        <v>0</v>
      </c>
      <c r="AL48" s="27">
        <f>rebio23_80ml!AL51/50</f>
        <v>0</v>
      </c>
      <c r="AM48" s="27">
        <f>rebio23_80ml!AM51/50</f>
        <v>0</v>
      </c>
      <c r="AN48" s="27">
        <f>rebio23_80ml!AN51/50</f>
        <v>0</v>
      </c>
      <c r="AO48" s="27">
        <f>rebio23_80ml!AO51/50</f>
        <v>0</v>
      </c>
      <c r="AP48" s="27">
        <f>rebio23_80ml!AP51/50</f>
        <v>0</v>
      </c>
      <c r="AQ48" s="27">
        <f>rebio23_80ml!AQ51/50</f>
        <v>0</v>
      </c>
      <c r="AR48" s="27">
        <f>rebio23_80ml!AR51/50</f>
        <v>0</v>
      </c>
      <c r="AS48" s="27">
        <f>rebio23_80ml!AS51/50</f>
        <v>0</v>
      </c>
      <c r="AT48" s="27">
        <f>rebio23_80ml!AT51/50</f>
        <v>0</v>
      </c>
      <c r="AU48" s="27">
        <f>rebio23_80ml!AU51/50</f>
        <v>0</v>
      </c>
      <c r="AV48" s="27">
        <f>rebio23_80ml!AV51/50</f>
        <v>0.02</v>
      </c>
      <c r="AW48" s="27">
        <f>rebio23_80ml!AW51/50</f>
        <v>0.02</v>
      </c>
      <c r="AX48" s="27">
        <f>rebio23_80ml!AX51/50</f>
        <v>0</v>
      </c>
      <c r="AY48" s="27">
        <f>rebio23_80ml!AY51/50</f>
        <v>0</v>
      </c>
      <c r="AZ48" s="27">
        <f>rebio23_80ml!AZ51/50</f>
        <v>0</v>
      </c>
      <c r="BA48" s="27">
        <f>rebio23_80ml!BA51/50</f>
        <v>0</v>
      </c>
      <c r="BB48" s="27">
        <f>rebio23_80ml!BB51/50</f>
        <v>0</v>
      </c>
      <c r="BC48" s="27">
        <f>rebio23_80ml!BC51/50</f>
        <v>0</v>
      </c>
      <c r="BD48" s="27">
        <f>rebio23_80ml!BD51/50</f>
        <v>0</v>
      </c>
      <c r="BE48" s="27">
        <f>rebio23_80ml!BE51/50</f>
        <v>0</v>
      </c>
      <c r="BF48" s="27">
        <f>rebio23_80ml!BF51/50</f>
        <v>0</v>
      </c>
      <c r="BG48" s="27">
        <f>rebio23_80ml!BG51/50</f>
        <v>0</v>
      </c>
    </row>
    <row r="49" spans="1:59" ht="12.75" customHeight="1" x14ac:dyDescent="0.25">
      <c r="A49" s="15" t="str">
        <f>rebio23_80ml!A52</f>
        <v>S-C-P20-H3</v>
      </c>
      <c r="B49" s="27">
        <f>rebio23_80ml!B52/50</f>
        <v>0</v>
      </c>
      <c r="C49" s="27">
        <f>rebio23_80ml!C52/50</f>
        <v>0.04</v>
      </c>
      <c r="D49" s="27">
        <f>rebio23_80ml!D52/50</f>
        <v>0</v>
      </c>
      <c r="E49" s="27">
        <f>rebio23_80ml!E52/50</f>
        <v>0.76</v>
      </c>
      <c r="F49" s="27">
        <f>rebio23_80ml!F52/50</f>
        <v>0</v>
      </c>
      <c r="G49" s="27">
        <f>rebio23_80ml!G52/50</f>
        <v>0</v>
      </c>
      <c r="H49" s="27">
        <f>rebio23_80ml!H52/50</f>
        <v>0</v>
      </c>
      <c r="I49" s="27">
        <f>rebio23_80ml!I52/50</f>
        <v>0.1</v>
      </c>
      <c r="J49" s="27">
        <f>rebio23_80ml!J52/50</f>
        <v>0</v>
      </c>
      <c r="K49" s="27">
        <f>rebio23_80ml!K52/50</f>
        <v>0</v>
      </c>
      <c r="L49" s="27">
        <f>rebio23_80ml!L52/50</f>
        <v>0</v>
      </c>
      <c r="M49" s="27">
        <f>rebio23_80ml!M52/50</f>
        <v>0</v>
      </c>
      <c r="N49" s="27">
        <f>rebio23_80ml!N52/50</f>
        <v>0</v>
      </c>
      <c r="O49" s="27">
        <f>rebio23_80ml!O52/50</f>
        <v>0</v>
      </c>
      <c r="P49" s="27">
        <f>rebio23_80ml!P52/50</f>
        <v>0</v>
      </c>
      <c r="Q49" s="27">
        <f>rebio23_80ml!Q52/50</f>
        <v>0</v>
      </c>
      <c r="R49" s="27">
        <f>rebio23_80ml!R52/50</f>
        <v>0</v>
      </c>
      <c r="S49" s="27">
        <f>rebio23_80ml!S52/50</f>
        <v>0</v>
      </c>
      <c r="T49" s="27">
        <f>rebio23_80ml!T52/50</f>
        <v>0</v>
      </c>
      <c r="U49" s="27">
        <f>rebio23_80ml!U52/50</f>
        <v>0</v>
      </c>
      <c r="V49" s="27">
        <f>rebio23_80ml!V52/50</f>
        <v>0</v>
      </c>
      <c r="W49" s="27">
        <f>rebio23_80ml!W52/50</f>
        <v>0</v>
      </c>
      <c r="X49" s="27">
        <f>rebio23_80ml!X52/50</f>
        <v>0</v>
      </c>
      <c r="Y49" s="27">
        <f>rebio23_80ml!Y52/50</f>
        <v>0</v>
      </c>
      <c r="Z49" s="27">
        <f>rebio23_80ml!Z52/50</f>
        <v>0</v>
      </c>
      <c r="AA49" s="27">
        <f>rebio23_80ml!AA52/50</f>
        <v>0</v>
      </c>
      <c r="AB49" s="27">
        <f>rebio23_80ml!AB52/50</f>
        <v>0</v>
      </c>
      <c r="AC49" s="27">
        <f>rebio23_80ml!AC52/50</f>
        <v>0</v>
      </c>
      <c r="AD49" s="27">
        <f>rebio23_80ml!AD52/50</f>
        <v>0</v>
      </c>
      <c r="AE49" s="27">
        <f>rebio23_80ml!AE52/50</f>
        <v>0</v>
      </c>
      <c r="AF49" s="27">
        <f>rebio23_80ml!AF52/50</f>
        <v>0</v>
      </c>
      <c r="AG49" s="27">
        <f>rebio23_80ml!AG52/50</f>
        <v>0</v>
      </c>
      <c r="AH49" s="27">
        <f>rebio23_80ml!AH52/50</f>
        <v>0</v>
      </c>
      <c r="AI49" s="27">
        <f>rebio23_80ml!AI52/50</f>
        <v>0</v>
      </c>
      <c r="AJ49" s="27">
        <f>rebio23_80ml!AJ52/50</f>
        <v>0</v>
      </c>
      <c r="AK49" s="27">
        <f>rebio23_80ml!AK52/50</f>
        <v>0</v>
      </c>
      <c r="AL49" s="27">
        <f>rebio23_80ml!AL52/50</f>
        <v>0</v>
      </c>
      <c r="AM49" s="27">
        <f>rebio23_80ml!AM52/50</f>
        <v>0</v>
      </c>
      <c r="AN49" s="27">
        <f>rebio23_80ml!AN52/50</f>
        <v>0</v>
      </c>
      <c r="AO49" s="27">
        <f>rebio23_80ml!AO52/50</f>
        <v>0</v>
      </c>
      <c r="AP49" s="27">
        <f>rebio23_80ml!AP52/50</f>
        <v>0</v>
      </c>
      <c r="AQ49" s="27">
        <f>rebio23_80ml!AQ52/50</f>
        <v>0</v>
      </c>
      <c r="AR49" s="27">
        <f>rebio23_80ml!AR52/50</f>
        <v>0</v>
      </c>
      <c r="AS49" s="27">
        <f>rebio23_80ml!AS52/50</f>
        <v>0</v>
      </c>
      <c r="AT49" s="27">
        <f>rebio23_80ml!AT52/50</f>
        <v>0</v>
      </c>
      <c r="AU49" s="27">
        <f>rebio23_80ml!AU52/50</f>
        <v>0</v>
      </c>
      <c r="AV49" s="27">
        <f>rebio23_80ml!AV52/50</f>
        <v>0.04</v>
      </c>
      <c r="AW49" s="27">
        <f>rebio23_80ml!AW52/50</f>
        <v>0</v>
      </c>
      <c r="AX49" s="27">
        <f>rebio23_80ml!AX52/50</f>
        <v>0.02</v>
      </c>
      <c r="AY49" s="27">
        <f>rebio23_80ml!AY52/50</f>
        <v>0.04</v>
      </c>
      <c r="AZ49" s="27">
        <f>rebio23_80ml!AZ52/50</f>
        <v>0</v>
      </c>
      <c r="BA49" s="27">
        <f>rebio23_80ml!BA52/50</f>
        <v>0</v>
      </c>
      <c r="BB49" s="27">
        <f>rebio23_80ml!BB52/50</f>
        <v>0</v>
      </c>
      <c r="BC49" s="27">
        <f>rebio23_80ml!BC52/50</f>
        <v>0</v>
      </c>
      <c r="BD49" s="27">
        <f>rebio23_80ml!BD52/50</f>
        <v>0</v>
      </c>
      <c r="BE49" s="27">
        <f>rebio23_80ml!BE52/50</f>
        <v>0</v>
      </c>
      <c r="BF49" s="27">
        <f>rebio23_80ml!BF52/50</f>
        <v>0</v>
      </c>
      <c r="BG49" s="27">
        <f>rebio23_80ml!BG52/50</f>
        <v>0</v>
      </c>
    </row>
    <row r="50" spans="1:59" ht="12.75" customHeight="1" x14ac:dyDescent="0.25">
      <c r="A50" s="15" t="str">
        <f>rebio23_80ml!A53</f>
        <v>C-B-P05-H1</v>
      </c>
      <c r="B50" s="27">
        <f>rebio23_80ml!B53/50</f>
        <v>0.02</v>
      </c>
      <c r="C50" s="27">
        <f>rebio23_80ml!C53/50</f>
        <v>0</v>
      </c>
      <c r="D50" s="27">
        <f>rebio23_80ml!D53/50</f>
        <v>0</v>
      </c>
      <c r="E50" s="27">
        <f>rebio23_80ml!E53/50</f>
        <v>1.5</v>
      </c>
      <c r="F50" s="27">
        <f>rebio23_80ml!F53/50</f>
        <v>0</v>
      </c>
      <c r="G50" s="27">
        <f>rebio23_80ml!G53/50</f>
        <v>0</v>
      </c>
      <c r="H50" s="27">
        <f>rebio23_80ml!H53/50</f>
        <v>0</v>
      </c>
      <c r="I50" s="27">
        <f>rebio23_80ml!I53/50</f>
        <v>0.48</v>
      </c>
      <c r="J50" s="27">
        <f>rebio23_80ml!J53/50</f>
        <v>0</v>
      </c>
      <c r="K50" s="27">
        <f>rebio23_80ml!K53/50</f>
        <v>0</v>
      </c>
      <c r="L50" s="27">
        <f>rebio23_80ml!L53/50</f>
        <v>0</v>
      </c>
      <c r="M50" s="27">
        <f>rebio23_80ml!M53/50</f>
        <v>0</v>
      </c>
      <c r="N50" s="27">
        <f>rebio23_80ml!N53/50</f>
        <v>0</v>
      </c>
      <c r="O50" s="27">
        <f>rebio23_80ml!O53/50</f>
        <v>0</v>
      </c>
      <c r="P50" s="27">
        <f>rebio23_80ml!P53/50</f>
        <v>0</v>
      </c>
      <c r="Q50" s="27">
        <f>rebio23_80ml!Q53/50</f>
        <v>0</v>
      </c>
      <c r="R50" s="27">
        <f>rebio23_80ml!R53/50</f>
        <v>0</v>
      </c>
      <c r="S50" s="27">
        <f>rebio23_80ml!S53/50</f>
        <v>0</v>
      </c>
      <c r="T50" s="27">
        <f>rebio23_80ml!T53/50</f>
        <v>0</v>
      </c>
      <c r="U50" s="27">
        <f>rebio23_80ml!U53/50</f>
        <v>0</v>
      </c>
      <c r="V50" s="27">
        <f>rebio23_80ml!V53/50</f>
        <v>0</v>
      </c>
      <c r="W50" s="27">
        <f>rebio23_80ml!W53/50</f>
        <v>0</v>
      </c>
      <c r="X50" s="27">
        <f>rebio23_80ml!X53/50</f>
        <v>0</v>
      </c>
      <c r="Y50" s="27">
        <f>rebio23_80ml!Y53/50</f>
        <v>0</v>
      </c>
      <c r="Z50" s="27">
        <f>rebio23_80ml!Z53/50</f>
        <v>0</v>
      </c>
      <c r="AA50" s="27">
        <f>rebio23_80ml!AA53/50</f>
        <v>0</v>
      </c>
      <c r="AB50" s="27">
        <f>rebio23_80ml!AB53/50</f>
        <v>0</v>
      </c>
      <c r="AC50" s="27">
        <f>rebio23_80ml!AC53/50</f>
        <v>0</v>
      </c>
      <c r="AD50" s="27">
        <f>rebio23_80ml!AD53/50</f>
        <v>0</v>
      </c>
      <c r="AE50" s="27">
        <f>rebio23_80ml!AE53/50</f>
        <v>0</v>
      </c>
      <c r="AF50" s="27">
        <f>rebio23_80ml!AF53/50</f>
        <v>0</v>
      </c>
      <c r="AG50" s="27">
        <f>rebio23_80ml!AG53/50</f>
        <v>0</v>
      </c>
      <c r="AH50" s="27">
        <f>rebio23_80ml!AH53/50</f>
        <v>0</v>
      </c>
      <c r="AI50" s="27">
        <f>rebio23_80ml!AI53/50</f>
        <v>0</v>
      </c>
      <c r="AJ50" s="27">
        <f>rebio23_80ml!AJ53/50</f>
        <v>0</v>
      </c>
      <c r="AK50" s="27">
        <f>rebio23_80ml!AK53/50</f>
        <v>0</v>
      </c>
      <c r="AL50" s="27">
        <f>rebio23_80ml!AL53/50</f>
        <v>0</v>
      </c>
      <c r="AM50" s="27">
        <f>rebio23_80ml!AM53/50</f>
        <v>0</v>
      </c>
      <c r="AN50" s="27">
        <f>rebio23_80ml!AN53/50</f>
        <v>0</v>
      </c>
      <c r="AO50" s="27">
        <f>rebio23_80ml!AO53/50</f>
        <v>0</v>
      </c>
      <c r="AP50" s="27">
        <f>rebio23_80ml!AP53/50</f>
        <v>0</v>
      </c>
      <c r="AQ50" s="27">
        <f>rebio23_80ml!AQ53/50</f>
        <v>0</v>
      </c>
      <c r="AR50" s="27">
        <f>rebio23_80ml!AR53/50</f>
        <v>0</v>
      </c>
      <c r="AS50" s="27">
        <f>rebio23_80ml!AS53/50</f>
        <v>0</v>
      </c>
      <c r="AT50" s="27">
        <f>rebio23_80ml!AT53/50</f>
        <v>0</v>
      </c>
      <c r="AU50" s="27">
        <f>rebio23_80ml!AU53/50</f>
        <v>0</v>
      </c>
      <c r="AV50" s="27">
        <f>rebio23_80ml!AV53/50</f>
        <v>0</v>
      </c>
      <c r="AW50" s="27">
        <f>rebio23_80ml!AW53/50</f>
        <v>0</v>
      </c>
      <c r="AX50" s="27">
        <f>rebio23_80ml!AX53/50</f>
        <v>0.04</v>
      </c>
      <c r="AY50" s="27">
        <f>rebio23_80ml!AY53/50</f>
        <v>0</v>
      </c>
      <c r="AZ50" s="27">
        <f>rebio23_80ml!AZ53/50</f>
        <v>0</v>
      </c>
      <c r="BA50" s="27">
        <f>rebio23_80ml!BA53/50</f>
        <v>0</v>
      </c>
      <c r="BB50" s="27">
        <f>rebio23_80ml!BB53/50</f>
        <v>0</v>
      </c>
      <c r="BC50" s="27">
        <f>rebio23_80ml!BC53/50</f>
        <v>0</v>
      </c>
      <c r="BD50" s="27">
        <f>rebio23_80ml!BD53/50</f>
        <v>0</v>
      </c>
      <c r="BE50" s="27">
        <f>rebio23_80ml!BE53/50</f>
        <v>0</v>
      </c>
      <c r="BF50" s="27">
        <f>rebio23_80ml!BF53/50</f>
        <v>0</v>
      </c>
      <c r="BG50" s="27">
        <f>rebio23_80ml!BG53/50</f>
        <v>0</v>
      </c>
    </row>
    <row r="51" spans="1:59" ht="12.75" customHeight="1" x14ac:dyDescent="0.25">
      <c r="A51" s="15" t="str">
        <f>rebio23_80ml!A54</f>
        <v>C-B-P05-H2</v>
      </c>
      <c r="B51" s="27">
        <f>rebio23_80ml!B54/50</f>
        <v>0</v>
      </c>
      <c r="C51" s="27">
        <f>rebio23_80ml!C54/50</f>
        <v>0</v>
      </c>
      <c r="D51" s="27">
        <f>rebio23_80ml!D54/50</f>
        <v>0</v>
      </c>
      <c r="E51" s="27">
        <f>rebio23_80ml!E54/50</f>
        <v>1.3</v>
      </c>
      <c r="F51" s="27">
        <f>rebio23_80ml!F54/50</f>
        <v>0</v>
      </c>
      <c r="G51" s="27">
        <f>rebio23_80ml!G54/50</f>
        <v>0</v>
      </c>
      <c r="H51" s="27">
        <f>rebio23_80ml!H54/50</f>
        <v>0</v>
      </c>
      <c r="I51" s="27">
        <f>rebio23_80ml!I54/50</f>
        <v>0.16</v>
      </c>
      <c r="J51" s="27">
        <f>rebio23_80ml!J54/50</f>
        <v>0</v>
      </c>
      <c r="K51" s="27">
        <f>rebio23_80ml!K54/50</f>
        <v>0</v>
      </c>
      <c r="L51" s="27">
        <f>rebio23_80ml!L54/50</f>
        <v>0</v>
      </c>
      <c r="M51" s="27">
        <f>rebio23_80ml!M54/50</f>
        <v>0</v>
      </c>
      <c r="N51" s="27">
        <f>rebio23_80ml!N54/50</f>
        <v>0</v>
      </c>
      <c r="O51" s="27">
        <f>rebio23_80ml!O54/50</f>
        <v>0</v>
      </c>
      <c r="P51" s="27">
        <f>rebio23_80ml!P54/50</f>
        <v>0</v>
      </c>
      <c r="Q51" s="27">
        <f>rebio23_80ml!Q54/50</f>
        <v>0</v>
      </c>
      <c r="R51" s="27">
        <f>rebio23_80ml!R54/50</f>
        <v>0</v>
      </c>
      <c r="S51" s="27">
        <f>rebio23_80ml!S54/50</f>
        <v>0</v>
      </c>
      <c r="T51" s="27">
        <f>rebio23_80ml!T54/50</f>
        <v>0</v>
      </c>
      <c r="U51" s="27">
        <f>rebio23_80ml!U54/50</f>
        <v>0</v>
      </c>
      <c r="V51" s="27">
        <f>rebio23_80ml!V54/50</f>
        <v>0</v>
      </c>
      <c r="W51" s="27">
        <f>rebio23_80ml!W54/50</f>
        <v>0</v>
      </c>
      <c r="X51" s="27">
        <f>rebio23_80ml!X54/50</f>
        <v>0</v>
      </c>
      <c r="Y51" s="27">
        <f>rebio23_80ml!Y54/50</f>
        <v>0</v>
      </c>
      <c r="Z51" s="27">
        <f>rebio23_80ml!Z54/50</f>
        <v>0</v>
      </c>
      <c r="AA51" s="27">
        <f>rebio23_80ml!AA54/50</f>
        <v>0</v>
      </c>
      <c r="AB51" s="27">
        <f>rebio23_80ml!AB54/50</f>
        <v>0</v>
      </c>
      <c r="AC51" s="27">
        <f>rebio23_80ml!AC54/50</f>
        <v>0</v>
      </c>
      <c r="AD51" s="27">
        <f>rebio23_80ml!AD54/50</f>
        <v>0</v>
      </c>
      <c r="AE51" s="27">
        <f>rebio23_80ml!AE54/50</f>
        <v>0</v>
      </c>
      <c r="AF51" s="27">
        <f>rebio23_80ml!AF54/50</f>
        <v>0</v>
      </c>
      <c r="AG51" s="27">
        <f>rebio23_80ml!AG54/50</f>
        <v>0</v>
      </c>
      <c r="AH51" s="27">
        <f>rebio23_80ml!AH54/50</f>
        <v>0</v>
      </c>
      <c r="AI51" s="27">
        <f>rebio23_80ml!AI54/50</f>
        <v>0</v>
      </c>
      <c r="AJ51" s="27">
        <f>rebio23_80ml!AJ54/50</f>
        <v>0</v>
      </c>
      <c r="AK51" s="27">
        <f>rebio23_80ml!AK54/50</f>
        <v>0</v>
      </c>
      <c r="AL51" s="27">
        <f>rebio23_80ml!AL54/50</f>
        <v>0</v>
      </c>
      <c r="AM51" s="27">
        <f>rebio23_80ml!AM54/50</f>
        <v>0</v>
      </c>
      <c r="AN51" s="27">
        <f>rebio23_80ml!AN54/50</f>
        <v>0</v>
      </c>
      <c r="AO51" s="27">
        <f>rebio23_80ml!AO54/50</f>
        <v>0</v>
      </c>
      <c r="AP51" s="27">
        <f>rebio23_80ml!AP54/50</f>
        <v>0</v>
      </c>
      <c r="AQ51" s="27">
        <f>rebio23_80ml!AQ54/50</f>
        <v>0</v>
      </c>
      <c r="AR51" s="27">
        <f>rebio23_80ml!AR54/50</f>
        <v>0</v>
      </c>
      <c r="AS51" s="27">
        <f>rebio23_80ml!AS54/50</f>
        <v>0</v>
      </c>
      <c r="AT51" s="27">
        <f>rebio23_80ml!AT54/50</f>
        <v>0</v>
      </c>
      <c r="AU51" s="27">
        <f>rebio23_80ml!AU54/50</f>
        <v>0</v>
      </c>
      <c r="AV51" s="27">
        <f>rebio23_80ml!AV54/50</f>
        <v>0.14000000000000001</v>
      </c>
      <c r="AW51" s="27">
        <f>rebio23_80ml!AW54/50</f>
        <v>0</v>
      </c>
      <c r="AX51" s="27">
        <f>rebio23_80ml!AX54/50</f>
        <v>0</v>
      </c>
      <c r="AY51" s="27">
        <f>rebio23_80ml!AY54/50</f>
        <v>0</v>
      </c>
      <c r="AZ51" s="27">
        <f>rebio23_80ml!AZ54/50</f>
        <v>0</v>
      </c>
      <c r="BA51" s="27">
        <f>rebio23_80ml!BA54/50</f>
        <v>0</v>
      </c>
      <c r="BB51" s="27">
        <f>rebio23_80ml!BB54/50</f>
        <v>0</v>
      </c>
      <c r="BC51" s="27">
        <f>rebio23_80ml!BC54/50</f>
        <v>0</v>
      </c>
      <c r="BD51" s="27">
        <f>rebio23_80ml!BD54/50</f>
        <v>0</v>
      </c>
      <c r="BE51" s="27">
        <f>rebio23_80ml!BE54/50</f>
        <v>0</v>
      </c>
      <c r="BF51" s="27">
        <f>rebio23_80ml!BF54/50</f>
        <v>0</v>
      </c>
      <c r="BG51" s="27">
        <f>rebio23_80ml!BG54/50</f>
        <v>0</v>
      </c>
    </row>
    <row r="52" spans="1:59" ht="12.75" customHeight="1" x14ac:dyDescent="0.25">
      <c r="A52" s="15" t="str">
        <f>rebio23_80ml!A55</f>
        <v>C-B-P05-H3</v>
      </c>
      <c r="B52" s="27">
        <f>rebio23_80ml!B55/50</f>
        <v>0</v>
      </c>
      <c r="C52" s="27">
        <f>rebio23_80ml!C55/50</f>
        <v>0</v>
      </c>
      <c r="D52" s="27">
        <f>rebio23_80ml!D55/50</f>
        <v>0</v>
      </c>
      <c r="E52" s="27">
        <f>rebio23_80ml!E55/50</f>
        <v>2.2000000000000002</v>
      </c>
      <c r="F52" s="27">
        <f>rebio23_80ml!F55/50</f>
        <v>0</v>
      </c>
      <c r="G52" s="27">
        <f>rebio23_80ml!G55/50</f>
        <v>0</v>
      </c>
      <c r="H52" s="27">
        <f>rebio23_80ml!H55/50</f>
        <v>0</v>
      </c>
      <c r="I52" s="27">
        <f>rebio23_80ml!I55/50</f>
        <v>1</v>
      </c>
      <c r="J52" s="27">
        <f>rebio23_80ml!J55/50</f>
        <v>0</v>
      </c>
      <c r="K52" s="27">
        <f>rebio23_80ml!K55/50</f>
        <v>0</v>
      </c>
      <c r="L52" s="27">
        <f>rebio23_80ml!L55/50</f>
        <v>0</v>
      </c>
      <c r="M52" s="27">
        <f>rebio23_80ml!M55/50</f>
        <v>0</v>
      </c>
      <c r="N52" s="27">
        <f>rebio23_80ml!N55/50</f>
        <v>0</v>
      </c>
      <c r="O52" s="27">
        <f>rebio23_80ml!O55/50</f>
        <v>0</v>
      </c>
      <c r="P52" s="27">
        <f>rebio23_80ml!P55/50</f>
        <v>0</v>
      </c>
      <c r="Q52" s="27">
        <f>rebio23_80ml!Q55/50</f>
        <v>0</v>
      </c>
      <c r="R52" s="27">
        <f>rebio23_80ml!R55/50</f>
        <v>0</v>
      </c>
      <c r="S52" s="27">
        <f>rebio23_80ml!S55/50</f>
        <v>0</v>
      </c>
      <c r="T52" s="27">
        <f>rebio23_80ml!T55/50</f>
        <v>0</v>
      </c>
      <c r="U52" s="27">
        <f>rebio23_80ml!U55/50</f>
        <v>0</v>
      </c>
      <c r="V52" s="27">
        <f>rebio23_80ml!V55/50</f>
        <v>0</v>
      </c>
      <c r="W52" s="27">
        <f>rebio23_80ml!W55/50</f>
        <v>0</v>
      </c>
      <c r="X52" s="27">
        <f>rebio23_80ml!X55/50</f>
        <v>0</v>
      </c>
      <c r="Y52" s="27">
        <f>rebio23_80ml!Y55/50</f>
        <v>0</v>
      </c>
      <c r="Z52" s="27">
        <f>rebio23_80ml!Z55/50</f>
        <v>0</v>
      </c>
      <c r="AA52" s="27">
        <f>rebio23_80ml!AA55/50</f>
        <v>0</v>
      </c>
      <c r="AB52" s="27">
        <f>rebio23_80ml!AB55/50</f>
        <v>0</v>
      </c>
      <c r="AC52" s="27">
        <f>rebio23_80ml!AC55/50</f>
        <v>0</v>
      </c>
      <c r="AD52" s="27">
        <f>rebio23_80ml!AD55/50</f>
        <v>0</v>
      </c>
      <c r="AE52" s="27">
        <f>rebio23_80ml!AE55/50</f>
        <v>0</v>
      </c>
      <c r="AF52" s="27">
        <f>rebio23_80ml!AF55/50</f>
        <v>0</v>
      </c>
      <c r="AG52" s="27">
        <f>rebio23_80ml!AG55/50</f>
        <v>0</v>
      </c>
      <c r="AH52" s="27">
        <f>rebio23_80ml!AH55/50</f>
        <v>0</v>
      </c>
      <c r="AI52" s="27">
        <f>rebio23_80ml!AI55/50</f>
        <v>0</v>
      </c>
      <c r="AJ52" s="27">
        <f>rebio23_80ml!AJ55/50</f>
        <v>0</v>
      </c>
      <c r="AK52" s="27">
        <f>rebio23_80ml!AK55/50</f>
        <v>0</v>
      </c>
      <c r="AL52" s="27">
        <f>rebio23_80ml!AL55/50</f>
        <v>0.04</v>
      </c>
      <c r="AM52" s="27">
        <f>rebio23_80ml!AM55/50</f>
        <v>0</v>
      </c>
      <c r="AN52" s="27">
        <f>rebio23_80ml!AN55/50</f>
        <v>0</v>
      </c>
      <c r="AO52" s="27">
        <f>rebio23_80ml!AO55/50</f>
        <v>0</v>
      </c>
      <c r="AP52" s="27">
        <f>rebio23_80ml!AP55/50</f>
        <v>0</v>
      </c>
      <c r="AQ52" s="27">
        <f>rebio23_80ml!AQ55/50</f>
        <v>0</v>
      </c>
      <c r="AR52" s="27">
        <f>rebio23_80ml!AR55/50</f>
        <v>0</v>
      </c>
      <c r="AS52" s="27">
        <f>rebio23_80ml!AS55/50</f>
        <v>0</v>
      </c>
      <c r="AT52" s="27">
        <f>rebio23_80ml!AT55/50</f>
        <v>0</v>
      </c>
      <c r="AU52" s="27">
        <f>rebio23_80ml!AU55/50</f>
        <v>0</v>
      </c>
      <c r="AV52" s="27">
        <f>rebio23_80ml!AV55/50</f>
        <v>0.36</v>
      </c>
      <c r="AW52" s="27">
        <f>rebio23_80ml!AW55/50</f>
        <v>0</v>
      </c>
      <c r="AX52" s="27">
        <f>rebio23_80ml!AX55/50</f>
        <v>0</v>
      </c>
      <c r="AY52" s="27">
        <f>rebio23_80ml!AY55/50</f>
        <v>0</v>
      </c>
      <c r="AZ52" s="27">
        <f>rebio23_80ml!AZ55/50</f>
        <v>0</v>
      </c>
      <c r="BA52" s="27">
        <f>rebio23_80ml!BA55/50</f>
        <v>0</v>
      </c>
      <c r="BB52" s="27">
        <f>rebio23_80ml!BB55/50</f>
        <v>0</v>
      </c>
      <c r="BC52" s="27">
        <f>rebio23_80ml!BC55/50</f>
        <v>0</v>
      </c>
      <c r="BD52" s="27">
        <f>rebio23_80ml!BD55/50</f>
        <v>0</v>
      </c>
      <c r="BE52" s="27">
        <f>rebio23_80ml!BE55/50</f>
        <v>0</v>
      </c>
      <c r="BF52" s="27">
        <f>rebio23_80ml!BF55/50</f>
        <v>0</v>
      </c>
      <c r="BG52" s="27">
        <f>rebio23_80ml!BG55/50</f>
        <v>0</v>
      </c>
    </row>
    <row r="53" spans="1:59" ht="12.75" customHeight="1" x14ac:dyDescent="0.25">
      <c r="A53" s="15" t="str">
        <f>rebio23_80ml!A56</f>
        <v>C-B-P06-H1</v>
      </c>
      <c r="B53" s="27">
        <f>rebio23_80ml!B56/50</f>
        <v>0.06</v>
      </c>
      <c r="C53" s="27">
        <f>rebio23_80ml!C56/50</f>
        <v>0</v>
      </c>
      <c r="D53" s="27">
        <f>rebio23_80ml!D56/50</f>
        <v>0</v>
      </c>
      <c r="E53" s="27">
        <f>rebio23_80ml!E56/50</f>
        <v>1.34</v>
      </c>
      <c r="F53" s="27">
        <f>rebio23_80ml!F56/50</f>
        <v>0</v>
      </c>
      <c r="G53" s="27">
        <f>rebio23_80ml!G56/50</f>
        <v>0</v>
      </c>
      <c r="H53" s="27">
        <f>rebio23_80ml!H56/50</f>
        <v>0</v>
      </c>
      <c r="I53" s="27">
        <f>rebio23_80ml!I56/50</f>
        <v>0.04</v>
      </c>
      <c r="J53" s="27">
        <f>rebio23_80ml!J56/50</f>
        <v>0</v>
      </c>
      <c r="K53" s="27">
        <f>rebio23_80ml!K56/50</f>
        <v>0</v>
      </c>
      <c r="L53" s="27">
        <f>rebio23_80ml!L56/50</f>
        <v>0</v>
      </c>
      <c r="M53" s="27">
        <f>rebio23_80ml!M56/50</f>
        <v>0</v>
      </c>
      <c r="N53" s="27">
        <f>rebio23_80ml!N56/50</f>
        <v>0</v>
      </c>
      <c r="O53" s="27">
        <f>rebio23_80ml!O56/50</f>
        <v>0</v>
      </c>
      <c r="P53" s="27">
        <f>rebio23_80ml!P56/50</f>
        <v>0</v>
      </c>
      <c r="Q53" s="27">
        <f>rebio23_80ml!Q56/50</f>
        <v>0</v>
      </c>
      <c r="R53" s="27">
        <f>rebio23_80ml!R56/50</f>
        <v>0</v>
      </c>
      <c r="S53" s="27">
        <f>rebio23_80ml!S56/50</f>
        <v>0</v>
      </c>
      <c r="T53" s="27">
        <f>rebio23_80ml!T56/50</f>
        <v>0</v>
      </c>
      <c r="U53" s="27">
        <f>rebio23_80ml!U56/50</f>
        <v>0</v>
      </c>
      <c r="V53" s="27">
        <f>rebio23_80ml!V56/50</f>
        <v>0</v>
      </c>
      <c r="W53" s="27">
        <f>rebio23_80ml!W56/50</f>
        <v>0</v>
      </c>
      <c r="X53" s="27">
        <f>rebio23_80ml!X56/50</f>
        <v>0</v>
      </c>
      <c r="Y53" s="27">
        <f>rebio23_80ml!Y56/50</f>
        <v>0.02</v>
      </c>
      <c r="Z53" s="27">
        <f>rebio23_80ml!Z56/50</f>
        <v>0</v>
      </c>
      <c r="AA53" s="27">
        <f>rebio23_80ml!AA56/50</f>
        <v>0</v>
      </c>
      <c r="AB53" s="27">
        <f>rebio23_80ml!AB56/50</f>
        <v>0</v>
      </c>
      <c r="AC53" s="27">
        <f>rebio23_80ml!AC56/50</f>
        <v>0</v>
      </c>
      <c r="AD53" s="27">
        <f>rebio23_80ml!AD56/50</f>
        <v>0</v>
      </c>
      <c r="AE53" s="27">
        <f>rebio23_80ml!AE56/50</f>
        <v>0</v>
      </c>
      <c r="AF53" s="27">
        <f>rebio23_80ml!AF56/50</f>
        <v>0</v>
      </c>
      <c r="AG53" s="27">
        <f>rebio23_80ml!AG56/50</f>
        <v>0</v>
      </c>
      <c r="AH53" s="27">
        <f>rebio23_80ml!AH56/50</f>
        <v>0</v>
      </c>
      <c r="AI53" s="27">
        <f>rebio23_80ml!AI56/50</f>
        <v>0</v>
      </c>
      <c r="AJ53" s="27">
        <f>rebio23_80ml!AJ56/50</f>
        <v>0</v>
      </c>
      <c r="AK53" s="27">
        <f>rebio23_80ml!AK56/50</f>
        <v>0</v>
      </c>
      <c r="AL53" s="27">
        <f>rebio23_80ml!AL56/50</f>
        <v>0</v>
      </c>
      <c r="AM53" s="27">
        <f>rebio23_80ml!AM56/50</f>
        <v>0</v>
      </c>
      <c r="AN53" s="27">
        <f>rebio23_80ml!AN56/50</f>
        <v>0</v>
      </c>
      <c r="AO53" s="27">
        <f>rebio23_80ml!AO56/50</f>
        <v>0</v>
      </c>
      <c r="AP53" s="27">
        <f>rebio23_80ml!AP56/50</f>
        <v>0</v>
      </c>
      <c r="AQ53" s="27">
        <f>rebio23_80ml!AQ56/50</f>
        <v>0</v>
      </c>
      <c r="AR53" s="27">
        <f>rebio23_80ml!AR56/50</f>
        <v>0</v>
      </c>
      <c r="AS53" s="27">
        <f>rebio23_80ml!AS56/50</f>
        <v>0</v>
      </c>
      <c r="AT53" s="27">
        <f>rebio23_80ml!AT56/50</f>
        <v>0</v>
      </c>
      <c r="AU53" s="27">
        <f>rebio23_80ml!AU56/50</f>
        <v>0</v>
      </c>
      <c r="AV53" s="27">
        <f>rebio23_80ml!AV56/50</f>
        <v>0.16</v>
      </c>
      <c r="AW53" s="27">
        <f>rebio23_80ml!AW56/50</f>
        <v>0</v>
      </c>
      <c r="AX53" s="27">
        <f>rebio23_80ml!AX56/50</f>
        <v>0.02</v>
      </c>
      <c r="AY53" s="27">
        <f>rebio23_80ml!AY56/50</f>
        <v>0</v>
      </c>
      <c r="AZ53" s="27">
        <f>rebio23_80ml!AZ56/50</f>
        <v>0</v>
      </c>
      <c r="BA53" s="27">
        <f>rebio23_80ml!BA56/50</f>
        <v>0</v>
      </c>
      <c r="BB53" s="27">
        <f>rebio23_80ml!BB56/50</f>
        <v>0</v>
      </c>
      <c r="BC53" s="27">
        <f>rebio23_80ml!BC56/50</f>
        <v>0</v>
      </c>
      <c r="BD53" s="27">
        <f>rebio23_80ml!BD56/50</f>
        <v>0</v>
      </c>
      <c r="BE53" s="27">
        <f>rebio23_80ml!BE56/50</f>
        <v>0</v>
      </c>
      <c r="BF53" s="27">
        <f>rebio23_80ml!BF56/50</f>
        <v>0</v>
      </c>
      <c r="BG53" s="27">
        <f>rebio23_80ml!BG56/50</f>
        <v>0</v>
      </c>
    </row>
    <row r="54" spans="1:59" ht="12.75" customHeight="1" x14ac:dyDescent="0.25">
      <c r="A54" s="15" t="str">
        <f>rebio23_80ml!A57</f>
        <v>C-B-P06-H2</v>
      </c>
      <c r="B54" s="27">
        <f>rebio23_80ml!B57/50</f>
        <v>0.02</v>
      </c>
      <c r="C54" s="27">
        <f>rebio23_80ml!C57/50</f>
        <v>0</v>
      </c>
      <c r="D54" s="27">
        <f>rebio23_80ml!D57/50</f>
        <v>0</v>
      </c>
      <c r="E54" s="27">
        <f>rebio23_80ml!E57/50</f>
        <v>1.3</v>
      </c>
      <c r="F54" s="27">
        <f>rebio23_80ml!F57/50</f>
        <v>0</v>
      </c>
      <c r="G54" s="27">
        <f>rebio23_80ml!G57/50</f>
        <v>0</v>
      </c>
      <c r="H54" s="27">
        <f>rebio23_80ml!H57/50</f>
        <v>0</v>
      </c>
      <c r="I54" s="27">
        <f>rebio23_80ml!I57/50</f>
        <v>0.1</v>
      </c>
      <c r="J54" s="27">
        <f>rebio23_80ml!J57/50</f>
        <v>0</v>
      </c>
      <c r="K54" s="27">
        <f>rebio23_80ml!K57/50</f>
        <v>0</v>
      </c>
      <c r="L54" s="27">
        <f>rebio23_80ml!L57/50</f>
        <v>0</v>
      </c>
      <c r="M54" s="27">
        <f>rebio23_80ml!M57/50</f>
        <v>0</v>
      </c>
      <c r="N54" s="27">
        <f>rebio23_80ml!N57/50</f>
        <v>0</v>
      </c>
      <c r="O54" s="27">
        <f>rebio23_80ml!O57/50</f>
        <v>0</v>
      </c>
      <c r="P54" s="27">
        <f>rebio23_80ml!P57/50</f>
        <v>0</v>
      </c>
      <c r="Q54" s="27">
        <f>rebio23_80ml!Q57/50</f>
        <v>0</v>
      </c>
      <c r="R54" s="27">
        <f>rebio23_80ml!R57/50</f>
        <v>0</v>
      </c>
      <c r="S54" s="27">
        <f>rebio23_80ml!S57/50</f>
        <v>0</v>
      </c>
      <c r="T54" s="27">
        <f>rebio23_80ml!T57/50</f>
        <v>0</v>
      </c>
      <c r="U54" s="27">
        <f>rebio23_80ml!U57/50</f>
        <v>0</v>
      </c>
      <c r="V54" s="27">
        <f>rebio23_80ml!V57/50</f>
        <v>0</v>
      </c>
      <c r="W54" s="27">
        <f>rebio23_80ml!W57/50</f>
        <v>0</v>
      </c>
      <c r="X54" s="27">
        <f>rebio23_80ml!X57/50</f>
        <v>0</v>
      </c>
      <c r="Y54" s="27">
        <f>rebio23_80ml!Y57/50</f>
        <v>0</v>
      </c>
      <c r="Z54" s="27">
        <f>rebio23_80ml!Z57/50</f>
        <v>0</v>
      </c>
      <c r="AA54" s="27">
        <f>rebio23_80ml!AA57/50</f>
        <v>0</v>
      </c>
      <c r="AB54" s="27">
        <f>rebio23_80ml!AB57/50</f>
        <v>0</v>
      </c>
      <c r="AC54" s="27">
        <f>rebio23_80ml!AC57/50</f>
        <v>0</v>
      </c>
      <c r="AD54" s="27">
        <f>rebio23_80ml!AD57/50</f>
        <v>0</v>
      </c>
      <c r="AE54" s="27">
        <f>rebio23_80ml!AE57/50</f>
        <v>0</v>
      </c>
      <c r="AF54" s="27">
        <f>rebio23_80ml!AF57/50</f>
        <v>0</v>
      </c>
      <c r="AG54" s="27">
        <f>rebio23_80ml!AG57/50</f>
        <v>0</v>
      </c>
      <c r="AH54" s="27">
        <f>rebio23_80ml!AH57/50</f>
        <v>0</v>
      </c>
      <c r="AI54" s="27">
        <f>rebio23_80ml!AI57/50</f>
        <v>0</v>
      </c>
      <c r="AJ54" s="27">
        <f>rebio23_80ml!AJ57/50</f>
        <v>0</v>
      </c>
      <c r="AK54" s="27">
        <f>rebio23_80ml!AK57/50</f>
        <v>0</v>
      </c>
      <c r="AL54" s="27">
        <f>rebio23_80ml!AL57/50</f>
        <v>0</v>
      </c>
      <c r="AM54" s="27">
        <f>rebio23_80ml!AM57/50</f>
        <v>0</v>
      </c>
      <c r="AN54" s="27">
        <f>rebio23_80ml!AN57/50</f>
        <v>0</v>
      </c>
      <c r="AO54" s="27">
        <f>rebio23_80ml!AO57/50</f>
        <v>0</v>
      </c>
      <c r="AP54" s="27">
        <f>rebio23_80ml!AP57/50</f>
        <v>0</v>
      </c>
      <c r="AQ54" s="27">
        <f>rebio23_80ml!AQ57/50</f>
        <v>0</v>
      </c>
      <c r="AR54" s="27">
        <f>rebio23_80ml!AR57/50</f>
        <v>0</v>
      </c>
      <c r="AS54" s="27">
        <f>rebio23_80ml!AS57/50</f>
        <v>0</v>
      </c>
      <c r="AT54" s="27">
        <f>rebio23_80ml!AT57/50</f>
        <v>0</v>
      </c>
      <c r="AU54" s="27">
        <f>rebio23_80ml!AU57/50</f>
        <v>0</v>
      </c>
      <c r="AV54" s="27">
        <f>rebio23_80ml!AV57/50</f>
        <v>0.02</v>
      </c>
      <c r="AW54" s="27">
        <f>rebio23_80ml!AW57/50</f>
        <v>0</v>
      </c>
      <c r="AX54" s="27">
        <f>rebio23_80ml!AX57/50</f>
        <v>0</v>
      </c>
      <c r="AY54" s="27">
        <f>rebio23_80ml!AY57/50</f>
        <v>0</v>
      </c>
      <c r="AZ54" s="27">
        <f>rebio23_80ml!AZ57/50</f>
        <v>0</v>
      </c>
      <c r="BA54" s="27">
        <f>rebio23_80ml!BA57/50</f>
        <v>0</v>
      </c>
      <c r="BB54" s="27">
        <f>rebio23_80ml!BB57/50</f>
        <v>0</v>
      </c>
      <c r="BC54" s="27">
        <f>rebio23_80ml!BC57/50</f>
        <v>0</v>
      </c>
      <c r="BD54" s="27">
        <f>rebio23_80ml!BD57/50</f>
        <v>0</v>
      </c>
      <c r="BE54" s="27">
        <f>rebio23_80ml!BE57/50</f>
        <v>0</v>
      </c>
      <c r="BF54" s="27">
        <f>rebio23_80ml!BF57/50</f>
        <v>0</v>
      </c>
      <c r="BG54" s="27">
        <f>rebio23_80ml!BG57/50</f>
        <v>0</v>
      </c>
    </row>
    <row r="55" spans="1:59" ht="12.75" customHeight="1" x14ac:dyDescent="0.25">
      <c r="A55" s="15" t="str">
        <f>rebio23_80ml!A58</f>
        <v>C-B-P06-H3</v>
      </c>
      <c r="B55" s="27">
        <f>rebio23_80ml!B58/50</f>
        <v>0</v>
      </c>
      <c r="C55" s="27">
        <f>rebio23_80ml!C58/50</f>
        <v>0</v>
      </c>
      <c r="D55" s="27">
        <f>rebio23_80ml!D58/50</f>
        <v>0</v>
      </c>
      <c r="E55" s="27">
        <f>rebio23_80ml!E58/50</f>
        <v>1.34</v>
      </c>
      <c r="F55" s="27">
        <f>rebio23_80ml!F58/50</f>
        <v>0</v>
      </c>
      <c r="G55" s="27">
        <f>rebio23_80ml!G58/50</f>
        <v>0</v>
      </c>
      <c r="H55" s="27">
        <f>rebio23_80ml!H58/50</f>
        <v>0</v>
      </c>
      <c r="I55" s="27">
        <f>rebio23_80ml!I58/50</f>
        <v>0.04</v>
      </c>
      <c r="J55" s="27">
        <f>rebio23_80ml!J58/50</f>
        <v>0</v>
      </c>
      <c r="K55" s="27">
        <f>rebio23_80ml!K58/50</f>
        <v>0</v>
      </c>
      <c r="L55" s="27">
        <f>rebio23_80ml!L58/50</f>
        <v>0</v>
      </c>
      <c r="M55" s="27">
        <f>rebio23_80ml!M58/50</f>
        <v>0</v>
      </c>
      <c r="N55" s="27">
        <f>rebio23_80ml!N58/50</f>
        <v>0</v>
      </c>
      <c r="O55" s="27">
        <f>rebio23_80ml!O58/50</f>
        <v>0</v>
      </c>
      <c r="P55" s="27">
        <f>rebio23_80ml!P58/50</f>
        <v>0</v>
      </c>
      <c r="Q55" s="27">
        <f>rebio23_80ml!Q58/50</f>
        <v>0</v>
      </c>
      <c r="R55" s="27">
        <f>rebio23_80ml!R58/50</f>
        <v>0</v>
      </c>
      <c r="S55" s="27">
        <f>rebio23_80ml!S58/50</f>
        <v>0</v>
      </c>
      <c r="T55" s="27">
        <f>rebio23_80ml!T58/50</f>
        <v>0</v>
      </c>
      <c r="U55" s="27">
        <f>rebio23_80ml!U58/50</f>
        <v>0</v>
      </c>
      <c r="V55" s="27">
        <f>rebio23_80ml!V58/50</f>
        <v>0</v>
      </c>
      <c r="W55" s="27">
        <f>rebio23_80ml!W58/50</f>
        <v>0</v>
      </c>
      <c r="X55" s="27">
        <f>rebio23_80ml!X58/50</f>
        <v>0</v>
      </c>
      <c r="Y55" s="27">
        <f>rebio23_80ml!Y58/50</f>
        <v>0.02</v>
      </c>
      <c r="Z55" s="27">
        <f>rebio23_80ml!Z58/50</f>
        <v>0</v>
      </c>
      <c r="AA55" s="27">
        <f>rebio23_80ml!AA58/50</f>
        <v>0</v>
      </c>
      <c r="AB55" s="27">
        <f>rebio23_80ml!AB58/50</f>
        <v>0</v>
      </c>
      <c r="AC55" s="27">
        <f>rebio23_80ml!AC58/50</f>
        <v>0</v>
      </c>
      <c r="AD55" s="27">
        <f>rebio23_80ml!AD58/50</f>
        <v>0</v>
      </c>
      <c r="AE55" s="27">
        <f>rebio23_80ml!AE58/50</f>
        <v>0</v>
      </c>
      <c r="AF55" s="27">
        <f>rebio23_80ml!AF58/50</f>
        <v>0</v>
      </c>
      <c r="AG55" s="27">
        <f>rebio23_80ml!AG58/50</f>
        <v>0</v>
      </c>
      <c r="AH55" s="27">
        <f>rebio23_80ml!AH58/50</f>
        <v>0</v>
      </c>
      <c r="AI55" s="27">
        <f>rebio23_80ml!AI58/50</f>
        <v>0</v>
      </c>
      <c r="AJ55" s="27">
        <f>rebio23_80ml!AJ58/50</f>
        <v>0</v>
      </c>
      <c r="AK55" s="27">
        <f>rebio23_80ml!AK58/50</f>
        <v>0</v>
      </c>
      <c r="AL55" s="27">
        <f>rebio23_80ml!AL58/50</f>
        <v>0</v>
      </c>
      <c r="AM55" s="27">
        <f>rebio23_80ml!AM58/50</f>
        <v>0</v>
      </c>
      <c r="AN55" s="27">
        <f>rebio23_80ml!AN58/50</f>
        <v>0</v>
      </c>
      <c r="AO55" s="27">
        <f>rebio23_80ml!AO58/50</f>
        <v>0</v>
      </c>
      <c r="AP55" s="27">
        <f>rebio23_80ml!AP58/50</f>
        <v>0</v>
      </c>
      <c r="AQ55" s="27">
        <f>rebio23_80ml!AQ58/50</f>
        <v>0</v>
      </c>
      <c r="AR55" s="27">
        <f>rebio23_80ml!AR58/50</f>
        <v>0</v>
      </c>
      <c r="AS55" s="27">
        <f>rebio23_80ml!AS58/50</f>
        <v>0</v>
      </c>
      <c r="AT55" s="27">
        <f>rebio23_80ml!AT58/50</f>
        <v>0</v>
      </c>
      <c r="AU55" s="27">
        <f>rebio23_80ml!AU58/50</f>
        <v>0</v>
      </c>
      <c r="AV55" s="27">
        <f>rebio23_80ml!AV58/50</f>
        <v>0</v>
      </c>
      <c r="AW55" s="27">
        <f>rebio23_80ml!AW58/50</f>
        <v>0</v>
      </c>
      <c r="AX55" s="27">
        <f>rebio23_80ml!AX58/50</f>
        <v>0</v>
      </c>
      <c r="AY55" s="27">
        <f>rebio23_80ml!AY58/50</f>
        <v>0</v>
      </c>
      <c r="AZ55" s="27">
        <f>rebio23_80ml!AZ58/50</f>
        <v>0</v>
      </c>
      <c r="BA55" s="27">
        <f>rebio23_80ml!BA58/50</f>
        <v>0</v>
      </c>
      <c r="BB55" s="27">
        <f>rebio23_80ml!BB58/50</f>
        <v>0</v>
      </c>
      <c r="BC55" s="27">
        <f>rebio23_80ml!BC58/50</f>
        <v>0</v>
      </c>
      <c r="BD55" s="27">
        <f>rebio23_80ml!BD58/50</f>
        <v>0.02</v>
      </c>
      <c r="BE55" s="27">
        <f>rebio23_80ml!BE58/50</f>
        <v>0</v>
      </c>
      <c r="BF55" s="27">
        <f>rebio23_80ml!BF58/50</f>
        <v>0</v>
      </c>
      <c r="BG55" s="27">
        <f>rebio23_80ml!BG58/50</f>
        <v>0</v>
      </c>
    </row>
    <row r="56" spans="1:59" ht="12.75" customHeight="1" x14ac:dyDescent="0.25">
      <c r="A56" s="15" t="str">
        <f>rebio23_80ml!A59</f>
        <v>C-B-P07-H1</v>
      </c>
      <c r="B56" s="27">
        <f>rebio23_80ml!B59/50</f>
        <v>0.02</v>
      </c>
      <c r="C56" s="27">
        <f>rebio23_80ml!C59/50</f>
        <v>0</v>
      </c>
      <c r="D56" s="27">
        <f>rebio23_80ml!D59/50</f>
        <v>0</v>
      </c>
      <c r="E56" s="27">
        <f>rebio23_80ml!E59/50</f>
        <v>2.1</v>
      </c>
      <c r="F56" s="27">
        <f>rebio23_80ml!F59/50</f>
        <v>0</v>
      </c>
      <c r="G56" s="27">
        <f>rebio23_80ml!G59/50</f>
        <v>0</v>
      </c>
      <c r="H56" s="27">
        <f>rebio23_80ml!H59/50</f>
        <v>0</v>
      </c>
      <c r="I56" s="27">
        <f>rebio23_80ml!I59/50</f>
        <v>0.12</v>
      </c>
      <c r="J56" s="27">
        <f>rebio23_80ml!J59/50</f>
        <v>0</v>
      </c>
      <c r="K56" s="27">
        <f>rebio23_80ml!K59/50</f>
        <v>0</v>
      </c>
      <c r="L56" s="27">
        <f>rebio23_80ml!L59/50</f>
        <v>0</v>
      </c>
      <c r="M56" s="27">
        <f>rebio23_80ml!M59/50</f>
        <v>0</v>
      </c>
      <c r="N56" s="27">
        <f>rebio23_80ml!N59/50</f>
        <v>0</v>
      </c>
      <c r="O56" s="27">
        <f>rebio23_80ml!O59/50</f>
        <v>0</v>
      </c>
      <c r="P56" s="27">
        <f>rebio23_80ml!P59/50</f>
        <v>0</v>
      </c>
      <c r="Q56" s="27">
        <f>rebio23_80ml!Q59/50</f>
        <v>0</v>
      </c>
      <c r="R56" s="27">
        <f>rebio23_80ml!R59/50</f>
        <v>0</v>
      </c>
      <c r="S56" s="27">
        <f>rebio23_80ml!S59/50</f>
        <v>0</v>
      </c>
      <c r="T56" s="27">
        <f>rebio23_80ml!T59/50</f>
        <v>0</v>
      </c>
      <c r="U56" s="27">
        <f>rebio23_80ml!U59/50</f>
        <v>0</v>
      </c>
      <c r="V56" s="27">
        <f>rebio23_80ml!V59/50</f>
        <v>0</v>
      </c>
      <c r="W56" s="27">
        <f>rebio23_80ml!W59/50</f>
        <v>0</v>
      </c>
      <c r="X56" s="27">
        <f>rebio23_80ml!X59/50</f>
        <v>0</v>
      </c>
      <c r="Y56" s="27">
        <f>rebio23_80ml!Y59/50</f>
        <v>0</v>
      </c>
      <c r="Z56" s="27">
        <f>rebio23_80ml!Z59/50</f>
        <v>0</v>
      </c>
      <c r="AA56" s="27">
        <f>rebio23_80ml!AA59/50</f>
        <v>0</v>
      </c>
      <c r="AB56" s="27">
        <f>rebio23_80ml!AB59/50</f>
        <v>0</v>
      </c>
      <c r="AC56" s="27">
        <f>rebio23_80ml!AC59/50</f>
        <v>0</v>
      </c>
      <c r="AD56" s="27">
        <f>rebio23_80ml!AD59/50</f>
        <v>0</v>
      </c>
      <c r="AE56" s="27">
        <f>rebio23_80ml!AE59/50</f>
        <v>0</v>
      </c>
      <c r="AF56" s="27">
        <f>rebio23_80ml!AF59/50</f>
        <v>0</v>
      </c>
      <c r="AG56" s="27">
        <f>rebio23_80ml!AG59/50</f>
        <v>0</v>
      </c>
      <c r="AH56" s="27">
        <f>rebio23_80ml!AH59/50</f>
        <v>0</v>
      </c>
      <c r="AI56" s="27">
        <f>rebio23_80ml!AI59/50</f>
        <v>0</v>
      </c>
      <c r="AJ56" s="27">
        <f>rebio23_80ml!AJ59/50</f>
        <v>0</v>
      </c>
      <c r="AK56" s="27">
        <f>rebio23_80ml!AK59/50</f>
        <v>0</v>
      </c>
      <c r="AL56" s="27">
        <f>rebio23_80ml!AL59/50</f>
        <v>0</v>
      </c>
      <c r="AM56" s="27">
        <f>rebio23_80ml!AM59/50</f>
        <v>0</v>
      </c>
      <c r="AN56" s="27">
        <f>rebio23_80ml!AN59/50</f>
        <v>0</v>
      </c>
      <c r="AO56" s="27">
        <f>rebio23_80ml!AO59/50</f>
        <v>0</v>
      </c>
      <c r="AP56" s="27">
        <f>rebio23_80ml!AP59/50</f>
        <v>0</v>
      </c>
      <c r="AQ56" s="27">
        <f>rebio23_80ml!AQ59/50</f>
        <v>0</v>
      </c>
      <c r="AR56" s="27">
        <f>rebio23_80ml!AR59/50</f>
        <v>0</v>
      </c>
      <c r="AS56" s="27">
        <f>rebio23_80ml!AS59/50</f>
        <v>0</v>
      </c>
      <c r="AT56" s="27">
        <f>rebio23_80ml!AT59/50</f>
        <v>0</v>
      </c>
      <c r="AU56" s="27">
        <f>rebio23_80ml!AU59/50</f>
        <v>0</v>
      </c>
      <c r="AV56" s="27">
        <f>rebio23_80ml!AV59/50</f>
        <v>0.14000000000000001</v>
      </c>
      <c r="AW56" s="27">
        <f>rebio23_80ml!AW59/50</f>
        <v>0</v>
      </c>
      <c r="AX56" s="27">
        <f>rebio23_80ml!AX59/50</f>
        <v>0</v>
      </c>
      <c r="AY56" s="27">
        <f>rebio23_80ml!AY59/50</f>
        <v>0</v>
      </c>
      <c r="AZ56" s="27">
        <f>rebio23_80ml!AZ59/50</f>
        <v>0</v>
      </c>
      <c r="BA56" s="27">
        <f>rebio23_80ml!BA59/50</f>
        <v>0</v>
      </c>
      <c r="BB56" s="27">
        <f>rebio23_80ml!BB59/50</f>
        <v>0</v>
      </c>
      <c r="BC56" s="27">
        <f>rebio23_80ml!BC59/50</f>
        <v>0</v>
      </c>
      <c r="BD56" s="27">
        <f>rebio23_80ml!BD59/50</f>
        <v>0</v>
      </c>
      <c r="BE56" s="27">
        <f>rebio23_80ml!BE59/50</f>
        <v>0</v>
      </c>
      <c r="BF56" s="27">
        <f>rebio23_80ml!BF59/50</f>
        <v>0</v>
      </c>
      <c r="BG56" s="27">
        <f>rebio23_80ml!BG59/50</f>
        <v>0</v>
      </c>
    </row>
    <row r="57" spans="1:59" ht="12.75" customHeight="1" x14ac:dyDescent="0.25">
      <c r="A57" s="15" t="str">
        <f>rebio23_80ml!A60</f>
        <v>C-B-P07-H2</v>
      </c>
      <c r="B57" s="27">
        <f>rebio23_80ml!B60/50</f>
        <v>0.02</v>
      </c>
      <c r="C57" s="27">
        <f>rebio23_80ml!C60/50</f>
        <v>0</v>
      </c>
      <c r="D57" s="27">
        <f>rebio23_80ml!D60/50</f>
        <v>0</v>
      </c>
      <c r="E57" s="27">
        <f>rebio23_80ml!E60/50</f>
        <v>1.1399999999999999</v>
      </c>
      <c r="F57" s="27">
        <f>rebio23_80ml!F60/50</f>
        <v>0</v>
      </c>
      <c r="G57" s="27">
        <f>rebio23_80ml!G60/50</f>
        <v>0</v>
      </c>
      <c r="H57" s="27">
        <f>rebio23_80ml!H60/50</f>
        <v>0</v>
      </c>
      <c r="I57" s="27">
        <f>rebio23_80ml!I60/50</f>
        <v>0.1</v>
      </c>
      <c r="J57" s="27">
        <f>rebio23_80ml!J60/50</f>
        <v>0</v>
      </c>
      <c r="K57" s="27">
        <f>rebio23_80ml!K60/50</f>
        <v>0</v>
      </c>
      <c r="L57" s="27">
        <f>rebio23_80ml!L60/50</f>
        <v>0</v>
      </c>
      <c r="M57" s="27">
        <f>rebio23_80ml!M60/50</f>
        <v>0</v>
      </c>
      <c r="N57" s="27">
        <f>rebio23_80ml!N60/50</f>
        <v>0</v>
      </c>
      <c r="O57" s="27">
        <f>rebio23_80ml!O60/50</f>
        <v>0</v>
      </c>
      <c r="P57" s="27">
        <f>rebio23_80ml!P60/50</f>
        <v>0</v>
      </c>
      <c r="Q57" s="27">
        <f>rebio23_80ml!Q60/50</f>
        <v>0</v>
      </c>
      <c r="R57" s="27">
        <f>rebio23_80ml!R60/50</f>
        <v>0</v>
      </c>
      <c r="S57" s="27">
        <f>rebio23_80ml!S60/50</f>
        <v>0</v>
      </c>
      <c r="T57" s="27">
        <f>rebio23_80ml!T60/50</f>
        <v>0</v>
      </c>
      <c r="U57" s="27">
        <f>rebio23_80ml!U60/50</f>
        <v>0</v>
      </c>
      <c r="V57" s="27">
        <f>rebio23_80ml!V60/50</f>
        <v>0</v>
      </c>
      <c r="W57" s="27">
        <f>rebio23_80ml!W60/50</f>
        <v>0</v>
      </c>
      <c r="X57" s="27">
        <f>rebio23_80ml!X60/50</f>
        <v>0</v>
      </c>
      <c r="Y57" s="27">
        <f>rebio23_80ml!Y60/50</f>
        <v>0</v>
      </c>
      <c r="Z57" s="27">
        <f>rebio23_80ml!Z60/50</f>
        <v>0</v>
      </c>
      <c r="AA57" s="27">
        <f>rebio23_80ml!AA60/50</f>
        <v>0</v>
      </c>
      <c r="AB57" s="27">
        <f>rebio23_80ml!AB60/50</f>
        <v>0</v>
      </c>
      <c r="AC57" s="27">
        <f>rebio23_80ml!AC60/50</f>
        <v>0</v>
      </c>
      <c r="AD57" s="27">
        <f>rebio23_80ml!AD60/50</f>
        <v>0</v>
      </c>
      <c r="AE57" s="27">
        <f>rebio23_80ml!AE60/50</f>
        <v>0</v>
      </c>
      <c r="AF57" s="27">
        <f>rebio23_80ml!AF60/50</f>
        <v>0</v>
      </c>
      <c r="AG57" s="27">
        <f>rebio23_80ml!AG60/50</f>
        <v>0</v>
      </c>
      <c r="AH57" s="27">
        <f>rebio23_80ml!AH60/50</f>
        <v>0</v>
      </c>
      <c r="AI57" s="27">
        <f>rebio23_80ml!AI60/50</f>
        <v>0</v>
      </c>
      <c r="AJ57" s="27">
        <f>rebio23_80ml!AJ60/50</f>
        <v>0</v>
      </c>
      <c r="AK57" s="27">
        <f>rebio23_80ml!AK60/50</f>
        <v>0</v>
      </c>
      <c r="AL57" s="27">
        <f>rebio23_80ml!AL60/50</f>
        <v>0</v>
      </c>
      <c r="AM57" s="27">
        <f>rebio23_80ml!AM60/50</f>
        <v>0</v>
      </c>
      <c r="AN57" s="27">
        <f>rebio23_80ml!AN60/50</f>
        <v>0</v>
      </c>
      <c r="AO57" s="27">
        <f>rebio23_80ml!AO60/50</f>
        <v>0</v>
      </c>
      <c r="AP57" s="27">
        <f>rebio23_80ml!AP60/50</f>
        <v>0</v>
      </c>
      <c r="AQ57" s="27">
        <f>rebio23_80ml!AQ60/50</f>
        <v>0</v>
      </c>
      <c r="AR57" s="27">
        <f>rebio23_80ml!AR60/50</f>
        <v>0</v>
      </c>
      <c r="AS57" s="27">
        <f>rebio23_80ml!AS60/50</f>
        <v>0</v>
      </c>
      <c r="AT57" s="27">
        <f>rebio23_80ml!AT60/50</f>
        <v>0</v>
      </c>
      <c r="AU57" s="27">
        <f>rebio23_80ml!AU60/50</f>
        <v>0</v>
      </c>
      <c r="AV57" s="27">
        <f>rebio23_80ml!AV60/50</f>
        <v>0.12</v>
      </c>
      <c r="AW57" s="27">
        <f>rebio23_80ml!AW60/50</f>
        <v>0</v>
      </c>
      <c r="AX57" s="27">
        <f>rebio23_80ml!AX60/50</f>
        <v>0</v>
      </c>
      <c r="AY57" s="27">
        <f>rebio23_80ml!AY60/50</f>
        <v>0</v>
      </c>
      <c r="AZ57" s="27">
        <f>rebio23_80ml!AZ60/50</f>
        <v>0</v>
      </c>
      <c r="BA57" s="27">
        <f>rebio23_80ml!BA60/50</f>
        <v>0</v>
      </c>
      <c r="BB57" s="27">
        <f>rebio23_80ml!BB60/50</f>
        <v>0</v>
      </c>
      <c r="BC57" s="27">
        <f>rebio23_80ml!BC60/50</f>
        <v>0</v>
      </c>
      <c r="BD57" s="27">
        <f>rebio23_80ml!BD60/50</f>
        <v>0</v>
      </c>
      <c r="BE57" s="27">
        <f>rebio23_80ml!BE60/50</f>
        <v>0</v>
      </c>
      <c r="BF57" s="27">
        <f>rebio23_80ml!BF60/50</f>
        <v>0</v>
      </c>
      <c r="BG57" s="27">
        <f>rebio23_80ml!BG60/50</f>
        <v>0</v>
      </c>
    </row>
    <row r="58" spans="1:59" ht="12.75" customHeight="1" x14ac:dyDescent="0.25">
      <c r="A58" s="15" t="str">
        <f>rebio23_80ml!A61</f>
        <v>C-B-P07-H3</v>
      </c>
      <c r="B58" s="27">
        <f>rebio23_80ml!B61/50</f>
        <v>0</v>
      </c>
      <c r="C58" s="27">
        <f>rebio23_80ml!C61/50</f>
        <v>0</v>
      </c>
      <c r="D58" s="27">
        <f>rebio23_80ml!D61/50</f>
        <v>0</v>
      </c>
      <c r="E58" s="27">
        <f>rebio23_80ml!E61/50</f>
        <v>1.34</v>
      </c>
      <c r="F58" s="27">
        <f>rebio23_80ml!F61/50</f>
        <v>0</v>
      </c>
      <c r="G58" s="27">
        <f>rebio23_80ml!G61/50</f>
        <v>0</v>
      </c>
      <c r="H58" s="27">
        <f>rebio23_80ml!H61/50</f>
        <v>0</v>
      </c>
      <c r="I58" s="27">
        <f>rebio23_80ml!I61/50</f>
        <v>0.06</v>
      </c>
      <c r="J58" s="27">
        <f>rebio23_80ml!J61/50</f>
        <v>0</v>
      </c>
      <c r="K58" s="27">
        <f>rebio23_80ml!K61/50</f>
        <v>0</v>
      </c>
      <c r="L58" s="27">
        <f>rebio23_80ml!L61/50</f>
        <v>0</v>
      </c>
      <c r="M58" s="27">
        <f>rebio23_80ml!M61/50</f>
        <v>0</v>
      </c>
      <c r="N58" s="27">
        <f>rebio23_80ml!N61/50</f>
        <v>0</v>
      </c>
      <c r="O58" s="27">
        <f>rebio23_80ml!O61/50</f>
        <v>0</v>
      </c>
      <c r="P58" s="27">
        <f>rebio23_80ml!P61/50</f>
        <v>0</v>
      </c>
      <c r="Q58" s="27">
        <f>rebio23_80ml!Q61/50</f>
        <v>0</v>
      </c>
      <c r="R58" s="27">
        <f>rebio23_80ml!R61/50</f>
        <v>0</v>
      </c>
      <c r="S58" s="27">
        <f>rebio23_80ml!S61/50</f>
        <v>0</v>
      </c>
      <c r="T58" s="27">
        <f>rebio23_80ml!T61/50</f>
        <v>0</v>
      </c>
      <c r="U58" s="27">
        <f>rebio23_80ml!U61/50</f>
        <v>0</v>
      </c>
      <c r="V58" s="27">
        <f>rebio23_80ml!V61/50</f>
        <v>0</v>
      </c>
      <c r="W58" s="27">
        <f>rebio23_80ml!W61/50</f>
        <v>0</v>
      </c>
      <c r="X58" s="27">
        <f>rebio23_80ml!X61/50</f>
        <v>0</v>
      </c>
      <c r="Y58" s="27">
        <f>rebio23_80ml!Y61/50</f>
        <v>0</v>
      </c>
      <c r="Z58" s="27">
        <f>rebio23_80ml!Z61/50</f>
        <v>0</v>
      </c>
      <c r="AA58" s="27">
        <f>rebio23_80ml!AA61/50</f>
        <v>0</v>
      </c>
      <c r="AB58" s="27">
        <f>rebio23_80ml!AB61/50</f>
        <v>0</v>
      </c>
      <c r="AC58" s="27">
        <f>rebio23_80ml!AC61/50</f>
        <v>0</v>
      </c>
      <c r="AD58" s="27">
        <f>rebio23_80ml!AD61/50</f>
        <v>0</v>
      </c>
      <c r="AE58" s="27">
        <f>rebio23_80ml!AE61/50</f>
        <v>0</v>
      </c>
      <c r="AF58" s="27">
        <f>rebio23_80ml!AF61/50</f>
        <v>0</v>
      </c>
      <c r="AG58" s="27">
        <f>rebio23_80ml!AG61/50</f>
        <v>0</v>
      </c>
      <c r="AH58" s="27">
        <f>rebio23_80ml!AH61/50</f>
        <v>0</v>
      </c>
      <c r="AI58" s="27">
        <f>rebio23_80ml!AI61/50</f>
        <v>0</v>
      </c>
      <c r="AJ58" s="27">
        <f>rebio23_80ml!AJ61/50</f>
        <v>0</v>
      </c>
      <c r="AK58" s="27">
        <f>rebio23_80ml!AK61/50</f>
        <v>0</v>
      </c>
      <c r="AL58" s="27">
        <f>rebio23_80ml!AL61/50</f>
        <v>0</v>
      </c>
      <c r="AM58" s="27">
        <f>rebio23_80ml!AM61/50</f>
        <v>0</v>
      </c>
      <c r="AN58" s="27">
        <f>rebio23_80ml!AN61/50</f>
        <v>0</v>
      </c>
      <c r="AO58" s="27">
        <f>rebio23_80ml!AO61/50</f>
        <v>0</v>
      </c>
      <c r="AP58" s="27">
        <f>rebio23_80ml!AP61/50</f>
        <v>0</v>
      </c>
      <c r="AQ58" s="27">
        <f>rebio23_80ml!AQ61/50</f>
        <v>0</v>
      </c>
      <c r="AR58" s="27">
        <f>rebio23_80ml!AR61/50</f>
        <v>0</v>
      </c>
      <c r="AS58" s="27">
        <f>rebio23_80ml!AS61/50</f>
        <v>0</v>
      </c>
      <c r="AT58" s="27">
        <f>rebio23_80ml!AT61/50</f>
        <v>0</v>
      </c>
      <c r="AU58" s="27">
        <f>rebio23_80ml!AU61/50</f>
        <v>0</v>
      </c>
      <c r="AV58" s="27">
        <f>rebio23_80ml!AV61/50</f>
        <v>0.14000000000000001</v>
      </c>
      <c r="AW58" s="27">
        <f>rebio23_80ml!AW61/50</f>
        <v>0</v>
      </c>
      <c r="AX58" s="27">
        <f>rebio23_80ml!AX61/50</f>
        <v>0</v>
      </c>
      <c r="AY58" s="27">
        <f>rebio23_80ml!AY61/50</f>
        <v>0</v>
      </c>
      <c r="AZ58" s="27">
        <f>rebio23_80ml!AZ61/50</f>
        <v>0</v>
      </c>
      <c r="BA58" s="27">
        <f>rebio23_80ml!BA61/50</f>
        <v>0</v>
      </c>
      <c r="BB58" s="27">
        <f>rebio23_80ml!BB61/50</f>
        <v>0</v>
      </c>
      <c r="BC58" s="27">
        <f>rebio23_80ml!BC61/50</f>
        <v>0</v>
      </c>
      <c r="BD58" s="27">
        <f>rebio23_80ml!BD61/50</f>
        <v>0</v>
      </c>
      <c r="BE58" s="27">
        <f>rebio23_80ml!BE61/50</f>
        <v>0</v>
      </c>
      <c r="BF58" s="27">
        <f>rebio23_80ml!BF61/50</f>
        <v>0</v>
      </c>
      <c r="BG58" s="27">
        <f>rebio23_80ml!BG61/50</f>
        <v>0</v>
      </c>
    </row>
    <row r="59" spans="1:59" ht="12.75" customHeight="1" x14ac:dyDescent="0.25">
      <c r="A59" s="15" t="str">
        <f>rebio23_80ml!A62</f>
        <v>C-B-P08-H1</v>
      </c>
      <c r="B59" s="27">
        <f>rebio23_80ml!B62/50</f>
        <v>12.68</v>
      </c>
      <c r="C59" s="27">
        <f>rebio23_80ml!C62/50</f>
        <v>2.54</v>
      </c>
      <c r="D59" s="27">
        <f>rebio23_80ml!D62/50</f>
        <v>0.94</v>
      </c>
      <c r="E59" s="27">
        <f>rebio23_80ml!E62/50</f>
        <v>3.74</v>
      </c>
      <c r="F59" s="27">
        <f>rebio23_80ml!F62/50</f>
        <v>0</v>
      </c>
      <c r="G59" s="27">
        <f>rebio23_80ml!G62/50</f>
        <v>0</v>
      </c>
      <c r="H59" s="27">
        <f>rebio23_80ml!H62/50</f>
        <v>0</v>
      </c>
      <c r="I59" s="27">
        <f>rebio23_80ml!I62/50</f>
        <v>28.2</v>
      </c>
      <c r="J59" s="27">
        <f>rebio23_80ml!J62/50</f>
        <v>6.86</v>
      </c>
      <c r="K59" s="27">
        <f>rebio23_80ml!K62/50</f>
        <v>0</v>
      </c>
      <c r="L59" s="27">
        <f>rebio23_80ml!L62/50</f>
        <v>0.2</v>
      </c>
      <c r="M59" s="27">
        <f>rebio23_80ml!M62/50</f>
        <v>0</v>
      </c>
      <c r="N59" s="27">
        <f>rebio23_80ml!N62/50</f>
        <v>0</v>
      </c>
      <c r="O59" s="27">
        <f>rebio23_80ml!O62/50</f>
        <v>0</v>
      </c>
      <c r="P59" s="27">
        <f>rebio23_80ml!P62/50</f>
        <v>0</v>
      </c>
      <c r="Q59" s="27">
        <f>rebio23_80ml!Q62/50</f>
        <v>0</v>
      </c>
      <c r="R59" s="27">
        <f>rebio23_80ml!R62/50</f>
        <v>0</v>
      </c>
      <c r="S59" s="27">
        <f>rebio23_80ml!S62/50</f>
        <v>0.12</v>
      </c>
      <c r="T59" s="27">
        <f>rebio23_80ml!T62/50</f>
        <v>0.02</v>
      </c>
      <c r="U59" s="27">
        <f>rebio23_80ml!U62/50</f>
        <v>0</v>
      </c>
      <c r="V59" s="27">
        <f>rebio23_80ml!V62/50</f>
        <v>0.02</v>
      </c>
      <c r="W59" s="27">
        <f>rebio23_80ml!W62/50</f>
        <v>0</v>
      </c>
      <c r="X59" s="27">
        <f>rebio23_80ml!X62/50</f>
        <v>0</v>
      </c>
      <c r="Y59" s="27">
        <f>rebio23_80ml!Y62/50</f>
        <v>1.04</v>
      </c>
      <c r="Z59" s="27">
        <f>rebio23_80ml!Z62/50</f>
        <v>0.02</v>
      </c>
      <c r="AA59" s="27">
        <f>rebio23_80ml!AA62/50</f>
        <v>0.02</v>
      </c>
      <c r="AB59" s="27">
        <f>rebio23_80ml!AB62/50</f>
        <v>0</v>
      </c>
      <c r="AC59" s="27">
        <f>rebio23_80ml!AC62/50</f>
        <v>0</v>
      </c>
      <c r="AD59" s="27">
        <f>rebio23_80ml!AD62/50</f>
        <v>0</v>
      </c>
      <c r="AE59" s="27">
        <f>rebio23_80ml!AE62/50</f>
        <v>0</v>
      </c>
      <c r="AF59" s="27">
        <f>rebio23_80ml!AF62/50</f>
        <v>0</v>
      </c>
      <c r="AG59" s="27">
        <f>rebio23_80ml!AG62/50</f>
        <v>0</v>
      </c>
      <c r="AH59" s="27">
        <f>rebio23_80ml!AH62/50</f>
        <v>0</v>
      </c>
      <c r="AI59" s="27">
        <f>rebio23_80ml!AI62/50</f>
        <v>0</v>
      </c>
      <c r="AJ59" s="27">
        <f>rebio23_80ml!AJ62/50</f>
        <v>0.02</v>
      </c>
      <c r="AK59" s="27">
        <f>rebio23_80ml!AK62/50</f>
        <v>0.06</v>
      </c>
      <c r="AL59" s="27">
        <f>rebio23_80ml!AL62/50</f>
        <v>1.24</v>
      </c>
      <c r="AM59" s="27">
        <f>rebio23_80ml!AM62/50</f>
        <v>0.4</v>
      </c>
      <c r="AN59" s="27">
        <f>rebio23_80ml!AN62/50</f>
        <v>0.5</v>
      </c>
      <c r="AO59" s="27">
        <f>rebio23_80ml!AO62/50</f>
        <v>0.04</v>
      </c>
      <c r="AP59" s="27">
        <f>rebio23_80ml!AP62/50</f>
        <v>0.6</v>
      </c>
      <c r="AQ59" s="27">
        <f>rebio23_80ml!AQ62/50</f>
        <v>0.24</v>
      </c>
      <c r="AR59" s="27">
        <f>rebio23_80ml!AR62/50</f>
        <v>0.02</v>
      </c>
      <c r="AS59" s="27">
        <f>rebio23_80ml!AS62/50</f>
        <v>0</v>
      </c>
      <c r="AT59" s="27">
        <f>rebio23_80ml!AT62/50</f>
        <v>0</v>
      </c>
      <c r="AU59" s="27">
        <f>rebio23_80ml!AU62/50</f>
        <v>0</v>
      </c>
      <c r="AV59" s="27">
        <f>rebio23_80ml!AV62/50</f>
        <v>4.9800000000000004</v>
      </c>
      <c r="AW59" s="27">
        <f>rebio23_80ml!AW62/50</f>
        <v>0</v>
      </c>
      <c r="AX59" s="27">
        <f>rebio23_80ml!AX62/50</f>
        <v>2.2000000000000002</v>
      </c>
      <c r="AY59" s="27">
        <f>rebio23_80ml!AY62/50</f>
        <v>0</v>
      </c>
      <c r="AZ59" s="27">
        <f>rebio23_80ml!AZ62/50</f>
        <v>0</v>
      </c>
      <c r="BA59" s="27">
        <f>rebio23_80ml!BA62/50</f>
        <v>0.02</v>
      </c>
      <c r="BB59" s="27">
        <f>rebio23_80ml!BB62/50</f>
        <v>0</v>
      </c>
      <c r="BC59" s="27">
        <f>rebio23_80ml!BC62/50</f>
        <v>0.02</v>
      </c>
      <c r="BD59" s="27">
        <f>rebio23_80ml!BD62/50</f>
        <v>0</v>
      </c>
      <c r="BE59" s="27">
        <f>rebio23_80ml!BE62/50</f>
        <v>0</v>
      </c>
      <c r="BF59" s="27">
        <f>rebio23_80ml!BF62/50</f>
        <v>0</v>
      </c>
      <c r="BG59" s="27">
        <f>rebio23_80ml!BG62/50</f>
        <v>0</v>
      </c>
    </row>
    <row r="60" spans="1:59" ht="12.75" customHeight="1" x14ac:dyDescent="0.25">
      <c r="A60" s="15" t="str">
        <f>rebio23_80ml!A63</f>
        <v>C-B-P08-H2</v>
      </c>
      <c r="B60" s="27">
        <f>rebio23_80ml!B63/50</f>
        <v>3.16</v>
      </c>
      <c r="C60" s="27">
        <f>rebio23_80ml!C63/50</f>
        <v>0.62</v>
      </c>
      <c r="D60" s="27">
        <f>rebio23_80ml!D63/50</f>
        <v>0.2</v>
      </c>
      <c r="E60" s="27">
        <f>rebio23_80ml!E63/50</f>
        <v>3.94</v>
      </c>
      <c r="F60" s="27">
        <f>rebio23_80ml!F63/50</f>
        <v>0.02</v>
      </c>
      <c r="G60" s="27">
        <f>rebio23_80ml!G63/50</f>
        <v>0</v>
      </c>
      <c r="H60" s="27">
        <f>rebio23_80ml!H63/50</f>
        <v>0</v>
      </c>
      <c r="I60" s="27">
        <f>rebio23_80ml!I63/50</f>
        <v>8.14</v>
      </c>
      <c r="J60" s="27">
        <f>rebio23_80ml!J63/50</f>
        <v>2.72</v>
      </c>
      <c r="K60" s="27">
        <f>rebio23_80ml!K63/50</f>
        <v>0</v>
      </c>
      <c r="L60" s="27">
        <f>rebio23_80ml!L63/50</f>
        <v>0.06</v>
      </c>
      <c r="M60" s="27">
        <f>rebio23_80ml!M63/50</f>
        <v>0</v>
      </c>
      <c r="N60" s="27">
        <f>rebio23_80ml!N63/50</f>
        <v>0</v>
      </c>
      <c r="O60" s="27">
        <f>rebio23_80ml!O63/50</f>
        <v>0</v>
      </c>
      <c r="P60" s="27">
        <f>rebio23_80ml!P63/50</f>
        <v>0</v>
      </c>
      <c r="Q60" s="27">
        <f>rebio23_80ml!Q63/50</f>
        <v>0</v>
      </c>
      <c r="R60" s="27">
        <f>rebio23_80ml!R63/50</f>
        <v>0</v>
      </c>
      <c r="S60" s="27">
        <f>rebio23_80ml!S63/50</f>
        <v>0.02</v>
      </c>
      <c r="T60" s="27">
        <f>rebio23_80ml!T63/50</f>
        <v>0.02</v>
      </c>
      <c r="U60" s="27">
        <f>rebio23_80ml!U63/50</f>
        <v>0</v>
      </c>
      <c r="V60" s="27">
        <f>rebio23_80ml!V63/50</f>
        <v>0</v>
      </c>
      <c r="W60" s="27">
        <f>rebio23_80ml!W63/50</f>
        <v>0</v>
      </c>
      <c r="X60" s="27">
        <f>rebio23_80ml!X63/50</f>
        <v>0</v>
      </c>
      <c r="Y60" s="27">
        <f>rebio23_80ml!Y63/50</f>
        <v>0.4</v>
      </c>
      <c r="Z60" s="27">
        <f>rebio23_80ml!Z63/50</f>
        <v>0.02</v>
      </c>
      <c r="AA60" s="27">
        <f>rebio23_80ml!AA63/50</f>
        <v>0.02</v>
      </c>
      <c r="AB60" s="27">
        <f>rebio23_80ml!AB63/50</f>
        <v>0</v>
      </c>
      <c r="AC60" s="27">
        <f>rebio23_80ml!AC63/50</f>
        <v>0</v>
      </c>
      <c r="AD60" s="27">
        <f>rebio23_80ml!AD63/50</f>
        <v>0</v>
      </c>
      <c r="AE60" s="27">
        <f>rebio23_80ml!AE63/50</f>
        <v>0</v>
      </c>
      <c r="AF60" s="27">
        <f>rebio23_80ml!AF63/50</f>
        <v>0</v>
      </c>
      <c r="AG60" s="27">
        <f>rebio23_80ml!AG63/50</f>
        <v>0</v>
      </c>
      <c r="AH60" s="27">
        <f>rebio23_80ml!AH63/50</f>
        <v>0</v>
      </c>
      <c r="AI60" s="27">
        <f>rebio23_80ml!AI63/50</f>
        <v>0</v>
      </c>
      <c r="AJ60" s="27">
        <f>rebio23_80ml!AJ63/50</f>
        <v>0.08</v>
      </c>
      <c r="AK60" s="27">
        <f>rebio23_80ml!AK63/50</f>
        <v>0</v>
      </c>
      <c r="AL60" s="27">
        <f>rebio23_80ml!AL63/50</f>
        <v>0.48</v>
      </c>
      <c r="AM60" s="27">
        <f>rebio23_80ml!AM63/50</f>
        <v>0.06</v>
      </c>
      <c r="AN60" s="27">
        <f>rebio23_80ml!AN63/50</f>
        <v>0</v>
      </c>
      <c r="AO60" s="27">
        <f>rebio23_80ml!AO63/50</f>
        <v>0.02</v>
      </c>
      <c r="AP60" s="27">
        <f>rebio23_80ml!AP63/50</f>
        <v>0.08</v>
      </c>
      <c r="AQ60" s="27">
        <f>rebio23_80ml!AQ63/50</f>
        <v>0</v>
      </c>
      <c r="AR60" s="27">
        <f>rebio23_80ml!AR63/50</f>
        <v>0.06</v>
      </c>
      <c r="AS60" s="27">
        <f>rebio23_80ml!AS63/50</f>
        <v>0</v>
      </c>
      <c r="AT60" s="27">
        <f>rebio23_80ml!AT63/50</f>
        <v>0</v>
      </c>
      <c r="AU60" s="27">
        <f>rebio23_80ml!AU63/50</f>
        <v>0</v>
      </c>
      <c r="AV60" s="27">
        <f>rebio23_80ml!AV63/50</f>
        <v>4.3600000000000003</v>
      </c>
      <c r="AW60" s="27">
        <f>rebio23_80ml!AW63/50</f>
        <v>0</v>
      </c>
      <c r="AX60" s="27">
        <f>rebio23_80ml!AX63/50</f>
        <v>0.04</v>
      </c>
      <c r="AY60" s="27">
        <f>rebio23_80ml!AY63/50</f>
        <v>0</v>
      </c>
      <c r="AZ60" s="27">
        <f>rebio23_80ml!AZ63/50</f>
        <v>0</v>
      </c>
      <c r="BA60" s="27">
        <f>rebio23_80ml!BA63/50</f>
        <v>0</v>
      </c>
      <c r="BB60" s="27">
        <f>rebio23_80ml!BB63/50</f>
        <v>0</v>
      </c>
      <c r="BC60" s="27">
        <f>rebio23_80ml!BC63/50</f>
        <v>0</v>
      </c>
      <c r="BD60" s="27">
        <f>rebio23_80ml!BD63/50</f>
        <v>0</v>
      </c>
      <c r="BE60" s="27">
        <f>rebio23_80ml!BE63/50</f>
        <v>0</v>
      </c>
      <c r="BF60" s="27">
        <f>rebio23_80ml!BF63/50</f>
        <v>0</v>
      </c>
      <c r="BG60" s="27">
        <f>rebio23_80ml!BG63/50</f>
        <v>0</v>
      </c>
    </row>
    <row r="61" spans="1:59" ht="12.75" customHeight="1" x14ac:dyDescent="0.25">
      <c r="A61" s="15" t="str">
        <f>rebio23_80ml!A64</f>
        <v>C-B-P08-H3</v>
      </c>
      <c r="B61" s="27">
        <f>rebio23_80ml!B64/50</f>
        <v>0.02</v>
      </c>
      <c r="C61" s="27">
        <f>rebio23_80ml!C64/50</f>
        <v>0</v>
      </c>
      <c r="D61" s="27">
        <f>rebio23_80ml!D64/50</f>
        <v>0</v>
      </c>
      <c r="E61" s="27">
        <f>rebio23_80ml!E64/50</f>
        <v>2.52</v>
      </c>
      <c r="F61" s="27">
        <f>rebio23_80ml!F66/50</f>
        <v>0</v>
      </c>
      <c r="G61" s="27">
        <f>rebio23_80ml!G64/50</f>
        <v>0</v>
      </c>
      <c r="H61" s="27">
        <f>rebio23_80ml!H64/50</f>
        <v>0</v>
      </c>
      <c r="I61" s="27">
        <f>rebio23_80ml!I64/50</f>
        <v>0.1</v>
      </c>
      <c r="J61" s="27">
        <f>rebio23_80ml!J64/50</f>
        <v>0</v>
      </c>
      <c r="K61" s="27">
        <f>rebio23_80ml!K64/50</f>
        <v>0</v>
      </c>
      <c r="L61" s="27">
        <f>rebio23_80ml!L64/50</f>
        <v>0.02</v>
      </c>
      <c r="M61" s="27">
        <f>rebio23_80ml!M64/50</f>
        <v>0</v>
      </c>
      <c r="N61" s="27">
        <f>rebio23_80ml!N64/50</f>
        <v>0</v>
      </c>
      <c r="O61" s="27">
        <f>rebio23_80ml!O64/50</f>
        <v>0</v>
      </c>
      <c r="P61" s="27">
        <f>rebio23_80ml!P64/50</f>
        <v>0</v>
      </c>
      <c r="Q61" s="27">
        <f>rebio23_80ml!Q64/50</f>
        <v>0.02</v>
      </c>
      <c r="R61" s="27">
        <f>rebio23_80ml!R64/50</f>
        <v>0</v>
      </c>
      <c r="S61" s="27">
        <f>rebio23_80ml!S64/50</f>
        <v>0</v>
      </c>
      <c r="T61" s="27">
        <f>rebio23_80ml!T64/50</f>
        <v>0.04</v>
      </c>
      <c r="U61" s="27">
        <f>rebio23_80ml!U64/50</f>
        <v>0</v>
      </c>
      <c r="V61" s="27">
        <f>rebio23_80ml!V64/50</f>
        <v>0</v>
      </c>
      <c r="W61" s="27">
        <f>rebio23_80ml!W64/50</f>
        <v>0</v>
      </c>
      <c r="X61" s="27">
        <f>rebio23_80ml!X64/50</f>
        <v>0</v>
      </c>
      <c r="Y61" s="27">
        <f>rebio23_80ml!Y64/50</f>
        <v>0.04</v>
      </c>
      <c r="Z61" s="27">
        <f>rebio23_80ml!Z64/50</f>
        <v>0</v>
      </c>
      <c r="AA61" s="27">
        <f>rebio23_80ml!AA64/50</f>
        <v>0</v>
      </c>
      <c r="AB61" s="27">
        <f>rebio23_80ml!AB64/50</f>
        <v>0</v>
      </c>
      <c r="AC61" s="27">
        <f>rebio23_80ml!AC64/50</f>
        <v>0</v>
      </c>
      <c r="AD61" s="27">
        <f>rebio23_80ml!AD64/50</f>
        <v>0</v>
      </c>
      <c r="AE61" s="27">
        <f>rebio23_80ml!AE64/50</f>
        <v>0</v>
      </c>
      <c r="AF61" s="27">
        <f>rebio23_80ml!AF64/50</f>
        <v>0</v>
      </c>
      <c r="AG61" s="27">
        <f>rebio23_80ml!AG64/50</f>
        <v>0</v>
      </c>
      <c r="AH61" s="27">
        <f>rebio23_80ml!AH64/50</f>
        <v>0</v>
      </c>
      <c r="AI61" s="27">
        <f>rebio23_80ml!AI64/50</f>
        <v>0</v>
      </c>
      <c r="AJ61" s="27">
        <f>rebio23_80ml!AJ64/50</f>
        <v>0</v>
      </c>
      <c r="AK61" s="27">
        <f>rebio23_80ml!AK64/50</f>
        <v>0</v>
      </c>
      <c r="AL61" s="27">
        <f>rebio23_80ml!AL64/50</f>
        <v>0.02</v>
      </c>
      <c r="AM61" s="27">
        <f>rebio23_80ml!AM64/50</f>
        <v>0</v>
      </c>
      <c r="AN61" s="27">
        <f>rebio23_80ml!AN64/50</f>
        <v>0</v>
      </c>
      <c r="AO61" s="27">
        <f>rebio23_80ml!AO64/50</f>
        <v>0</v>
      </c>
      <c r="AP61" s="27">
        <f>rebio23_80ml!AP64/50</f>
        <v>0</v>
      </c>
      <c r="AQ61" s="27">
        <f>rebio23_80ml!AQ64/50</f>
        <v>0</v>
      </c>
      <c r="AR61" s="27">
        <f>rebio23_80ml!AR64/50</f>
        <v>0</v>
      </c>
      <c r="AS61" s="27">
        <f>rebio23_80ml!AS64/50</f>
        <v>0</v>
      </c>
      <c r="AT61" s="27">
        <f>rebio23_80ml!AT64/50</f>
        <v>0</v>
      </c>
      <c r="AU61" s="27">
        <f>rebio23_80ml!AU64/50</f>
        <v>0</v>
      </c>
      <c r="AV61" s="27">
        <f>rebio23_80ml!AV64/50</f>
        <v>0.16</v>
      </c>
      <c r="AW61" s="27">
        <f>rebio23_80ml!AW64/50</f>
        <v>0</v>
      </c>
      <c r="AX61" s="27">
        <f>rebio23_80ml!AX64/50</f>
        <v>0</v>
      </c>
      <c r="AY61" s="27">
        <f>rebio23_80ml!AY64/50</f>
        <v>0</v>
      </c>
      <c r="AZ61" s="27">
        <f>rebio23_80ml!AZ64/50</f>
        <v>0</v>
      </c>
      <c r="BA61" s="27">
        <f>rebio23_80ml!BA64/50</f>
        <v>0</v>
      </c>
      <c r="BB61" s="27">
        <f>rebio23_80ml!BB64/50</f>
        <v>0</v>
      </c>
      <c r="BC61" s="27">
        <f>rebio23_80ml!BC64/50</f>
        <v>0</v>
      </c>
      <c r="BD61" s="27">
        <f>rebio23_80ml!BD64/50</f>
        <v>0</v>
      </c>
      <c r="BE61" s="27">
        <f>rebio23_80ml!BE64/50</f>
        <v>0</v>
      </c>
      <c r="BF61" s="27">
        <f>rebio23_80ml!BF64/50</f>
        <v>0</v>
      </c>
      <c r="BG61" s="27">
        <f>rebio23_80ml!BG64/50</f>
        <v>0</v>
      </c>
    </row>
    <row r="62" spans="1:59" ht="12.75" customHeight="1" x14ac:dyDescent="0.25">
      <c r="A62" s="15" t="str">
        <f>rebio23_80ml!A65</f>
        <v>C-B-P09-H1</v>
      </c>
      <c r="B62" s="27">
        <f>rebio23_80ml!B65/50</f>
        <v>0</v>
      </c>
      <c r="C62" s="27">
        <f>rebio23_80ml!C65/50</f>
        <v>0</v>
      </c>
      <c r="D62" s="27">
        <f>rebio23_80ml!D65/50</f>
        <v>0</v>
      </c>
      <c r="E62" s="27">
        <f>rebio23_80ml!E65/50</f>
        <v>1.48</v>
      </c>
      <c r="F62" s="27">
        <f>rebio23_80ml!F67/50</f>
        <v>0</v>
      </c>
      <c r="G62" s="27">
        <f>rebio23_80ml!G65/50</f>
        <v>0</v>
      </c>
      <c r="H62" s="27">
        <f>rebio23_80ml!H65/50</f>
        <v>0</v>
      </c>
      <c r="I62" s="27">
        <f>rebio23_80ml!I65/50</f>
        <v>0</v>
      </c>
      <c r="J62" s="27">
        <f>rebio23_80ml!J65/50</f>
        <v>0</v>
      </c>
      <c r="K62" s="27">
        <f>rebio23_80ml!K65/50</f>
        <v>0</v>
      </c>
      <c r="L62" s="27">
        <f>rebio23_80ml!L65/50</f>
        <v>0</v>
      </c>
      <c r="M62" s="27">
        <f>rebio23_80ml!M65/50</f>
        <v>0</v>
      </c>
      <c r="N62" s="27">
        <f>rebio23_80ml!N65/50</f>
        <v>0</v>
      </c>
      <c r="O62" s="27">
        <f>rebio23_80ml!O65/50</f>
        <v>0</v>
      </c>
      <c r="P62" s="27">
        <f>rebio23_80ml!P65/50</f>
        <v>0</v>
      </c>
      <c r="Q62" s="27">
        <f>rebio23_80ml!Q65/50</f>
        <v>0</v>
      </c>
      <c r="R62" s="27">
        <f>rebio23_80ml!R65/50</f>
        <v>0</v>
      </c>
      <c r="S62" s="27">
        <f>rebio23_80ml!S65/50</f>
        <v>0</v>
      </c>
      <c r="T62" s="27">
        <f>rebio23_80ml!T65/50</f>
        <v>0</v>
      </c>
      <c r="U62" s="27">
        <f>rebio23_80ml!U65/50</f>
        <v>0</v>
      </c>
      <c r="V62" s="27">
        <f>rebio23_80ml!V65/50</f>
        <v>0</v>
      </c>
      <c r="W62" s="27">
        <f>rebio23_80ml!W65/50</f>
        <v>0</v>
      </c>
      <c r="X62" s="27">
        <f>rebio23_80ml!X65/50</f>
        <v>0</v>
      </c>
      <c r="Y62" s="27">
        <f>rebio23_80ml!Y65/50</f>
        <v>0</v>
      </c>
      <c r="Z62" s="27">
        <f>rebio23_80ml!Z65/50</f>
        <v>0</v>
      </c>
      <c r="AA62" s="27">
        <f>rebio23_80ml!AA65/50</f>
        <v>0</v>
      </c>
      <c r="AB62" s="27">
        <f>rebio23_80ml!AB65/50</f>
        <v>0</v>
      </c>
      <c r="AC62" s="27">
        <f>rebio23_80ml!AC65/50</f>
        <v>0</v>
      </c>
      <c r="AD62" s="27">
        <f>rebio23_80ml!AD65/50</f>
        <v>0</v>
      </c>
      <c r="AE62" s="27">
        <f>rebio23_80ml!AE65/50</f>
        <v>0</v>
      </c>
      <c r="AF62" s="27">
        <f>rebio23_80ml!AF65/50</f>
        <v>0</v>
      </c>
      <c r="AG62" s="27">
        <f>rebio23_80ml!AG65/50</f>
        <v>0</v>
      </c>
      <c r="AH62" s="27">
        <f>rebio23_80ml!AH65/50</f>
        <v>0</v>
      </c>
      <c r="AI62" s="27">
        <f>rebio23_80ml!AI65/50</f>
        <v>0</v>
      </c>
      <c r="AJ62" s="27">
        <f>rebio23_80ml!AJ65/50</f>
        <v>0</v>
      </c>
      <c r="AK62" s="27">
        <f>rebio23_80ml!AK65/50</f>
        <v>0</v>
      </c>
      <c r="AL62" s="27">
        <f>rebio23_80ml!AL65/50</f>
        <v>0</v>
      </c>
      <c r="AM62" s="27">
        <f>rebio23_80ml!AM65/50</f>
        <v>0</v>
      </c>
      <c r="AN62" s="27">
        <f>rebio23_80ml!AN65/50</f>
        <v>0</v>
      </c>
      <c r="AO62" s="27">
        <f>rebio23_80ml!AO65/50</f>
        <v>0</v>
      </c>
      <c r="AP62" s="27">
        <f>rebio23_80ml!AP65/50</f>
        <v>0</v>
      </c>
      <c r="AQ62" s="27">
        <f>rebio23_80ml!AQ65/50</f>
        <v>0</v>
      </c>
      <c r="AR62" s="27">
        <f>rebio23_80ml!AR65/50</f>
        <v>0</v>
      </c>
      <c r="AS62" s="27">
        <f>rebio23_80ml!AS65/50</f>
        <v>0</v>
      </c>
      <c r="AT62" s="27">
        <f>rebio23_80ml!AT65/50</f>
        <v>0</v>
      </c>
      <c r="AU62" s="27">
        <f>rebio23_80ml!AU65/50</f>
        <v>0</v>
      </c>
      <c r="AV62" s="27">
        <f>rebio23_80ml!AV65/50</f>
        <v>0</v>
      </c>
      <c r="AW62" s="27">
        <f>rebio23_80ml!AW65/50</f>
        <v>0</v>
      </c>
      <c r="AX62" s="27">
        <f>rebio23_80ml!AX65/50</f>
        <v>0</v>
      </c>
      <c r="AY62" s="27">
        <f>rebio23_80ml!AY65/50</f>
        <v>0.02</v>
      </c>
      <c r="AZ62" s="27">
        <f>rebio23_80ml!AZ65/50</f>
        <v>0</v>
      </c>
      <c r="BA62" s="27">
        <f>rebio23_80ml!BA65/50</f>
        <v>0</v>
      </c>
      <c r="BB62" s="27">
        <f>rebio23_80ml!BB65/50</f>
        <v>0</v>
      </c>
      <c r="BC62" s="27">
        <f>rebio23_80ml!BC65/50</f>
        <v>0</v>
      </c>
      <c r="BD62" s="27">
        <f>rebio23_80ml!BD65/50</f>
        <v>0.02</v>
      </c>
      <c r="BE62" s="27">
        <f>rebio23_80ml!BE65/50</f>
        <v>0</v>
      </c>
      <c r="BF62" s="27">
        <f>rebio23_80ml!BF65/50</f>
        <v>0</v>
      </c>
      <c r="BG62" s="27">
        <f>rebio23_80ml!BG65/50</f>
        <v>0</v>
      </c>
    </row>
    <row r="63" spans="1:59" ht="12.75" customHeight="1" x14ac:dyDescent="0.25">
      <c r="A63" s="15" t="str">
        <f>rebio23_80ml!A66</f>
        <v>C-B-P09-H2</v>
      </c>
      <c r="B63" s="27">
        <f>rebio23_80ml!B66/50</f>
        <v>0.02</v>
      </c>
      <c r="C63" s="27">
        <f>rebio23_80ml!C66/50</f>
        <v>0</v>
      </c>
      <c r="D63" s="27">
        <f>rebio23_80ml!D66/50</f>
        <v>0</v>
      </c>
      <c r="E63" s="27">
        <f>rebio23_80ml!E66/50</f>
        <v>1.56</v>
      </c>
      <c r="F63" s="27">
        <f>rebio23_80ml!F66/50</f>
        <v>0</v>
      </c>
      <c r="G63" s="27">
        <f>rebio23_80ml!G66/50</f>
        <v>0</v>
      </c>
      <c r="H63" s="27">
        <f>rebio23_80ml!H66/50</f>
        <v>0</v>
      </c>
      <c r="I63" s="27">
        <f>rebio23_80ml!I66/50</f>
        <v>0</v>
      </c>
      <c r="J63" s="27">
        <f>rebio23_80ml!J66/50</f>
        <v>0</v>
      </c>
      <c r="K63" s="27">
        <f>rebio23_80ml!K66/50</f>
        <v>0</v>
      </c>
      <c r="L63" s="27">
        <f>rebio23_80ml!L66/50</f>
        <v>0</v>
      </c>
      <c r="M63" s="27">
        <f>rebio23_80ml!M66/50</f>
        <v>0</v>
      </c>
      <c r="N63" s="27">
        <f>rebio23_80ml!N66/50</f>
        <v>0</v>
      </c>
      <c r="O63" s="27">
        <f>rebio23_80ml!O66/50</f>
        <v>0</v>
      </c>
      <c r="P63" s="27">
        <f>rebio23_80ml!P66/50</f>
        <v>0</v>
      </c>
      <c r="Q63" s="27">
        <f>rebio23_80ml!Q66/50</f>
        <v>0</v>
      </c>
      <c r="R63" s="27">
        <f>rebio23_80ml!R66/50</f>
        <v>0</v>
      </c>
      <c r="S63" s="27">
        <f>rebio23_80ml!S66/50</f>
        <v>0.04</v>
      </c>
      <c r="T63" s="27">
        <f>rebio23_80ml!T66/50</f>
        <v>0</v>
      </c>
      <c r="U63" s="27">
        <f>rebio23_80ml!U66/50</f>
        <v>0</v>
      </c>
      <c r="V63" s="27">
        <f>rebio23_80ml!V66/50</f>
        <v>0</v>
      </c>
      <c r="W63" s="27">
        <f>rebio23_80ml!W66/50</f>
        <v>0</v>
      </c>
      <c r="X63" s="27">
        <f>rebio23_80ml!X66/50</f>
        <v>0</v>
      </c>
      <c r="Y63" s="27">
        <f>rebio23_80ml!Y66/50</f>
        <v>0.02</v>
      </c>
      <c r="Z63" s="27">
        <f>rebio23_80ml!Z66/50</f>
        <v>0</v>
      </c>
      <c r="AA63" s="27">
        <f>rebio23_80ml!AA66/50</f>
        <v>0</v>
      </c>
      <c r="AB63" s="27">
        <f>rebio23_80ml!AB66/50</f>
        <v>0</v>
      </c>
      <c r="AC63" s="27">
        <f>rebio23_80ml!AC66/50</f>
        <v>0</v>
      </c>
      <c r="AD63" s="27">
        <f>rebio23_80ml!AD66/50</f>
        <v>0</v>
      </c>
      <c r="AE63" s="27">
        <f>rebio23_80ml!AE66/50</f>
        <v>0</v>
      </c>
      <c r="AF63" s="27">
        <f>rebio23_80ml!AF66/50</f>
        <v>0</v>
      </c>
      <c r="AG63" s="27">
        <f>rebio23_80ml!AG66/50</f>
        <v>0</v>
      </c>
      <c r="AH63" s="27">
        <f>rebio23_80ml!AH66/50</f>
        <v>0</v>
      </c>
      <c r="AI63" s="27">
        <f>rebio23_80ml!AI66/50</f>
        <v>0</v>
      </c>
      <c r="AJ63" s="27">
        <f>rebio23_80ml!AJ66/50</f>
        <v>0</v>
      </c>
      <c r="AK63" s="27">
        <f>rebio23_80ml!AK66/50</f>
        <v>0</v>
      </c>
      <c r="AL63" s="27">
        <f>rebio23_80ml!AL66/50</f>
        <v>0</v>
      </c>
      <c r="AM63" s="27">
        <f>rebio23_80ml!AM66/50</f>
        <v>0</v>
      </c>
      <c r="AN63" s="27">
        <f>rebio23_80ml!AN66/50</f>
        <v>0</v>
      </c>
      <c r="AO63" s="27">
        <f>rebio23_80ml!AO66/50</f>
        <v>0</v>
      </c>
      <c r="AP63" s="27">
        <f>rebio23_80ml!AP66/50</f>
        <v>0</v>
      </c>
      <c r="AQ63" s="27">
        <f>rebio23_80ml!AQ66/50</f>
        <v>0</v>
      </c>
      <c r="AR63" s="27">
        <f>rebio23_80ml!AR66/50</f>
        <v>0</v>
      </c>
      <c r="AS63" s="27">
        <f>rebio23_80ml!AS66/50</f>
        <v>0</v>
      </c>
      <c r="AT63" s="27">
        <f>rebio23_80ml!AT66/50</f>
        <v>0</v>
      </c>
      <c r="AU63" s="27">
        <f>rebio23_80ml!AU66/50</f>
        <v>0</v>
      </c>
      <c r="AV63" s="27">
        <f>rebio23_80ml!AV66/50</f>
        <v>0</v>
      </c>
      <c r="AW63" s="27">
        <f>rebio23_80ml!AW66/50</f>
        <v>0</v>
      </c>
      <c r="AX63" s="27">
        <f>rebio23_80ml!AX66/50</f>
        <v>0</v>
      </c>
      <c r="AY63" s="27">
        <f>rebio23_80ml!AY66/50</f>
        <v>0.02</v>
      </c>
      <c r="AZ63" s="27">
        <f>rebio23_80ml!AZ66/50</f>
        <v>0</v>
      </c>
      <c r="BA63" s="27">
        <f>rebio23_80ml!BA66/50</f>
        <v>0</v>
      </c>
      <c r="BB63" s="27">
        <f>rebio23_80ml!BB66/50</f>
        <v>0</v>
      </c>
      <c r="BC63" s="27">
        <f>rebio23_80ml!BC66/50</f>
        <v>0</v>
      </c>
      <c r="BD63" s="27">
        <f>rebio23_80ml!BD66/50</f>
        <v>0</v>
      </c>
      <c r="BE63" s="27">
        <f>rebio23_80ml!BE66/50</f>
        <v>0</v>
      </c>
      <c r="BF63" s="27">
        <f>rebio23_80ml!BF66/50</f>
        <v>0</v>
      </c>
      <c r="BG63" s="27">
        <f>rebio23_80ml!BG66/50</f>
        <v>0</v>
      </c>
    </row>
    <row r="64" spans="1:59" ht="12.75" customHeight="1" x14ac:dyDescent="0.25">
      <c r="A64" s="15" t="str">
        <f>rebio23_80ml!A67</f>
        <v>C-B-P09-H3</v>
      </c>
      <c r="B64" s="27">
        <f>rebio23_80ml!B67/50</f>
        <v>0.02</v>
      </c>
      <c r="C64" s="27">
        <f>rebio23_80ml!C67/50</f>
        <v>0.04</v>
      </c>
      <c r="D64" s="27">
        <f>rebio23_80ml!D67/50</f>
        <v>0</v>
      </c>
      <c r="E64" s="27">
        <f>rebio23_80ml!E67/50</f>
        <v>2.98</v>
      </c>
      <c r="F64" s="27">
        <f>rebio23_80ml!F67/50</f>
        <v>0</v>
      </c>
      <c r="G64" s="27">
        <f>rebio23_80ml!G67/50</f>
        <v>0</v>
      </c>
      <c r="H64" s="27">
        <f>rebio23_80ml!H67/50</f>
        <v>0</v>
      </c>
      <c r="I64" s="27">
        <f>rebio23_80ml!I67/50</f>
        <v>0</v>
      </c>
      <c r="J64" s="27">
        <f>rebio23_80ml!J67/50</f>
        <v>0</v>
      </c>
      <c r="K64" s="27">
        <f>rebio23_80ml!K67/50</f>
        <v>0</v>
      </c>
      <c r="L64" s="27">
        <f>rebio23_80ml!L67/50</f>
        <v>0</v>
      </c>
      <c r="M64" s="27">
        <f>rebio23_80ml!M67/50</f>
        <v>0</v>
      </c>
      <c r="N64" s="27">
        <f>rebio23_80ml!N67/50</f>
        <v>0</v>
      </c>
      <c r="O64" s="27">
        <f>rebio23_80ml!O67/50</f>
        <v>0</v>
      </c>
      <c r="P64" s="27">
        <f>rebio23_80ml!P67/50</f>
        <v>0</v>
      </c>
      <c r="Q64" s="27">
        <f>rebio23_80ml!Q67/50</f>
        <v>0</v>
      </c>
      <c r="R64" s="27">
        <f>rebio23_80ml!R67/50</f>
        <v>0</v>
      </c>
      <c r="S64" s="27">
        <f>rebio23_80ml!S67/50</f>
        <v>0</v>
      </c>
      <c r="T64" s="27">
        <f>rebio23_80ml!T67/50</f>
        <v>0</v>
      </c>
      <c r="U64" s="27">
        <f>rebio23_80ml!U67/50</f>
        <v>0</v>
      </c>
      <c r="V64" s="27">
        <f>rebio23_80ml!V67/50</f>
        <v>0</v>
      </c>
      <c r="W64" s="27">
        <f>rebio23_80ml!W67/50</f>
        <v>0</v>
      </c>
      <c r="X64" s="27">
        <f>rebio23_80ml!X67/50</f>
        <v>0</v>
      </c>
      <c r="Y64" s="27">
        <f>rebio23_80ml!Y67/50</f>
        <v>0</v>
      </c>
      <c r="Z64" s="27">
        <f>rebio23_80ml!Z67/50</f>
        <v>0</v>
      </c>
      <c r="AA64" s="27">
        <f>rebio23_80ml!AA67/50</f>
        <v>0</v>
      </c>
      <c r="AB64" s="27">
        <f>rebio23_80ml!AB67/50</f>
        <v>0</v>
      </c>
      <c r="AC64" s="27">
        <f>rebio23_80ml!AC67/50</f>
        <v>0</v>
      </c>
      <c r="AD64" s="27">
        <f>rebio23_80ml!AD67/50</f>
        <v>0</v>
      </c>
      <c r="AE64" s="27">
        <f>rebio23_80ml!AE67/50</f>
        <v>0</v>
      </c>
      <c r="AF64" s="27">
        <f>rebio23_80ml!AF67/50</f>
        <v>0</v>
      </c>
      <c r="AG64" s="27">
        <f>rebio23_80ml!AG67/50</f>
        <v>0</v>
      </c>
      <c r="AH64" s="27">
        <f>rebio23_80ml!AH67/50</f>
        <v>0</v>
      </c>
      <c r="AI64" s="27">
        <f>rebio23_80ml!AI67/50</f>
        <v>0</v>
      </c>
      <c r="AJ64" s="27">
        <f>rebio23_80ml!AJ67/50</f>
        <v>0</v>
      </c>
      <c r="AK64" s="27">
        <f>rebio23_80ml!AK67/50</f>
        <v>0</v>
      </c>
      <c r="AL64" s="27">
        <f>rebio23_80ml!AL67/50</f>
        <v>0</v>
      </c>
      <c r="AM64" s="27">
        <f>rebio23_80ml!AM67/50</f>
        <v>0</v>
      </c>
      <c r="AN64" s="27">
        <f>rebio23_80ml!AN67/50</f>
        <v>0</v>
      </c>
      <c r="AO64" s="27">
        <f>rebio23_80ml!AO67/50</f>
        <v>0</v>
      </c>
      <c r="AP64" s="27">
        <f>rebio23_80ml!AP67/50</f>
        <v>0</v>
      </c>
      <c r="AQ64" s="27">
        <f>rebio23_80ml!AQ67/50</f>
        <v>0</v>
      </c>
      <c r="AR64" s="27">
        <f>rebio23_80ml!AR67/50</f>
        <v>0</v>
      </c>
      <c r="AS64" s="27">
        <f>rebio23_80ml!AS67/50</f>
        <v>0</v>
      </c>
      <c r="AT64" s="27">
        <f>rebio23_80ml!AT67/50</f>
        <v>0</v>
      </c>
      <c r="AU64" s="27">
        <f>rebio23_80ml!AU67/50</f>
        <v>0</v>
      </c>
      <c r="AV64" s="27">
        <f>rebio23_80ml!AV67/50</f>
        <v>0.1</v>
      </c>
      <c r="AW64" s="27">
        <f>rebio23_80ml!AW67/50</f>
        <v>0</v>
      </c>
      <c r="AX64" s="27">
        <f>rebio23_80ml!AX67/50</f>
        <v>0</v>
      </c>
      <c r="AY64" s="27">
        <f>rebio23_80ml!AY67/50</f>
        <v>0.02</v>
      </c>
      <c r="AZ64" s="27">
        <f>rebio23_80ml!AZ67/50</f>
        <v>0</v>
      </c>
      <c r="BA64" s="27">
        <f>rebio23_80ml!BA67/50</f>
        <v>0</v>
      </c>
      <c r="BB64" s="27">
        <f>rebio23_80ml!BB67/50</f>
        <v>0</v>
      </c>
      <c r="BC64" s="27">
        <f>rebio23_80ml!BC67/50</f>
        <v>0</v>
      </c>
      <c r="BD64" s="27">
        <f>rebio23_80ml!BD67/50</f>
        <v>0</v>
      </c>
      <c r="BE64" s="27">
        <f>rebio23_80ml!BE67/50</f>
        <v>0</v>
      </c>
      <c r="BF64" s="27">
        <f>rebio23_80ml!BF67/50</f>
        <v>0</v>
      </c>
      <c r="BG64" s="27">
        <f>rebio23_80ml!BG67/50</f>
        <v>0</v>
      </c>
    </row>
    <row r="65" spans="1:59" ht="12.75" customHeight="1" x14ac:dyDescent="0.25">
      <c r="A65" s="15" t="str">
        <f>rebio23_80ml!A68</f>
        <v>C-B-P10-H1</v>
      </c>
      <c r="B65" s="27">
        <f>rebio23_80ml!B68/50</f>
        <v>0.14000000000000001</v>
      </c>
      <c r="C65" s="27">
        <f>rebio23_80ml!C68/50</f>
        <v>0</v>
      </c>
      <c r="D65" s="27">
        <f>rebio23_80ml!D68/50</f>
        <v>0</v>
      </c>
      <c r="E65" s="27">
        <f>rebio23_80ml!E68/50</f>
        <v>2.1</v>
      </c>
      <c r="F65" s="27">
        <f>rebio23_80ml!F68/50</f>
        <v>0</v>
      </c>
      <c r="G65" s="27">
        <f>rebio23_80ml!G68/50</f>
        <v>0</v>
      </c>
      <c r="H65" s="27">
        <f>rebio23_80ml!H68/50</f>
        <v>0</v>
      </c>
      <c r="I65" s="27">
        <f>rebio23_80ml!I68/50</f>
        <v>0.04</v>
      </c>
      <c r="J65" s="27">
        <f>rebio23_80ml!J68/50</f>
        <v>0.02</v>
      </c>
      <c r="K65" s="27">
        <f>rebio23_80ml!K68/50</f>
        <v>0</v>
      </c>
      <c r="L65" s="27">
        <f>rebio23_80ml!L68/50</f>
        <v>0</v>
      </c>
      <c r="M65" s="27">
        <f>rebio23_80ml!M68/50</f>
        <v>0</v>
      </c>
      <c r="N65" s="27">
        <f>rebio23_80ml!N68/50</f>
        <v>0</v>
      </c>
      <c r="O65" s="27">
        <f>rebio23_80ml!O68/50</f>
        <v>0</v>
      </c>
      <c r="P65" s="27">
        <f>rebio23_80ml!P68/50</f>
        <v>0</v>
      </c>
      <c r="Q65" s="27">
        <f>rebio23_80ml!Q68/50</f>
        <v>0</v>
      </c>
      <c r="R65" s="27">
        <f>rebio23_80ml!R68/50</f>
        <v>0</v>
      </c>
      <c r="S65" s="27">
        <f>rebio23_80ml!S68/50</f>
        <v>0</v>
      </c>
      <c r="T65" s="27">
        <f>rebio23_80ml!T68/50</f>
        <v>0</v>
      </c>
      <c r="U65" s="27">
        <f>rebio23_80ml!U68/50</f>
        <v>0</v>
      </c>
      <c r="V65" s="27">
        <f>rebio23_80ml!V68/50</f>
        <v>0.02</v>
      </c>
      <c r="W65" s="27">
        <f>rebio23_80ml!W68/50</f>
        <v>0</v>
      </c>
      <c r="X65" s="27">
        <f>rebio23_80ml!X68/50</f>
        <v>0</v>
      </c>
      <c r="Y65" s="27">
        <f>rebio23_80ml!Y68/50</f>
        <v>0</v>
      </c>
      <c r="Z65" s="27">
        <f>rebio23_80ml!Z68/50</f>
        <v>0.02</v>
      </c>
      <c r="AA65" s="27">
        <f>rebio23_80ml!AA68/50</f>
        <v>0</v>
      </c>
      <c r="AB65" s="27">
        <f>rebio23_80ml!AB68/50</f>
        <v>0</v>
      </c>
      <c r="AC65" s="27">
        <f>rebio23_80ml!AC68/50</f>
        <v>0</v>
      </c>
      <c r="AD65" s="27">
        <f>rebio23_80ml!AD68/50</f>
        <v>0</v>
      </c>
      <c r="AE65" s="27">
        <f>rebio23_80ml!AE68/50</f>
        <v>0</v>
      </c>
      <c r="AF65" s="27">
        <f>rebio23_80ml!AF68/50</f>
        <v>0</v>
      </c>
      <c r="AG65" s="27">
        <f>rebio23_80ml!AG68/50</f>
        <v>0</v>
      </c>
      <c r="AH65" s="27">
        <f>rebio23_80ml!AH68/50</f>
        <v>0</v>
      </c>
      <c r="AI65" s="27">
        <f>rebio23_80ml!AI68/50</f>
        <v>0</v>
      </c>
      <c r="AJ65" s="27">
        <f>rebio23_80ml!AJ68/50</f>
        <v>0</v>
      </c>
      <c r="AK65" s="27">
        <f>rebio23_80ml!AK68/50</f>
        <v>0</v>
      </c>
      <c r="AL65" s="27">
        <f>rebio23_80ml!AL68/50</f>
        <v>0</v>
      </c>
      <c r="AM65" s="27">
        <f>rebio23_80ml!AM68/50</f>
        <v>0</v>
      </c>
      <c r="AN65" s="27">
        <f>rebio23_80ml!AN68/50</f>
        <v>0</v>
      </c>
      <c r="AO65" s="27">
        <f>rebio23_80ml!AO68/50</f>
        <v>0</v>
      </c>
      <c r="AP65" s="27">
        <f>rebio23_80ml!AP68/50</f>
        <v>0</v>
      </c>
      <c r="AQ65" s="27">
        <f>rebio23_80ml!AQ68/50</f>
        <v>0</v>
      </c>
      <c r="AR65" s="27">
        <f>rebio23_80ml!AR68/50</f>
        <v>0</v>
      </c>
      <c r="AS65" s="27">
        <f>rebio23_80ml!AS68/50</f>
        <v>0</v>
      </c>
      <c r="AT65" s="27">
        <f>rebio23_80ml!AT68/50</f>
        <v>0</v>
      </c>
      <c r="AU65" s="27">
        <f>rebio23_80ml!AU68/50</f>
        <v>0</v>
      </c>
      <c r="AV65" s="27">
        <f>rebio23_80ml!AV68/50</f>
        <v>0</v>
      </c>
      <c r="AW65" s="27">
        <f>rebio23_80ml!AW68/50</f>
        <v>0</v>
      </c>
      <c r="AX65" s="27">
        <f>rebio23_80ml!AX68/50</f>
        <v>0</v>
      </c>
      <c r="AY65" s="27">
        <f>rebio23_80ml!AY68/50</f>
        <v>0.18</v>
      </c>
      <c r="AZ65" s="27">
        <f>rebio23_80ml!AZ68/50</f>
        <v>0</v>
      </c>
      <c r="BA65" s="27">
        <f>rebio23_80ml!BA68/50</f>
        <v>0</v>
      </c>
      <c r="BB65" s="27">
        <f>rebio23_80ml!BB68/50</f>
        <v>0</v>
      </c>
      <c r="BC65" s="27">
        <f>rebio23_80ml!BC68/50</f>
        <v>0</v>
      </c>
      <c r="BD65" s="27">
        <f>rebio23_80ml!BD68/50</f>
        <v>0</v>
      </c>
      <c r="BE65" s="27">
        <f>rebio23_80ml!BE68/50</f>
        <v>0</v>
      </c>
      <c r="BF65" s="27">
        <f>rebio23_80ml!BF68/50</f>
        <v>0</v>
      </c>
      <c r="BG65" s="27">
        <f>rebio23_80ml!BG68/50</f>
        <v>0</v>
      </c>
    </row>
    <row r="66" spans="1:59" ht="12.75" customHeight="1" x14ac:dyDescent="0.25">
      <c r="A66" s="15" t="str">
        <f>rebio23_80ml!A69</f>
        <v>C-B-P10-H2</v>
      </c>
      <c r="B66" s="27">
        <f>rebio23_80ml!B69/50</f>
        <v>0.22</v>
      </c>
      <c r="C66" s="27">
        <f>rebio23_80ml!C69/50</f>
        <v>0.02</v>
      </c>
      <c r="D66" s="27">
        <f>rebio23_80ml!D69/50</f>
        <v>0.04</v>
      </c>
      <c r="E66" s="27">
        <f>rebio23_80ml!E69/50</f>
        <v>2.3199999999999998</v>
      </c>
      <c r="F66" s="27">
        <f>rebio23_80ml!F69/50</f>
        <v>0</v>
      </c>
      <c r="G66" s="27">
        <f>rebio23_80ml!G69/50</f>
        <v>0.02</v>
      </c>
      <c r="H66" s="27">
        <f>rebio23_80ml!H69/50</f>
        <v>0</v>
      </c>
      <c r="I66" s="27">
        <f>rebio23_80ml!I69/50</f>
        <v>0.16</v>
      </c>
      <c r="J66" s="27">
        <f>rebio23_80ml!J69/50</f>
        <v>0.2</v>
      </c>
      <c r="K66" s="27">
        <f>rebio23_80ml!K69/50</f>
        <v>0</v>
      </c>
      <c r="L66" s="27">
        <f>rebio23_80ml!L69/50</f>
        <v>0</v>
      </c>
      <c r="M66" s="27">
        <f>rebio23_80ml!M69/50</f>
        <v>0</v>
      </c>
      <c r="N66" s="27">
        <f>rebio23_80ml!N69/50</f>
        <v>0</v>
      </c>
      <c r="O66" s="27">
        <f>rebio23_80ml!O69/50</f>
        <v>0</v>
      </c>
      <c r="P66" s="27">
        <f>rebio23_80ml!P69/50</f>
        <v>0</v>
      </c>
      <c r="Q66" s="27">
        <f>rebio23_80ml!Q69/50</f>
        <v>0.1</v>
      </c>
      <c r="R66" s="27">
        <f>rebio23_80ml!R69/50</f>
        <v>0</v>
      </c>
      <c r="S66" s="27">
        <f>rebio23_80ml!S69/50</f>
        <v>0</v>
      </c>
      <c r="T66" s="27">
        <f>rebio23_80ml!T69/50</f>
        <v>0</v>
      </c>
      <c r="U66" s="27">
        <f>rebio23_80ml!U69/50</f>
        <v>0.02</v>
      </c>
      <c r="V66" s="27">
        <f>rebio23_80ml!V69/50</f>
        <v>0.06</v>
      </c>
      <c r="W66" s="27">
        <f>rebio23_80ml!W69/50</f>
        <v>0</v>
      </c>
      <c r="X66" s="27">
        <f>rebio23_80ml!X69/50</f>
        <v>0</v>
      </c>
      <c r="Y66" s="27">
        <f>rebio23_80ml!Y69/50</f>
        <v>0</v>
      </c>
      <c r="Z66" s="27">
        <f>rebio23_80ml!Z69/50</f>
        <v>0</v>
      </c>
      <c r="AA66" s="27">
        <f>rebio23_80ml!AA69/50</f>
        <v>0</v>
      </c>
      <c r="AB66" s="27">
        <f>rebio23_80ml!AB69/50</f>
        <v>0</v>
      </c>
      <c r="AC66" s="27">
        <f>rebio23_80ml!AC69/50</f>
        <v>0</v>
      </c>
      <c r="AD66" s="27">
        <f>rebio23_80ml!AD69/50</f>
        <v>0</v>
      </c>
      <c r="AE66" s="27">
        <f>rebio23_80ml!AE69/50</f>
        <v>0</v>
      </c>
      <c r="AF66" s="27">
        <f>rebio23_80ml!AF69/50</f>
        <v>0</v>
      </c>
      <c r="AG66" s="27">
        <f>rebio23_80ml!AG69/50</f>
        <v>0</v>
      </c>
      <c r="AH66" s="27">
        <f>rebio23_80ml!AH69/50</f>
        <v>0</v>
      </c>
      <c r="AI66" s="27">
        <f>rebio23_80ml!AI69/50</f>
        <v>0</v>
      </c>
      <c r="AJ66" s="27">
        <f>rebio23_80ml!AJ69/50</f>
        <v>0</v>
      </c>
      <c r="AK66" s="27">
        <f>rebio23_80ml!AK69/50</f>
        <v>0</v>
      </c>
      <c r="AL66" s="27">
        <f>rebio23_80ml!AL69/50</f>
        <v>0.02</v>
      </c>
      <c r="AM66" s="27">
        <f>rebio23_80ml!AM69/50</f>
        <v>0</v>
      </c>
      <c r="AN66" s="27">
        <f>rebio23_80ml!AN69/50</f>
        <v>0</v>
      </c>
      <c r="AO66" s="27">
        <f>rebio23_80ml!AO69/50</f>
        <v>0</v>
      </c>
      <c r="AP66" s="27">
        <f>rebio23_80ml!AP69/50</f>
        <v>0</v>
      </c>
      <c r="AQ66" s="27">
        <f>rebio23_80ml!AQ69/50</f>
        <v>0</v>
      </c>
      <c r="AR66" s="27">
        <f>rebio23_80ml!AR69/50</f>
        <v>0</v>
      </c>
      <c r="AS66" s="27">
        <f>rebio23_80ml!AS69/50</f>
        <v>0</v>
      </c>
      <c r="AT66" s="27">
        <f>rebio23_80ml!AT69/50</f>
        <v>0</v>
      </c>
      <c r="AU66" s="27">
        <f>rebio23_80ml!AU69/50</f>
        <v>0</v>
      </c>
      <c r="AV66" s="27">
        <f>rebio23_80ml!AV69/50</f>
        <v>0.14000000000000001</v>
      </c>
      <c r="AW66" s="27">
        <f>rebio23_80ml!AW69/50</f>
        <v>0</v>
      </c>
      <c r="AX66" s="27">
        <f>rebio23_80ml!AX69/50</f>
        <v>0</v>
      </c>
      <c r="AY66" s="27">
        <f>rebio23_80ml!AY69/50</f>
        <v>0.7</v>
      </c>
      <c r="AZ66" s="27">
        <f>rebio23_80ml!AZ69/50</f>
        <v>0</v>
      </c>
      <c r="BA66" s="27">
        <f>rebio23_80ml!BA69/50</f>
        <v>0</v>
      </c>
      <c r="BB66" s="27">
        <f>rebio23_80ml!BB69/50</f>
        <v>0</v>
      </c>
      <c r="BC66" s="27">
        <f>rebio23_80ml!BC69/50</f>
        <v>0</v>
      </c>
      <c r="BD66" s="27">
        <f>rebio23_80ml!BD69/50</f>
        <v>0.02</v>
      </c>
      <c r="BE66" s="27">
        <f>rebio23_80ml!BE69/50</f>
        <v>0</v>
      </c>
      <c r="BF66" s="27">
        <f>rebio23_80ml!BF69/50</f>
        <v>0</v>
      </c>
      <c r="BG66" s="27">
        <f>rebio23_80ml!BG69/50</f>
        <v>0</v>
      </c>
    </row>
    <row r="67" spans="1:59" ht="12.75" customHeight="1" x14ac:dyDescent="0.25">
      <c r="A67" s="15" t="str">
        <f>rebio23_80ml!A70</f>
        <v>C-B-P10-H3</v>
      </c>
      <c r="B67" s="27">
        <f>rebio23_80ml!B70/50</f>
        <v>0.72</v>
      </c>
      <c r="C67" s="27">
        <f>rebio23_80ml!C70/50</f>
        <v>0.16</v>
      </c>
      <c r="D67" s="27">
        <f>rebio23_80ml!D70/50</f>
        <v>0.1</v>
      </c>
      <c r="E67" s="27">
        <f>rebio23_80ml!E70/50</f>
        <v>4.4000000000000004</v>
      </c>
      <c r="F67" s="27">
        <f>rebio23_80ml!F70/50</f>
        <v>0.04</v>
      </c>
      <c r="G67" s="27">
        <f>rebio23_80ml!G70/50</f>
        <v>0.14000000000000001</v>
      </c>
      <c r="H67" s="27">
        <f>rebio23_80ml!H70/50</f>
        <v>0</v>
      </c>
      <c r="I67" s="27">
        <f>rebio23_80ml!I70/50</f>
        <v>1.4</v>
      </c>
      <c r="J67" s="27">
        <f>rebio23_80ml!J70/50</f>
        <v>0.26</v>
      </c>
      <c r="K67" s="27">
        <f>rebio23_80ml!K70/50</f>
        <v>0</v>
      </c>
      <c r="L67" s="27">
        <f>rebio23_80ml!L70/50</f>
        <v>0.2</v>
      </c>
      <c r="M67" s="27">
        <f>rebio23_80ml!M70/50</f>
        <v>0</v>
      </c>
      <c r="N67" s="27">
        <f>rebio23_80ml!N70/50</f>
        <v>0</v>
      </c>
      <c r="O67" s="27">
        <f>rebio23_80ml!O70/50</f>
        <v>0</v>
      </c>
      <c r="P67" s="27">
        <f>rebio23_80ml!P70/50</f>
        <v>0</v>
      </c>
      <c r="Q67" s="27">
        <f>rebio23_80ml!Q70/50</f>
        <v>0.2</v>
      </c>
      <c r="R67" s="27">
        <f>rebio23_80ml!R70/50</f>
        <v>0</v>
      </c>
      <c r="S67" s="27">
        <f>rebio23_80ml!S70/50</f>
        <v>0</v>
      </c>
      <c r="T67" s="27">
        <f>rebio23_80ml!T70/50</f>
        <v>0</v>
      </c>
      <c r="U67" s="27">
        <f>rebio23_80ml!U70/50</f>
        <v>0</v>
      </c>
      <c r="V67" s="27">
        <f>rebio23_80ml!V70/50</f>
        <v>0</v>
      </c>
      <c r="W67" s="27">
        <f>rebio23_80ml!W70/50</f>
        <v>0</v>
      </c>
      <c r="X67" s="27">
        <f>rebio23_80ml!X70/50</f>
        <v>0</v>
      </c>
      <c r="Y67" s="27">
        <f>rebio23_80ml!Y70/50</f>
        <v>0.12</v>
      </c>
      <c r="Z67" s="27">
        <f>rebio23_80ml!Z70/50</f>
        <v>0.04</v>
      </c>
      <c r="AA67" s="27">
        <f>rebio23_80ml!AA70/50</f>
        <v>0.04</v>
      </c>
      <c r="AB67" s="27">
        <f>rebio23_80ml!AB70/50</f>
        <v>0</v>
      </c>
      <c r="AC67" s="27">
        <f>rebio23_80ml!AC70/50</f>
        <v>0</v>
      </c>
      <c r="AD67" s="27">
        <f>rebio23_80ml!AD70/50</f>
        <v>0</v>
      </c>
      <c r="AE67" s="27">
        <f>rebio23_80ml!AE70/50</f>
        <v>0</v>
      </c>
      <c r="AF67" s="27">
        <f>rebio23_80ml!AF70/50</f>
        <v>0</v>
      </c>
      <c r="AG67" s="27">
        <f>rebio23_80ml!AG70/50</f>
        <v>0</v>
      </c>
      <c r="AH67" s="27">
        <f>rebio23_80ml!AH70/50</f>
        <v>0</v>
      </c>
      <c r="AI67" s="27">
        <f>rebio23_80ml!AI70/50</f>
        <v>0</v>
      </c>
      <c r="AJ67" s="27">
        <f>rebio23_80ml!AJ70/50</f>
        <v>0</v>
      </c>
      <c r="AK67" s="27">
        <f>rebio23_80ml!AK70/50</f>
        <v>0</v>
      </c>
      <c r="AL67" s="27">
        <f>rebio23_80ml!AL70/50</f>
        <v>0.08</v>
      </c>
      <c r="AM67" s="27">
        <f>rebio23_80ml!AM70/50</f>
        <v>0</v>
      </c>
      <c r="AN67" s="27">
        <f>rebio23_80ml!AN70/50</f>
        <v>0</v>
      </c>
      <c r="AO67" s="27">
        <f>rebio23_80ml!AO70/50</f>
        <v>0</v>
      </c>
      <c r="AP67" s="27">
        <f>rebio23_80ml!AP70/50</f>
        <v>0</v>
      </c>
      <c r="AQ67" s="27">
        <f>rebio23_80ml!AQ70/50</f>
        <v>0</v>
      </c>
      <c r="AR67" s="27">
        <f>rebio23_80ml!AR70/50</f>
        <v>0</v>
      </c>
      <c r="AS67" s="27">
        <f>rebio23_80ml!AS70/50</f>
        <v>0</v>
      </c>
      <c r="AT67" s="27">
        <f>rebio23_80ml!AT70/50</f>
        <v>0</v>
      </c>
      <c r="AU67" s="27">
        <f>rebio23_80ml!AU70/50</f>
        <v>0</v>
      </c>
      <c r="AV67" s="27">
        <f>rebio23_80ml!AV70/50</f>
        <v>2.14</v>
      </c>
      <c r="AW67" s="27">
        <f>rebio23_80ml!AW70/50</f>
        <v>0</v>
      </c>
      <c r="AX67" s="27">
        <f>rebio23_80ml!AX70/50</f>
        <v>0.02</v>
      </c>
      <c r="AY67" s="27">
        <f>rebio23_80ml!AY70/50</f>
        <v>2.58</v>
      </c>
      <c r="AZ67" s="27">
        <f>rebio23_80ml!AZ70/50</f>
        <v>0</v>
      </c>
      <c r="BA67" s="27">
        <f>rebio23_80ml!BA70/50</f>
        <v>0</v>
      </c>
      <c r="BB67" s="27">
        <f>rebio23_80ml!BB70/50</f>
        <v>0</v>
      </c>
      <c r="BC67" s="27">
        <f>rebio23_80ml!BC70/50</f>
        <v>0</v>
      </c>
      <c r="BD67" s="27">
        <f>rebio23_80ml!BD70/50</f>
        <v>0</v>
      </c>
      <c r="BE67" s="27">
        <f>rebio23_80ml!BE70/50</f>
        <v>0</v>
      </c>
      <c r="BF67" s="27">
        <f>rebio23_80ml!BF70/50</f>
        <v>0.02</v>
      </c>
      <c r="BG67" s="27">
        <f>rebio23_80ml!BG70/50</f>
        <v>0</v>
      </c>
    </row>
    <row r="68" spans="1:59" ht="12.75" customHeight="1" x14ac:dyDescent="0.25">
      <c r="A68" s="48" t="str">
        <f>rebio23_80ml!A71</f>
        <v>C-C-P11-H1</v>
      </c>
      <c r="B68" s="49">
        <f>rebio23_80ml!B71/50</f>
        <v>0</v>
      </c>
      <c r="C68" s="49">
        <f>rebio23_80ml!C71/50</f>
        <v>0</v>
      </c>
      <c r="D68" s="49">
        <f>rebio23_80ml!D71/50</f>
        <v>0</v>
      </c>
      <c r="E68" s="49">
        <f>rebio23_80ml!E71/50</f>
        <v>0</v>
      </c>
      <c r="F68" s="49">
        <f>rebio23_80ml!F71/50</f>
        <v>0</v>
      </c>
      <c r="G68" s="49">
        <f>rebio23_80ml!G71/50</f>
        <v>0</v>
      </c>
      <c r="H68" s="49">
        <f>rebio23_80ml!H71/50</f>
        <v>0</v>
      </c>
      <c r="I68" s="49">
        <f>rebio23_80ml!I71/50</f>
        <v>0</v>
      </c>
      <c r="J68" s="49">
        <f>rebio23_80ml!J71/50</f>
        <v>0</v>
      </c>
      <c r="K68" s="49">
        <f>rebio23_80ml!K71/50</f>
        <v>0</v>
      </c>
      <c r="L68" s="49">
        <f>rebio23_80ml!L71/50</f>
        <v>0</v>
      </c>
      <c r="M68" s="49">
        <f>rebio23_80ml!M71/50</f>
        <v>0</v>
      </c>
      <c r="N68" s="49">
        <f>rebio23_80ml!N71/50</f>
        <v>0</v>
      </c>
      <c r="O68" s="49">
        <f>rebio23_80ml!O71/50</f>
        <v>0</v>
      </c>
      <c r="P68" s="49">
        <f>rebio23_80ml!P71/50</f>
        <v>0</v>
      </c>
      <c r="Q68" s="49">
        <f>rebio23_80ml!Q71/50</f>
        <v>0</v>
      </c>
      <c r="R68" s="49">
        <f>rebio23_80ml!R71/50</f>
        <v>0</v>
      </c>
      <c r="S68" s="49">
        <f>rebio23_80ml!S71/50</f>
        <v>0</v>
      </c>
      <c r="T68" s="49">
        <f>rebio23_80ml!T71/50</f>
        <v>0</v>
      </c>
      <c r="U68" s="49">
        <f>rebio23_80ml!U71/50</f>
        <v>0</v>
      </c>
      <c r="V68" s="49">
        <f>rebio23_80ml!V71/50</f>
        <v>0</v>
      </c>
      <c r="W68" s="49">
        <f>rebio23_80ml!W71/50</f>
        <v>0</v>
      </c>
      <c r="X68" s="49">
        <f>rebio23_80ml!X71/50</f>
        <v>0</v>
      </c>
      <c r="Y68" s="49">
        <f>rebio23_80ml!Y71/50</f>
        <v>0</v>
      </c>
      <c r="Z68" s="49">
        <f>rebio23_80ml!Z71/50</f>
        <v>0</v>
      </c>
      <c r="AA68" s="49">
        <f>rebio23_80ml!AA71/50</f>
        <v>0</v>
      </c>
      <c r="AB68" s="49">
        <f>rebio23_80ml!AB71/50</f>
        <v>0</v>
      </c>
      <c r="AC68" s="49">
        <f>rebio23_80ml!AC71/50</f>
        <v>0</v>
      </c>
      <c r="AD68" s="49">
        <f>rebio23_80ml!AD71/50</f>
        <v>0</v>
      </c>
      <c r="AE68" s="49">
        <f>rebio23_80ml!AE71/50</f>
        <v>0</v>
      </c>
      <c r="AF68" s="49">
        <f>rebio23_80ml!AF71/50</f>
        <v>0</v>
      </c>
      <c r="AG68" s="49">
        <f>rebio23_80ml!AG71/50</f>
        <v>0</v>
      </c>
      <c r="AH68" s="49">
        <f>rebio23_80ml!AH71/50</f>
        <v>0</v>
      </c>
      <c r="AI68" s="49">
        <f>rebio23_80ml!AI71/50</f>
        <v>0</v>
      </c>
      <c r="AJ68" s="49">
        <f>rebio23_80ml!AJ71/50</f>
        <v>0</v>
      </c>
      <c r="AK68" s="49">
        <f>rebio23_80ml!AK71/50</f>
        <v>0</v>
      </c>
      <c r="AL68" s="49">
        <f>rebio23_80ml!AL71/50</f>
        <v>0</v>
      </c>
      <c r="AM68" s="49">
        <f>rebio23_80ml!AM71/50</f>
        <v>0</v>
      </c>
      <c r="AN68" s="49">
        <f>rebio23_80ml!AN71/50</f>
        <v>0</v>
      </c>
      <c r="AO68" s="49">
        <f>rebio23_80ml!AO71/50</f>
        <v>0</v>
      </c>
      <c r="AP68" s="49">
        <f>rebio23_80ml!AP71/50</f>
        <v>0</v>
      </c>
      <c r="AQ68" s="49">
        <f>rebio23_80ml!AQ71/50</f>
        <v>0</v>
      </c>
      <c r="AR68" s="49">
        <f>rebio23_80ml!AR71/50</f>
        <v>0</v>
      </c>
      <c r="AS68" s="49">
        <f>rebio23_80ml!AS71/50</f>
        <v>0</v>
      </c>
      <c r="AT68" s="49">
        <f>rebio23_80ml!AT71/50</f>
        <v>0</v>
      </c>
      <c r="AU68" s="49">
        <f>rebio23_80ml!AU71/50</f>
        <v>0</v>
      </c>
      <c r="AV68" s="49">
        <f>rebio23_80ml!AV71/50</f>
        <v>0</v>
      </c>
      <c r="AW68" s="49">
        <f>rebio23_80ml!AW71/50</f>
        <v>0</v>
      </c>
      <c r="AX68" s="49">
        <f>rebio23_80ml!AX71/50</f>
        <v>0</v>
      </c>
      <c r="AY68" s="49">
        <f>rebio23_80ml!AY71/50</f>
        <v>0</v>
      </c>
      <c r="AZ68" s="49">
        <f>rebio23_80ml!AZ71/50</f>
        <v>0</v>
      </c>
      <c r="BA68" s="49">
        <f>rebio23_80ml!BA71/50</f>
        <v>0</v>
      </c>
      <c r="BB68" s="49">
        <f>rebio23_80ml!BB71/50</f>
        <v>0</v>
      </c>
      <c r="BC68" s="49">
        <f>rebio23_80ml!BC71/50</f>
        <v>0</v>
      </c>
      <c r="BD68" s="49">
        <f>rebio23_80ml!BD71/50</f>
        <v>0</v>
      </c>
      <c r="BE68" s="49">
        <f>rebio23_80ml!BE71/50</f>
        <v>0</v>
      </c>
      <c r="BF68" s="49">
        <f>rebio23_80ml!BF71/50</f>
        <v>0</v>
      </c>
      <c r="BG68" s="49">
        <f>rebio23_80ml!BG71/50</f>
        <v>0</v>
      </c>
    </row>
    <row r="69" spans="1:59" ht="12.75" customHeight="1" x14ac:dyDescent="0.25">
      <c r="A69" s="48" t="str">
        <f>rebio23_80ml!A72</f>
        <v>C-C-P11-H2</v>
      </c>
      <c r="B69" s="49">
        <f>rebio23_80ml!B72/50</f>
        <v>0</v>
      </c>
      <c r="C69" s="49">
        <f>rebio23_80ml!C72/50</f>
        <v>0</v>
      </c>
      <c r="D69" s="49">
        <f>rebio23_80ml!D72/50</f>
        <v>0</v>
      </c>
      <c r="E69" s="49">
        <f>rebio23_80ml!E72/50</f>
        <v>0</v>
      </c>
      <c r="F69" s="49">
        <f>rebio23_80ml!F72/50</f>
        <v>0</v>
      </c>
      <c r="G69" s="49">
        <f>rebio23_80ml!G72/50</f>
        <v>0</v>
      </c>
      <c r="H69" s="49">
        <f>rebio23_80ml!H72/50</f>
        <v>0</v>
      </c>
      <c r="I69" s="49">
        <f>rebio23_80ml!I72/50</f>
        <v>0</v>
      </c>
      <c r="J69" s="49">
        <f>rebio23_80ml!J72/50</f>
        <v>0</v>
      </c>
      <c r="K69" s="49">
        <f>rebio23_80ml!K72/50</f>
        <v>0</v>
      </c>
      <c r="L69" s="49">
        <f>rebio23_80ml!L72/50</f>
        <v>0</v>
      </c>
      <c r="M69" s="49">
        <f>rebio23_80ml!M72/50</f>
        <v>0</v>
      </c>
      <c r="N69" s="49">
        <f>rebio23_80ml!N72/50</f>
        <v>0</v>
      </c>
      <c r="O69" s="49">
        <f>rebio23_80ml!O72/50</f>
        <v>0</v>
      </c>
      <c r="P69" s="49">
        <f>rebio23_80ml!P72/50</f>
        <v>0</v>
      </c>
      <c r="Q69" s="49">
        <f>rebio23_80ml!Q72/50</f>
        <v>0</v>
      </c>
      <c r="R69" s="49">
        <f>rebio23_80ml!R72/50</f>
        <v>0</v>
      </c>
      <c r="S69" s="49">
        <f>rebio23_80ml!S72/50</f>
        <v>0</v>
      </c>
      <c r="T69" s="49">
        <f>rebio23_80ml!T72/50</f>
        <v>0</v>
      </c>
      <c r="U69" s="49">
        <f>rebio23_80ml!U72/50</f>
        <v>0</v>
      </c>
      <c r="V69" s="49">
        <f>rebio23_80ml!V72/50</f>
        <v>0</v>
      </c>
      <c r="W69" s="49">
        <f>rebio23_80ml!W72/50</f>
        <v>0</v>
      </c>
      <c r="X69" s="49">
        <f>rebio23_80ml!X72/50</f>
        <v>0</v>
      </c>
      <c r="Y69" s="49">
        <f>rebio23_80ml!Y72/50</f>
        <v>0</v>
      </c>
      <c r="Z69" s="49">
        <f>rebio23_80ml!Z72/50</f>
        <v>0</v>
      </c>
      <c r="AA69" s="49">
        <f>rebio23_80ml!AA72/50</f>
        <v>0</v>
      </c>
      <c r="AB69" s="49">
        <f>rebio23_80ml!AB72/50</f>
        <v>0</v>
      </c>
      <c r="AC69" s="49">
        <f>rebio23_80ml!AC72/50</f>
        <v>0</v>
      </c>
      <c r="AD69" s="49">
        <f>rebio23_80ml!AD72/50</f>
        <v>0</v>
      </c>
      <c r="AE69" s="49">
        <f>rebio23_80ml!AE72/50</f>
        <v>0</v>
      </c>
      <c r="AF69" s="49">
        <f>rebio23_80ml!AF72/50</f>
        <v>0</v>
      </c>
      <c r="AG69" s="49">
        <f>rebio23_80ml!AG72/50</f>
        <v>0</v>
      </c>
      <c r="AH69" s="49">
        <f>rebio23_80ml!AH72/50</f>
        <v>0</v>
      </c>
      <c r="AI69" s="49">
        <f>rebio23_80ml!AI72/50</f>
        <v>0</v>
      </c>
      <c r="AJ69" s="49">
        <f>rebio23_80ml!AJ72/50</f>
        <v>0</v>
      </c>
      <c r="AK69" s="49">
        <f>rebio23_80ml!AK72/50</f>
        <v>0</v>
      </c>
      <c r="AL69" s="49">
        <f>rebio23_80ml!AL72/50</f>
        <v>0</v>
      </c>
      <c r="AM69" s="49">
        <f>rebio23_80ml!AM72/50</f>
        <v>0</v>
      </c>
      <c r="AN69" s="49">
        <f>rebio23_80ml!AN72/50</f>
        <v>0</v>
      </c>
      <c r="AO69" s="49">
        <f>rebio23_80ml!AO72/50</f>
        <v>0</v>
      </c>
      <c r="AP69" s="49">
        <f>rebio23_80ml!AP72/50</f>
        <v>0</v>
      </c>
      <c r="AQ69" s="49">
        <f>rebio23_80ml!AQ72/50</f>
        <v>0</v>
      </c>
      <c r="AR69" s="49">
        <f>rebio23_80ml!AR72/50</f>
        <v>0</v>
      </c>
      <c r="AS69" s="49">
        <f>rebio23_80ml!AS72/50</f>
        <v>0</v>
      </c>
      <c r="AT69" s="49">
        <f>rebio23_80ml!AT72/50</f>
        <v>0</v>
      </c>
      <c r="AU69" s="49">
        <f>rebio23_80ml!AU72/50</f>
        <v>0</v>
      </c>
      <c r="AV69" s="49">
        <f>rebio23_80ml!AV72/50</f>
        <v>0</v>
      </c>
      <c r="AW69" s="49">
        <f>rebio23_80ml!AW72/50</f>
        <v>0</v>
      </c>
      <c r="AX69" s="49">
        <f>rebio23_80ml!AX72/50</f>
        <v>0</v>
      </c>
      <c r="AY69" s="49">
        <f>rebio23_80ml!AY72/50</f>
        <v>0</v>
      </c>
      <c r="AZ69" s="49">
        <f>rebio23_80ml!AZ72/50</f>
        <v>0</v>
      </c>
      <c r="BA69" s="49">
        <f>rebio23_80ml!BA72/50</f>
        <v>0</v>
      </c>
      <c r="BB69" s="49">
        <f>rebio23_80ml!BB72/50</f>
        <v>0</v>
      </c>
      <c r="BC69" s="49">
        <f>rebio23_80ml!BC72/50</f>
        <v>0</v>
      </c>
      <c r="BD69" s="49">
        <f>rebio23_80ml!BD72/50</f>
        <v>0</v>
      </c>
      <c r="BE69" s="49">
        <f>rebio23_80ml!BE72/50</f>
        <v>0</v>
      </c>
      <c r="BF69" s="49">
        <f>rebio23_80ml!BF72/50</f>
        <v>0</v>
      </c>
      <c r="BG69" s="49">
        <f>rebio23_80ml!BG72/50</f>
        <v>0</v>
      </c>
    </row>
    <row r="70" spans="1:59" ht="12.75" customHeight="1" x14ac:dyDescent="0.25">
      <c r="A70" s="48" t="str">
        <f>rebio23_80ml!A73</f>
        <v>C-C-P11-H3</v>
      </c>
      <c r="B70" s="49">
        <f>rebio23_80ml!B73/50</f>
        <v>0</v>
      </c>
      <c r="C70" s="49">
        <f>rebio23_80ml!C73/50</f>
        <v>0</v>
      </c>
      <c r="D70" s="49">
        <f>rebio23_80ml!D73/50</f>
        <v>0</v>
      </c>
      <c r="E70" s="49">
        <f>rebio23_80ml!E73/50</f>
        <v>0</v>
      </c>
      <c r="F70" s="49">
        <f>rebio23_80ml!F73/50</f>
        <v>0</v>
      </c>
      <c r="G70" s="49">
        <f>rebio23_80ml!G73/50</f>
        <v>0</v>
      </c>
      <c r="H70" s="49">
        <f>rebio23_80ml!H73/50</f>
        <v>0</v>
      </c>
      <c r="I70" s="49">
        <f>rebio23_80ml!I73/50</f>
        <v>0</v>
      </c>
      <c r="J70" s="49">
        <f>rebio23_80ml!J73/50</f>
        <v>0</v>
      </c>
      <c r="K70" s="49">
        <f>rebio23_80ml!K73/50</f>
        <v>0</v>
      </c>
      <c r="L70" s="49">
        <f>rebio23_80ml!L73/50</f>
        <v>0</v>
      </c>
      <c r="M70" s="49">
        <f>rebio23_80ml!M73/50</f>
        <v>0</v>
      </c>
      <c r="N70" s="49">
        <f>rebio23_80ml!N73/50</f>
        <v>0</v>
      </c>
      <c r="O70" s="49">
        <f>rebio23_80ml!O73/50</f>
        <v>0</v>
      </c>
      <c r="P70" s="49">
        <f>rebio23_80ml!P73/50</f>
        <v>0</v>
      </c>
      <c r="Q70" s="49">
        <f>rebio23_80ml!Q73/50</f>
        <v>0</v>
      </c>
      <c r="R70" s="49">
        <f>rebio23_80ml!R73/50</f>
        <v>0</v>
      </c>
      <c r="S70" s="49">
        <f>rebio23_80ml!S73/50</f>
        <v>0</v>
      </c>
      <c r="T70" s="49">
        <f>rebio23_80ml!T73/50</f>
        <v>0</v>
      </c>
      <c r="U70" s="49">
        <f>rebio23_80ml!U73/50</f>
        <v>0</v>
      </c>
      <c r="V70" s="49">
        <f>rebio23_80ml!V73/50</f>
        <v>0</v>
      </c>
      <c r="W70" s="49">
        <f>rebio23_80ml!W73/50</f>
        <v>0</v>
      </c>
      <c r="X70" s="49">
        <f>rebio23_80ml!X73/50</f>
        <v>0</v>
      </c>
      <c r="Y70" s="49">
        <f>rebio23_80ml!Y73/50</f>
        <v>0</v>
      </c>
      <c r="Z70" s="49">
        <f>rebio23_80ml!Z73/50</f>
        <v>0</v>
      </c>
      <c r="AA70" s="49">
        <f>rebio23_80ml!AA73/50</f>
        <v>0</v>
      </c>
      <c r="AB70" s="49">
        <f>rebio23_80ml!AB73/50</f>
        <v>0</v>
      </c>
      <c r="AC70" s="49">
        <f>rebio23_80ml!AC73/50</f>
        <v>0</v>
      </c>
      <c r="AD70" s="49">
        <f>rebio23_80ml!AD73/50</f>
        <v>0</v>
      </c>
      <c r="AE70" s="49">
        <f>rebio23_80ml!AE73/50</f>
        <v>0</v>
      </c>
      <c r="AF70" s="49">
        <f>rebio23_80ml!AF73/50</f>
        <v>0</v>
      </c>
      <c r="AG70" s="49">
        <f>rebio23_80ml!AG73/50</f>
        <v>0</v>
      </c>
      <c r="AH70" s="49">
        <f>rebio23_80ml!AH73/50</f>
        <v>0</v>
      </c>
      <c r="AI70" s="49">
        <f>rebio23_80ml!AI73/50</f>
        <v>0</v>
      </c>
      <c r="AJ70" s="49">
        <f>rebio23_80ml!AJ73/50</f>
        <v>0</v>
      </c>
      <c r="AK70" s="49">
        <f>rebio23_80ml!AK73/50</f>
        <v>0</v>
      </c>
      <c r="AL70" s="49">
        <f>rebio23_80ml!AL73/50</f>
        <v>0</v>
      </c>
      <c r="AM70" s="49">
        <f>rebio23_80ml!AM73/50</f>
        <v>0</v>
      </c>
      <c r="AN70" s="49">
        <f>rebio23_80ml!AN73/50</f>
        <v>0</v>
      </c>
      <c r="AO70" s="49">
        <f>rebio23_80ml!AO73/50</f>
        <v>0</v>
      </c>
      <c r="AP70" s="49">
        <f>rebio23_80ml!AP73/50</f>
        <v>0</v>
      </c>
      <c r="AQ70" s="49">
        <f>rebio23_80ml!AQ73/50</f>
        <v>0</v>
      </c>
      <c r="AR70" s="49">
        <f>rebio23_80ml!AR73/50</f>
        <v>0</v>
      </c>
      <c r="AS70" s="49">
        <f>rebio23_80ml!AS73/50</f>
        <v>0</v>
      </c>
      <c r="AT70" s="49">
        <f>rebio23_80ml!AT73/50</f>
        <v>0</v>
      </c>
      <c r="AU70" s="49">
        <f>rebio23_80ml!AU73/50</f>
        <v>0</v>
      </c>
      <c r="AV70" s="49">
        <f>rebio23_80ml!AV73/50</f>
        <v>0</v>
      </c>
      <c r="AW70" s="49">
        <f>rebio23_80ml!AW73/50</f>
        <v>0</v>
      </c>
      <c r="AX70" s="49">
        <f>rebio23_80ml!AX73/50</f>
        <v>0</v>
      </c>
      <c r="AY70" s="49">
        <f>rebio23_80ml!AY73/50</f>
        <v>0</v>
      </c>
      <c r="AZ70" s="49">
        <f>rebio23_80ml!AZ73/50</f>
        <v>0</v>
      </c>
      <c r="BA70" s="49">
        <f>rebio23_80ml!BA73/50</f>
        <v>0</v>
      </c>
      <c r="BB70" s="49">
        <f>rebio23_80ml!BB73/50</f>
        <v>0</v>
      </c>
      <c r="BC70" s="49">
        <f>rebio23_80ml!BC73/50</f>
        <v>0</v>
      </c>
      <c r="BD70" s="49">
        <f>rebio23_80ml!BD73/50</f>
        <v>0</v>
      </c>
      <c r="BE70" s="49">
        <f>rebio23_80ml!BE73/50</f>
        <v>0</v>
      </c>
      <c r="BF70" s="49">
        <f>rebio23_80ml!BF73/50</f>
        <v>0</v>
      </c>
      <c r="BG70" s="49">
        <f>rebio23_80ml!BG73/50</f>
        <v>0</v>
      </c>
    </row>
    <row r="71" spans="1:59" ht="12.75" customHeight="1" x14ac:dyDescent="0.25">
      <c r="A71" s="15" t="str">
        <f>rebio23_80ml!A74</f>
        <v>C-C-P12-H1</v>
      </c>
      <c r="B71" s="27">
        <f>rebio23_80ml!B74/50</f>
        <v>0.06</v>
      </c>
      <c r="C71" s="27">
        <f>rebio23_80ml!C74/50</f>
        <v>0</v>
      </c>
      <c r="D71" s="27">
        <f>rebio23_80ml!D74/50</f>
        <v>0</v>
      </c>
      <c r="E71" s="27">
        <f>rebio23_80ml!E74/50</f>
        <v>2.62</v>
      </c>
      <c r="F71" s="27">
        <f>rebio23_80ml!F74/50</f>
        <v>0</v>
      </c>
      <c r="G71" s="27">
        <f>rebio23_80ml!G74/50</f>
        <v>0</v>
      </c>
      <c r="H71" s="27">
        <f>rebio23_80ml!H74/50</f>
        <v>0</v>
      </c>
      <c r="I71" s="27">
        <f>rebio23_80ml!I74/50</f>
        <v>0.2</v>
      </c>
      <c r="J71" s="27">
        <f>rebio23_80ml!J74/50</f>
        <v>0</v>
      </c>
      <c r="K71" s="27">
        <f>rebio23_80ml!K74/50</f>
        <v>0</v>
      </c>
      <c r="L71" s="27">
        <f>rebio23_80ml!L74/50</f>
        <v>0</v>
      </c>
      <c r="M71" s="27">
        <f>rebio23_80ml!M74/50</f>
        <v>0</v>
      </c>
      <c r="N71" s="27">
        <f>rebio23_80ml!N74/50</f>
        <v>0</v>
      </c>
      <c r="O71" s="27">
        <f>rebio23_80ml!O74/50</f>
        <v>0</v>
      </c>
      <c r="P71" s="27">
        <f>rebio23_80ml!P74/50</f>
        <v>0</v>
      </c>
      <c r="Q71" s="27">
        <f>rebio23_80ml!Q74/50</f>
        <v>0</v>
      </c>
      <c r="R71" s="27">
        <f>rebio23_80ml!R74/50</f>
        <v>0</v>
      </c>
      <c r="S71" s="27">
        <f>rebio23_80ml!S74/50</f>
        <v>0</v>
      </c>
      <c r="T71" s="27">
        <f>rebio23_80ml!T74/50</f>
        <v>0</v>
      </c>
      <c r="U71" s="27">
        <f>rebio23_80ml!U74/50</f>
        <v>0</v>
      </c>
      <c r="V71" s="27">
        <f>rebio23_80ml!V74/50</f>
        <v>0</v>
      </c>
      <c r="W71" s="27">
        <f>rebio23_80ml!W74/50</f>
        <v>0</v>
      </c>
      <c r="X71" s="27">
        <f>rebio23_80ml!X74/50</f>
        <v>0</v>
      </c>
      <c r="Y71" s="27">
        <f>rebio23_80ml!Y74/50</f>
        <v>0</v>
      </c>
      <c r="Z71" s="27">
        <f>rebio23_80ml!Z74/50</f>
        <v>0.04</v>
      </c>
      <c r="AA71" s="27">
        <f>rebio23_80ml!AA74/50</f>
        <v>0.06</v>
      </c>
      <c r="AB71" s="27">
        <f>rebio23_80ml!AB74/50</f>
        <v>0</v>
      </c>
      <c r="AC71" s="27">
        <f>rebio23_80ml!AC74/50</f>
        <v>0</v>
      </c>
      <c r="AD71" s="27">
        <f>rebio23_80ml!AD74/50</f>
        <v>0</v>
      </c>
      <c r="AE71" s="27">
        <f>rebio23_80ml!AE74/50</f>
        <v>0</v>
      </c>
      <c r="AF71" s="27">
        <f>rebio23_80ml!AF74/50</f>
        <v>0</v>
      </c>
      <c r="AG71" s="27">
        <f>rebio23_80ml!AG74/50</f>
        <v>0</v>
      </c>
      <c r="AH71" s="27">
        <f>rebio23_80ml!AH74/50</f>
        <v>0</v>
      </c>
      <c r="AI71" s="27">
        <f>rebio23_80ml!AI74/50</f>
        <v>0</v>
      </c>
      <c r="AJ71" s="27">
        <f>rebio23_80ml!AJ74/50</f>
        <v>0</v>
      </c>
      <c r="AK71" s="27">
        <f>rebio23_80ml!AK74/50</f>
        <v>0</v>
      </c>
      <c r="AL71" s="27">
        <f>rebio23_80ml!AL74/50</f>
        <v>0</v>
      </c>
      <c r="AM71" s="27">
        <f>rebio23_80ml!AM74/50</f>
        <v>0</v>
      </c>
      <c r="AN71" s="27">
        <f>rebio23_80ml!AN74/50</f>
        <v>0</v>
      </c>
      <c r="AO71" s="27">
        <f>rebio23_80ml!AO74/50</f>
        <v>0</v>
      </c>
      <c r="AP71" s="27">
        <f>rebio23_80ml!AP74/50</f>
        <v>0</v>
      </c>
      <c r="AQ71" s="27">
        <f>rebio23_80ml!AQ74/50</f>
        <v>0</v>
      </c>
      <c r="AR71" s="27">
        <f>rebio23_80ml!AR74/50</f>
        <v>0</v>
      </c>
      <c r="AS71" s="27">
        <f>rebio23_80ml!AS74/50</f>
        <v>0</v>
      </c>
      <c r="AT71" s="27">
        <f>rebio23_80ml!AT74/50</f>
        <v>0</v>
      </c>
      <c r="AU71" s="27">
        <f>rebio23_80ml!AU74/50</f>
        <v>0</v>
      </c>
      <c r="AV71" s="27">
        <f>rebio23_80ml!AV74/50</f>
        <v>0.08</v>
      </c>
      <c r="AW71" s="27">
        <f>rebio23_80ml!AW74/50</f>
        <v>0</v>
      </c>
      <c r="AX71" s="27">
        <f>rebio23_80ml!AX74/50</f>
        <v>0</v>
      </c>
      <c r="AY71" s="27">
        <f>rebio23_80ml!AY74/50</f>
        <v>0.02</v>
      </c>
      <c r="AZ71" s="27">
        <f>rebio23_80ml!AZ74/50</f>
        <v>0</v>
      </c>
      <c r="BA71" s="27">
        <f>rebio23_80ml!BA74/50</f>
        <v>0</v>
      </c>
      <c r="BB71" s="27">
        <f>rebio23_80ml!BB74/50</f>
        <v>0</v>
      </c>
      <c r="BC71" s="27">
        <f>rebio23_80ml!BC74/50</f>
        <v>0</v>
      </c>
      <c r="BD71" s="27">
        <f>rebio23_80ml!BD74/50</f>
        <v>0</v>
      </c>
      <c r="BE71" s="27">
        <f>rebio23_80ml!BE74/50</f>
        <v>0</v>
      </c>
      <c r="BF71" s="27">
        <f>rebio23_80ml!BF74/50</f>
        <v>0</v>
      </c>
      <c r="BG71" s="27">
        <f>rebio23_80ml!BG74/50</f>
        <v>0</v>
      </c>
    </row>
    <row r="72" spans="1:59" ht="12.75" customHeight="1" x14ac:dyDescent="0.25">
      <c r="A72" s="15" t="str">
        <f>rebio23_80ml!A75</f>
        <v>C-C-P12-H2</v>
      </c>
      <c r="B72" s="27">
        <f>rebio23_80ml!B75/50</f>
        <v>0.04</v>
      </c>
      <c r="C72" s="27">
        <f>rebio23_80ml!C75/50</f>
        <v>0</v>
      </c>
      <c r="D72" s="27">
        <f>rebio23_80ml!D75/50</f>
        <v>0</v>
      </c>
      <c r="E72" s="27">
        <f>rebio23_80ml!E75/50</f>
        <v>4.18</v>
      </c>
      <c r="F72" s="27">
        <f>rebio23_80ml!F75/50</f>
        <v>0</v>
      </c>
      <c r="G72" s="27">
        <f>rebio23_80ml!G75/50</f>
        <v>0</v>
      </c>
      <c r="H72" s="27">
        <f>rebio23_80ml!H75/50</f>
        <v>0</v>
      </c>
      <c r="I72" s="27">
        <f>rebio23_80ml!I75/50</f>
        <v>0.06</v>
      </c>
      <c r="J72" s="27">
        <f>rebio23_80ml!J75/50</f>
        <v>0</v>
      </c>
      <c r="K72" s="27">
        <f>rebio23_80ml!K75/50</f>
        <v>0</v>
      </c>
      <c r="L72" s="27">
        <f>rebio23_80ml!L75/50</f>
        <v>0</v>
      </c>
      <c r="M72" s="27">
        <f>rebio23_80ml!M75/50</f>
        <v>0</v>
      </c>
      <c r="N72" s="27">
        <f>rebio23_80ml!N75/50</f>
        <v>0</v>
      </c>
      <c r="O72" s="27">
        <f>rebio23_80ml!O75/50</f>
        <v>0</v>
      </c>
      <c r="P72" s="27">
        <f>rebio23_80ml!P75/50</f>
        <v>0</v>
      </c>
      <c r="Q72" s="27">
        <f>rebio23_80ml!Q75/50</f>
        <v>0</v>
      </c>
      <c r="R72" s="27">
        <f>rebio23_80ml!R75/50</f>
        <v>0</v>
      </c>
      <c r="S72" s="27">
        <f>rebio23_80ml!S75/50</f>
        <v>0.02</v>
      </c>
      <c r="T72" s="27">
        <f>rebio23_80ml!T75/50</f>
        <v>0</v>
      </c>
      <c r="U72" s="27">
        <f>rebio23_80ml!U75/50</f>
        <v>0</v>
      </c>
      <c r="V72" s="27">
        <f>rebio23_80ml!V75/50</f>
        <v>0</v>
      </c>
      <c r="W72" s="27">
        <f>rebio23_80ml!W75/50</f>
        <v>0</v>
      </c>
      <c r="X72" s="27">
        <f>rebio23_80ml!X75/50</f>
        <v>0</v>
      </c>
      <c r="Y72" s="27">
        <f>rebio23_80ml!Y75/50</f>
        <v>0</v>
      </c>
      <c r="Z72" s="27">
        <f>rebio23_80ml!Z75/50</f>
        <v>0.02</v>
      </c>
      <c r="AA72" s="27">
        <f>rebio23_80ml!AA75/50</f>
        <v>0</v>
      </c>
      <c r="AB72" s="27">
        <f>rebio23_80ml!AB75/50</f>
        <v>0</v>
      </c>
      <c r="AC72" s="27">
        <f>rebio23_80ml!AC75/50</f>
        <v>0</v>
      </c>
      <c r="AD72" s="27">
        <f>rebio23_80ml!AD75/50</f>
        <v>0</v>
      </c>
      <c r="AE72" s="27">
        <f>rebio23_80ml!AE75/50</f>
        <v>0</v>
      </c>
      <c r="AF72" s="27">
        <f>rebio23_80ml!AF75/50</f>
        <v>0</v>
      </c>
      <c r="AG72" s="27">
        <f>rebio23_80ml!AG75/50</f>
        <v>0</v>
      </c>
      <c r="AH72" s="27">
        <f>rebio23_80ml!AH75/50</f>
        <v>0</v>
      </c>
      <c r="AI72" s="27">
        <f>rebio23_80ml!AI75/50</f>
        <v>0</v>
      </c>
      <c r="AJ72" s="27">
        <f>rebio23_80ml!AJ75/50</f>
        <v>0</v>
      </c>
      <c r="AK72" s="27">
        <f>rebio23_80ml!AK75/50</f>
        <v>0</v>
      </c>
      <c r="AL72" s="27">
        <f>rebio23_80ml!AL75/50</f>
        <v>0</v>
      </c>
      <c r="AM72" s="27">
        <f>rebio23_80ml!AM75/50</f>
        <v>0</v>
      </c>
      <c r="AN72" s="27">
        <f>rebio23_80ml!AN75/50</f>
        <v>0</v>
      </c>
      <c r="AO72" s="27">
        <f>rebio23_80ml!AO75/50</f>
        <v>0</v>
      </c>
      <c r="AP72" s="27">
        <f>rebio23_80ml!AP75/50</f>
        <v>0</v>
      </c>
      <c r="AQ72" s="27">
        <f>rebio23_80ml!AQ75/50</f>
        <v>0</v>
      </c>
      <c r="AR72" s="27">
        <f>rebio23_80ml!AR75/50</f>
        <v>0</v>
      </c>
      <c r="AS72" s="27">
        <f>rebio23_80ml!AS75/50</f>
        <v>0</v>
      </c>
      <c r="AT72" s="27">
        <f>rebio23_80ml!AT75/50</f>
        <v>0</v>
      </c>
      <c r="AU72" s="27">
        <f>rebio23_80ml!AU75/50</f>
        <v>0</v>
      </c>
      <c r="AV72" s="27">
        <f>rebio23_80ml!AV75/50</f>
        <v>0.14000000000000001</v>
      </c>
      <c r="AW72" s="27">
        <f>rebio23_80ml!AW75/50</f>
        <v>0</v>
      </c>
      <c r="AX72" s="27">
        <f>rebio23_80ml!AX75/50</f>
        <v>0</v>
      </c>
      <c r="AY72" s="27">
        <f>rebio23_80ml!AY75/50</f>
        <v>0.02</v>
      </c>
      <c r="AZ72" s="27">
        <f>rebio23_80ml!AZ75/50</f>
        <v>0</v>
      </c>
      <c r="BA72" s="27">
        <f>rebio23_80ml!BA75/50</f>
        <v>0</v>
      </c>
      <c r="BB72" s="27">
        <f>rebio23_80ml!BB75/50</f>
        <v>0</v>
      </c>
      <c r="BC72" s="27">
        <f>rebio23_80ml!BC75/50</f>
        <v>0</v>
      </c>
      <c r="BD72" s="27">
        <f>rebio23_80ml!BD75/50</f>
        <v>0</v>
      </c>
      <c r="BE72" s="27">
        <f>rebio23_80ml!BE75/50</f>
        <v>0</v>
      </c>
      <c r="BF72" s="27">
        <f>rebio23_80ml!BF75/50</f>
        <v>0</v>
      </c>
      <c r="BG72" s="27">
        <f>rebio23_80ml!BG75/50</f>
        <v>0</v>
      </c>
    </row>
    <row r="73" spans="1:59" ht="12.75" customHeight="1" x14ac:dyDescent="0.25">
      <c r="A73" s="15" t="str">
        <f>rebio23_80ml!A76</f>
        <v>C-C-P12-H3</v>
      </c>
      <c r="B73" s="27">
        <f>rebio23_80ml!B76/50</f>
        <v>0.1</v>
      </c>
      <c r="C73" s="27">
        <f>rebio23_80ml!C76/50</f>
        <v>0</v>
      </c>
      <c r="D73" s="27">
        <f>rebio23_80ml!D76/50</f>
        <v>0</v>
      </c>
      <c r="E73" s="27">
        <f>rebio23_80ml!E76/50</f>
        <v>3.16</v>
      </c>
      <c r="F73" s="27">
        <f>rebio23_80ml!F76/50</f>
        <v>0</v>
      </c>
      <c r="G73" s="27">
        <f>rebio23_80ml!G76/50</f>
        <v>0</v>
      </c>
      <c r="H73" s="27">
        <f>rebio23_80ml!H76/50</f>
        <v>0</v>
      </c>
      <c r="I73" s="27">
        <f>rebio23_80ml!I76/50</f>
        <v>0.08</v>
      </c>
      <c r="J73" s="27">
        <f>rebio23_80ml!J76/50</f>
        <v>0</v>
      </c>
      <c r="K73" s="27">
        <f>rebio23_80ml!K76/50</f>
        <v>0</v>
      </c>
      <c r="L73" s="27">
        <f>rebio23_80ml!L76/50</f>
        <v>0</v>
      </c>
      <c r="M73" s="27">
        <f>rebio23_80ml!M76/50</f>
        <v>0</v>
      </c>
      <c r="N73" s="27">
        <f>rebio23_80ml!N76/50</f>
        <v>0</v>
      </c>
      <c r="O73" s="27">
        <f>rebio23_80ml!O76/50</f>
        <v>0</v>
      </c>
      <c r="P73" s="27">
        <f>rebio23_80ml!P76/50</f>
        <v>0</v>
      </c>
      <c r="Q73" s="27">
        <f>rebio23_80ml!Q76/50</f>
        <v>0</v>
      </c>
      <c r="R73" s="27">
        <f>rebio23_80ml!R76/50</f>
        <v>0</v>
      </c>
      <c r="S73" s="27">
        <f>rebio23_80ml!S76/50</f>
        <v>0</v>
      </c>
      <c r="T73" s="27">
        <f>rebio23_80ml!T76/50</f>
        <v>0</v>
      </c>
      <c r="U73" s="27">
        <f>rebio23_80ml!U76/50</f>
        <v>0</v>
      </c>
      <c r="V73" s="27">
        <f>rebio23_80ml!V76/50</f>
        <v>0</v>
      </c>
      <c r="W73" s="27">
        <f>rebio23_80ml!W76/50</f>
        <v>0</v>
      </c>
      <c r="X73" s="27">
        <f>rebio23_80ml!X76/50</f>
        <v>0</v>
      </c>
      <c r="Y73" s="27">
        <f>rebio23_80ml!Y76/50</f>
        <v>0</v>
      </c>
      <c r="Z73" s="27">
        <f>rebio23_80ml!Z76/50</f>
        <v>0</v>
      </c>
      <c r="AA73" s="27">
        <f>rebio23_80ml!AA76/50</f>
        <v>0.02</v>
      </c>
      <c r="AB73" s="27">
        <f>rebio23_80ml!AB76/50</f>
        <v>0</v>
      </c>
      <c r="AC73" s="27">
        <f>rebio23_80ml!AC76/50</f>
        <v>0</v>
      </c>
      <c r="AD73" s="27">
        <f>rebio23_80ml!AD76/50</f>
        <v>0</v>
      </c>
      <c r="AE73" s="27">
        <f>rebio23_80ml!AE76/50</f>
        <v>0</v>
      </c>
      <c r="AF73" s="27">
        <f>rebio23_80ml!AF76/50</f>
        <v>0</v>
      </c>
      <c r="AG73" s="27">
        <f>rebio23_80ml!AG76/50</f>
        <v>0</v>
      </c>
      <c r="AH73" s="27">
        <f>rebio23_80ml!AH76/50</f>
        <v>0</v>
      </c>
      <c r="AI73" s="27">
        <f>rebio23_80ml!AI76/50</f>
        <v>0</v>
      </c>
      <c r="AJ73" s="27">
        <f>rebio23_80ml!AJ76/50</f>
        <v>0</v>
      </c>
      <c r="AK73" s="27">
        <f>rebio23_80ml!AK76/50</f>
        <v>0</v>
      </c>
      <c r="AL73" s="27">
        <f>rebio23_80ml!AL76/50</f>
        <v>0</v>
      </c>
      <c r="AM73" s="27">
        <f>rebio23_80ml!AM76/50</f>
        <v>0</v>
      </c>
      <c r="AN73" s="27">
        <f>rebio23_80ml!AN76/50</f>
        <v>0</v>
      </c>
      <c r="AO73" s="27">
        <f>rebio23_80ml!AO76/50</f>
        <v>0</v>
      </c>
      <c r="AP73" s="27">
        <f>rebio23_80ml!AP76/50</f>
        <v>0</v>
      </c>
      <c r="AQ73" s="27">
        <f>rebio23_80ml!AQ76/50</f>
        <v>0</v>
      </c>
      <c r="AR73" s="27">
        <f>rebio23_80ml!AR76/50</f>
        <v>0</v>
      </c>
      <c r="AS73" s="27">
        <f>rebio23_80ml!AS76/50</f>
        <v>0</v>
      </c>
      <c r="AT73" s="27">
        <f>rebio23_80ml!AT76/50</f>
        <v>0</v>
      </c>
      <c r="AU73" s="27">
        <f>rebio23_80ml!AU76/50</f>
        <v>0</v>
      </c>
      <c r="AV73" s="27">
        <f>rebio23_80ml!AV76/50</f>
        <v>0.24</v>
      </c>
      <c r="AW73" s="27">
        <f>rebio23_80ml!AW76/50</f>
        <v>0</v>
      </c>
      <c r="AX73" s="27">
        <f>rebio23_80ml!AX76/50</f>
        <v>0</v>
      </c>
      <c r="AY73" s="27">
        <f>rebio23_80ml!AY76/50</f>
        <v>0</v>
      </c>
      <c r="AZ73" s="27">
        <f>rebio23_80ml!AZ76/50</f>
        <v>0</v>
      </c>
      <c r="BA73" s="27">
        <f>rebio23_80ml!BA76/50</f>
        <v>0</v>
      </c>
      <c r="BB73" s="27">
        <f>rebio23_80ml!BB76/50</f>
        <v>0</v>
      </c>
      <c r="BC73" s="27">
        <f>rebio23_80ml!BC76/50</f>
        <v>0</v>
      </c>
      <c r="BD73" s="27">
        <f>rebio23_80ml!BD76/50</f>
        <v>0</v>
      </c>
      <c r="BE73" s="27">
        <f>rebio23_80ml!BE76/50</f>
        <v>0</v>
      </c>
      <c r="BF73" s="27">
        <f>rebio23_80ml!BF76/50</f>
        <v>0</v>
      </c>
      <c r="BG73" s="27">
        <f>rebio23_80ml!BG76/50</f>
        <v>0</v>
      </c>
    </row>
    <row r="74" spans="1:59" ht="12.75" customHeight="1" x14ac:dyDescent="0.25">
      <c r="A74" s="15" t="str">
        <f>rebio23_80ml!A77</f>
        <v>C-C-P13-H1</v>
      </c>
      <c r="B74" s="27">
        <f>rebio23_80ml!B77/50</f>
        <v>0.1</v>
      </c>
      <c r="C74" s="27">
        <f>rebio23_80ml!C77/50</f>
        <v>0</v>
      </c>
      <c r="D74" s="27">
        <f>rebio23_80ml!D77/50</f>
        <v>0</v>
      </c>
      <c r="E74" s="27">
        <f>rebio23_80ml!E77/50</f>
        <v>2.14</v>
      </c>
      <c r="F74" s="27">
        <f>rebio23_80ml!F77/50</f>
        <v>0.02</v>
      </c>
      <c r="G74" s="27">
        <f>rebio23_80ml!G77/50</f>
        <v>0</v>
      </c>
      <c r="H74" s="27">
        <f>rebio23_80ml!H77/50</f>
        <v>0</v>
      </c>
      <c r="I74" s="27">
        <f>rebio23_80ml!I77/50</f>
        <v>0.28000000000000003</v>
      </c>
      <c r="J74" s="27">
        <f>rebio23_80ml!J77/50</f>
        <v>0.02</v>
      </c>
      <c r="K74" s="27">
        <f>rebio23_80ml!K77/50</f>
        <v>0</v>
      </c>
      <c r="L74" s="27">
        <f>rebio23_80ml!L77/50</f>
        <v>0.02</v>
      </c>
      <c r="M74" s="27">
        <f>rebio23_80ml!M77/50</f>
        <v>0</v>
      </c>
      <c r="N74" s="27">
        <f>rebio23_80ml!N77/50</f>
        <v>0</v>
      </c>
      <c r="O74" s="27">
        <f>rebio23_80ml!O77/50</f>
        <v>0</v>
      </c>
      <c r="P74" s="27">
        <f>rebio23_80ml!P77/50</f>
        <v>0</v>
      </c>
      <c r="Q74" s="27">
        <f>rebio23_80ml!Q77/50</f>
        <v>0</v>
      </c>
      <c r="R74" s="27">
        <f>rebio23_80ml!R77/50</f>
        <v>0</v>
      </c>
      <c r="S74" s="27">
        <f>rebio23_80ml!S77/50</f>
        <v>0</v>
      </c>
      <c r="T74" s="27">
        <f>rebio23_80ml!T77/50</f>
        <v>0.02</v>
      </c>
      <c r="U74" s="27">
        <f>rebio23_80ml!U77/50</f>
        <v>0</v>
      </c>
      <c r="V74" s="27">
        <f>rebio23_80ml!V77/50</f>
        <v>0</v>
      </c>
      <c r="W74" s="27">
        <f>rebio23_80ml!W77/50</f>
        <v>0</v>
      </c>
      <c r="X74" s="27">
        <f>rebio23_80ml!X77/50</f>
        <v>0</v>
      </c>
      <c r="Y74" s="27">
        <f>rebio23_80ml!Y77/50</f>
        <v>0</v>
      </c>
      <c r="Z74" s="27">
        <f>rebio23_80ml!Z77/50</f>
        <v>0</v>
      </c>
      <c r="AA74" s="27">
        <f>rebio23_80ml!AA77/50</f>
        <v>0.02</v>
      </c>
      <c r="AB74" s="27">
        <f>rebio23_80ml!AB77/50</f>
        <v>0</v>
      </c>
      <c r="AC74" s="27">
        <f>rebio23_80ml!AC77/50</f>
        <v>0</v>
      </c>
      <c r="AD74" s="27">
        <f>rebio23_80ml!AD77/50</f>
        <v>0</v>
      </c>
      <c r="AE74" s="27">
        <f>rebio23_80ml!AE77/50</f>
        <v>0</v>
      </c>
      <c r="AF74" s="27">
        <f>rebio23_80ml!AF77/50</f>
        <v>0</v>
      </c>
      <c r="AG74" s="27">
        <f>rebio23_80ml!AG77/50</f>
        <v>0</v>
      </c>
      <c r="AH74" s="27">
        <f>rebio23_80ml!AH77/50</f>
        <v>0</v>
      </c>
      <c r="AI74" s="27">
        <f>rebio23_80ml!AI77/50</f>
        <v>0</v>
      </c>
      <c r="AJ74" s="27">
        <f>rebio23_80ml!AJ77/50</f>
        <v>0</v>
      </c>
      <c r="AK74" s="27">
        <f>rebio23_80ml!AK77/50</f>
        <v>0</v>
      </c>
      <c r="AL74" s="27">
        <f>rebio23_80ml!AL77/50</f>
        <v>0</v>
      </c>
      <c r="AM74" s="27">
        <f>rebio23_80ml!AM77/50</f>
        <v>0</v>
      </c>
      <c r="AN74" s="27">
        <f>rebio23_80ml!AN77/50</f>
        <v>0</v>
      </c>
      <c r="AO74" s="27">
        <f>rebio23_80ml!AO77/50</f>
        <v>0</v>
      </c>
      <c r="AP74" s="27">
        <f>rebio23_80ml!AP77/50</f>
        <v>0</v>
      </c>
      <c r="AQ74" s="27">
        <f>rebio23_80ml!AQ77/50</f>
        <v>0</v>
      </c>
      <c r="AR74" s="27">
        <f>rebio23_80ml!AR77/50</f>
        <v>0</v>
      </c>
      <c r="AS74" s="27">
        <f>rebio23_80ml!AS77/50</f>
        <v>0</v>
      </c>
      <c r="AT74" s="27">
        <f>rebio23_80ml!AT77/50</f>
        <v>0</v>
      </c>
      <c r="AU74" s="27">
        <f>rebio23_80ml!AU77/50</f>
        <v>0</v>
      </c>
      <c r="AV74" s="27">
        <f>rebio23_80ml!AV77/50</f>
        <v>0.1</v>
      </c>
      <c r="AW74" s="27">
        <f>rebio23_80ml!AW77/50</f>
        <v>0</v>
      </c>
      <c r="AX74" s="27">
        <f>rebio23_80ml!AX77/50</f>
        <v>0.02</v>
      </c>
      <c r="AY74" s="27">
        <f>rebio23_80ml!AY77/50</f>
        <v>0</v>
      </c>
      <c r="AZ74" s="27">
        <f>rebio23_80ml!AZ77/50</f>
        <v>0</v>
      </c>
      <c r="BA74" s="27">
        <f>rebio23_80ml!BA77/50</f>
        <v>0</v>
      </c>
      <c r="BB74" s="27">
        <f>rebio23_80ml!BB77/50</f>
        <v>0</v>
      </c>
      <c r="BC74" s="27">
        <f>rebio23_80ml!BC77/50</f>
        <v>0</v>
      </c>
      <c r="BD74" s="27">
        <f>rebio23_80ml!BD77/50</f>
        <v>0</v>
      </c>
      <c r="BE74" s="27">
        <f>rebio23_80ml!BE77/50</f>
        <v>0</v>
      </c>
      <c r="BF74" s="27">
        <f>rebio23_80ml!BF77/50</f>
        <v>0</v>
      </c>
      <c r="BG74" s="27">
        <f>rebio23_80ml!BG77/50</f>
        <v>0</v>
      </c>
    </row>
    <row r="75" spans="1:59" ht="12.75" customHeight="1" x14ac:dyDescent="0.25">
      <c r="A75" s="15" t="str">
        <f>rebio23_80ml!A78</f>
        <v>C-C-P13-H2</v>
      </c>
      <c r="B75" s="27">
        <f>rebio23_80ml!B78/50</f>
        <v>0.08</v>
      </c>
      <c r="C75" s="27">
        <f>rebio23_80ml!C78/50</f>
        <v>0</v>
      </c>
      <c r="D75" s="27">
        <f>rebio23_80ml!D78/50</f>
        <v>0</v>
      </c>
      <c r="E75" s="27">
        <f>rebio23_80ml!E78/50</f>
        <v>2.1</v>
      </c>
      <c r="F75" s="27">
        <f>rebio23_80ml!F78/50</f>
        <v>0</v>
      </c>
      <c r="G75" s="27">
        <f>rebio23_80ml!G78/50</f>
        <v>0</v>
      </c>
      <c r="H75" s="27">
        <f>rebio23_80ml!H78/50</f>
        <v>0</v>
      </c>
      <c r="I75" s="27">
        <f>rebio23_80ml!I78/50</f>
        <v>0.22</v>
      </c>
      <c r="J75" s="27">
        <f>rebio23_80ml!J78/50</f>
        <v>0</v>
      </c>
      <c r="K75" s="27">
        <f>rebio23_80ml!K78/50</f>
        <v>0</v>
      </c>
      <c r="L75" s="27">
        <f>rebio23_80ml!L78/50</f>
        <v>0.02</v>
      </c>
      <c r="M75" s="27">
        <f>rebio23_80ml!M78/50</f>
        <v>0</v>
      </c>
      <c r="N75" s="27">
        <f>rebio23_80ml!N78/50</f>
        <v>0</v>
      </c>
      <c r="O75" s="27">
        <f>rebio23_80ml!O78/50</f>
        <v>0</v>
      </c>
      <c r="P75" s="27">
        <f>rebio23_80ml!P78/50</f>
        <v>0</v>
      </c>
      <c r="Q75" s="27">
        <f>rebio23_80ml!Q78/50</f>
        <v>0</v>
      </c>
      <c r="R75" s="27">
        <f>rebio23_80ml!R78/50</f>
        <v>0</v>
      </c>
      <c r="S75" s="27">
        <f>rebio23_80ml!S78/50</f>
        <v>0</v>
      </c>
      <c r="T75" s="27">
        <f>rebio23_80ml!T78/50</f>
        <v>0.02</v>
      </c>
      <c r="U75" s="27">
        <f>rebio23_80ml!U78/50</f>
        <v>0</v>
      </c>
      <c r="V75" s="27">
        <f>rebio23_80ml!V78/50</f>
        <v>0</v>
      </c>
      <c r="W75" s="27">
        <f>rebio23_80ml!W78/50</f>
        <v>0</v>
      </c>
      <c r="X75" s="27">
        <f>rebio23_80ml!X78/50</f>
        <v>0</v>
      </c>
      <c r="Y75" s="27">
        <f>rebio23_80ml!Y78/50</f>
        <v>0</v>
      </c>
      <c r="Z75" s="27">
        <f>rebio23_80ml!Z78/50</f>
        <v>0.02</v>
      </c>
      <c r="AA75" s="27">
        <f>rebio23_80ml!AA78/50</f>
        <v>0</v>
      </c>
      <c r="AB75" s="27">
        <f>rebio23_80ml!AB78/50</f>
        <v>0</v>
      </c>
      <c r="AC75" s="27">
        <f>rebio23_80ml!AC78/50</f>
        <v>0</v>
      </c>
      <c r="AD75" s="27">
        <f>rebio23_80ml!AD78/50</f>
        <v>0</v>
      </c>
      <c r="AE75" s="27">
        <f>rebio23_80ml!AE78/50</f>
        <v>0</v>
      </c>
      <c r="AF75" s="27">
        <f>rebio23_80ml!AF78/50</f>
        <v>0</v>
      </c>
      <c r="AG75" s="27">
        <f>rebio23_80ml!AG78/50</f>
        <v>0</v>
      </c>
      <c r="AH75" s="27">
        <f>rebio23_80ml!AH78/50</f>
        <v>0</v>
      </c>
      <c r="AI75" s="27">
        <f>rebio23_80ml!AI78/50</f>
        <v>0</v>
      </c>
      <c r="AJ75" s="27">
        <f>rebio23_80ml!AJ78/50</f>
        <v>0</v>
      </c>
      <c r="AK75" s="27">
        <f>rebio23_80ml!AK78/50</f>
        <v>0</v>
      </c>
      <c r="AL75" s="27">
        <f>rebio23_80ml!AL78/50</f>
        <v>0.04</v>
      </c>
      <c r="AM75" s="27">
        <f>rebio23_80ml!AM78/50</f>
        <v>0</v>
      </c>
      <c r="AN75" s="27">
        <f>rebio23_80ml!AN78/50</f>
        <v>0</v>
      </c>
      <c r="AO75" s="27">
        <f>rebio23_80ml!AO78/50</f>
        <v>0</v>
      </c>
      <c r="AP75" s="27">
        <f>rebio23_80ml!AP78/50</f>
        <v>0</v>
      </c>
      <c r="AQ75" s="27">
        <f>rebio23_80ml!AQ78/50</f>
        <v>0</v>
      </c>
      <c r="AR75" s="27">
        <f>rebio23_80ml!AR78/50</f>
        <v>0</v>
      </c>
      <c r="AS75" s="27">
        <f>rebio23_80ml!AS78/50</f>
        <v>0</v>
      </c>
      <c r="AT75" s="27">
        <f>rebio23_80ml!AT78/50</f>
        <v>0</v>
      </c>
      <c r="AU75" s="27">
        <f>rebio23_80ml!AU78/50</f>
        <v>0</v>
      </c>
      <c r="AV75" s="27">
        <f>rebio23_80ml!AV78/50</f>
        <v>0.32</v>
      </c>
      <c r="AW75" s="27">
        <f>rebio23_80ml!AW78/50</f>
        <v>0</v>
      </c>
      <c r="AX75" s="27">
        <f>rebio23_80ml!AX78/50</f>
        <v>0.06</v>
      </c>
      <c r="AY75" s="27">
        <f>rebio23_80ml!AY78/50</f>
        <v>0</v>
      </c>
      <c r="AZ75" s="27">
        <f>rebio23_80ml!AZ78/50</f>
        <v>0</v>
      </c>
      <c r="BA75" s="27">
        <f>rebio23_80ml!BA78/50</f>
        <v>0</v>
      </c>
      <c r="BB75" s="27">
        <f>rebio23_80ml!BB78/50</f>
        <v>0</v>
      </c>
      <c r="BC75" s="27">
        <f>rebio23_80ml!BC78/50</f>
        <v>0</v>
      </c>
      <c r="BD75" s="27">
        <f>rebio23_80ml!BD78/50</f>
        <v>0</v>
      </c>
      <c r="BE75" s="27">
        <f>rebio23_80ml!BE78/50</f>
        <v>0</v>
      </c>
      <c r="BF75" s="27">
        <f>rebio23_80ml!BF78/50</f>
        <v>0</v>
      </c>
      <c r="BG75" s="27">
        <f>rebio23_80ml!BG78/50</f>
        <v>0</v>
      </c>
    </row>
    <row r="76" spans="1:59" ht="12.75" customHeight="1" x14ac:dyDescent="0.25">
      <c r="A76" s="15" t="str">
        <f>rebio23_80ml!A79</f>
        <v>C-C-P13-H3</v>
      </c>
      <c r="B76" s="27">
        <f>rebio23_80ml!B79/50</f>
        <v>0.06</v>
      </c>
      <c r="C76" s="27">
        <f>rebio23_80ml!C79/50</f>
        <v>0.04</v>
      </c>
      <c r="D76" s="27">
        <f>rebio23_80ml!D79/50</f>
        <v>0</v>
      </c>
      <c r="E76" s="27">
        <f>rebio23_80ml!E79/50</f>
        <v>3.14</v>
      </c>
      <c r="F76" s="27">
        <f>rebio23_80ml!F79/50</f>
        <v>0</v>
      </c>
      <c r="G76" s="27">
        <f>rebio23_80ml!G79/50</f>
        <v>0</v>
      </c>
      <c r="H76" s="27">
        <f>rebio23_80ml!H79/50</f>
        <v>0</v>
      </c>
      <c r="I76" s="27">
        <f>rebio23_80ml!I79/50</f>
        <v>0.26</v>
      </c>
      <c r="J76" s="27">
        <f>rebio23_80ml!J79/50</f>
        <v>0</v>
      </c>
      <c r="K76" s="27">
        <f>rebio23_80ml!K79/50</f>
        <v>0</v>
      </c>
      <c r="L76" s="27">
        <f>rebio23_80ml!L79/50</f>
        <v>0</v>
      </c>
      <c r="M76" s="27">
        <f>rebio23_80ml!M79/50</f>
        <v>0</v>
      </c>
      <c r="N76" s="27">
        <f>rebio23_80ml!N79/50</f>
        <v>0</v>
      </c>
      <c r="O76" s="27">
        <f>rebio23_80ml!O79/50</f>
        <v>0</v>
      </c>
      <c r="P76" s="27">
        <f>rebio23_80ml!P79/50</f>
        <v>0</v>
      </c>
      <c r="Q76" s="27">
        <f>rebio23_80ml!Q79/50</f>
        <v>0</v>
      </c>
      <c r="R76" s="27">
        <f>rebio23_80ml!R79/50</f>
        <v>0</v>
      </c>
      <c r="S76" s="27">
        <f>rebio23_80ml!S79/50</f>
        <v>0</v>
      </c>
      <c r="T76" s="27">
        <f>rebio23_80ml!T79/50</f>
        <v>0</v>
      </c>
      <c r="U76" s="27">
        <f>rebio23_80ml!U79/50</f>
        <v>0</v>
      </c>
      <c r="V76" s="27">
        <f>rebio23_80ml!V79/50</f>
        <v>0</v>
      </c>
      <c r="W76" s="27">
        <f>rebio23_80ml!W79/50</f>
        <v>0</v>
      </c>
      <c r="X76" s="27">
        <f>rebio23_80ml!X79/50</f>
        <v>0</v>
      </c>
      <c r="Y76" s="27">
        <f>rebio23_80ml!Y79/50</f>
        <v>0</v>
      </c>
      <c r="Z76" s="27">
        <f>rebio23_80ml!Z79/50</f>
        <v>0</v>
      </c>
      <c r="AA76" s="27">
        <f>rebio23_80ml!AA79/50</f>
        <v>0</v>
      </c>
      <c r="AB76" s="27">
        <f>rebio23_80ml!AB79/50</f>
        <v>0</v>
      </c>
      <c r="AC76" s="27">
        <f>rebio23_80ml!AC79/50</f>
        <v>0</v>
      </c>
      <c r="AD76" s="27">
        <f>rebio23_80ml!AD79/50</f>
        <v>0</v>
      </c>
      <c r="AE76" s="27">
        <f>rebio23_80ml!AE79/50</f>
        <v>0</v>
      </c>
      <c r="AF76" s="27">
        <f>rebio23_80ml!AF79/50</f>
        <v>0</v>
      </c>
      <c r="AG76" s="27">
        <f>rebio23_80ml!AG79/50</f>
        <v>0</v>
      </c>
      <c r="AH76" s="27">
        <f>rebio23_80ml!AH79/50</f>
        <v>0</v>
      </c>
      <c r="AI76" s="27">
        <f>rebio23_80ml!AI79/50</f>
        <v>0</v>
      </c>
      <c r="AJ76" s="27">
        <f>rebio23_80ml!AJ79/50</f>
        <v>0</v>
      </c>
      <c r="AK76" s="27">
        <f>rebio23_80ml!AK79/50</f>
        <v>0</v>
      </c>
      <c r="AL76" s="27">
        <f>rebio23_80ml!AL79/50</f>
        <v>0</v>
      </c>
      <c r="AM76" s="27">
        <f>rebio23_80ml!AM79/50</f>
        <v>0</v>
      </c>
      <c r="AN76" s="27">
        <f>rebio23_80ml!AN79/50</f>
        <v>0</v>
      </c>
      <c r="AO76" s="27">
        <f>rebio23_80ml!AO79/50</f>
        <v>0</v>
      </c>
      <c r="AP76" s="27">
        <f>rebio23_80ml!AP79/50</f>
        <v>0</v>
      </c>
      <c r="AQ76" s="27">
        <f>rebio23_80ml!AQ79/50</f>
        <v>0</v>
      </c>
      <c r="AR76" s="27">
        <f>rebio23_80ml!AR79/50</f>
        <v>0</v>
      </c>
      <c r="AS76" s="27">
        <f>rebio23_80ml!AS79/50</f>
        <v>0</v>
      </c>
      <c r="AT76" s="27">
        <f>rebio23_80ml!AT79/50</f>
        <v>0</v>
      </c>
      <c r="AU76" s="27">
        <f>rebio23_80ml!AU79/50</f>
        <v>0</v>
      </c>
      <c r="AV76" s="27">
        <f>rebio23_80ml!AV79/50</f>
        <v>0.02</v>
      </c>
      <c r="AW76" s="27">
        <f>rebio23_80ml!AW79/50</f>
        <v>0</v>
      </c>
      <c r="AX76" s="27">
        <f>rebio23_80ml!AX79/50</f>
        <v>0</v>
      </c>
      <c r="AY76" s="27">
        <f>rebio23_80ml!AY79/50</f>
        <v>0</v>
      </c>
      <c r="AZ76" s="27">
        <f>rebio23_80ml!AZ79/50</f>
        <v>0</v>
      </c>
      <c r="BA76" s="27">
        <f>rebio23_80ml!BA79/50</f>
        <v>0</v>
      </c>
      <c r="BB76" s="27">
        <f>rebio23_80ml!BB79/50</f>
        <v>0</v>
      </c>
      <c r="BC76" s="27">
        <f>rebio23_80ml!BC79/50</f>
        <v>0</v>
      </c>
      <c r="BD76" s="27">
        <f>rebio23_80ml!BD79/50</f>
        <v>0</v>
      </c>
      <c r="BE76" s="27">
        <f>rebio23_80ml!BE79/50</f>
        <v>0</v>
      </c>
      <c r="BF76" s="27">
        <f>rebio23_80ml!BF79/50</f>
        <v>0</v>
      </c>
      <c r="BG76" s="27">
        <f>rebio23_80ml!BG79/50</f>
        <v>0</v>
      </c>
    </row>
    <row r="77" spans="1:59" ht="12.75" customHeight="1" x14ac:dyDescent="0.25">
      <c r="A77" s="15" t="str">
        <f>rebio23_80ml!A80</f>
        <v>C-C-P14-H1</v>
      </c>
      <c r="B77" s="27">
        <f>rebio23_80ml!B80/50</f>
        <v>0</v>
      </c>
      <c r="C77" s="27">
        <f>rebio23_80ml!C80/50</f>
        <v>0.02</v>
      </c>
      <c r="D77" s="27">
        <f>rebio23_80ml!D80/50</f>
        <v>0</v>
      </c>
      <c r="E77" s="27">
        <f>rebio23_80ml!E80/50</f>
        <v>1.92</v>
      </c>
      <c r="F77" s="27">
        <f>rebio23_80ml!F80/50</f>
        <v>0.02</v>
      </c>
      <c r="G77" s="27">
        <f>rebio23_80ml!G80/50</f>
        <v>0</v>
      </c>
      <c r="H77" s="27">
        <f>rebio23_80ml!H80/50</f>
        <v>0</v>
      </c>
      <c r="I77" s="27">
        <f>rebio23_80ml!I80/50</f>
        <v>0.08</v>
      </c>
      <c r="J77" s="27">
        <f>rebio23_80ml!J80/50</f>
        <v>0</v>
      </c>
      <c r="K77" s="27">
        <f>rebio23_80ml!K80/50</f>
        <v>0</v>
      </c>
      <c r="L77" s="27">
        <f>rebio23_80ml!L80/50</f>
        <v>0</v>
      </c>
      <c r="M77" s="27">
        <f>rebio23_80ml!M80/50</f>
        <v>0</v>
      </c>
      <c r="N77" s="27">
        <f>rebio23_80ml!N80/50</f>
        <v>0</v>
      </c>
      <c r="O77" s="27">
        <f>rebio23_80ml!O80/50</f>
        <v>0</v>
      </c>
      <c r="P77" s="27">
        <f>rebio23_80ml!P80/50</f>
        <v>0</v>
      </c>
      <c r="Q77" s="27">
        <f>rebio23_80ml!Q80/50</f>
        <v>0</v>
      </c>
      <c r="R77" s="27">
        <f>rebio23_80ml!R80/50</f>
        <v>0</v>
      </c>
      <c r="S77" s="27">
        <f>rebio23_80ml!S80/50</f>
        <v>0</v>
      </c>
      <c r="T77" s="27">
        <f>rebio23_80ml!T80/50</f>
        <v>0</v>
      </c>
      <c r="U77" s="27">
        <f>rebio23_80ml!U80/50</f>
        <v>0</v>
      </c>
      <c r="V77" s="27">
        <f>rebio23_80ml!V80/50</f>
        <v>0</v>
      </c>
      <c r="W77" s="27">
        <f>rebio23_80ml!W80/50</f>
        <v>0</v>
      </c>
      <c r="X77" s="27">
        <f>rebio23_80ml!X80/50</f>
        <v>0</v>
      </c>
      <c r="Y77" s="27">
        <f>rebio23_80ml!Y80/50</f>
        <v>0</v>
      </c>
      <c r="Z77" s="27">
        <f>rebio23_80ml!Z80/50</f>
        <v>0</v>
      </c>
      <c r="AA77" s="27">
        <f>rebio23_80ml!AA80/50</f>
        <v>0</v>
      </c>
      <c r="AB77" s="27">
        <f>rebio23_80ml!AB80/50</f>
        <v>0</v>
      </c>
      <c r="AC77" s="27">
        <f>rebio23_80ml!AC80/50</f>
        <v>0</v>
      </c>
      <c r="AD77" s="27">
        <f>rebio23_80ml!AD80/50</f>
        <v>0</v>
      </c>
      <c r="AE77" s="27">
        <f>rebio23_80ml!AE80/50</f>
        <v>0</v>
      </c>
      <c r="AF77" s="27">
        <f>rebio23_80ml!AF80/50</f>
        <v>0</v>
      </c>
      <c r="AG77" s="27">
        <f>rebio23_80ml!AG80/50</f>
        <v>0</v>
      </c>
      <c r="AH77" s="27">
        <f>rebio23_80ml!AH80/50</f>
        <v>0</v>
      </c>
      <c r="AI77" s="27">
        <f>rebio23_80ml!AI80/50</f>
        <v>0</v>
      </c>
      <c r="AJ77" s="27">
        <f>rebio23_80ml!AJ80/50</f>
        <v>0</v>
      </c>
      <c r="AK77" s="27">
        <f>rebio23_80ml!AK80/50</f>
        <v>0</v>
      </c>
      <c r="AL77" s="27">
        <f>rebio23_80ml!AL80/50</f>
        <v>0</v>
      </c>
      <c r="AM77" s="27">
        <f>rebio23_80ml!AM80/50</f>
        <v>0</v>
      </c>
      <c r="AN77" s="27">
        <f>rebio23_80ml!AN80/50</f>
        <v>0</v>
      </c>
      <c r="AO77" s="27">
        <f>rebio23_80ml!AO80/50</f>
        <v>0</v>
      </c>
      <c r="AP77" s="27">
        <f>rebio23_80ml!AP80/50</f>
        <v>0</v>
      </c>
      <c r="AQ77" s="27">
        <f>rebio23_80ml!AQ80/50</f>
        <v>0</v>
      </c>
      <c r="AR77" s="27">
        <f>rebio23_80ml!AR80/50</f>
        <v>0</v>
      </c>
      <c r="AS77" s="27">
        <f>rebio23_80ml!AS80/50</f>
        <v>0</v>
      </c>
      <c r="AT77" s="27">
        <f>rebio23_80ml!AT80/50</f>
        <v>0</v>
      </c>
      <c r="AU77" s="27">
        <f>rebio23_80ml!AU80/50</f>
        <v>0</v>
      </c>
      <c r="AV77" s="27">
        <f>rebio23_80ml!AV80/50</f>
        <v>0.18</v>
      </c>
      <c r="AW77" s="27">
        <f>rebio23_80ml!AW80/50</f>
        <v>0</v>
      </c>
      <c r="AX77" s="27">
        <f>rebio23_80ml!AX80/50</f>
        <v>0</v>
      </c>
      <c r="AY77" s="27">
        <f>rebio23_80ml!AY80/50</f>
        <v>0</v>
      </c>
      <c r="AZ77" s="27">
        <f>rebio23_80ml!AZ80/50</f>
        <v>0</v>
      </c>
      <c r="BA77" s="27">
        <f>rebio23_80ml!BA80/50</f>
        <v>0</v>
      </c>
      <c r="BB77" s="27">
        <f>rebio23_80ml!BB80/50</f>
        <v>0</v>
      </c>
      <c r="BC77" s="27">
        <f>rebio23_80ml!BC80/50</f>
        <v>0.02</v>
      </c>
      <c r="BD77" s="27">
        <f>rebio23_80ml!BD80/50</f>
        <v>0</v>
      </c>
      <c r="BE77" s="27">
        <f>rebio23_80ml!BE80/50</f>
        <v>0</v>
      </c>
      <c r="BF77" s="27">
        <f>rebio23_80ml!BF80/50</f>
        <v>0</v>
      </c>
      <c r="BG77" s="27">
        <f>rebio23_80ml!BG80/50</f>
        <v>0</v>
      </c>
    </row>
    <row r="78" spans="1:59" ht="12.75" customHeight="1" x14ac:dyDescent="0.25">
      <c r="A78" s="15" t="str">
        <f>rebio23_80ml!A81</f>
        <v>C-C-P14-H2</v>
      </c>
      <c r="B78" s="27">
        <f>rebio23_80ml!B81/50</f>
        <v>0.16</v>
      </c>
      <c r="C78" s="27">
        <f>rebio23_80ml!C81/50</f>
        <v>0</v>
      </c>
      <c r="D78" s="27">
        <f>rebio23_80ml!D81/50</f>
        <v>0</v>
      </c>
      <c r="E78" s="27">
        <f>rebio23_80ml!E81/50</f>
        <v>1.96</v>
      </c>
      <c r="F78" s="27">
        <f>rebio23_80ml!F81/50</f>
        <v>0</v>
      </c>
      <c r="G78" s="27">
        <f>rebio23_80ml!G81/50</f>
        <v>0</v>
      </c>
      <c r="H78" s="27">
        <f>rebio23_80ml!H81/50</f>
        <v>0</v>
      </c>
      <c r="I78" s="27">
        <f>rebio23_80ml!I81/50</f>
        <v>0.18</v>
      </c>
      <c r="J78" s="27">
        <f>rebio23_80ml!J81/50</f>
        <v>0</v>
      </c>
      <c r="K78" s="27">
        <f>rebio23_80ml!K81/50</f>
        <v>0</v>
      </c>
      <c r="L78" s="27">
        <f>rebio23_80ml!L81/50</f>
        <v>0.1</v>
      </c>
      <c r="M78" s="27">
        <f>rebio23_80ml!M81/50</f>
        <v>0</v>
      </c>
      <c r="N78" s="27">
        <f>rebio23_80ml!N81/50</f>
        <v>0</v>
      </c>
      <c r="O78" s="27">
        <f>rebio23_80ml!O81/50</f>
        <v>0</v>
      </c>
      <c r="P78" s="27">
        <f>rebio23_80ml!P81/50</f>
        <v>0</v>
      </c>
      <c r="Q78" s="27">
        <f>rebio23_80ml!Q81/50</f>
        <v>0</v>
      </c>
      <c r="R78" s="27">
        <f>rebio23_80ml!R81/50</f>
        <v>0</v>
      </c>
      <c r="S78" s="27">
        <f>rebio23_80ml!S81/50</f>
        <v>0</v>
      </c>
      <c r="T78" s="27">
        <f>rebio23_80ml!T81/50</f>
        <v>0.04</v>
      </c>
      <c r="U78" s="27">
        <f>rebio23_80ml!U81/50</f>
        <v>0</v>
      </c>
      <c r="V78" s="27">
        <f>rebio23_80ml!V81/50</f>
        <v>0</v>
      </c>
      <c r="W78" s="27">
        <f>rebio23_80ml!W81/50</f>
        <v>0</v>
      </c>
      <c r="X78" s="27">
        <f>rebio23_80ml!X81/50</f>
        <v>0</v>
      </c>
      <c r="Y78" s="27">
        <f>rebio23_80ml!Y81/50</f>
        <v>0</v>
      </c>
      <c r="Z78" s="27">
        <f>rebio23_80ml!Z81/50</f>
        <v>0.1</v>
      </c>
      <c r="AA78" s="27">
        <f>rebio23_80ml!AA81/50</f>
        <v>0</v>
      </c>
      <c r="AB78" s="27">
        <f>rebio23_80ml!AB81/50</f>
        <v>0</v>
      </c>
      <c r="AC78" s="27">
        <f>rebio23_80ml!AC81/50</f>
        <v>0</v>
      </c>
      <c r="AD78" s="27">
        <f>rebio23_80ml!AD81/50</f>
        <v>0</v>
      </c>
      <c r="AE78" s="27">
        <f>rebio23_80ml!AE81/50</f>
        <v>0</v>
      </c>
      <c r="AF78" s="27">
        <f>rebio23_80ml!AF81/50</f>
        <v>0</v>
      </c>
      <c r="AG78" s="27">
        <f>rebio23_80ml!AG81/50</f>
        <v>0</v>
      </c>
      <c r="AH78" s="27">
        <f>rebio23_80ml!AH81/50</f>
        <v>0</v>
      </c>
      <c r="AI78" s="27">
        <f>rebio23_80ml!AI81/50</f>
        <v>0</v>
      </c>
      <c r="AJ78" s="27">
        <f>rebio23_80ml!AJ81/50</f>
        <v>0</v>
      </c>
      <c r="AK78" s="27">
        <f>rebio23_80ml!AK81/50</f>
        <v>0</v>
      </c>
      <c r="AL78" s="27">
        <f>rebio23_80ml!AL81/50</f>
        <v>0</v>
      </c>
      <c r="AM78" s="27">
        <f>rebio23_80ml!AM81/50</f>
        <v>0</v>
      </c>
      <c r="AN78" s="27">
        <f>rebio23_80ml!AN81/50</f>
        <v>0</v>
      </c>
      <c r="AO78" s="27">
        <f>rebio23_80ml!AO81/50</f>
        <v>0</v>
      </c>
      <c r="AP78" s="27">
        <f>rebio23_80ml!AP81/50</f>
        <v>0</v>
      </c>
      <c r="AQ78" s="27">
        <f>rebio23_80ml!AQ81/50</f>
        <v>0</v>
      </c>
      <c r="AR78" s="27">
        <f>rebio23_80ml!AR81/50</f>
        <v>0</v>
      </c>
      <c r="AS78" s="27">
        <f>rebio23_80ml!AS81/50</f>
        <v>0</v>
      </c>
      <c r="AT78" s="27">
        <f>rebio23_80ml!AT81/50</f>
        <v>0</v>
      </c>
      <c r="AU78" s="27">
        <f>rebio23_80ml!AU81/50</f>
        <v>0</v>
      </c>
      <c r="AV78" s="27">
        <f>rebio23_80ml!AV81/50</f>
        <v>0.12</v>
      </c>
      <c r="AW78" s="27">
        <f>rebio23_80ml!AW81/50</f>
        <v>0</v>
      </c>
      <c r="AX78" s="27">
        <f>rebio23_80ml!AX81/50</f>
        <v>0</v>
      </c>
      <c r="AY78" s="27">
        <f>rebio23_80ml!AY81/50</f>
        <v>0</v>
      </c>
      <c r="AZ78" s="27">
        <f>rebio23_80ml!AZ81/50</f>
        <v>0</v>
      </c>
      <c r="BA78" s="27">
        <f>rebio23_80ml!BA81/50</f>
        <v>0</v>
      </c>
      <c r="BB78" s="27">
        <f>rebio23_80ml!BB81/50</f>
        <v>0</v>
      </c>
      <c r="BC78" s="27">
        <f>rebio23_80ml!BC81/50</f>
        <v>0</v>
      </c>
      <c r="BD78" s="27">
        <f>rebio23_80ml!BD81/50</f>
        <v>0</v>
      </c>
      <c r="BE78" s="27">
        <f>rebio23_80ml!BE81/50</f>
        <v>0</v>
      </c>
      <c r="BF78" s="27">
        <f>rebio23_80ml!BF81/50</f>
        <v>0</v>
      </c>
      <c r="BG78" s="27">
        <f>rebio23_80ml!BG81/50</f>
        <v>0</v>
      </c>
    </row>
    <row r="79" spans="1:59" ht="12.75" customHeight="1" x14ac:dyDescent="0.25">
      <c r="A79" s="15" t="str">
        <f>rebio23_80ml!A82</f>
        <v>C-C-P14-H3</v>
      </c>
      <c r="B79" s="27">
        <f>rebio23_80ml!B82/50</f>
        <v>0.04</v>
      </c>
      <c r="C79" s="27">
        <f>rebio23_80ml!C82/50</f>
        <v>0</v>
      </c>
      <c r="D79" s="27">
        <f>rebio23_80ml!D82/50</f>
        <v>0</v>
      </c>
      <c r="E79" s="27">
        <f>rebio23_80ml!E82/50</f>
        <v>1.36</v>
      </c>
      <c r="F79" s="27">
        <f>rebio23_80ml!F82/50</f>
        <v>0</v>
      </c>
      <c r="G79" s="27">
        <f>rebio23_80ml!G82/50</f>
        <v>0</v>
      </c>
      <c r="H79" s="27">
        <f>rebio23_80ml!H82/50</f>
        <v>0</v>
      </c>
      <c r="I79" s="27">
        <f>rebio23_80ml!I82/50</f>
        <v>0.04</v>
      </c>
      <c r="J79" s="27">
        <f>rebio23_80ml!J82/50</f>
        <v>0</v>
      </c>
      <c r="K79" s="27">
        <f>rebio23_80ml!K82/50</f>
        <v>0</v>
      </c>
      <c r="L79" s="27">
        <f>rebio23_80ml!L82/50</f>
        <v>0.04</v>
      </c>
      <c r="M79" s="27">
        <f>rebio23_80ml!M82/50</f>
        <v>0</v>
      </c>
      <c r="N79" s="27">
        <f>rebio23_80ml!N82/50</f>
        <v>0</v>
      </c>
      <c r="O79" s="27">
        <f>rebio23_80ml!O82/50</f>
        <v>0</v>
      </c>
      <c r="P79" s="27">
        <f>rebio23_80ml!P82/50</f>
        <v>0</v>
      </c>
      <c r="Q79" s="27">
        <f>rebio23_80ml!Q82/50</f>
        <v>0.02</v>
      </c>
      <c r="R79" s="27">
        <f>rebio23_80ml!R82/50</f>
        <v>0</v>
      </c>
      <c r="S79" s="27">
        <f>rebio23_80ml!S82/50</f>
        <v>0</v>
      </c>
      <c r="T79" s="27">
        <f>rebio23_80ml!T82/50</f>
        <v>0.02</v>
      </c>
      <c r="U79" s="27">
        <f>rebio23_80ml!U82/50</f>
        <v>0</v>
      </c>
      <c r="V79" s="27">
        <f>rebio23_80ml!V82/50</f>
        <v>0.02</v>
      </c>
      <c r="W79" s="27">
        <f>rebio23_80ml!W82/50</f>
        <v>0</v>
      </c>
      <c r="X79" s="27">
        <f>rebio23_80ml!X82/50</f>
        <v>0</v>
      </c>
      <c r="Y79" s="27">
        <f>rebio23_80ml!Y82/50</f>
        <v>0.02</v>
      </c>
      <c r="Z79" s="27">
        <f>rebio23_80ml!Z82/50</f>
        <v>0</v>
      </c>
      <c r="AA79" s="27">
        <f>rebio23_80ml!AA82/50</f>
        <v>0</v>
      </c>
      <c r="AB79" s="27">
        <f>rebio23_80ml!AB82/50</f>
        <v>0</v>
      </c>
      <c r="AC79" s="27">
        <f>rebio23_80ml!AC82/50</f>
        <v>0</v>
      </c>
      <c r="AD79" s="27">
        <f>rebio23_80ml!AD82/50</f>
        <v>0</v>
      </c>
      <c r="AE79" s="27">
        <f>rebio23_80ml!AE82/50</f>
        <v>0</v>
      </c>
      <c r="AF79" s="27">
        <f>rebio23_80ml!AF82/50</f>
        <v>0</v>
      </c>
      <c r="AG79" s="27">
        <f>rebio23_80ml!AG82/50</f>
        <v>0</v>
      </c>
      <c r="AH79" s="27">
        <f>rebio23_80ml!AH82/50</f>
        <v>0</v>
      </c>
      <c r="AI79" s="27">
        <f>rebio23_80ml!AI82/50</f>
        <v>0</v>
      </c>
      <c r="AJ79" s="27">
        <f>rebio23_80ml!AJ82/50</f>
        <v>0</v>
      </c>
      <c r="AK79" s="27">
        <f>rebio23_80ml!AK82/50</f>
        <v>0</v>
      </c>
      <c r="AL79" s="27">
        <f>rebio23_80ml!AL82/50</f>
        <v>0</v>
      </c>
      <c r="AM79" s="27">
        <f>rebio23_80ml!AM82/50</f>
        <v>0</v>
      </c>
      <c r="AN79" s="27">
        <f>rebio23_80ml!AN82/50</f>
        <v>0</v>
      </c>
      <c r="AO79" s="27">
        <f>rebio23_80ml!AO82/50</f>
        <v>0</v>
      </c>
      <c r="AP79" s="27">
        <f>rebio23_80ml!AP82/50</f>
        <v>0</v>
      </c>
      <c r="AQ79" s="27">
        <f>rebio23_80ml!AQ82/50</f>
        <v>0</v>
      </c>
      <c r="AR79" s="27">
        <f>rebio23_80ml!AR82/50</f>
        <v>0</v>
      </c>
      <c r="AS79" s="27">
        <f>rebio23_80ml!AS82/50</f>
        <v>0</v>
      </c>
      <c r="AT79" s="27">
        <f>rebio23_80ml!AT82/50</f>
        <v>0</v>
      </c>
      <c r="AU79" s="27">
        <f>rebio23_80ml!AU82/50</f>
        <v>0</v>
      </c>
      <c r="AV79" s="27">
        <f>rebio23_80ml!AV82/50</f>
        <v>0.1</v>
      </c>
      <c r="AW79" s="27">
        <f>rebio23_80ml!AW82/50</f>
        <v>0</v>
      </c>
      <c r="AX79" s="27">
        <f>rebio23_80ml!AX82/50</f>
        <v>0</v>
      </c>
      <c r="AY79" s="27">
        <f>rebio23_80ml!AY82/50</f>
        <v>0</v>
      </c>
      <c r="AZ79" s="27">
        <f>rebio23_80ml!AZ82/50</f>
        <v>0</v>
      </c>
      <c r="BA79" s="27">
        <f>rebio23_80ml!BA82/50</f>
        <v>0</v>
      </c>
      <c r="BB79" s="27">
        <f>rebio23_80ml!BB82/50</f>
        <v>0</v>
      </c>
      <c r="BC79" s="27">
        <f>rebio23_80ml!BC82/50</f>
        <v>0</v>
      </c>
      <c r="BD79" s="27">
        <f>rebio23_80ml!BD82/50</f>
        <v>0</v>
      </c>
      <c r="BE79" s="27">
        <f>rebio23_80ml!BE82/50</f>
        <v>0</v>
      </c>
      <c r="BF79" s="27">
        <f>rebio23_80ml!BF82/50</f>
        <v>0</v>
      </c>
      <c r="BG79" s="27">
        <f>rebio23_80ml!BG82/50</f>
        <v>0</v>
      </c>
    </row>
    <row r="80" spans="1:59" ht="12.75" customHeight="1" x14ac:dyDescent="0.25">
      <c r="A80" s="15" t="str">
        <f>rebio23_80ml!A83</f>
        <v>C-C-P15-H1</v>
      </c>
      <c r="B80" s="27">
        <f>rebio23_80ml!B83/50</f>
        <v>0.04</v>
      </c>
      <c r="C80" s="27">
        <f>rebio23_80ml!C83/50</f>
        <v>0</v>
      </c>
      <c r="D80" s="27">
        <f>rebio23_80ml!D83/50</f>
        <v>0</v>
      </c>
      <c r="E80" s="27">
        <f>rebio23_80ml!E83/50</f>
        <v>2.68</v>
      </c>
      <c r="F80" s="27">
        <f>rebio23_80ml!F83/50</f>
        <v>0.08</v>
      </c>
      <c r="G80" s="27">
        <f>rebio23_80ml!G83/50</f>
        <v>0</v>
      </c>
      <c r="H80" s="27">
        <f>rebio23_80ml!H83/50</f>
        <v>0</v>
      </c>
      <c r="I80" s="27">
        <f>rebio23_80ml!I83/50</f>
        <v>0.04</v>
      </c>
      <c r="J80" s="27">
        <f>rebio23_80ml!J83/50</f>
        <v>0</v>
      </c>
      <c r="K80" s="27">
        <f>rebio23_80ml!K83/50</f>
        <v>0</v>
      </c>
      <c r="L80" s="27">
        <f>rebio23_80ml!L83/50</f>
        <v>0</v>
      </c>
      <c r="M80" s="27">
        <f>rebio23_80ml!M83/50</f>
        <v>0</v>
      </c>
      <c r="N80" s="27">
        <f>rebio23_80ml!N83/50</f>
        <v>0</v>
      </c>
      <c r="O80" s="27">
        <f>rebio23_80ml!O83/50</f>
        <v>0</v>
      </c>
      <c r="P80" s="27">
        <f>rebio23_80ml!P83/50</f>
        <v>0</v>
      </c>
      <c r="Q80" s="27">
        <f>rebio23_80ml!Q83/50</f>
        <v>0</v>
      </c>
      <c r="R80" s="27">
        <f>rebio23_80ml!R83/50</f>
        <v>0</v>
      </c>
      <c r="S80" s="27">
        <f>rebio23_80ml!S83/50</f>
        <v>0</v>
      </c>
      <c r="T80" s="27">
        <f>rebio23_80ml!T83/50</f>
        <v>0</v>
      </c>
      <c r="U80" s="27">
        <f>rebio23_80ml!U83/50</f>
        <v>0</v>
      </c>
      <c r="V80" s="27">
        <f>rebio23_80ml!V83/50</f>
        <v>0</v>
      </c>
      <c r="W80" s="27">
        <f>rebio23_80ml!W83/50</f>
        <v>0</v>
      </c>
      <c r="X80" s="27">
        <f>rebio23_80ml!X83/50</f>
        <v>0</v>
      </c>
      <c r="Y80" s="27">
        <f>rebio23_80ml!Y83/50</f>
        <v>0</v>
      </c>
      <c r="Z80" s="27">
        <f>rebio23_80ml!Z83/50</f>
        <v>0</v>
      </c>
      <c r="AA80" s="27">
        <f>rebio23_80ml!AA83/50</f>
        <v>0</v>
      </c>
      <c r="AB80" s="27">
        <f>rebio23_80ml!AB83/50</f>
        <v>0</v>
      </c>
      <c r="AC80" s="27">
        <f>rebio23_80ml!AC83/50</f>
        <v>0</v>
      </c>
      <c r="AD80" s="27">
        <f>rebio23_80ml!AD83/50</f>
        <v>0</v>
      </c>
      <c r="AE80" s="27">
        <f>rebio23_80ml!AE83/50</f>
        <v>0</v>
      </c>
      <c r="AF80" s="27">
        <f>rebio23_80ml!AF83/50</f>
        <v>0</v>
      </c>
      <c r="AG80" s="27">
        <f>rebio23_80ml!AG83/50</f>
        <v>0</v>
      </c>
      <c r="AH80" s="27">
        <f>rebio23_80ml!AH83/50</f>
        <v>0</v>
      </c>
      <c r="AI80" s="27">
        <f>rebio23_80ml!AI83/50</f>
        <v>0</v>
      </c>
      <c r="AJ80" s="27">
        <f>rebio23_80ml!AJ83/50</f>
        <v>0</v>
      </c>
      <c r="AK80" s="27">
        <f>rebio23_80ml!AK83/50</f>
        <v>0</v>
      </c>
      <c r="AL80" s="27">
        <f>rebio23_80ml!AL83/50</f>
        <v>0</v>
      </c>
      <c r="AM80" s="27">
        <f>rebio23_80ml!AM83/50</f>
        <v>0</v>
      </c>
      <c r="AN80" s="27">
        <f>rebio23_80ml!AN83/50</f>
        <v>0</v>
      </c>
      <c r="AO80" s="27">
        <f>rebio23_80ml!AO83/50</f>
        <v>0</v>
      </c>
      <c r="AP80" s="27">
        <f>rebio23_80ml!AP83/50</f>
        <v>0</v>
      </c>
      <c r="AQ80" s="27">
        <f>rebio23_80ml!AQ83/50</f>
        <v>0</v>
      </c>
      <c r="AR80" s="27">
        <f>rebio23_80ml!AR83/50</f>
        <v>0</v>
      </c>
      <c r="AS80" s="27">
        <f>rebio23_80ml!AS83/50</f>
        <v>0</v>
      </c>
      <c r="AT80" s="27">
        <f>rebio23_80ml!AT83/50</f>
        <v>0</v>
      </c>
      <c r="AU80" s="27">
        <f>rebio23_80ml!AU83/50</f>
        <v>0</v>
      </c>
      <c r="AV80" s="27">
        <f>rebio23_80ml!AV83/50</f>
        <v>0.08</v>
      </c>
      <c r="AW80" s="27">
        <f>rebio23_80ml!AW83/50</f>
        <v>0</v>
      </c>
      <c r="AX80" s="27">
        <f>rebio23_80ml!AX83/50</f>
        <v>0.02</v>
      </c>
      <c r="AY80" s="27">
        <f>rebio23_80ml!AY83/50</f>
        <v>0.08</v>
      </c>
      <c r="AZ80" s="27">
        <f>rebio23_80ml!AZ83/50</f>
        <v>0</v>
      </c>
      <c r="BA80" s="27">
        <f>rebio23_80ml!BA83/50</f>
        <v>0</v>
      </c>
      <c r="BB80" s="27">
        <f>rebio23_80ml!BB83/50</f>
        <v>0</v>
      </c>
      <c r="BC80" s="27">
        <f>rebio23_80ml!BC83/50</f>
        <v>0</v>
      </c>
      <c r="BD80" s="27">
        <f>rebio23_80ml!BD83/50</f>
        <v>0</v>
      </c>
      <c r="BE80" s="27">
        <f>rebio23_80ml!BE83/50</f>
        <v>0.02</v>
      </c>
      <c r="BF80" s="27">
        <f>rebio23_80ml!BF83/50</f>
        <v>0</v>
      </c>
      <c r="BG80" s="27">
        <f>rebio23_80ml!BG83/50</f>
        <v>0</v>
      </c>
    </row>
    <row r="81" spans="1:59" ht="12.75" customHeight="1" x14ac:dyDescent="0.25">
      <c r="A81" s="15" t="str">
        <f>rebio23_80ml!A84</f>
        <v>C-C-P15-H2</v>
      </c>
      <c r="B81" s="27">
        <f>rebio23_80ml!B84/50</f>
        <v>0</v>
      </c>
      <c r="C81" s="27">
        <f>rebio23_80ml!C84/50</f>
        <v>0</v>
      </c>
      <c r="D81" s="27">
        <f>rebio23_80ml!D84/50</f>
        <v>0</v>
      </c>
      <c r="E81" s="27">
        <f>rebio23_80ml!E84/50</f>
        <v>1.38</v>
      </c>
      <c r="F81" s="27">
        <f>rebio23_80ml!F84/50</f>
        <v>0.04</v>
      </c>
      <c r="G81" s="27">
        <f>rebio23_80ml!G84/50</f>
        <v>0</v>
      </c>
      <c r="H81" s="27">
        <f>rebio23_80ml!H84/50</f>
        <v>0</v>
      </c>
      <c r="I81" s="27">
        <f>rebio23_80ml!I84/50</f>
        <v>0.04</v>
      </c>
      <c r="J81" s="27">
        <f>rebio23_80ml!J84/50</f>
        <v>0</v>
      </c>
      <c r="K81" s="27">
        <f>rebio23_80ml!K84/50</f>
        <v>0</v>
      </c>
      <c r="L81" s="27">
        <f>rebio23_80ml!L84/50</f>
        <v>0</v>
      </c>
      <c r="M81" s="27">
        <f>rebio23_80ml!M84/50</f>
        <v>0</v>
      </c>
      <c r="N81" s="27">
        <f>rebio23_80ml!N84/50</f>
        <v>0</v>
      </c>
      <c r="O81" s="27">
        <f>rebio23_80ml!O84/50</f>
        <v>0</v>
      </c>
      <c r="P81" s="27">
        <f>rebio23_80ml!P84/50</f>
        <v>0</v>
      </c>
      <c r="Q81" s="27">
        <f>rebio23_80ml!Q84/50</f>
        <v>0</v>
      </c>
      <c r="R81" s="27">
        <f>rebio23_80ml!R84/50</f>
        <v>0</v>
      </c>
      <c r="S81" s="27">
        <f>rebio23_80ml!S84/50</f>
        <v>0</v>
      </c>
      <c r="T81" s="27">
        <f>rebio23_80ml!T84/50</f>
        <v>0</v>
      </c>
      <c r="U81" s="27">
        <f>rebio23_80ml!U84/50</f>
        <v>0</v>
      </c>
      <c r="V81" s="27">
        <f>rebio23_80ml!V84/50</f>
        <v>0.02</v>
      </c>
      <c r="W81" s="27">
        <f>rebio23_80ml!W84/50</f>
        <v>0</v>
      </c>
      <c r="X81" s="27">
        <f>rebio23_80ml!X84/50</f>
        <v>0</v>
      </c>
      <c r="Y81" s="27">
        <f>rebio23_80ml!Y84/50</f>
        <v>0</v>
      </c>
      <c r="Z81" s="27">
        <f>rebio23_80ml!Z84/50</f>
        <v>0.02</v>
      </c>
      <c r="AA81" s="27">
        <f>rebio23_80ml!AA84/50</f>
        <v>0</v>
      </c>
      <c r="AB81" s="27">
        <f>rebio23_80ml!AB84/50</f>
        <v>0</v>
      </c>
      <c r="AC81" s="27">
        <f>rebio23_80ml!AC84/50</f>
        <v>0</v>
      </c>
      <c r="AD81" s="27">
        <f>rebio23_80ml!AD84/50</f>
        <v>0</v>
      </c>
      <c r="AE81" s="27">
        <f>rebio23_80ml!AE84/50</f>
        <v>0</v>
      </c>
      <c r="AF81" s="27">
        <f>rebio23_80ml!AF84/50</f>
        <v>0</v>
      </c>
      <c r="AG81" s="27">
        <f>rebio23_80ml!AG84/50</f>
        <v>0</v>
      </c>
      <c r="AH81" s="27">
        <f>rebio23_80ml!AH84/50</f>
        <v>0</v>
      </c>
      <c r="AI81" s="27">
        <f>rebio23_80ml!AI84/50</f>
        <v>0</v>
      </c>
      <c r="AJ81" s="27">
        <f>rebio23_80ml!AJ84/50</f>
        <v>0</v>
      </c>
      <c r="AK81" s="27">
        <f>rebio23_80ml!AK84/50</f>
        <v>0</v>
      </c>
      <c r="AL81" s="27">
        <f>rebio23_80ml!AL84/50</f>
        <v>0</v>
      </c>
      <c r="AM81" s="27">
        <f>rebio23_80ml!AM84/50</f>
        <v>0</v>
      </c>
      <c r="AN81" s="27">
        <f>rebio23_80ml!AN84/50</f>
        <v>0</v>
      </c>
      <c r="AO81" s="27">
        <f>rebio23_80ml!AO84/50</f>
        <v>0</v>
      </c>
      <c r="AP81" s="27">
        <f>rebio23_80ml!AP84/50</f>
        <v>0</v>
      </c>
      <c r="AQ81" s="27">
        <f>rebio23_80ml!AQ84/50</f>
        <v>0</v>
      </c>
      <c r="AR81" s="27">
        <f>rebio23_80ml!AR84/50</f>
        <v>0</v>
      </c>
      <c r="AS81" s="27">
        <f>rebio23_80ml!AS84/50</f>
        <v>0</v>
      </c>
      <c r="AT81" s="27">
        <f>rebio23_80ml!AT84/50</f>
        <v>0</v>
      </c>
      <c r="AU81" s="27">
        <f>rebio23_80ml!AU84/50</f>
        <v>0</v>
      </c>
      <c r="AV81" s="27">
        <f>rebio23_80ml!AV84/50</f>
        <v>0.04</v>
      </c>
      <c r="AW81" s="27">
        <f>rebio23_80ml!AW84/50</f>
        <v>0</v>
      </c>
      <c r="AX81" s="27">
        <f>rebio23_80ml!AX84/50</f>
        <v>0</v>
      </c>
      <c r="AY81" s="27">
        <f>rebio23_80ml!AY84/50</f>
        <v>0.02</v>
      </c>
      <c r="AZ81" s="27">
        <f>rebio23_80ml!AZ84/50</f>
        <v>0</v>
      </c>
      <c r="BA81" s="27">
        <f>rebio23_80ml!BA84/50</f>
        <v>0</v>
      </c>
      <c r="BB81" s="27">
        <f>rebio23_80ml!BB84/50</f>
        <v>0</v>
      </c>
      <c r="BC81" s="27">
        <f>rebio23_80ml!BC84/50</f>
        <v>0</v>
      </c>
      <c r="BD81" s="27">
        <f>rebio23_80ml!BD84/50</f>
        <v>0.04</v>
      </c>
      <c r="BE81" s="27">
        <f>rebio23_80ml!BE84/50</f>
        <v>0</v>
      </c>
      <c r="BF81" s="27">
        <f>rebio23_80ml!BF84/50</f>
        <v>0</v>
      </c>
      <c r="BG81" s="27">
        <f>rebio23_80ml!BG84/50</f>
        <v>0</v>
      </c>
    </row>
    <row r="82" spans="1:59" ht="12.75" customHeight="1" x14ac:dyDescent="0.25">
      <c r="A82" s="15" t="str">
        <f>rebio23_80ml!A85</f>
        <v>C-C-P15-H3</v>
      </c>
      <c r="B82" s="27">
        <f>rebio23_80ml!B85/50</f>
        <v>0.04</v>
      </c>
      <c r="C82" s="27">
        <f>rebio23_80ml!C85/50</f>
        <v>0</v>
      </c>
      <c r="D82" s="27">
        <f>rebio23_80ml!D85/50</f>
        <v>0</v>
      </c>
      <c r="E82" s="27">
        <f>rebio23_80ml!E85/50</f>
        <v>1.56</v>
      </c>
      <c r="F82" s="27">
        <f>rebio23_80ml!F85/50</f>
        <v>0</v>
      </c>
      <c r="G82" s="27">
        <f>rebio23_80ml!G85/50</f>
        <v>0</v>
      </c>
      <c r="H82" s="27">
        <f>rebio23_80ml!H85/50</f>
        <v>0</v>
      </c>
      <c r="I82" s="27">
        <f>rebio23_80ml!I85/50</f>
        <v>0.04</v>
      </c>
      <c r="J82" s="27">
        <f>rebio23_80ml!J85/50</f>
        <v>0</v>
      </c>
      <c r="K82" s="27">
        <f>rebio23_80ml!K85/50</f>
        <v>0</v>
      </c>
      <c r="L82" s="27">
        <f>rebio23_80ml!L85/50</f>
        <v>0</v>
      </c>
      <c r="M82" s="27">
        <f>rebio23_80ml!M85/50</f>
        <v>0</v>
      </c>
      <c r="N82" s="27">
        <f>rebio23_80ml!N85/50</f>
        <v>0</v>
      </c>
      <c r="O82" s="27">
        <f>rebio23_80ml!O85/50</f>
        <v>0</v>
      </c>
      <c r="P82" s="27">
        <f>rebio23_80ml!P85/50</f>
        <v>0</v>
      </c>
      <c r="Q82" s="27">
        <f>rebio23_80ml!Q85/50</f>
        <v>0</v>
      </c>
      <c r="R82" s="27">
        <f>rebio23_80ml!R85/50</f>
        <v>0</v>
      </c>
      <c r="S82" s="27">
        <f>rebio23_80ml!S85/50</f>
        <v>0</v>
      </c>
      <c r="T82" s="27">
        <f>rebio23_80ml!T85/50</f>
        <v>0</v>
      </c>
      <c r="U82" s="27">
        <f>rebio23_80ml!U85/50</f>
        <v>0</v>
      </c>
      <c r="V82" s="27">
        <f>rebio23_80ml!V85/50</f>
        <v>0</v>
      </c>
      <c r="W82" s="27">
        <f>rebio23_80ml!W85/50</f>
        <v>0</v>
      </c>
      <c r="X82" s="27">
        <f>rebio23_80ml!X85/50</f>
        <v>0</v>
      </c>
      <c r="Y82" s="27">
        <f>rebio23_80ml!Y85/50</f>
        <v>0</v>
      </c>
      <c r="Z82" s="27">
        <f>rebio23_80ml!Z85/50</f>
        <v>0</v>
      </c>
      <c r="AA82" s="27">
        <f>rebio23_80ml!AA85/50</f>
        <v>0.02</v>
      </c>
      <c r="AB82" s="27">
        <f>rebio23_80ml!AB85/50</f>
        <v>0</v>
      </c>
      <c r="AC82" s="27">
        <f>rebio23_80ml!AC85/50</f>
        <v>0</v>
      </c>
      <c r="AD82" s="27">
        <f>rebio23_80ml!AD85/50</f>
        <v>0</v>
      </c>
      <c r="AE82" s="27">
        <f>rebio23_80ml!AE85/50</f>
        <v>0</v>
      </c>
      <c r="AF82" s="27">
        <f>rebio23_80ml!AF85/50</f>
        <v>0</v>
      </c>
      <c r="AG82" s="27">
        <f>rebio23_80ml!AG85/50</f>
        <v>0</v>
      </c>
      <c r="AH82" s="27">
        <f>rebio23_80ml!AH85/50</f>
        <v>0</v>
      </c>
      <c r="AI82" s="27">
        <f>rebio23_80ml!AI85/50</f>
        <v>0</v>
      </c>
      <c r="AJ82" s="27">
        <f>rebio23_80ml!AJ85/50</f>
        <v>0</v>
      </c>
      <c r="AK82" s="27">
        <f>rebio23_80ml!AK85/50</f>
        <v>0</v>
      </c>
      <c r="AL82" s="27">
        <f>rebio23_80ml!AL85/50</f>
        <v>0</v>
      </c>
      <c r="AM82" s="27">
        <f>rebio23_80ml!AM85/50</f>
        <v>0</v>
      </c>
      <c r="AN82" s="27">
        <f>rebio23_80ml!AN85/50</f>
        <v>0</v>
      </c>
      <c r="AO82" s="27">
        <f>rebio23_80ml!AO85/50</f>
        <v>0</v>
      </c>
      <c r="AP82" s="27">
        <f>rebio23_80ml!AP85/50</f>
        <v>0</v>
      </c>
      <c r="AQ82" s="27">
        <f>rebio23_80ml!AQ85/50</f>
        <v>0</v>
      </c>
      <c r="AR82" s="27">
        <f>rebio23_80ml!AR85/50</f>
        <v>0</v>
      </c>
      <c r="AS82" s="27">
        <f>rebio23_80ml!AS85/50</f>
        <v>0</v>
      </c>
      <c r="AT82" s="27">
        <f>rebio23_80ml!AT85/50</f>
        <v>0</v>
      </c>
      <c r="AU82" s="27">
        <f>rebio23_80ml!AU85/50</f>
        <v>0</v>
      </c>
      <c r="AV82" s="27">
        <f>rebio23_80ml!AV85/50</f>
        <v>0.04</v>
      </c>
      <c r="AW82" s="27">
        <f>rebio23_80ml!AW85/50</f>
        <v>0</v>
      </c>
      <c r="AX82" s="27">
        <f>rebio23_80ml!AX85/50</f>
        <v>0</v>
      </c>
      <c r="AY82" s="27">
        <f>rebio23_80ml!AY85/50</f>
        <v>0</v>
      </c>
      <c r="AZ82" s="27">
        <f>rebio23_80ml!AZ85/50</f>
        <v>0</v>
      </c>
      <c r="BA82" s="27">
        <f>rebio23_80ml!BA85/50</f>
        <v>0</v>
      </c>
      <c r="BB82" s="27">
        <f>rebio23_80ml!BB85/50</f>
        <v>0</v>
      </c>
      <c r="BC82" s="27">
        <f>rebio23_80ml!BC85/50</f>
        <v>0</v>
      </c>
      <c r="BD82" s="27">
        <f>rebio23_80ml!BD85/50</f>
        <v>0</v>
      </c>
      <c r="BE82" s="27">
        <f>rebio23_80ml!BE85/50</f>
        <v>0</v>
      </c>
      <c r="BF82" s="27">
        <f>rebio23_80ml!BF85/50</f>
        <v>0</v>
      </c>
      <c r="BG82" s="27">
        <f>rebio23_80ml!BG85/50</f>
        <v>0</v>
      </c>
    </row>
    <row r="83" spans="1:59" ht="12.75" customHeight="1" x14ac:dyDescent="0.25">
      <c r="A83" s="15" t="str">
        <f>rebio23_80ml!A86</f>
        <v>C-C-P16-H1</v>
      </c>
      <c r="B83" s="27">
        <f>rebio23_80ml!B86/50</f>
        <v>1</v>
      </c>
      <c r="C83" s="27">
        <f>rebio23_80ml!C86/50</f>
        <v>0.34</v>
      </c>
      <c r="D83" s="27">
        <f>rebio23_80ml!D86/50</f>
        <v>0.52</v>
      </c>
      <c r="E83" s="27">
        <f>rebio23_80ml!E86/50</f>
        <v>3.38</v>
      </c>
      <c r="F83" s="27">
        <f>rebio23_80ml!F86/50</f>
        <v>1.7</v>
      </c>
      <c r="G83" s="27">
        <f>rebio23_80ml!G86/50</f>
        <v>0</v>
      </c>
      <c r="H83" s="27">
        <f>rebio23_80ml!H86/50</f>
        <v>0</v>
      </c>
      <c r="I83" s="27">
        <f>rebio23_80ml!I86/50</f>
        <v>8.9</v>
      </c>
      <c r="J83" s="27">
        <f>rebio23_80ml!J86/50</f>
        <v>2.84</v>
      </c>
      <c r="K83" s="27">
        <f>rebio23_80ml!K86/50</f>
        <v>0</v>
      </c>
      <c r="L83" s="27">
        <f>rebio23_80ml!L86/50</f>
        <v>2.9</v>
      </c>
      <c r="M83" s="27">
        <f>rebio23_80ml!M86/50</f>
        <v>0</v>
      </c>
      <c r="N83" s="27">
        <f>rebio23_80ml!N86/50</f>
        <v>0</v>
      </c>
      <c r="O83" s="27">
        <f>rebio23_80ml!O86/50</f>
        <v>0</v>
      </c>
      <c r="P83" s="27">
        <f>rebio23_80ml!P86/50</f>
        <v>0</v>
      </c>
      <c r="Q83" s="27">
        <f>rebio23_80ml!Q86/50</f>
        <v>1.3</v>
      </c>
      <c r="R83" s="27">
        <f>rebio23_80ml!R86/50</f>
        <v>0.5</v>
      </c>
      <c r="S83" s="27">
        <f>rebio23_80ml!S86/50</f>
        <v>0.34</v>
      </c>
      <c r="T83" s="27">
        <f>rebio23_80ml!T86/50</f>
        <v>0.76</v>
      </c>
      <c r="U83" s="27">
        <f>rebio23_80ml!U86/50</f>
        <v>0</v>
      </c>
      <c r="V83" s="27">
        <f>rebio23_80ml!V86/50</f>
        <v>2.82</v>
      </c>
      <c r="W83" s="27">
        <f>rebio23_80ml!W86/50</f>
        <v>0</v>
      </c>
      <c r="X83" s="27">
        <f>rebio23_80ml!X86/50</f>
        <v>0</v>
      </c>
      <c r="Y83" s="27">
        <f>rebio23_80ml!Y86/50</f>
        <v>0.26</v>
      </c>
      <c r="Z83" s="27">
        <f>rebio23_80ml!Z86/50</f>
        <v>0.72</v>
      </c>
      <c r="AA83" s="27">
        <f>rebio23_80ml!AA86/50</f>
        <v>0.68</v>
      </c>
      <c r="AB83" s="27">
        <f>rebio23_80ml!AB86/50</f>
        <v>0</v>
      </c>
      <c r="AC83" s="27">
        <f>rebio23_80ml!AC86/50</f>
        <v>0</v>
      </c>
      <c r="AD83" s="27">
        <f>rebio23_80ml!AD86/50</f>
        <v>0.38</v>
      </c>
      <c r="AE83" s="27">
        <f>rebio23_80ml!AE86/50</f>
        <v>0</v>
      </c>
      <c r="AF83" s="27">
        <f>rebio23_80ml!AF86/50</f>
        <v>0</v>
      </c>
      <c r="AG83" s="27">
        <f>rebio23_80ml!AG86/50</f>
        <v>0.22</v>
      </c>
      <c r="AH83" s="27">
        <f>rebio23_80ml!AH86/50</f>
        <v>0</v>
      </c>
      <c r="AI83" s="27">
        <f>rebio23_80ml!AI86/50</f>
        <v>0</v>
      </c>
      <c r="AJ83" s="27">
        <f>rebio23_80ml!AJ86/50</f>
        <v>0</v>
      </c>
      <c r="AK83" s="27">
        <f>rebio23_80ml!AK86/50</f>
        <v>0</v>
      </c>
      <c r="AL83" s="27">
        <f>rebio23_80ml!AL86/50</f>
        <v>0.24</v>
      </c>
      <c r="AM83" s="27">
        <f>rebio23_80ml!AM86/50</f>
        <v>0</v>
      </c>
      <c r="AN83" s="27">
        <f>rebio23_80ml!AN86/50</f>
        <v>0</v>
      </c>
      <c r="AO83" s="27">
        <f>rebio23_80ml!AO86/50</f>
        <v>0</v>
      </c>
      <c r="AP83" s="27">
        <f>rebio23_80ml!AP86/50</f>
        <v>0.82</v>
      </c>
      <c r="AQ83" s="27">
        <f>rebio23_80ml!AQ86/50</f>
        <v>2.12</v>
      </c>
      <c r="AR83" s="27">
        <f>rebio23_80ml!AR86/50</f>
        <v>0.08</v>
      </c>
      <c r="AS83" s="27">
        <f>rebio23_80ml!AS86/50</f>
        <v>0</v>
      </c>
      <c r="AT83" s="27">
        <f>rebio23_80ml!AT86/50</f>
        <v>0</v>
      </c>
      <c r="AU83" s="27">
        <f>rebio23_80ml!AU86/50</f>
        <v>0</v>
      </c>
      <c r="AV83" s="27">
        <f>rebio23_80ml!AV86/50</f>
        <v>3.38</v>
      </c>
      <c r="AW83" s="27">
        <f>rebio23_80ml!AW86/50</f>
        <v>0</v>
      </c>
      <c r="AX83" s="27">
        <f>rebio23_80ml!AX86/50</f>
        <v>0.28000000000000003</v>
      </c>
      <c r="AY83" s="27">
        <f>rebio23_80ml!AY86/50</f>
        <v>0.56000000000000005</v>
      </c>
      <c r="AZ83" s="27">
        <f>rebio23_80ml!AZ86/50</f>
        <v>0</v>
      </c>
      <c r="BA83" s="27">
        <f>rebio23_80ml!BA86/50</f>
        <v>0</v>
      </c>
      <c r="BB83" s="27">
        <f>rebio23_80ml!BB86/50</f>
        <v>0</v>
      </c>
      <c r="BC83" s="27">
        <f>rebio23_80ml!BC86/50</f>
        <v>0</v>
      </c>
      <c r="BD83" s="27">
        <f>rebio23_80ml!BD86/50</f>
        <v>0.36</v>
      </c>
      <c r="BE83" s="27">
        <f>rebio23_80ml!BE86/50</f>
        <v>0.26</v>
      </c>
      <c r="BF83" s="27">
        <f>rebio23_80ml!BF86/50</f>
        <v>0</v>
      </c>
      <c r="BG83" s="27">
        <f>rebio23_80ml!BG86/50</f>
        <v>0</v>
      </c>
    </row>
    <row r="84" spans="1:59" ht="12.75" customHeight="1" x14ac:dyDescent="0.25">
      <c r="A84" s="15" t="str">
        <f>rebio23_80ml!A87</f>
        <v>C-C-P16-H2</v>
      </c>
      <c r="B84" s="27">
        <f>rebio23_80ml!B87/50</f>
        <v>0.06</v>
      </c>
      <c r="C84" s="27">
        <f>rebio23_80ml!C87/50</f>
        <v>0</v>
      </c>
      <c r="D84" s="27">
        <f>rebio23_80ml!D87/50</f>
        <v>0.1</v>
      </c>
      <c r="E84" s="27">
        <f>rebio23_80ml!E87/50</f>
        <v>1.36</v>
      </c>
      <c r="F84" s="27">
        <f>rebio23_80ml!F87/50</f>
        <v>0.8</v>
      </c>
      <c r="G84" s="27">
        <f>rebio23_80ml!G87/50</f>
        <v>0</v>
      </c>
      <c r="H84" s="27">
        <f>rebio23_80ml!H87/50</f>
        <v>0.14000000000000001</v>
      </c>
      <c r="I84" s="27">
        <f>rebio23_80ml!I87/50</f>
        <v>7.1</v>
      </c>
      <c r="J84" s="27">
        <f>rebio23_80ml!J87/50</f>
        <v>1.1599999999999999</v>
      </c>
      <c r="K84" s="27">
        <f>rebio23_80ml!K87/50</f>
        <v>0</v>
      </c>
      <c r="L84" s="27">
        <f>rebio23_80ml!L87/50</f>
        <v>1.3</v>
      </c>
      <c r="M84" s="27">
        <f>rebio23_80ml!M87/50</f>
        <v>0</v>
      </c>
      <c r="N84" s="27">
        <f>rebio23_80ml!N87/50</f>
        <v>0</v>
      </c>
      <c r="O84" s="27">
        <f>rebio23_80ml!O87/50</f>
        <v>0</v>
      </c>
      <c r="P84" s="27">
        <f>rebio23_80ml!P87/50</f>
        <v>0</v>
      </c>
      <c r="Q84" s="27">
        <f>rebio23_80ml!Q87/50</f>
        <v>1</v>
      </c>
      <c r="R84" s="27">
        <f>rebio23_80ml!R87/50</f>
        <v>0</v>
      </c>
      <c r="S84" s="27">
        <f>rebio23_80ml!S87/50</f>
        <v>0</v>
      </c>
      <c r="T84" s="27">
        <f>rebio23_80ml!T87/50</f>
        <v>0.7</v>
      </c>
      <c r="U84" s="27">
        <f>rebio23_80ml!U87/50</f>
        <v>0</v>
      </c>
      <c r="V84" s="27">
        <f>rebio23_80ml!V87/50</f>
        <v>0.8</v>
      </c>
      <c r="W84" s="27">
        <f>rebio23_80ml!W87/50</f>
        <v>0</v>
      </c>
      <c r="X84" s="27">
        <f>rebio23_80ml!X87/50</f>
        <v>0</v>
      </c>
      <c r="Y84" s="27">
        <f>rebio23_80ml!Y87/50</f>
        <v>0.08</v>
      </c>
      <c r="Z84" s="27">
        <f>rebio23_80ml!Z87/50</f>
        <v>0</v>
      </c>
      <c r="AA84" s="27">
        <f>rebio23_80ml!AA87/50</f>
        <v>0.7</v>
      </c>
      <c r="AB84" s="27">
        <f>rebio23_80ml!AB87/50</f>
        <v>0</v>
      </c>
      <c r="AC84" s="27">
        <f>rebio23_80ml!AC87/50</f>
        <v>0</v>
      </c>
      <c r="AD84" s="27">
        <f>rebio23_80ml!AD87/50</f>
        <v>0.2</v>
      </c>
      <c r="AE84" s="27">
        <f>rebio23_80ml!AE87/50</f>
        <v>0</v>
      </c>
      <c r="AF84" s="27">
        <f>rebio23_80ml!AF87/50</f>
        <v>0</v>
      </c>
      <c r="AG84" s="27">
        <f>rebio23_80ml!AG87/50</f>
        <v>0</v>
      </c>
      <c r="AH84" s="27">
        <f>rebio23_80ml!AH87/50</f>
        <v>0</v>
      </c>
      <c r="AI84" s="27">
        <f>rebio23_80ml!AI87/50</f>
        <v>0</v>
      </c>
      <c r="AJ84" s="27">
        <f>rebio23_80ml!AJ87/50</f>
        <v>0</v>
      </c>
      <c r="AK84" s="27">
        <f>rebio23_80ml!AK87/50</f>
        <v>0</v>
      </c>
      <c r="AL84" s="27">
        <f>rebio23_80ml!AL87/50</f>
        <v>0.32</v>
      </c>
      <c r="AM84" s="27">
        <f>rebio23_80ml!AM87/50</f>
        <v>0</v>
      </c>
      <c r="AN84" s="27">
        <f>rebio23_80ml!AN87/50</f>
        <v>0</v>
      </c>
      <c r="AO84" s="27">
        <f>rebio23_80ml!AO87/50</f>
        <v>0</v>
      </c>
      <c r="AP84" s="27">
        <f>rebio23_80ml!AP87/50</f>
        <v>1.62</v>
      </c>
      <c r="AQ84" s="27">
        <f>rebio23_80ml!AQ87/50</f>
        <v>0.5</v>
      </c>
      <c r="AR84" s="27">
        <f>rebio23_80ml!AR87/50</f>
        <v>0.08</v>
      </c>
      <c r="AS84" s="27">
        <f>rebio23_80ml!AS87/50</f>
        <v>0</v>
      </c>
      <c r="AT84" s="27">
        <f>rebio23_80ml!AT87/50</f>
        <v>0</v>
      </c>
      <c r="AU84" s="27">
        <f>rebio23_80ml!AU87/50</f>
        <v>0</v>
      </c>
      <c r="AV84" s="27">
        <f>rebio23_80ml!AV87/50</f>
        <v>1.84</v>
      </c>
      <c r="AW84" s="27">
        <f>rebio23_80ml!AW87/50</f>
        <v>0.3</v>
      </c>
      <c r="AX84" s="27">
        <f>rebio23_80ml!AX87/50</f>
        <v>0.1</v>
      </c>
      <c r="AY84" s="27">
        <f>rebio23_80ml!AY87/50</f>
        <v>0.5</v>
      </c>
      <c r="AZ84" s="27">
        <f>rebio23_80ml!AZ87/50</f>
        <v>0</v>
      </c>
      <c r="BA84" s="27">
        <f>rebio23_80ml!BA87/50</f>
        <v>0</v>
      </c>
      <c r="BB84" s="27">
        <f>rebio23_80ml!BB87/50</f>
        <v>0</v>
      </c>
      <c r="BC84" s="27">
        <f>rebio23_80ml!BC87/50</f>
        <v>0</v>
      </c>
      <c r="BD84" s="27">
        <f>rebio23_80ml!BD87/50</f>
        <v>0.22</v>
      </c>
      <c r="BE84" s="27">
        <f>rebio23_80ml!BE87/50</f>
        <v>0.2</v>
      </c>
      <c r="BF84" s="27">
        <f>rebio23_80ml!BF87/50</f>
        <v>0</v>
      </c>
      <c r="BG84" s="27">
        <f>rebio23_80ml!BG87/50</f>
        <v>0</v>
      </c>
    </row>
    <row r="85" spans="1:59" ht="12.75" customHeight="1" x14ac:dyDescent="0.25">
      <c r="A85" s="15" t="str">
        <f>rebio23_80ml!A88</f>
        <v>C-C-P16-H3</v>
      </c>
      <c r="B85" s="27">
        <f>rebio23_80ml!B88/50</f>
        <v>0.84</v>
      </c>
      <c r="C85" s="27">
        <f>rebio23_80ml!C88/50</f>
        <v>0.32</v>
      </c>
      <c r="D85" s="27">
        <f>rebio23_80ml!D88/50</f>
        <v>0</v>
      </c>
      <c r="E85" s="27">
        <f>rebio23_80ml!E88/50</f>
        <v>0.88</v>
      </c>
      <c r="F85" s="27">
        <f>rebio23_80ml!F88/50</f>
        <v>1.22</v>
      </c>
      <c r="G85" s="27">
        <f>rebio23_80ml!G88/50</f>
        <v>0</v>
      </c>
      <c r="H85" s="27">
        <f>rebio23_80ml!H88/50</f>
        <v>0.02</v>
      </c>
      <c r="I85" s="27">
        <f>rebio23_80ml!I88/50</f>
        <v>7.62</v>
      </c>
      <c r="J85" s="27">
        <f>rebio23_80ml!J88/50</f>
        <v>1.56</v>
      </c>
      <c r="K85" s="27">
        <f>rebio23_80ml!K88/50</f>
        <v>0</v>
      </c>
      <c r="L85" s="27">
        <f>rebio23_80ml!L88/50</f>
        <v>1.54</v>
      </c>
      <c r="M85" s="27">
        <f>rebio23_80ml!M88/50</f>
        <v>0</v>
      </c>
      <c r="N85" s="27">
        <f>rebio23_80ml!N88/50</f>
        <v>0</v>
      </c>
      <c r="O85" s="27">
        <f>rebio23_80ml!O88/50</f>
        <v>0</v>
      </c>
      <c r="P85" s="27">
        <f>rebio23_80ml!P88/50</f>
        <v>0</v>
      </c>
      <c r="Q85" s="27">
        <f>rebio23_80ml!Q88/50</f>
        <v>1.64</v>
      </c>
      <c r="R85" s="27">
        <f>rebio23_80ml!R88/50</f>
        <v>0.38</v>
      </c>
      <c r="S85" s="27">
        <f>rebio23_80ml!S88/50</f>
        <v>0.04</v>
      </c>
      <c r="T85" s="27">
        <f>rebio23_80ml!T88/50</f>
        <v>0.6</v>
      </c>
      <c r="U85" s="27">
        <f>rebio23_80ml!U88/50</f>
        <v>0.2</v>
      </c>
      <c r="V85" s="27">
        <f>rebio23_80ml!V88/50</f>
        <v>8.34</v>
      </c>
      <c r="W85" s="27">
        <f>rebio23_80ml!W88/50</f>
        <v>0</v>
      </c>
      <c r="X85" s="27">
        <f>rebio23_80ml!X88/50</f>
        <v>0</v>
      </c>
      <c r="Y85" s="27">
        <f>rebio23_80ml!Y88/50</f>
        <v>0.06</v>
      </c>
      <c r="Z85" s="27">
        <f>rebio23_80ml!Z88/50</f>
        <v>0.38</v>
      </c>
      <c r="AA85" s="27">
        <f>rebio23_80ml!AA88/50</f>
        <v>1.34</v>
      </c>
      <c r="AB85" s="27">
        <f>rebio23_80ml!AB88/50</f>
        <v>0</v>
      </c>
      <c r="AC85" s="27">
        <f>rebio23_80ml!AC88/50</f>
        <v>0</v>
      </c>
      <c r="AD85" s="27">
        <f>rebio23_80ml!AD88/50</f>
        <v>0</v>
      </c>
      <c r="AE85" s="27">
        <f>rebio23_80ml!AE88/50</f>
        <v>0</v>
      </c>
      <c r="AF85" s="27">
        <f>rebio23_80ml!AF88/50</f>
        <v>0</v>
      </c>
      <c r="AG85" s="27">
        <f>rebio23_80ml!AG88/50</f>
        <v>0.24</v>
      </c>
      <c r="AH85" s="27">
        <f>rebio23_80ml!AH88/50</f>
        <v>0</v>
      </c>
      <c r="AI85" s="27">
        <f>rebio23_80ml!AI88/50</f>
        <v>0</v>
      </c>
      <c r="AJ85" s="27">
        <f>rebio23_80ml!AJ88/50</f>
        <v>0</v>
      </c>
      <c r="AK85" s="27">
        <f>rebio23_80ml!AK88/50</f>
        <v>0</v>
      </c>
      <c r="AL85" s="27">
        <f>rebio23_80ml!AL88/50</f>
        <v>0.18</v>
      </c>
      <c r="AM85" s="27">
        <f>rebio23_80ml!AM88/50</f>
        <v>0</v>
      </c>
      <c r="AN85" s="27">
        <f>rebio23_80ml!AN88/50</f>
        <v>0</v>
      </c>
      <c r="AO85" s="27">
        <f>rebio23_80ml!AO88/50</f>
        <v>0</v>
      </c>
      <c r="AP85" s="27">
        <f>rebio23_80ml!AP88/50</f>
        <v>1.08</v>
      </c>
      <c r="AQ85" s="27">
        <f>rebio23_80ml!AQ88/50</f>
        <v>1.64</v>
      </c>
      <c r="AR85" s="27">
        <f>rebio23_80ml!AR88/50</f>
        <v>0.72</v>
      </c>
      <c r="AS85" s="27">
        <f>rebio23_80ml!AS88/50</f>
        <v>0</v>
      </c>
      <c r="AT85" s="27">
        <f>rebio23_80ml!AT88/50</f>
        <v>0</v>
      </c>
      <c r="AU85" s="27">
        <f>rebio23_80ml!AU88/50</f>
        <v>0</v>
      </c>
      <c r="AV85" s="27">
        <f>rebio23_80ml!AV88/50</f>
        <v>1.98</v>
      </c>
      <c r="AW85" s="27">
        <f>rebio23_80ml!AW88/50</f>
        <v>0</v>
      </c>
      <c r="AX85" s="27">
        <f>rebio23_80ml!AX88/50</f>
        <v>0.2</v>
      </c>
      <c r="AY85" s="27">
        <f>rebio23_80ml!AY88/50</f>
        <v>2.56</v>
      </c>
      <c r="AZ85" s="27">
        <f>rebio23_80ml!AZ88/50</f>
        <v>0</v>
      </c>
      <c r="BA85" s="27">
        <f>rebio23_80ml!BA88/50</f>
        <v>0</v>
      </c>
      <c r="BB85" s="27">
        <f>rebio23_80ml!BB88/50</f>
        <v>0</v>
      </c>
      <c r="BC85" s="27">
        <f>rebio23_80ml!BC88/50</f>
        <v>0</v>
      </c>
      <c r="BD85" s="27">
        <f>rebio23_80ml!BD88/50</f>
        <v>0.16</v>
      </c>
      <c r="BE85" s="27">
        <f>rebio23_80ml!BE88/50</f>
        <v>0.2</v>
      </c>
      <c r="BF85" s="27">
        <f>rebio23_80ml!BF88/50</f>
        <v>0</v>
      </c>
      <c r="BG85" s="27">
        <f>rebio23_80ml!BG88/50</f>
        <v>0</v>
      </c>
    </row>
    <row r="86" spans="1:59" ht="12.75" customHeight="1" x14ac:dyDescent="0.25">
      <c r="A86" s="15" t="str">
        <f>rebio23_80ml!A89</f>
        <v>C-C-P17-H1</v>
      </c>
      <c r="B86" s="27">
        <f>rebio23_80ml!B89/50</f>
        <v>0.02</v>
      </c>
      <c r="C86" s="27">
        <f>rebio23_80ml!C89/50</f>
        <v>0</v>
      </c>
      <c r="D86" s="27">
        <f>rebio23_80ml!D89/50</f>
        <v>0</v>
      </c>
      <c r="E86" s="27">
        <f>rebio23_80ml!E89/50</f>
        <v>1.66</v>
      </c>
      <c r="F86" s="27">
        <f>rebio23_80ml!F89/50</f>
        <v>0.04</v>
      </c>
      <c r="G86" s="27">
        <f>rebio23_80ml!G89/50</f>
        <v>0</v>
      </c>
      <c r="H86" s="27">
        <f>rebio23_80ml!H89/50</f>
        <v>0</v>
      </c>
      <c r="I86" s="27">
        <f>rebio23_80ml!I89/50</f>
        <v>0.1</v>
      </c>
      <c r="J86" s="27">
        <f>rebio23_80ml!J89/50</f>
        <v>0.06</v>
      </c>
      <c r="K86" s="27">
        <f>rebio23_80ml!K89/50</f>
        <v>0</v>
      </c>
      <c r="L86" s="27">
        <f>rebio23_80ml!L89/50</f>
        <v>0</v>
      </c>
      <c r="M86" s="27">
        <f>rebio23_80ml!M89/50</f>
        <v>0</v>
      </c>
      <c r="N86" s="27">
        <f>rebio23_80ml!N89/50</f>
        <v>0</v>
      </c>
      <c r="O86" s="27">
        <f>rebio23_80ml!O89/50</f>
        <v>0</v>
      </c>
      <c r="P86" s="27">
        <f>rebio23_80ml!P89/50</f>
        <v>0</v>
      </c>
      <c r="Q86" s="27">
        <f>rebio23_80ml!Q89/50</f>
        <v>0</v>
      </c>
      <c r="R86" s="27">
        <f>rebio23_80ml!R89/50</f>
        <v>0</v>
      </c>
      <c r="S86" s="27">
        <f>rebio23_80ml!S89/50</f>
        <v>0</v>
      </c>
      <c r="T86" s="27">
        <f>rebio23_80ml!T89/50</f>
        <v>0.04</v>
      </c>
      <c r="U86" s="27">
        <f>rebio23_80ml!U89/50</f>
        <v>0</v>
      </c>
      <c r="V86" s="27">
        <f>rebio23_80ml!V89/50</f>
        <v>0</v>
      </c>
      <c r="W86" s="27">
        <f>rebio23_80ml!W89/50</f>
        <v>0</v>
      </c>
      <c r="X86" s="27">
        <f>rebio23_80ml!X89/50</f>
        <v>0</v>
      </c>
      <c r="Y86" s="27">
        <f>rebio23_80ml!Y89/50</f>
        <v>0</v>
      </c>
      <c r="Z86" s="27">
        <f>rebio23_80ml!Z89/50</f>
        <v>0</v>
      </c>
      <c r="AA86" s="27">
        <f>rebio23_80ml!AA89/50</f>
        <v>0.04</v>
      </c>
      <c r="AB86" s="27">
        <f>rebio23_80ml!AB89/50</f>
        <v>0</v>
      </c>
      <c r="AC86" s="27">
        <f>rebio23_80ml!AC89/50</f>
        <v>0</v>
      </c>
      <c r="AD86" s="27">
        <f>rebio23_80ml!AD89/50</f>
        <v>0</v>
      </c>
      <c r="AE86" s="27">
        <f>rebio23_80ml!AE89/50</f>
        <v>0</v>
      </c>
      <c r="AF86" s="27">
        <f>rebio23_80ml!AF89/50</f>
        <v>0</v>
      </c>
      <c r="AG86" s="27">
        <f>rebio23_80ml!AG89/50</f>
        <v>0</v>
      </c>
      <c r="AH86" s="27">
        <f>rebio23_80ml!AH89/50</f>
        <v>0</v>
      </c>
      <c r="AI86" s="27">
        <f>rebio23_80ml!AI89/50</f>
        <v>0</v>
      </c>
      <c r="AJ86" s="27">
        <f>rebio23_80ml!AJ89/50</f>
        <v>0</v>
      </c>
      <c r="AK86" s="27">
        <f>rebio23_80ml!AK89/50</f>
        <v>0</v>
      </c>
      <c r="AL86" s="27">
        <f>rebio23_80ml!AL89/50</f>
        <v>0</v>
      </c>
      <c r="AM86" s="27">
        <f>rebio23_80ml!AM89/50</f>
        <v>0</v>
      </c>
      <c r="AN86" s="27">
        <f>rebio23_80ml!AN89/50</f>
        <v>0</v>
      </c>
      <c r="AO86" s="27">
        <f>rebio23_80ml!AO89/50</f>
        <v>0</v>
      </c>
      <c r="AP86" s="27">
        <f>rebio23_80ml!AP89/50</f>
        <v>0</v>
      </c>
      <c r="AQ86" s="27">
        <f>rebio23_80ml!AQ89/50</f>
        <v>0</v>
      </c>
      <c r="AR86" s="27">
        <f>rebio23_80ml!AR89/50</f>
        <v>0</v>
      </c>
      <c r="AS86" s="27">
        <f>rebio23_80ml!AS89/50</f>
        <v>0</v>
      </c>
      <c r="AT86" s="27">
        <f>rebio23_80ml!AT89/50</f>
        <v>0</v>
      </c>
      <c r="AU86" s="27">
        <f>rebio23_80ml!AU89/50</f>
        <v>0</v>
      </c>
      <c r="AV86" s="27">
        <f>rebio23_80ml!AV89/50</f>
        <v>0.14000000000000001</v>
      </c>
      <c r="AW86" s="27">
        <f>rebio23_80ml!AW89/50</f>
        <v>0</v>
      </c>
      <c r="AX86" s="27">
        <f>rebio23_80ml!AX89/50</f>
        <v>0</v>
      </c>
      <c r="AY86" s="27">
        <f>rebio23_80ml!AY89/50</f>
        <v>0.02</v>
      </c>
      <c r="AZ86" s="27">
        <f>rebio23_80ml!AZ89/50</f>
        <v>0</v>
      </c>
      <c r="BA86" s="27">
        <f>rebio23_80ml!BA89/50</f>
        <v>0</v>
      </c>
      <c r="BB86" s="27">
        <f>rebio23_80ml!BB89/50</f>
        <v>0</v>
      </c>
      <c r="BC86" s="27">
        <f>rebio23_80ml!BC89/50</f>
        <v>0</v>
      </c>
      <c r="BD86" s="27">
        <f>rebio23_80ml!BD89/50</f>
        <v>0</v>
      </c>
      <c r="BE86" s="27">
        <f>rebio23_80ml!BE89/50</f>
        <v>0</v>
      </c>
      <c r="BF86" s="27">
        <f>rebio23_80ml!BF89/50</f>
        <v>0</v>
      </c>
      <c r="BG86" s="27">
        <f>rebio23_80ml!BG89/50</f>
        <v>0</v>
      </c>
    </row>
    <row r="87" spans="1:59" ht="12.75" customHeight="1" x14ac:dyDescent="0.25">
      <c r="A87" s="15" t="str">
        <f>rebio23_80ml!A90</f>
        <v>C-C-P17-H2</v>
      </c>
      <c r="B87" s="27">
        <f>rebio23_80ml!B90/50</f>
        <v>0.36</v>
      </c>
      <c r="C87" s="27">
        <f>rebio23_80ml!C90/50</f>
        <v>0</v>
      </c>
      <c r="D87" s="27">
        <f>rebio23_80ml!D90/50</f>
        <v>0.06</v>
      </c>
      <c r="E87" s="27">
        <f>rebio23_80ml!E90/50</f>
        <v>1.82</v>
      </c>
      <c r="F87" s="27">
        <f>rebio23_80ml!F90/50</f>
        <v>0.28000000000000003</v>
      </c>
      <c r="G87" s="27">
        <f>rebio23_80ml!G90/50</f>
        <v>0</v>
      </c>
      <c r="H87" s="27">
        <f>rebio23_80ml!H90/50</f>
        <v>0</v>
      </c>
      <c r="I87" s="27">
        <f>rebio23_80ml!I90/50</f>
        <v>0.76</v>
      </c>
      <c r="J87" s="27">
        <f>rebio23_80ml!J90/50</f>
        <v>0.42</v>
      </c>
      <c r="K87" s="27">
        <f>rebio23_80ml!K90/50</f>
        <v>0</v>
      </c>
      <c r="L87" s="27">
        <f>rebio23_80ml!L90/50</f>
        <v>0.24</v>
      </c>
      <c r="M87" s="27">
        <f>rebio23_80ml!M90/50</f>
        <v>0</v>
      </c>
      <c r="N87" s="27">
        <f>rebio23_80ml!N90/50</f>
        <v>0</v>
      </c>
      <c r="O87" s="27">
        <f>rebio23_80ml!O90/50</f>
        <v>0</v>
      </c>
      <c r="P87" s="27">
        <f>rebio23_80ml!P90/50</f>
        <v>0.02</v>
      </c>
      <c r="Q87" s="27">
        <f>rebio23_80ml!Q90/50</f>
        <v>0.04</v>
      </c>
      <c r="R87" s="27">
        <f>rebio23_80ml!R90/50</f>
        <v>0.22</v>
      </c>
      <c r="S87" s="27">
        <f>rebio23_80ml!S90/50</f>
        <v>0.04</v>
      </c>
      <c r="T87" s="27">
        <f>rebio23_80ml!T90/50</f>
        <v>0.02</v>
      </c>
      <c r="U87" s="27">
        <f>rebio23_80ml!U90/50</f>
        <v>0</v>
      </c>
      <c r="V87" s="27">
        <f>rebio23_80ml!V90/50</f>
        <v>0.16</v>
      </c>
      <c r="W87" s="27">
        <f>rebio23_80ml!W90/50</f>
        <v>0</v>
      </c>
      <c r="X87" s="27">
        <f>rebio23_80ml!X90/50</f>
        <v>0</v>
      </c>
      <c r="Y87" s="27">
        <f>rebio23_80ml!Y90/50</f>
        <v>0</v>
      </c>
      <c r="Z87" s="27">
        <f>rebio23_80ml!Z90/50</f>
        <v>0.16</v>
      </c>
      <c r="AA87" s="27">
        <f>rebio23_80ml!AA90/50</f>
        <v>0.56000000000000005</v>
      </c>
      <c r="AB87" s="27">
        <f>rebio23_80ml!AB90/50</f>
        <v>0</v>
      </c>
      <c r="AC87" s="27">
        <f>rebio23_80ml!AC90/50</f>
        <v>0</v>
      </c>
      <c r="AD87" s="27">
        <f>rebio23_80ml!AD90/50</f>
        <v>0.02</v>
      </c>
      <c r="AE87" s="27">
        <f>rebio23_80ml!AE90/50</f>
        <v>0</v>
      </c>
      <c r="AF87" s="27">
        <f>rebio23_80ml!AF90/50</f>
        <v>0</v>
      </c>
      <c r="AG87" s="27">
        <f>rebio23_80ml!AG90/50</f>
        <v>0.08</v>
      </c>
      <c r="AH87" s="27">
        <f>rebio23_80ml!AH90/50</f>
        <v>0</v>
      </c>
      <c r="AI87" s="27">
        <f>rebio23_80ml!AI90/50</f>
        <v>0</v>
      </c>
      <c r="AJ87" s="27">
        <f>rebio23_80ml!AJ90/50</f>
        <v>0</v>
      </c>
      <c r="AK87" s="27">
        <f>rebio23_80ml!AK90/50</f>
        <v>0</v>
      </c>
      <c r="AL87" s="27">
        <f>rebio23_80ml!AL90/50</f>
        <v>0</v>
      </c>
      <c r="AM87" s="27">
        <f>rebio23_80ml!AM90/50</f>
        <v>0</v>
      </c>
      <c r="AN87" s="27">
        <f>rebio23_80ml!AN90/50</f>
        <v>0</v>
      </c>
      <c r="AO87" s="27">
        <f>rebio23_80ml!AO90/50</f>
        <v>0</v>
      </c>
      <c r="AP87" s="27">
        <f>rebio23_80ml!AP90/50</f>
        <v>0</v>
      </c>
      <c r="AQ87" s="27">
        <f>rebio23_80ml!AQ90/50</f>
        <v>0.28000000000000003</v>
      </c>
      <c r="AR87" s="27">
        <f>rebio23_80ml!AR90/50</f>
        <v>0</v>
      </c>
      <c r="AS87" s="27">
        <f>rebio23_80ml!AS90/50</f>
        <v>0</v>
      </c>
      <c r="AT87" s="27">
        <f>rebio23_80ml!AT90/50</f>
        <v>0</v>
      </c>
      <c r="AU87" s="27">
        <f>rebio23_80ml!AU90/50</f>
        <v>0</v>
      </c>
      <c r="AV87" s="27">
        <f>rebio23_80ml!AV90/50</f>
        <v>0.26</v>
      </c>
      <c r="AW87" s="27">
        <f>rebio23_80ml!AW90/50</f>
        <v>0</v>
      </c>
      <c r="AX87" s="27">
        <f>rebio23_80ml!AX90/50</f>
        <v>0</v>
      </c>
      <c r="AY87" s="27">
        <f>rebio23_80ml!AY90/50</f>
        <v>0.12</v>
      </c>
      <c r="AZ87" s="27">
        <f>rebio23_80ml!AZ90/50</f>
        <v>0</v>
      </c>
      <c r="BA87" s="27">
        <f>rebio23_80ml!BA90/50</f>
        <v>0</v>
      </c>
      <c r="BB87" s="27">
        <f>rebio23_80ml!BB90/50</f>
        <v>0</v>
      </c>
      <c r="BC87" s="27">
        <f>rebio23_80ml!BC90/50</f>
        <v>0</v>
      </c>
      <c r="BD87" s="27">
        <f>rebio23_80ml!BD90/50</f>
        <v>0.32</v>
      </c>
      <c r="BE87" s="27">
        <f>rebio23_80ml!BE90/50</f>
        <v>0.08</v>
      </c>
      <c r="BF87" s="27">
        <f>rebio23_80ml!BF90/50</f>
        <v>0</v>
      </c>
      <c r="BG87" s="27">
        <f>rebio23_80ml!BG90/50</f>
        <v>0</v>
      </c>
    </row>
    <row r="88" spans="1:59" ht="12.75" customHeight="1" x14ac:dyDescent="0.25">
      <c r="A88" s="15" t="str">
        <f>rebio23_80ml!A91</f>
        <v>C-C-P17-H3</v>
      </c>
      <c r="B88" s="27">
        <f>rebio23_80ml!B91/50</f>
        <v>0</v>
      </c>
      <c r="C88" s="27">
        <f>rebio23_80ml!C91/50</f>
        <v>0</v>
      </c>
      <c r="D88" s="27">
        <f>rebio23_80ml!D91/50</f>
        <v>0</v>
      </c>
      <c r="E88" s="27">
        <f>rebio23_80ml!E91/50</f>
        <v>1.1399999999999999</v>
      </c>
      <c r="F88" s="27">
        <f>rebio23_80ml!F91/50</f>
        <v>0.08</v>
      </c>
      <c r="G88" s="27">
        <f>rebio23_80ml!G91/50</f>
        <v>0</v>
      </c>
      <c r="H88" s="27">
        <f>rebio23_80ml!H91/50</f>
        <v>0</v>
      </c>
      <c r="I88" s="27">
        <f>rebio23_80ml!I91/50</f>
        <v>0.26</v>
      </c>
      <c r="J88" s="27">
        <f>rebio23_80ml!J91/50</f>
        <v>0.18</v>
      </c>
      <c r="K88" s="27">
        <f>rebio23_80ml!K91/50</f>
        <v>0</v>
      </c>
      <c r="L88" s="27">
        <f>rebio23_80ml!L91/50</f>
        <v>0.1</v>
      </c>
      <c r="M88" s="27">
        <f>rebio23_80ml!M91/50</f>
        <v>0</v>
      </c>
      <c r="N88" s="27">
        <f>rebio23_80ml!N91/50</f>
        <v>0</v>
      </c>
      <c r="O88" s="27">
        <f>rebio23_80ml!O91/50</f>
        <v>0</v>
      </c>
      <c r="P88" s="27">
        <f>rebio23_80ml!P91/50</f>
        <v>0</v>
      </c>
      <c r="Q88" s="27">
        <f>rebio23_80ml!Q91/50</f>
        <v>0</v>
      </c>
      <c r="R88" s="27">
        <f>rebio23_80ml!R91/50</f>
        <v>0.1</v>
      </c>
      <c r="S88" s="27">
        <f>rebio23_80ml!S91/50</f>
        <v>0</v>
      </c>
      <c r="T88" s="27">
        <f>rebio23_80ml!T91/50</f>
        <v>0.12</v>
      </c>
      <c r="U88" s="27">
        <f>rebio23_80ml!U91/50</f>
        <v>0</v>
      </c>
      <c r="V88" s="27">
        <f>rebio23_80ml!V91/50</f>
        <v>0</v>
      </c>
      <c r="W88" s="27">
        <f>rebio23_80ml!W91/50</f>
        <v>0</v>
      </c>
      <c r="X88" s="27">
        <f>rebio23_80ml!X91/50</f>
        <v>0</v>
      </c>
      <c r="Y88" s="27">
        <f>rebio23_80ml!Y91/50</f>
        <v>0</v>
      </c>
      <c r="Z88" s="27">
        <f>rebio23_80ml!Z91/50</f>
        <v>0</v>
      </c>
      <c r="AA88" s="27">
        <f>rebio23_80ml!AA91/50</f>
        <v>0.04</v>
      </c>
      <c r="AB88" s="27">
        <f>rebio23_80ml!AB91/50</f>
        <v>0</v>
      </c>
      <c r="AC88" s="27">
        <f>rebio23_80ml!AC91/50</f>
        <v>0</v>
      </c>
      <c r="AD88" s="27">
        <f>rebio23_80ml!AD91/50</f>
        <v>0</v>
      </c>
      <c r="AE88" s="27">
        <f>rebio23_80ml!AE91/50</f>
        <v>0</v>
      </c>
      <c r="AF88" s="27">
        <f>rebio23_80ml!AF91/50</f>
        <v>0</v>
      </c>
      <c r="AG88" s="27">
        <f>rebio23_80ml!AG91/50</f>
        <v>0.02</v>
      </c>
      <c r="AH88" s="27">
        <f>rebio23_80ml!AH91/50</f>
        <v>0</v>
      </c>
      <c r="AI88" s="27">
        <f>rebio23_80ml!AI91/50</f>
        <v>0</v>
      </c>
      <c r="AJ88" s="27">
        <f>rebio23_80ml!AJ91/50</f>
        <v>0</v>
      </c>
      <c r="AK88" s="27">
        <f>rebio23_80ml!AK91/50</f>
        <v>0</v>
      </c>
      <c r="AL88" s="27">
        <f>rebio23_80ml!AL91/50</f>
        <v>0</v>
      </c>
      <c r="AM88" s="27">
        <f>rebio23_80ml!AM91/50</f>
        <v>0</v>
      </c>
      <c r="AN88" s="27">
        <f>rebio23_80ml!AN91/50</f>
        <v>0</v>
      </c>
      <c r="AO88" s="27">
        <f>rebio23_80ml!AO91/50</f>
        <v>0</v>
      </c>
      <c r="AP88" s="27">
        <f>rebio23_80ml!AP91/50</f>
        <v>0</v>
      </c>
      <c r="AQ88" s="27">
        <f>rebio23_80ml!AQ91/50</f>
        <v>0</v>
      </c>
      <c r="AR88" s="27">
        <f>rebio23_80ml!AR91/50</f>
        <v>0</v>
      </c>
      <c r="AS88" s="27">
        <f>rebio23_80ml!AS91/50</f>
        <v>0</v>
      </c>
      <c r="AT88" s="27">
        <f>rebio23_80ml!AT91/50</f>
        <v>0</v>
      </c>
      <c r="AU88" s="27">
        <f>rebio23_80ml!AU91/50</f>
        <v>0</v>
      </c>
      <c r="AV88" s="27">
        <f>rebio23_80ml!AV91/50</f>
        <v>0</v>
      </c>
      <c r="AW88" s="27">
        <f>rebio23_80ml!AW91/50</f>
        <v>0</v>
      </c>
      <c r="AX88" s="27">
        <f>rebio23_80ml!AX91/50</f>
        <v>0</v>
      </c>
      <c r="AY88" s="27">
        <f>rebio23_80ml!AY91/50</f>
        <v>0</v>
      </c>
      <c r="AZ88" s="27">
        <f>rebio23_80ml!AZ91/50</f>
        <v>0</v>
      </c>
      <c r="BA88" s="27">
        <f>rebio23_80ml!BA91/50</f>
        <v>0</v>
      </c>
      <c r="BB88" s="27">
        <f>rebio23_80ml!BB91/50</f>
        <v>0</v>
      </c>
      <c r="BC88" s="27">
        <f>rebio23_80ml!BC91/50</f>
        <v>0</v>
      </c>
      <c r="BD88" s="27">
        <f>rebio23_80ml!BD91/50</f>
        <v>0</v>
      </c>
      <c r="BE88" s="27">
        <f>rebio23_80ml!BE91/50</f>
        <v>0</v>
      </c>
      <c r="BF88" s="27">
        <f>rebio23_80ml!BF91/50</f>
        <v>0</v>
      </c>
      <c r="BG88" s="27">
        <f>rebio23_80ml!BG91/50</f>
        <v>0</v>
      </c>
    </row>
    <row r="89" spans="1:59" ht="12.75" customHeight="1" x14ac:dyDescent="0.25">
      <c r="A89" s="15" t="str">
        <f>rebio23_80ml!A92</f>
        <v>C-C-P18-H1</v>
      </c>
      <c r="B89" s="27">
        <f>rebio23_80ml!B92/50</f>
        <v>0.08</v>
      </c>
      <c r="C89" s="27">
        <f>rebio23_80ml!C92/50</f>
        <v>0.02</v>
      </c>
      <c r="D89" s="27">
        <f>rebio23_80ml!D92/50</f>
        <v>0</v>
      </c>
      <c r="E89" s="27">
        <f>rebio23_80ml!E92/50</f>
        <v>1.3</v>
      </c>
      <c r="F89" s="27">
        <f>rebio23_80ml!F92/50</f>
        <v>0.04</v>
      </c>
      <c r="G89" s="27">
        <f>rebio23_80ml!G92/50</f>
        <v>0</v>
      </c>
      <c r="H89" s="27">
        <f>rebio23_80ml!H92/50</f>
        <v>0</v>
      </c>
      <c r="I89" s="27">
        <f>rebio23_80ml!I92/50</f>
        <v>0.12</v>
      </c>
      <c r="J89" s="27">
        <f>rebio23_80ml!J92/50</f>
        <v>0.06</v>
      </c>
      <c r="K89" s="27">
        <f>rebio23_80ml!K92/50</f>
        <v>0</v>
      </c>
      <c r="L89" s="27">
        <f>rebio23_80ml!L92/50</f>
        <v>0.02</v>
      </c>
      <c r="M89" s="27">
        <f>rebio23_80ml!M92/50</f>
        <v>0</v>
      </c>
      <c r="N89" s="27">
        <f>rebio23_80ml!N92/50</f>
        <v>0</v>
      </c>
      <c r="O89" s="27">
        <f>rebio23_80ml!O92/50</f>
        <v>0</v>
      </c>
      <c r="P89" s="27">
        <f>rebio23_80ml!P92/50</f>
        <v>0</v>
      </c>
      <c r="Q89" s="27">
        <f>rebio23_80ml!Q92/50</f>
        <v>0</v>
      </c>
      <c r="R89" s="27">
        <f>rebio23_80ml!R92/50</f>
        <v>0.02</v>
      </c>
      <c r="S89" s="27">
        <f>rebio23_80ml!S92/50</f>
        <v>0</v>
      </c>
      <c r="T89" s="27">
        <f>rebio23_80ml!T92/50</f>
        <v>0</v>
      </c>
      <c r="U89" s="27">
        <f>rebio23_80ml!U92/50</f>
        <v>0</v>
      </c>
      <c r="V89" s="27">
        <f>rebio23_80ml!V92/50</f>
        <v>0</v>
      </c>
      <c r="W89" s="27">
        <f>rebio23_80ml!W92/50</f>
        <v>0</v>
      </c>
      <c r="X89" s="27">
        <f>rebio23_80ml!X92/50</f>
        <v>0</v>
      </c>
      <c r="Y89" s="27">
        <f>rebio23_80ml!Y92/50</f>
        <v>0</v>
      </c>
      <c r="Z89" s="27">
        <f>rebio23_80ml!Z92/50</f>
        <v>0</v>
      </c>
      <c r="AA89" s="27">
        <f>rebio23_80ml!AA92/50</f>
        <v>0.02</v>
      </c>
      <c r="AB89" s="27">
        <f>rebio23_80ml!AB92/50</f>
        <v>0</v>
      </c>
      <c r="AC89" s="27">
        <f>rebio23_80ml!AC92/50</f>
        <v>0</v>
      </c>
      <c r="AD89" s="27">
        <f>rebio23_80ml!AD92/50</f>
        <v>0</v>
      </c>
      <c r="AE89" s="27">
        <f>rebio23_80ml!AE92/50</f>
        <v>0</v>
      </c>
      <c r="AF89" s="27">
        <f>rebio23_80ml!AF92/50</f>
        <v>0</v>
      </c>
      <c r="AG89" s="27">
        <f>rebio23_80ml!AG92/50</f>
        <v>0</v>
      </c>
      <c r="AH89" s="27">
        <f>rebio23_80ml!AH92/50</f>
        <v>0</v>
      </c>
      <c r="AI89" s="27">
        <f>rebio23_80ml!AI92/50</f>
        <v>0</v>
      </c>
      <c r="AJ89" s="27">
        <f>rebio23_80ml!AJ92/50</f>
        <v>0</v>
      </c>
      <c r="AK89" s="27">
        <f>rebio23_80ml!AK92/50</f>
        <v>0</v>
      </c>
      <c r="AL89" s="27">
        <f>rebio23_80ml!AL92/50</f>
        <v>0</v>
      </c>
      <c r="AM89" s="27">
        <f>rebio23_80ml!AM92/50</f>
        <v>0</v>
      </c>
      <c r="AN89" s="27">
        <f>rebio23_80ml!AN92/50</f>
        <v>0</v>
      </c>
      <c r="AO89" s="27">
        <f>rebio23_80ml!AO92/50</f>
        <v>0</v>
      </c>
      <c r="AP89" s="27">
        <f>rebio23_80ml!AP92/50</f>
        <v>0</v>
      </c>
      <c r="AQ89" s="27">
        <f>rebio23_80ml!AQ92/50</f>
        <v>0.04</v>
      </c>
      <c r="AR89" s="27">
        <f>rebio23_80ml!AR92/50</f>
        <v>0</v>
      </c>
      <c r="AS89" s="27">
        <f>rebio23_80ml!AS92/50</f>
        <v>0</v>
      </c>
      <c r="AT89" s="27">
        <f>rebio23_80ml!AT92/50</f>
        <v>0</v>
      </c>
      <c r="AU89" s="27">
        <f>rebio23_80ml!AU92/50</f>
        <v>0</v>
      </c>
      <c r="AV89" s="27">
        <f>rebio23_80ml!AV92/50</f>
        <v>0.02</v>
      </c>
      <c r="AW89" s="27">
        <f>rebio23_80ml!AW92/50</f>
        <v>0</v>
      </c>
      <c r="AX89" s="27">
        <f>rebio23_80ml!AX92/50</f>
        <v>0</v>
      </c>
      <c r="AY89" s="27">
        <f>rebio23_80ml!AY92/50</f>
        <v>0.06</v>
      </c>
      <c r="AZ89" s="27">
        <f>rebio23_80ml!AZ92/50</f>
        <v>0</v>
      </c>
      <c r="BA89" s="27">
        <f>rebio23_80ml!BA92/50</f>
        <v>0</v>
      </c>
      <c r="BB89" s="27">
        <f>rebio23_80ml!BB92/50</f>
        <v>0</v>
      </c>
      <c r="BC89" s="27">
        <f>rebio23_80ml!BC92/50</f>
        <v>0</v>
      </c>
      <c r="BD89" s="27">
        <f>rebio23_80ml!BD92/50</f>
        <v>0</v>
      </c>
      <c r="BE89" s="27">
        <f>rebio23_80ml!BE92/50</f>
        <v>0</v>
      </c>
      <c r="BF89" s="27">
        <f>rebio23_80ml!BF92/50</f>
        <v>0</v>
      </c>
      <c r="BG89" s="27">
        <f>rebio23_80ml!BG92/50</f>
        <v>0</v>
      </c>
    </row>
    <row r="90" spans="1:59" ht="12.75" customHeight="1" x14ac:dyDescent="0.25">
      <c r="A90" s="15" t="str">
        <f>rebio23_80ml!A93</f>
        <v>C-C-P18-H2</v>
      </c>
      <c r="B90" s="27">
        <f>rebio23_80ml!B93/50</f>
        <v>0.12</v>
      </c>
      <c r="C90" s="27">
        <f>rebio23_80ml!C93/50</f>
        <v>0</v>
      </c>
      <c r="D90" s="27">
        <f>rebio23_80ml!D93/50</f>
        <v>0</v>
      </c>
      <c r="E90" s="27">
        <f>rebio23_80ml!E93/50</f>
        <v>2.14</v>
      </c>
      <c r="F90" s="27">
        <f>rebio23_80ml!F93/50</f>
        <v>0.08</v>
      </c>
      <c r="G90" s="27">
        <f>rebio23_80ml!G93/50</f>
        <v>0</v>
      </c>
      <c r="H90" s="27">
        <f>rebio23_80ml!H93/50</f>
        <v>0</v>
      </c>
      <c r="I90" s="27">
        <f>rebio23_80ml!I93/50</f>
        <v>1.68</v>
      </c>
      <c r="J90" s="27">
        <f>rebio23_80ml!J93/50</f>
        <v>0.24</v>
      </c>
      <c r="K90" s="27">
        <f>rebio23_80ml!K93/50</f>
        <v>0</v>
      </c>
      <c r="L90" s="27">
        <f>rebio23_80ml!L93/50</f>
        <v>0.46</v>
      </c>
      <c r="M90" s="27">
        <f>rebio23_80ml!M93/50</f>
        <v>0</v>
      </c>
      <c r="N90" s="27">
        <f>rebio23_80ml!N93/50</f>
        <v>0</v>
      </c>
      <c r="O90" s="27">
        <f>rebio23_80ml!O93/50</f>
        <v>0</v>
      </c>
      <c r="P90" s="27">
        <f>rebio23_80ml!P93/50</f>
        <v>0</v>
      </c>
      <c r="Q90" s="27">
        <f>rebio23_80ml!Q93/50</f>
        <v>0.04</v>
      </c>
      <c r="R90" s="27">
        <f>rebio23_80ml!R93/50</f>
        <v>0</v>
      </c>
      <c r="S90" s="27">
        <f>rebio23_80ml!S93/50</f>
        <v>0</v>
      </c>
      <c r="T90" s="27">
        <f>rebio23_80ml!T93/50</f>
        <v>0.02</v>
      </c>
      <c r="U90" s="27">
        <f>rebio23_80ml!U93/50</f>
        <v>0</v>
      </c>
      <c r="V90" s="27">
        <f>rebio23_80ml!V93/50</f>
        <v>0.08</v>
      </c>
      <c r="W90" s="27">
        <f>rebio23_80ml!W93/50</f>
        <v>0</v>
      </c>
      <c r="X90" s="27">
        <f>rebio23_80ml!X93/50</f>
        <v>0</v>
      </c>
      <c r="Y90" s="27">
        <f>rebio23_80ml!Y93/50</f>
        <v>0.06</v>
      </c>
      <c r="Z90" s="27">
        <f>rebio23_80ml!Z93/50</f>
        <v>0.02</v>
      </c>
      <c r="AA90" s="27">
        <f>rebio23_80ml!AA93/50</f>
        <v>0.06</v>
      </c>
      <c r="AB90" s="27">
        <f>rebio23_80ml!AB93/50</f>
        <v>0</v>
      </c>
      <c r="AC90" s="27">
        <f>rebio23_80ml!AC93/50</f>
        <v>0</v>
      </c>
      <c r="AD90" s="27">
        <f>rebio23_80ml!AD93/50</f>
        <v>0</v>
      </c>
      <c r="AE90" s="27">
        <f>rebio23_80ml!AE93/50</f>
        <v>0</v>
      </c>
      <c r="AF90" s="27">
        <f>rebio23_80ml!AF93/50</f>
        <v>0</v>
      </c>
      <c r="AG90" s="27">
        <f>rebio23_80ml!AG93/50</f>
        <v>0</v>
      </c>
      <c r="AH90" s="27">
        <f>rebio23_80ml!AH93/50</f>
        <v>0</v>
      </c>
      <c r="AI90" s="27">
        <f>rebio23_80ml!AI93/50</f>
        <v>0</v>
      </c>
      <c r="AJ90" s="27">
        <f>rebio23_80ml!AJ93/50</f>
        <v>0</v>
      </c>
      <c r="AK90" s="27">
        <f>rebio23_80ml!AK93/50</f>
        <v>0</v>
      </c>
      <c r="AL90" s="27">
        <f>rebio23_80ml!AL93/50</f>
        <v>0.06</v>
      </c>
      <c r="AM90" s="27">
        <f>rebio23_80ml!AM93/50</f>
        <v>0</v>
      </c>
      <c r="AN90" s="27">
        <f>rebio23_80ml!AN93/50</f>
        <v>0</v>
      </c>
      <c r="AO90" s="27">
        <f>rebio23_80ml!AO93/50</f>
        <v>0</v>
      </c>
      <c r="AP90" s="27">
        <f>rebio23_80ml!AP93/50</f>
        <v>0</v>
      </c>
      <c r="AQ90" s="27">
        <f>rebio23_80ml!AQ93/50</f>
        <v>0.02</v>
      </c>
      <c r="AR90" s="27">
        <f>rebio23_80ml!AR93/50</f>
        <v>0</v>
      </c>
      <c r="AS90" s="27">
        <f>rebio23_80ml!AS93/50</f>
        <v>0</v>
      </c>
      <c r="AT90" s="27">
        <f>rebio23_80ml!AT93/50</f>
        <v>0</v>
      </c>
      <c r="AU90" s="27">
        <f>rebio23_80ml!AU93/50</f>
        <v>0</v>
      </c>
      <c r="AV90" s="27">
        <f>rebio23_80ml!AV93/50</f>
        <v>0.82</v>
      </c>
      <c r="AW90" s="27">
        <f>rebio23_80ml!AW93/50</f>
        <v>0.02</v>
      </c>
      <c r="AX90" s="27">
        <f>rebio23_80ml!AX93/50</f>
        <v>0.24</v>
      </c>
      <c r="AY90" s="27">
        <f>rebio23_80ml!AY93/50</f>
        <v>0.08</v>
      </c>
      <c r="AZ90" s="27">
        <f>rebio23_80ml!AZ93/50</f>
        <v>0</v>
      </c>
      <c r="BA90" s="27">
        <f>rebio23_80ml!BA93/50</f>
        <v>0</v>
      </c>
      <c r="BB90" s="27">
        <f>rebio23_80ml!BB93/50</f>
        <v>0</v>
      </c>
      <c r="BC90" s="27">
        <f>rebio23_80ml!BC93/50</f>
        <v>0</v>
      </c>
      <c r="BD90" s="27">
        <f>rebio23_80ml!BD93/50</f>
        <v>0</v>
      </c>
      <c r="BE90" s="27">
        <f>rebio23_80ml!BE93/50</f>
        <v>0</v>
      </c>
      <c r="BF90" s="27">
        <f>rebio23_80ml!BF93/50</f>
        <v>0</v>
      </c>
      <c r="BG90" s="27">
        <f>rebio23_80ml!BG93/50</f>
        <v>0</v>
      </c>
    </row>
    <row r="91" spans="1:59" ht="12.75" customHeight="1" x14ac:dyDescent="0.25">
      <c r="A91" s="15" t="str">
        <f>rebio23_80ml!A94</f>
        <v>C-C-P18-H3</v>
      </c>
      <c r="B91" s="27">
        <f>rebio23_80ml!B94/50</f>
        <v>0.14000000000000001</v>
      </c>
      <c r="C91" s="27">
        <f>rebio23_80ml!C94/50</f>
        <v>0</v>
      </c>
      <c r="D91" s="27">
        <f>rebio23_80ml!D94/50</f>
        <v>0</v>
      </c>
      <c r="E91" s="27">
        <f>rebio23_80ml!E94/50</f>
        <v>0.78</v>
      </c>
      <c r="F91" s="27">
        <f>rebio23_80ml!F94/50</f>
        <v>0.02</v>
      </c>
      <c r="G91" s="27">
        <f>rebio23_80ml!G94/50</f>
        <v>0</v>
      </c>
      <c r="H91" s="27">
        <f>rebio23_80ml!H94/50</f>
        <v>0</v>
      </c>
      <c r="I91" s="27">
        <f>rebio23_80ml!I94/50</f>
        <v>0.98</v>
      </c>
      <c r="J91" s="27">
        <f>rebio23_80ml!J94/50</f>
        <v>0.04</v>
      </c>
      <c r="K91" s="27">
        <f>rebio23_80ml!K94/50</f>
        <v>0</v>
      </c>
      <c r="L91" s="27">
        <f>rebio23_80ml!L94/50</f>
        <v>0.18</v>
      </c>
      <c r="M91" s="27">
        <f>rebio23_80ml!M94/50</f>
        <v>0</v>
      </c>
      <c r="N91" s="27">
        <f>rebio23_80ml!N94/50</f>
        <v>0</v>
      </c>
      <c r="O91" s="27">
        <f>rebio23_80ml!O94/50</f>
        <v>0</v>
      </c>
      <c r="P91" s="27">
        <f>rebio23_80ml!P94/50</f>
        <v>0</v>
      </c>
      <c r="Q91" s="27">
        <f>rebio23_80ml!Q94/50</f>
        <v>0</v>
      </c>
      <c r="R91" s="27">
        <f>rebio23_80ml!R94/50</f>
        <v>0.02</v>
      </c>
      <c r="S91" s="27">
        <f>rebio23_80ml!S94/50</f>
        <v>0</v>
      </c>
      <c r="T91" s="27">
        <f>rebio23_80ml!T94/50</f>
        <v>0.04</v>
      </c>
      <c r="U91" s="27">
        <f>rebio23_80ml!U94/50</f>
        <v>0</v>
      </c>
      <c r="V91" s="27">
        <f>rebio23_80ml!V94/50</f>
        <v>0.04</v>
      </c>
      <c r="W91" s="27">
        <f>rebio23_80ml!W94/50</f>
        <v>0</v>
      </c>
      <c r="X91" s="27">
        <f>rebio23_80ml!X94/50</f>
        <v>0</v>
      </c>
      <c r="Y91" s="27">
        <f>rebio23_80ml!Y94/50</f>
        <v>0.04</v>
      </c>
      <c r="Z91" s="27">
        <f>rebio23_80ml!Z94/50</f>
        <v>0</v>
      </c>
      <c r="AA91" s="27">
        <f>rebio23_80ml!AA94/50</f>
        <v>0.04</v>
      </c>
      <c r="AB91" s="27">
        <f>rebio23_80ml!AB94/50</f>
        <v>0</v>
      </c>
      <c r="AC91" s="27">
        <f>rebio23_80ml!AC94/50</f>
        <v>0</v>
      </c>
      <c r="AD91" s="27">
        <f>rebio23_80ml!AD94/50</f>
        <v>0.02</v>
      </c>
      <c r="AE91" s="27">
        <f>rebio23_80ml!AE94/50</f>
        <v>0</v>
      </c>
      <c r="AF91" s="27">
        <f>rebio23_80ml!AF94/50</f>
        <v>0</v>
      </c>
      <c r="AG91" s="27">
        <f>rebio23_80ml!AG94/50</f>
        <v>0</v>
      </c>
      <c r="AH91" s="27">
        <f>rebio23_80ml!AH94/50</f>
        <v>0</v>
      </c>
      <c r="AI91" s="27">
        <f>rebio23_80ml!AI94/50</f>
        <v>0</v>
      </c>
      <c r="AJ91" s="27">
        <f>rebio23_80ml!AJ94/50</f>
        <v>0</v>
      </c>
      <c r="AK91" s="27">
        <f>rebio23_80ml!AK94/50</f>
        <v>0</v>
      </c>
      <c r="AL91" s="27">
        <f>rebio23_80ml!AL94/50</f>
        <v>0</v>
      </c>
      <c r="AM91" s="27">
        <f>rebio23_80ml!AM94/50</f>
        <v>0</v>
      </c>
      <c r="AN91" s="27">
        <f>rebio23_80ml!AN94/50</f>
        <v>0</v>
      </c>
      <c r="AO91" s="27">
        <f>rebio23_80ml!AO94/50</f>
        <v>0</v>
      </c>
      <c r="AP91" s="27">
        <f>rebio23_80ml!AP94/50</f>
        <v>0</v>
      </c>
      <c r="AQ91" s="27">
        <f>rebio23_80ml!AQ94/50</f>
        <v>0.04</v>
      </c>
      <c r="AR91" s="27">
        <f>rebio23_80ml!AR94/50</f>
        <v>0</v>
      </c>
      <c r="AS91" s="27">
        <f>rebio23_80ml!AS94/50</f>
        <v>0</v>
      </c>
      <c r="AT91" s="27">
        <f>rebio23_80ml!AT94/50</f>
        <v>0</v>
      </c>
      <c r="AU91" s="27">
        <f>rebio23_80ml!AU94/50</f>
        <v>0</v>
      </c>
      <c r="AV91" s="27">
        <f>rebio23_80ml!AV94/50</f>
        <v>0.42</v>
      </c>
      <c r="AW91" s="27">
        <f>rebio23_80ml!AW94/50</f>
        <v>0.32</v>
      </c>
      <c r="AX91" s="27">
        <f>rebio23_80ml!AX94/50</f>
        <v>0.04</v>
      </c>
      <c r="AY91" s="27">
        <f>rebio23_80ml!AY94/50</f>
        <v>0.08</v>
      </c>
      <c r="AZ91" s="27">
        <f>rebio23_80ml!AZ94/50</f>
        <v>0</v>
      </c>
      <c r="BA91" s="27">
        <f>rebio23_80ml!BA94/50</f>
        <v>0.02</v>
      </c>
      <c r="BB91" s="27">
        <f>rebio23_80ml!BB94/50</f>
        <v>0</v>
      </c>
      <c r="BC91" s="27">
        <f>rebio23_80ml!BC94/50</f>
        <v>0</v>
      </c>
      <c r="BD91" s="27">
        <f>rebio23_80ml!BD94/50</f>
        <v>0.02</v>
      </c>
      <c r="BE91" s="27">
        <f>rebio23_80ml!BE94/50</f>
        <v>0.02</v>
      </c>
      <c r="BF91" s="27">
        <f>rebio23_80ml!BF94/50</f>
        <v>0</v>
      </c>
      <c r="BG91" s="27">
        <f>rebio23_80ml!BG94/50</f>
        <v>0</v>
      </c>
    </row>
    <row r="92" spans="1:59" ht="12.75" customHeight="1" x14ac:dyDescent="0.25">
      <c r="A92" s="15" t="str">
        <f>rebio23_80ml!A95</f>
        <v>C-C-P19-H1</v>
      </c>
      <c r="B92" s="27">
        <f>rebio23_80ml!B95/50</f>
        <v>0.02</v>
      </c>
      <c r="C92" s="27">
        <f>rebio23_80ml!C95/50</f>
        <v>0.04</v>
      </c>
      <c r="D92" s="27">
        <f>rebio23_80ml!D95/50</f>
        <v>0</v>
      </c>
      <c r="E92" s="27">
        <f>rebio23_80ml!E95/50</f>
        <v>2.1</v>
      </c>
      <c r="F92" s="27">
        <f>rebio23_80ml!F95/50</f>
        <v>0</v>
      </c>
      <c r="G92" s="27">
        <f>rebio23_80ml!G95/50</f>
        <v>0</v>
      </c>
      <c r="H92" s="27">
        <f>rebio23_80ml!H95/50</f>
        <v>0</v>
      </c>
      <c r="I92" s="27">
        <f>rebio23_80ml!I95/50</f>
        <v>0.06</v>
      </c>
      <c r="J92" s="27">
        <f>rebio23_80ml!J95/50</f>
        <v>0</v>
      </c>
      <c r="K92" s="27">
        <f>rebio23_80ml!K95/50</f>
        <v>0</v>
      </c>
      <c r="L92" s="27">
        <f>rebio23_80ml!L95/50</f>
        <v>0</v>
      </c>
      <c r="M92" s="27">
        <f>rebio23_80ml!M95/50</f>
        <v>0</v>
      </c>
      <c r="N92" s="27">
        <f>rebio23_80ml!N95/50</f>
        <v>0</v>
      </c>
      <c r="O92" s="27">
        <f>rebio23_80ml!O95/50</f>
        <v>0</v>
      </c>
      <c r="P92" s="27">
        <f>rebio23_80ml!P95/50</f>
        <v>0</v>
      </c>
      <c r="Q92" s="27">
        <f>rebio23_80ml!Q95/50</f>
        <v>0</v>
      </c>
      <c r="R92" s="27">
        <f>rebio23_80ml!R95/50</f>
        <v>0</v>
      </c>
      <c r="S92" s="27">
        <f>rebio23_80ml!S95/50</f>
        <v>0</v>
      </c>
      <c r="T92" s="27">
        <f>rebio23_80ml!T95/50</f>
        <v>0</v>
      </c>
      <c r="U92" s="27">
        <f>rebio23_80ml!U95/50</f>
        <v>0</v>
      </c>
      <c r="V92" s="27">
        <f>rebio23_80ml!V95/50</f>
        <v>0</v>
      </c>
      <c r="W92" s="27">
        <f>rebio23_80ml!W95/50</f>
        <v>0</v>
      </c>
      <c r="X92" s="27">
        <f>rebio23_80ml!X95/50</f>
        <v>0</v>
      </c>
      <c r="Y92" s="27">
        <f>rebio23_80ml!Y95/50</f>
        <v>0.02</v>
      </c>
      <c r="Z92" s="27">
        <f>rebio23_80ml!Z95/50</f>
        <v>0</v>
      </c>
      <c r="AA92" s="27">
        <f>rebio23_80ml!AA95/50</f>
        <v>0</v>
      </c>
      <c r="AB92" s="27">
        <f>rebio23_80ml!AB95/50</f>
        <v>0</v>
      </c>
      <c r="AC92" s="27">
        <f>rebio23_80ml!AC95/50</f>
        <v>0</v>
      </c>
      <c r="AD92" s="27">
        <f>rebio23_80ml!AD95/50</f>
        <v>0</v>
      </c>
      <c r="AE92" s="27">
        <f>rebio23_80ml!AE95/50</f>
        <v>0</v>
      </c>
      <c r="AF92" s="27">
        <f>rebio23_80ml!AF95/50</f>
        <v>0</v>
      </c>
      <c r="AG92" s="27">
        <f>rebio23_80ml!AG95/50</f>
        <v>0</v>
      </c>
      <c r="AH92" s="27">
        <f>rebio23_80ml!AH95/50</f>
        <v>0</v>
      </c>
      <c r="AI92" s="27">
        <f>rebio23_80ml!AI95/50</f>
        <v>0</v>
      </c>
      <c r="AJ92" s="27">
        <f>rebio23_80ml!AJ95/50</f>
        <v>0</v>
      </c>
      <c r="AK92" s="27">
        <f>rebio23_80ml!AK95/50</f>
        <v>0</v>
      </c>
      <c r="AL92" s="27">
        <f>rebio23_80ml!AL95/50</f>
        <v>0</v>
      </c>
      <c r="AM92" s="27">
        <f>rebio23_80ml!AM95/50</f>
        <v>0</v>
      </c>
      <c r="AN92" s="27">
        <f>rebio23_80ml!AN95/50</f>
        <v>0</v>
      </c>
      <c r="AO92" s="27">
        <f>rebio23_80ml!AO95/50</f>
        <v>0</v>
      </c>
      <c r="AP92" s="27">
        <f>rebio23_80ml!AP95/50</f>
        <v>0</v>
      </c>
      <c r="AQ92" s="27">
        <f>rebio23_80ml!AQ95/50</f>
        <v>0</v>
      </c>
      <c r="AR92" s="27">
        <f>rebio23_80ml!AR95/50</f>
        <v>0</v>
      </c>
      <c r="AS92" s="27">
        <f>rebio23_80ml!AS95/50</f>
        <v>0</v>
      </c>
      <c r="AT92" s="27">
        <f>rebio23_80ml!AT95/50</f>
        <v>0</v>
      </c>
      <c r="AU92" s="27">
        <f>rebio23_80ml!AU95/50</f>
        <v>0</v>
      </c>
      <c r="AV92" s="27">
        <f>rebio23_80ml!AV95/50</f>
        <v>0.06</v>
      </c>
      <c r="AW92" s="27">
        <f>rebio23_80ml!AW95/50</f>
        <v>0</v>
      </c>
      <c r="AX92" s="27">
        <f>rebio23_80ml!AX95/50</f>
        <v>0</v>
      </c>
      <c r="AY92" s="27">
        <f>rebio23_80ml!AY95/50</f>
        <v>0</v>
      </c>
      <c r="AZ92" s="27">
        <f>rebio23_80ml!AZ95/50</f>
        <v>0</v>
      </c>
      <c r="BA92" s="27">
        <f>rebio23_80ml!BA95/50</f>
        <v>0</v>
      </c>
      <c r="BB92" s="27">
        <f>rebio23_80ml!BB95/50</f>
        <v>0</v>
      </c>
      <c r="BC92" s="27">
        <f>rebio23_80ml!BC95/50</f>
        <v>0</v>
      </c>
      <c r="BD92" s="27">
        <f>rebio23_80ml!BD95/50</f>
        <v>0</v>
      </c>
      <c r="BE92" s="27">
        <f>rebio23_80ml!BE95/50</f>
        <v>0</v>
      </c>
      <c r="BF92" s="27">
        <f>rebio23_80ml!BF95/50</f>
        <v>0</v>
      </c>
      <c r="BG92" s="27">
        <f>rebio23_80ml!BG95/50</f>
        <v>0</v>
      </c>
    </row>
    <row r="93" spans="1:59" ht="12.75" customHeight="1" x14ac:dyDescent="0.25">
      <c r="A93" s="15" t="str">
        <f>rebio23_80ml!A96</f>
        <v>C-C-P19-H2</v>
      </c>
      <c r="B93" s="27">
        <f>rebio23_80ml!B96/50</f>
        <v>0</v>
      </c>
      <c r="C93" s="27">
        <f>rebio23_80ml!C96/50</f>
        <v>0.06</v>
      </c>
      <c r="D93" s="27">
        <f>rebio23_80ml!D96/50</f>
        <v>0</v>
      </c>
      <c r="E93" s="27">
        <f>rebio23_80ml!E96/50</f>
        <v>0.74</v>
      </c>
      <c r="F93" s="27">
        <f>rebio23_80ml!F96/50</f>
        <v>0</v>
      </c>
      <c r="G93" s="27">
        <f>rebio23_80ml!G96/50</f>
        <v>0</v>
      </c>
      <c r="H93" s="27">
        <f>rebio23_80ml!H96/50</f>
        <v>0</v>
      </c>
      <c r="I93" s="27">
        <f>rebio23_80ml!I96/50</f>
        <v>0.02</v>
      </c>
      <c r="J93" s="27">
        <f>rebio23_80ml!J96/50</f>
        <v>0</v>
      </c>
      <c r="K93" s="27">
        <f>rebio23_80ml!K96/50</f>
        <v>0</v>
      </c>
      <c r="L93" s="27">
        <f>rebio23_80ml!L96/50</f>
        <v>0</v>
      </c>
      <c r="M93" s="27">
        <f>rebio23_80ml!M96/50</f>
        <v>0</v>
      </c>
      <c r="N93" s="27">
        <f>rebio23_80ml!N96/50</f>
        <v>0</v>
      </c>
      <c r="O93" s="27">
        <f>rebio23_80ml!O96/50</f>
        <v>0</v>
      </c>
      <c r="P93" s="27">
        <f>rebio23_80ml!P96/50</f>
        <v>0</v>
      </c>
      <c r="Q93" s="27">
        <f>rebio23_80ml!Q96/50</f>
        <v>0</v>
      </c>
      <c r="R93" s="27">
        <f>rebio23_80ml!R96/50</f>
        <v>0</v>
      </c>
      <c r="S93" s="27">
        <f>rebio23_80ml!S96/50</f>
        <v>0</v>
      </c>
      <c r="T93" s="27">
        <f>rebio23_80ml!T96/50</f>
        <v>0</v>
      </c>
      <c r="U93" s="27">
        <f>rebio23_80ml!U96/50</f>
        <v>0</v>
      </c>
      <c r="V93" s="27">
        <f>rebio23_80ml!V96/50</f>
        <v>0</v>
      </c>
      <c r="W93" s="27">
        <f>rebio23_80ml!W96/50</f>
        <v>0</v>
      </c>
      <c r="X93" s="27">
        <f>rebio23_80ml!X96/50</f>
        <v>0</v>
      </c>
      <c r="Y93" s="27">
        <f>rebio23_80ml!Y96/50</f>
        <v>0</v>
      </c>
      <c r="Z93" s="27">
        <f>rebio23_80ml!Z96/50</f>
        <v>0</v>
      </c>
      <c r="AA93" s="27">
        <f>rebio23_80ml!AA96/50</f>
        <v>0</v>
      </c>
      <c r="AB93" s="27">
        <f>rebio23_80ml!AB96/50</f>
        <v>0</v>
      </c>
      <c r="AC93" s="27">
        <f>rebio23_80ml!AC96/50</f>
        <v>0</v>
      </c>
      <c r="AD93" s="27">
        <f>rebio23_80ml!AD96/50</f>
        <v>0</v>
      </c>
      <c r="AE93" s="27">
        <f>rebio23_80ml!AE96/50</f>
        <v>0</v>
      </c>
      <c r="AF93" s="27">
        <f>rebio23_80ml!AF96/50</f>
        <v>0</v>
      </c>
      <c r="AG93" s="27">
        <f>rebio23_80ml!AG96/50</f>
        <v>0</v>
      </c>
      <c r="AH93" s="27">
        <f>rebio23_80ml!AH96/50</f>
        <v>0</v>
      </c>
      <c r="AI93" s="27">
        <f>rebio23_80ml!AI96/50</f>
        <v>0</v>
      </c>
      <c r="AJ93" s="27">
        <f>rebio23_80ml!AJ96/50</f>
        <v>0</v>
      </c>
      <c r="AK93" s="27">
        <f>rebio23_80ml!AK96/50</f>
        <v>0</v>
      </c>
      <c r="AL93" s="27">
        <f>rebio23_80ml!AL96/50</f>
        <v>0</v>
      </c>
      <c r="AM93" s="27">
        <f>rebio23_80ml!AM96/50</f>
        <v>0</v>
      </c>
      <c r="AN93" s="27">
        <f>rebio23_80ml!AN96/50</f>
        <v>0</v>
      </c>
      <c r="AO93" s="27">
        <f>rebio23_80ml!AO96/50</f>
        <v>0</v>
      </c>
      <c r="AP93" s="27">
        <f>rebio23_80ml!AP96/50</f>
        <v>0</v>
      </c>
      <c r="AQ93" s="27">
        <f>rebio23_80ml!AQ96/50</f>
        <v>0</v>
      </c>
      <c r="AR93" s="27">
        <f>rebio23_80ml!AR96/50</f>
        <v>0</v>
      </c>
      <c r="AS93" s="27">
        <f>rebio23_80ml!AS96/50</f>
        <v>0</v>
      </c>
      <c r="AT93" s="27">
        <f>rebio23_80ml!AT96/50</f>
        <v>0</v>
      </c>
      <c r="AU93" s="27">
        <f>rebio23_80ml!AU96/50</f>
        <v>0</v>
      </c>
      <c r="AV93" s="27">
        <f>rebio23_80ml!AV96/50</f>
        <v>0.04</v>
      </c>
      <c r="AW93" s="27">
        <f>rebio23_80ml!AW96/50</f>
        <v>0</v>
      </c>
      <c r="AX93" s="27">
        <f>rebio23_80ml!AX96/50</f>
        <v>0</v>
      </c>
      <c r="AY93" s="27">
        <f>rebio23_80ml!AY96/50</f>
        <v>0</v>
      </c>
      <c r="AZ93" s="27">
        <f>rebio23_80ml!AZ96/50</f>
        <v>0</v>
      </c>
      <c r="BA93" s="27">
        <f>rebio23_80ml!BA96/50</f>
        <v>0</v>
      </c>
      <c r="BB93" s="27">
        <f>rebio23_80ml!BB96/50</f>
        <v>0</v>
      </c>
      <c r="BC93" s="27">
        <f>rebio23_80ml!BC96/50</f>
        <v>0</v>
      </c>
      <c r="BD93" s="27">
        <f>rebio23_80ml!BD96/50</f>
        <v>0</v>
      </c>
      <c r="BE93" s="27">
        <f>rebio23_80ml!BE96/50</f>
        <v>0</v>
      </c>
      <c r="BF93" s="27">
        <f>rebio23_80ml!BF96/50</f>
        <v>0</v>
      </c>
      <c r="BG93" s="27">
        <f>rebio23_80ml!BG96/50</f>
        <v>0</v>
      </c>
    </row>
    <row r="94" spans="1:59" ht="12.75" customHeight="1" x14ac:dyDescent="0.25">
      <c r="A94" s="15" t="str">
        <f>rebio23_80ml!A97</f>
        <v>C-C-P19-H3</v>
      </c>
      <c r="B94" s="27">
        <f>rebio23_80ml!B97/50</f>
        <v>0</v>
      </c>
      <c r="C94" s="27">
        <f>rebio23_80ml!C97/50</f>
        <v>0.1</v>
      </c>
      <c r="D94" s="27">
        <f>rebio23_80ml!D97/50</f>
        <v>0</v>
      </c>
      <c r="E94" s="27">
        <f>rebio23_80ml!E97/50</f>
        <v>0.72</v>
      </c>
      <c r="F94" s="27">
        <f>rebio23_80ml!F97/50</f>
        <v>0</v>
      </c>
      <c r="G94" s="27">
        <f>rebio23_80ml!G97/50</f>
        <v>0</v>
      </c>
      <c r="H94" s="27">
        <f>rebio23_80ml!H97/50</f>
        <v>0</v>
      </c>
      <c r="I94" s="27">
        <f>rebio23_80ml!I97/50</f>
        <v>0.02</v>
      </c>
      <c r="J94" s="27">
        <f>rebio23_80ml!J97/50</f>
        <v>0</v>
      </c>
      <c r="K94" s="27">
        <f>rebio23_80ml!K97/50</f>
        <v>0</v>
      </c>
      <c r="L94" s="27">
        <f>rebio23_80ml!L97/50</f>
        <v>0</v>
      </c>
      <c r="M94" s="27">
        <f>rebio23_80ml!M97/50</f>
        <v>0</v>
      </c>
      <c r="N94" s="27">
        <f>rebio23_80ml!N97/50</f>
        <v>0</v>
      </c>
      <c r="O94" s="27">
        <f>rebio23_80ml!O97/50</f>
        <v>0</v>
      </c>
      <c r="P94" s="27">
        <f>rebio23_80ml!P97/50</f>
        <v>0</v>
      </c>
      <c r="Q94" s="27">
        <f>rebio23_80ml!Q97/50</f>
        <v>0</v>
      </c>
      <c r="R94" s="27">
        <f>rebio23_80ml!R97/50</f>
        <v>0</v>
      </c>
      <c r="S94" s="27">
        <f>rebio23_80ml!S97/50</f>
        <v>0</v>
      </c>
      <c r="T94" s="27">
        <f>rebio23_80ml!T97/50</f>
        <v>0</v>
      </c>
      <c r="U94" s="27">
        <f>rebio23_80ml!U97/50</f>
        <v>0</v>
      </c>
      <c r="V94" s="27">
        <f>rebio23_80ml!V97/50</f>
        <v>0</v>
      </c>
      <c r="W94" s="27">
        <f>rebio23_80ml!W97/50</f>
        <v>0</v>
      </c>
      <c r="X94" s="27">
        <f>rebio23_80ml!X97/50</f>
        <v>0</v>
      </c>
      <c r="Y94" s="27">
        <f>rebio23_80ml!Y97/50</f>
        <v>0</v>
      </c>
      <c r="Z94" s="27">
        <f>rebio23_80ml!Z97/50</f>
        <v>0</v>
      </c>
      <c r="AA94" s="27">
        <f>rebio23_80ml!AA97/50</f>
        <v>0</v>
      </c>
      <c r="AB94" s="27">
        <f>rebio23_80ml!AB97/50</f>
        <v>0</v>
      </c>
      <c r="AC94" s="27">
        <f>rebio23_80ml!AC97/50</f>
        <v>0</v>
      </c>
      <c r="AD94" s="27">
        <f>rebio23_80ml!AD97/50</f>
        <v>0</v>
      </c>
      <c r="AE94" s="27">
        <f>rebio23_80ml!AE97/50</f>
        <v>0</v>
      </c>
      <c r="AF94" s="27">
        <f>rebio23_80ml!AF97/50</f>
        <v>0</v>
      </c>
      <c r="AG94" s="27">
        <f>rebio23_80ml!AG97/50</f>
        <v>0</v>
      </c>
      <c r="AH94" s="27">
        <f>rebio23_80ml!AH97/50</f>
        <v>0</v>
      </c>
      <c r="AI94" s="27">
        <f>rebio23_80ml!AI97/50</f>
        <v>0</v>
      </c>
      <c r="AJ94" s="27">
        <f>rebio23_80ml!AJ97/50</f>
        <v>0</v>
      </c>
      <c r="AK94" s="27">
        <f>rebio23_80ml!AK97/50</f>
        <v>0</v>
      </c>
      <c r="AL94" s="27">
        <f>rebio23_80ml!AL97/50</f>
        <v>0</v>
      </c>
      <c r="AM94" s="27">
        <f>rebio23_80ml!AM97/50</f>
        <v>0</v>
      </c>
      <c r="AN94" s="27">
        <f>rebio23_80ml!AN97/50</f>
        <v>0</v>
      </c>
      <c r="AO94" s="27">
        <f>rebio23_80ml!AO97/50</f>
        <v>0</v>
      </c>
      <c r="AP94" s="27">
        <f>rebio23_80ml!AP97/50</f>
        <v>0</v>
      </c>
      <c r="AQ94" s="27">
        <f>rebio23_80ml!AQ97/50</f>
        <v>0</v>
      </c>
      <c r="AR94" s="27">
        <f>rebio23_80ml!AR97/50</f>
        <v>0</v>
      </c>
      <c r="AS94" s="27">
        <f>rebio23_80ml!AS97/50</f>
        <v>0</v>
      </c>
      <c r="AT94" s="27">
        <f>rebio23_80ml!AT97/50</f>
        <v>0</v>
      </c>
      <c r="AU94" s="27">
        <f>rebio23_80ml!AU97/50</f>
        <v>0</v>
      </c>
      <c r="AV94" s="27">
        <f>rebio23_80ml!AV97/50</f>
        <v>0.04</v>
      </c>
      <c r="AW94" s="27">
        <f>rebio23_80ml!AW97/50</f>
        <v>0</v>
      </c>
      <c r="AX94" s="27">
        <f>rebio23_80ml!AX97/50</f>
        <v>0</v>
      </c>
      <c r="AY94" s="27">
        <f>rebio23_80ml!AY97/50</f>
        <v>0</v>
      </c>
      <c r="AZ94" s="27">
        <f>rebio23_80ml!AZ97/50</f>
        <v>0</v>
      </c>
      <c r="BA94" s="27">
        <f>rebio23_80ml!BA97/50</f>
        <v>0</v>
      </c>
      <c r="BB94" s="27">
        <f>rebio23_80ml!BB97/50</f>
        <v>0</v>
      </c>
      <c r="BC94" s="27">
        <f>rebio23_80ml!BC97/50</f>
        <v>0</v>
      </c>
      <c r="BD94" s="27">
        <f>rebio23_80ml!BD97/50</f>
        <v>0</v>
      </c>
      <c r="BE94" s="27">
        <f>rebio23_80ml!BE97/50</f>
        <v>0</v>
      </c>
      <c r="BF94" s="27">
        <f>rebio23_80ml!BF97/50</f>
        <v>0</v>
      </c>
      <c r="BG94" s="27">
        <f>rebio23_80ml!BG97/50</f>
        <v>0</v>
      </c>
    </row>
    <row r="95" spans="1:59" ht="12.75" customHeight="1" x14ac:dyDescent="0.25">
      <c r="A95" s="15" t="str">
        <f>rebio23_80ml!A98</f>
        <v>C-C-P20-H1</v>
      </c>
      <c r="B95" s="27">
        <f>rebio23_80ml!B98/50</f>
        <v>0.02</v>
      </c>
      <c r="C95" s="27">
        <f>rebio23_80ml!C98/50</f>
        <v>0</v>
      </c>
      <c r="D95" s="27">
        <f>rebio23_80ml!D98/50</f>
        <v>0</v>
      </c>
      <c r="E95" s="27">
        <f>rebio23_80ml!E98/50</f>
        <v>0.7</v>
      </c>
      <c r="F95" s="27">
        <f>rebio23_80ml!F98/50</f>
        <v>0</v>
      </c>
      <c r="G95" s="27">
        <f>rebio23_80ml!G98/50</f>
        <v>0</v>
      </c>
      <c r="H95" s="27">
        <f>rebio23_80ml!H98/50</f>
        <v>0</v>
      </c>
      <c r="I95" s="27">
        <f>rebio23_80ml!I98/50</f>
        <v>0.02</v>
      </c>
      <c r="J95" s="27">
        <f>rebio23_80ml!J98/50</f>
        <v>0.04</v>
      </c>
      <c r="K95" s="27">
        <f>rebio23_80ml!K98/50</f>
        <v>0</v>
      </c>
      <c r="L95" s="27">
        <f>rebio23_80ml!L98/50</f>
        <v>0</v>
      </c>
      <c r="M95" s="27">
        <f>rebio23_80ml!M98/50</f>
        <v>0</v>
      </c>
      <c r="N95" s="27">
        <f>rebio23_80ml!N98/50</f>
        <v>0</v>
      </c>
      <c r="O95" s="27">
        <f>rebio23_80ml!O98/50</f>
        <v>0</v>
      </c>
      <c r="P95" s="27">
        <f>rebio23_80ml!P98/50</f>
        <v>0</v>
      </c>
      <c r="Q95" s="27">
        <f>rebio23_80ml!Q98/50</f>
        <v>0</v>
      </c>
      <c r="R95" s="27">
        <f>rebio23_80ml!R98/50</f>
        <v>0</v>
      </c>
      <c r="S95" s="27">
        <f>rebio23_80ml!S98/50</f>
        <v>0</v>
      </c>
      <c r="T95" s="27">
        <f>rebio23_80ml!T98/50</f>
        <v>0</v>
      </c>
      <c r="U95" s="27">
        <f>rebio23_80ml!U98/50</f>
        <v>0</v>
      </c>
      <c r="V95" s="27">
        <f>rebio23_80ml!V98/50</f>
        <v>0</v>
      </c>
      <c r="W95" s="27">
        <f>rebio23_80ml!W98/50</f>
        <v>0</v>
      </c>
      <c r="X95" s="27">
        <f>rebio23_80ml!X98/50</f>
        <v>0</v>
      </c>
      <c r="Y95" s="27">
        <f>rebio23_80ml!Y98/50</f>
        <v>0</v>
      </c>
      <c r="Z95" s="27">
        <f>rebio23_80ml!Z98/50</f>
        <v>0</v>
      </c>
      <c r="AA95" s="27">
        <f>rebio23_80ml!AA98/50</f>
        <v>0</v>
      </c>
      <c r="AB95" s="27">
        <f>rebio23_80ml!AB98/50</f>
        <v>0</v>
      </c>
      <c r="AC95" s="27">
        <f>rebio23_80ml!AC98/50</f>
        <v>0</v>
      </c>
      <c r="AD95" s="27">
        <f>rebio23_80ml!AD98/50</f>
        <v>0</v>
      </c>
      <c r="AE95" s="27">
        <f>rebio23_80ml!AE98/50</f>
        <v>0</v>
      </c>
      <c r="AF95" s="27">
        <f>rebio23_80ml!AF98/50</f>
        <v>0</v>
      </c>
      <c r="AG95" s="27">
        <f>rebio23_80ml!AG98/50</f>
        <v>0</v>
      </c>
      <c r="AH95" s="27">
        <f>rebio23_80ml!AH98/50</f>
        <v>0</v>
      </c>
      <c r="AI95" s="27">
        <f>rebio23_80ml!AI98/50</f>
        <v>0</v>
      </c>
      <c r="AJ95" s="27">
        <f>rebio23_80ml!AJ98/50</f>
        <v>0</v>
      </c>
      <c r="AK95" s="27">
        <f>rebio23_80ml!AK98/50</f>
        <v>0</v>
      </c>
      <c r="AL95" s="27">
        <f>rebio23_80ml!AL98/50</f>
        <v>0</v>
      </c>
      <c r="AM95" s="27">
        <f>rebio23_80ml!AM98/50</f>
        <v>0</v>
      </c>
      <c r="AN95" s="27">
        <f>rebio23_80ml!AN98/50</f>
        <v>0</v>
      </c>
      <c r="AO95" s="27">
        <f>rebio23_80ml!AO98/50</f>
        <v>0</v>
      </c>
      <c r="AP95" s="27">
        <f>rebio23_80ml!AP98/50</f>
        <v>0.02</v>
      </c>
      <c r="AQ95" s="27">
        <f>rebio23_80ml!AQ98/50</f>
        <v>0</v>
      </c>
      <c r="AR95" s="27">
        <f>rebio23_80ml!AR98/50</f>
        <v>0</v>
      </c>
      <c r="AS95" s="27">
        <f>rebio23_80ml!AS98/50</f>
        <v>0</v>
      </c>
      <c r="AT95" s="27">
        <f>rebio23_80ml!AT98/50</f>
        <v>0</v>
      </c>
      <c r="AU95" s="27">
        <f>rebio23_80ml!AU98/50</f>
        <v>0</v>
      </c>
      <c r="AV95" s="27">
        <f>rebio23_80ml!AV98/50</f>
        <v>0.02</v>
      </c>
      <c r="AW95" s="27">
        <f>rebio23_80ml!AW98/50</f>
        <v>0</v>
      </c>
      <c r="AX95" s="27">
        <f>rebio23_80ml!AX98/50</f>
        <v>0</v>
      </c>
      <c r="AY95" s="27">
        <f>rebio23_80ml!AY98/50</f>
        <v>0</v>
      </c>
      <c r="AZ95" s="27">
        <f>rebio23_80ml!AZ98/50</f>
        <v>0</v>
      </c>
      <c r="BA95" s="27">
        <f>rebio23_80ml!BA98/50</f>
        <v>0</v>
      </c>
      <c r="BB95" s="27">
        <f>rebio23_80ml!BB98/50</f>
        <v>0</v>
      </c>
      <c r="BC95" s="27">
        <f>rebio23_80ml!BC98/50</f>
        <v>0</v>
      </c>
      <c r="BD95" s="27">
        <f>rebio23_80ml!BD98/50</f>
        <v>0</v>
      </c>
      <c r="BE95" s="27">
        <f>rebio23_80ml!BE98/50</f>
        <v>0</v>
      </c>
      <c r="BF95" s="27">
        <f>rebio23_80ml!BF98/50</f>
        <v>0</v>
      </c>
      <c r="BG95" s="27">
        <f>rebio23_80ml!BG98/50</f>
        <v>0</v>
      </c>
    </row>
    <row r="96" spans="1:59" ht="12.75" customHeight="1" x14ac:dyDescent="0.25">
      <c r="A96" s="15" t="str">
        <f>rebio23_80ml!A99</f>
        <v>C-C-P20-H2</v>
      </c>
      <c r="B96" s="27">
        <f>rebio23_80ml!B99/50</f>
        <v>0</v>
      </c>
      <c r="C96" s="27">
        <f>rebio23_80ml!C99/50</f>
        <v>0.02</v>
      </c>
      <c r="D96" s="27">
        <f>rebio23_80ml!D99/50</f>
        <v>0</v>
      </c>
      <c r="E96" s="27">
        <f>rebio23_80ml!E99/50</f>
        <v>0.78</v>
      </c>
      <c r="F96" s="27">
        <f>rebio23_80ml!F99/50</f>
        <v>0</v>
      </c>
      <c r="G96" s="27">
        <f>rebio23_80ml!G99/50</f>
        <v>0</v>
      </c>
      <c r="H96" s="27">
        <f>rebio23_80ml!H99/50</f>
        <v>0</v>
      </c>
      <c r="I96" s="27">
        <f>rebio23_80ml!I99/50</f>
        <v>0</v>
      </c>
      <c r="J96" s="27">
        <f>rebio23_80ml!J99/50</f>
        <v>0</v>
      </c>
      <c r="K96" s="27">
        <f>rebio23_80ml!K99/50</f>
        <v>0</v>
      </c>
      <c r="L96" s="27">
        <f>rebio23_80ml!L99/50</f>
        <v>0</v>
      </c>
      <c r="M96" s="27">
        <f>rebio23_80ml!M99/50</f>
        <v>0</v>
      </c>
      <c r="N96" s="27">
        <f>rebio23_80ml!N99/50</f>
        <v>0</v>
      </c>
      <c r="O96" s="27">
        <f>rebio23_80ml!O99/50</f>
        <v>0</v>
      </c>
      <c r="P96" s="27">
        <f>rebio23_80ml!P99/50</f>
        <v>0</v>
      </c>
      <c r="Q96" s="27">
        <f>rebio23_80ml!Q99/50</f>
        <v>0</v>
      </c>
      <c r="R96" s="27">
        <f>rebio23_80ml!R99/50</f>
        <v>0</v>
      </c>
      <c r="S96" s="27">
        <f>rebio23_80ml!S99/50</f>
        <v>0</v>
      </c>
      <c r="T96" s="27">
        <f>rebio23_80ml!T99/50</f>
        <v>0</v>
      </c>
      <c r="U96" s="27">
        <f>rebio23_80ml!U99/50</f>
        <v>0</v>
      </c>
      <c r="V96" s="27">
        <f>rebio23_80ml!V99/50</f>
        <v>0</v>
      </c>
      <c r="W96" s="27">
        <f>rebio23_80ml!W99/50</f>
        <v>0</v>
      </c>
      <c r="X96" s="27">
        <f>rebio23_80ml!X99/50</f>
        <v>0</v>
      </c>
      <c r="Y96" s="27">
        <f>rebio23_80ml!Y99/50</f>
        <v>0</v>
      </c>
      <c r="Z96" s="27">
        <f>rebio23_80ml!Z99/50</f>
        <v>0</v>
      </c>
      <c r="AA96" s="27">
        <f>rebio23_80ml!AA99/50</f>
        <v>0.02</v>
      </c>
      <c r="AB96" s="27">
        <f>rebio23_80ml!AB99/50</f>
        <v>0</v>
      </c>
      <c r="AC96" s="27">
        <f>rebio23_80ml!AC99/50</f>
        <v>0</v>
      </c>
      <c r="AD96" s="27">
        <f>rebio23_80ml!AD99/50</f>
        <v>0</v>
      </c>
      <c r="AE96" s="27">
        <f>rebio23_80ml!AE99/50</f>
        <v>0</v>
      </c>
      <c r="AF96" s="27">
        <f>rebio23_80ml!AF99/50</f>
        <v>0</v>
      </c>
      <c r="AG96" s="27">
        <f>rebio23_80ml!AG99/50</f>
        <v>0</v>
      </c>
      <c r="AH96" s="27">
        <f>rebio23_80ml!AH99/50</f>
        <v>0</v>
      </c>
      <c r="AI96" s="27">
        <f>rebio23_80ml!AI99/50</f>
        <v>0</v>
      </c>
      <c r="AJ96" s="27">
        <f>rebio23_80ml!AJ99/50</f>
        <v>0</v>
      </c>
      <c r="AK96" s="27">
        <f>rebio23_80ml!AK99/50</f>
        <v>0</v>
      </c>
      <c r="AL96" s="27">
        <f>rebio23_80ml!AL99/50</f>
        <v>0</v>
      </c>
      <c r="AM96" s="27">
        <f>rebio23_80ml!AM99/50</f>
        <v>0</v>
      </c>
      <c r="AN96" s="27">
        <f>rebio23_80ml!AN99/50</f>
        <v>0</v>
      </c>
      <c r="AO96" s="27">
        <f>rebio23_80ml!AO99/50</f>
        <v>0</v>
      </c>
      <c r="AP96" s="27">
        <f>rebio23_80ml!AP99/50</f>
        <v>0</v>
      </c>
      <c r="AQ96" s="27">
        <f>rebio23_80ml!AQ99/50</f>
        <v>0</v>
      </c>
      <c r="AR96" s="27">
        <f>rebio23_80ml!AR99/50</f>
        <v>0</v>
      </c>
      <c r="AS96" s="27">
        <f>rebio23_80ml!AS99/50</f>
        <v>0</v>
      </c>
      <c r="AT96" s="27">
        <f>rebio23_80ml!AT99/50</f>
        <v>0</v>
      </c>
      <c r="AU96" s="27">
        <f>rebio23_80ml!AU99/50</f>
        <v>0</v>
      </c>
      <c r="AV96" s="27">
        <f>rebio23_80ml!AV99/50</f>
        <v>0.02</v>
      </c>
      <c r="AW96" s="27">
        <f>rebio23_80ml!AW99/50</f>
        <v>0</v>
      </c>
      <c r="AX96" s="27">
        <f>rebio23_80ml!AX99/50</f>
        <v>0</v>
      </c>
      <c r="AY96" s="27">
        <f>rebio23_80ml!AY99/50</f>
        <v>0.02</v>
      </c>
      <c r="AZ96" s="27">
        <f>rebio23_80ml!AZ99/50</f>
        <v>0</v>
      </c>
      <c r="BA96" s="27">
        <f>rebio23_80ml!BA99/50</f>
        <v>0</v>
      </c>
      <c r="BB96" s="27">
        <f>rebio23_80ml!BB99/50</f>
        <v>0</v>
      </c>
      <c r="BC96" s="27">
        <f>rebio23_80ml!BC99/50</f>
        <v>0</v>
      </c>
      <c r="BD96" s="27">
        <f>rebio23_80ml!BD99/50</f>
        <v>0.02</v>
      </c>
      <c r="BE96" s="27">
        <f>rebio23_80ml!BE99/50</f>
        <v>0</v>
      </c>
      <c r="BF96" s="27">
        <f>rebio23_80ml!BF99/50</f>
        <v>0.04</v>
      </c>
      <c r="BG96" s="27">
        <f>rebio23_80ml!BG99/50</f>
        <v>0</v>
      </c>
    </row>
    <row r="97" spans="1:59" ht="12.75" customHeight="1" x14ac:dyDescent="0.25">
      <c r="A97" s="15" t="str">
        <f>rebio23_80ml!A100</f>
        <v>C-C-P20-H3</v>
      </c>
      <c r="B97" s="27">
        <f>rebio23_80ml!B100/50</f>
        <v>0</v>
      </c>
      <c r="C97" s="27">
        <f>rebio23_80ml!C100/50</f>
        <v>0</v>
      </c>
      <c r="D97" s="27">
        <f>rebio23_80ml!D100/50</f>
        <v>0</v>
      </c>
      <c r="E97" s="27">
        <f>rebio23_80ml!E100/50</f>
        <v>1</v>
      </c>
      <c r="F97" s="27">
        <f>rebio23_80ml!F100/50</f>
        <v>0</v>
      </c>
      <c r="G97" s="27">
        <f>rebio23_80ml!G100/50</f>
        <v>0</v>
      </c>
      <c r="H97" s="27">
        <f>rebio23_80ml!H100/50</f>
        <v>0</v>
      </c>
      <c r="I97" s="27">
        <f>rebio23_80ml!I100/50</f>
        <v>0.02</v>
      </c>
      <c r="J97" s="27">
        <f>rebio23_80ml!J100/50</f>
        <v>0</v>
      </c>
      <c r="K97" s="27">
        <f>rebio23_80ml!K100/50</f>
        <v>0</v>
      </c>
      <c r="L97" s="27">
        <f>rebio23_80ml!L100/50</f>
        <v>0</v>
      </c>
      <c r="M97" s="27">
        <f>rebio23_80ml!M100/50</f>
        <v>0</v>
      </c>
      <c r="N97" s="27">
        <f>rebio23_80ml!N100/50</f>
        <v>0</v>
      </c>
      <c r="O97" s="27">
        <f>rebio23_80ml!O100/50</f>
        <v>0</v>
      </c>
      <c r="P97" s="27">
        <f>rebio23_80ml!P100/50</f>
        <v>0</v>
      </c>
      <c r="Q97" s="27">
        <f>rebio23_80ml!Q100/50</f>
        <v>0</v>
      </c>
      <c r="R97" s="27">
        <f>rebio23_80ml!R100/50</f>
        <v>0</v>
      </c>
      <c r="S97" s="27">
        <f>rebio23_80ml!S100/50</f>
        <v>0</v>
      </c>
      <c r="T97" s="27">
        <f>rebio23_80ml!T100/50</f>
        <v>0</v>
      </c>
      <c r="U97" s="27">
        <f>rebio23_80ml!U100/50</f>
        <v>0</v>
      </c>
      <c r="V97" s="27">
        <f>rebio23_80ml!V100/50</f>
        <v>0</v>
      </c>
      <c r="W97" s="27">
        <f>rebio23_80ml!W100/50</f>
        <v>0</v>
      </c>
      <c r="X97" s="27">
        <f>rebio23_80ml!X100/50</f>
        <v>0</v>
      </c>
      <c r="Y97" s="27">
        <f>rebio23_80ml!Y100/50</f>
        <v>0</v>
      </c>
      <c r="Z97" s="27">
        <f>rebio23_80ml!Z100/50</f>
        <v>0</v>
      </c>
      <c r="AA97" s="27">
        <f>rebio23_80ml!AA100/50</f>
        <v>0</v>
      </c>
      <c r="AB97" s="27">
        <f>rebio23_80ml!AB100/50</f>
        <v>0</v>
      </c>
      <c r="AC97" s="27">
        <f>rebio23_80ml!AC100/50</f>
        <v>0</v>
      </c>
      <c r="AD97" s="27">
        <f>rebio23_80ml!AD100/50</f>
        <v>0</v>
      </c>
      <c r="AE97" s="27">
        <f>rebio23_80ml!AE100/50</f>
        <v>0</v>
      </c>
      <c r="AF97" s="27">
        <f>rebio23_80ml!AF100/50</f>
        <v>0</v>
      </c>
      <c r="AG97" s="27">
        <f>rebio23_80ml!AG100/50</f>
        <v>0</v>
      </c>
      <c r="AH97" s="27">
        <f>rebio23_80ml!AH100/50</f>
        <v>0</v>
      </c>
      <c r="AI97" s="27">
        <f>rebio23_80ml!AI100/50</f>
        <v>0</v>
      </c>
      <c r="AJ97" s="27">
        <f>rebio23_80ml!AJ100/50</f>
        <v>0</v>
      </c>
      <c r="AK97" s="27">
        <f>rebio23_80ml!AK100/50</f>
        <v>0</v>
      </c>
      <c r="AL97" s="27">
        <f>rebio23_80ml!AL100/50</f>
        <v>0</v>
      </c>
      <c r="AM97" s="27">
        <f>rebio23_80ml!AM100/50</f>
        <v>0</v>
      </c>
      <c r="AN97" s="27">
        <f>rebio23_80ml!AN100/50</f>
        <v>0</v>
      </c>
      <c r="AO97" s="27">
        <f>rebio23_80ml!AO100/50</f>
        <v>0</v>
      </c>
      <c r="AP97" s="27">
        <f>rebio23_80ml!AP100/50</f>
        <v>0</v>
      </c>
      <c r="AQ97" s="27">
        <f>rebio23_80ml!AQ100/50</f>
        <v>0</v>
      </c>
      <c r="AR97" s="27">
        <f>rebio23_80ml!AR100/50</f>
        <v>0</v>
      </c>
      <c r="AS97" s="27">
        <f>rebio23_80ml!AS100/50</f>
        <v>0</v>
      </c>
      <c r="AT97" s="27">
        <f>rebio23_80ml!AT100/50</f>
        <v>0</v>
      </c>
      <c r="AU97" s="27">
        <f>rebio23_80ml!AU100/50</f>
        <v>0</v>
      </c>
      <c r="AV97" s="27">
        <f>rebio23_80ml!AV100/50</f>
        <v>0</v>
      </c>
      <c r="AW97" s="27">
        <f>rebio23_80ml!AW100/50</f>
        <v>0</v>
      </c>
      <c r="AX97" s="27">
        <f>rebio23_80ml!AX100/50</f>
        <v>0</v>
      </c>
      <c r="AY97" s="27">
        <f>rebio23_80ml!AY100/50</f>
        <v>0</v>
      </c>
      <c r="AZ97" s="27">
        <f>rebio23_80ml!AZ100/50</f>
        <v>0</v>
      </c>
      <c r="BA97" s="27">
        <f>rebio23_80ml!BA100/50</f>
        <v>0</v>
      </c>
      <c r="BB97" s="27">
        <f>rebio23_80ml!BB100/50</f>
        <v>0</v>
      </c>
      <c r="BC97" s="27">
        <f>rebio23_80ml!BC100/50</f>
        <v>0</v>
      </c>
      <c r="BD97" s="27">
        <f>rebio23_80ml!BD100/50</f>
        <v>0</v>
      </c>
      <c r="BE97" s="27">
        <f>rebio23_80ml!BE100/50</f>
        <v>0</v>
      </c>
      <c r="BF97" s="27">
        <f>rebio23_80ml!BF100/50</f>
        <v>0</v>
      </c>
      <c r="BG97" s="27">
        <f>rebio23_80ml!BG100/50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rebio23_80ml!B4</f>
        <v>Alo.dadayi</v>
      </c>
      <c r="C1" s="3" t="str">
        <f>rebio23_80ml!C4</f>
        <v>Alo.hamulata</v>
      </c>
      <c r="D1" s="3" t="str">
        <f>rebio23_80ml!D4</f>
        <v>Alonella.sp</v>
      </c>
      <c r="E1" s="3" t="str">
        <f>rebio23_80ml!E4</f>
        <v>Bdelloidea</v>
      </c>
      <c r="F1" s="3" t="str">
        <f>rebio23_80ml!F4</f>
        <v>Bra.patulus</v>
      </c>
      <c r="G1" s="3" t="str">
        <f>rebio23_80ml!G4</f>
        <v>Cephalodella.sp</v>
      </c>
      <c r="H1" s="3" t="str">
        <f>rebio23_80ml!H4</f>
        <v>Colurella.sp</v>
      </c>
      <c r="I1" s="3" t="str">
        <f>rebio23_80ml!I4</f>
        <v>Copepodite</v>
      </c>
      <c r="J1" s="3" t="str">
        <f>rebio23_80ml!J4</f>
        <v>Chydorus.sp</v>
      </c>
      <c r="K1" s="3" t="str">
        <f>rebio23_80ml!K4</f>
        <v>Dicranophoroides.sp</v>
      </c>
      <c r="L1" s="3" t="str">
        <f>rebio23_80ml!L4</f>
        <v>Dia.birgei</v>
      </c>
      <c r="M1" s="3" t="str">
        <f>rebio23_80ml!M4</f>
        <v>Dia.spinulosum</v>
      </c>
      <c r="N1" s="3" t="str">
        <f>rebio23_80ml!N4</f>
        <v>Dis.aculeata</v>
      </c>
      <c r="O1" s="3" t="str">
        <f>rebio23_80ml!O4</f>
        <v>Euc.dilatata</v>
      </c>
      <c r="P1" s="3" t="str">
        <f>rebio23_80ml!P4</f>
        <v>Fil.longiseta</v>
      </c>
      <c r="Q1" s="3" t="str">
        <f>rebio23_80ml!Q4</f>
        <v>Ily.spinifer</v>
      </c>
      <c r="R1" s="3" t="str">
        <f>rebio23_80ml!R4</f>
        <v>Lec.aculeata</v>
      </c>
      <c r="S1" s="3" t="str">
        <f>rebio23_80ml!S4</f>
        <v>Lec.bulla</v>
      </c>
      <c r="T1" s="3" t="str">
        <f>rebio23_80ml!T4</f>
        <v>Lec.cornuta</v>
      </c>
      <c r="U1" s="3" t="str">
        <f>rebio23_80ml!U4</f>
        <v>Lec.crepida</v>
      </c>
      <c r="V1" s="3" t="str">
        <f>rebio23_80ml!V4</f>
        <v>Lec.curvicornis</v>
      </c>
      <c r="W1" s="3" t="str">
        <f>rebio23_80ml!W4</f>
        <v>Lec.furcata</v>
      </c>
      <c r="X1" s="3" t="str">
        <f>rebio23_80ml!X4</f>
        <v>Lecane.sp1</v>
      </c>
      <c r="Y1" s="3" t="str">
        <f>rebio23_80ml!Y4</f>
        <v>Lec.leontina</v>
      </c>
      <c r="Z1" s="3" t="str">
        <f>rebio23_80ml!Z4</f>
        <v>Lec.lunaris</v>
      </c>
      <c r="AA1" s="3" t="str">
        <f>rebio23_80ml!AA4</f>
        <v>Lec.luna</v>
      </c>
      <c r="AB1" s="3" t="str">
        <f>rebio23_80ml!AB4</f>
        <v>Lec.monostyla</v>
      </c>
      <c r="AC1" s="3" t="str">
        <f>rebio23_80ml!AC4</f>
        <v>Lecane.sp2</v>
      </c>
      <c r="AD1" s="3" t="str">
        <f>rebio23_80ml!AD4</f>
        <v>Lec.papuana</v>
      </c>
      <c r="AE1" s="3" t="str">
        <f>rebio23_80ml!AE4</f>
        <v>Lec.quadridentata</v>
      </c>
      <c r="AF1" s="3" t="str">
        <f>rebio23_80ml!AF4</f>
        <v>Lecane.sp3</v>
      </c>
      <c r="AG1" s="3" t="str">
        <f>rebio23_80ml!AG4</f>
        <v>Leydigia.sp</v>
      </c>
      <c r="AH1" s="3" t="str">
        <f>rebio23_80ml!AH4</f>
        <v>Lepadella.sp1</v>
      </c>
      <c r="AI1" s="3" t="str">
        <f>rebio23_80ml!AI4</f>
        <v>Lepadella.sp2</v>
      </c>
      <c r="AJ1" s="3" t="str">
        <f>rebio23_80ml!AJ4</f>
        <v>Lep.ovalis</v>
      </c>
      <c r="AK1" s="3" t="str">
        <f>rebio23_80ml!AK4</f>
        <v>Lep.patella</v>
      </c>
      <c r="AL1" s="3" t="str">
        <f>rebio23_80ml!AL4</f>
        <v>Mesocyclops.sp</v>
      </c>
      <c r="AM1" s="3" t="str">
        <f>rebio23_80ml!AM4</f>
        <v>Macrocyclops.sp</v>
      </c>
      <c r="AN1" s="3" t="str">
        <f>rebio23_80ml!AN4</f>
        <v>Macrochaetus.sp</v>
      </c>
      <c r="AO1" s="3" t="str">
        <f>rebio23_80ml!AO4</f>
        <v>Macrothrix.sp</v>
      </c>
      <c r="AP1" s="3" t="str">
        <f>rebio23_80ml!AP4</f>
        <v>Mac.mira</v>
      </c>
      <c r="AQ1" s="3" t="str">
        <f>rebio23_80ml!AQ4</f>
        <v>Mac.laticornis</v>
      </c>
      <c r="AR1" s="3" t="str">
        <f>rebio23_80ml!AR4</f>
        <v>Moi.minuta</v>
      </c>
      <c r="AS1" s="3" t="str">
        <f>rebio23_80ml!AS4</f>
        <v>Myt.crassipes</v>
      </c>
      <c r="AT1" s="3" t="str">
        <f>rebio23_80ml!AT4</f>
        <v>Mytilina.sp</v>
      </c>
      <c r="AU1" s="3" t="str">
        <f>rebio23_80ml!AU4</f>
        <v>Myt.bisulcata</v>
      </c>
      <c r="AV1" s="3" t="str">
        <f>rebio23_80ml!AV4</f>
        <v>Nauplii</v>
      </c>
      <c r="AW1" s="3" t="str">
        <f>rebio23_80ml!AW4</f>
        <v>Notodiaptomus.sp</v>
      </c>
      <c r="AX1" s="3" t="str">
        <f>rebio23_80ml!AX4</f>
        <v>Paracyclops.sp</v>
      </c>
      <c r="AY1" s="3" t="str">
        <f>rebio23_80ml!AY4</f>
        <v>Pla.quadricornis</v>
      </c>
      <c r="AZ1" s="3" t="str">
        <f>rebio23_80ml!AZ4</f>
        <v>Polyarthra.sp</v>
      </c>
      <c r="BA1" s="3" t="str">
        <f>rebio23_80ml!BA4</f>
        <v>Pol.bicerca</v>
      </c>
      <c r="BB1" s="3" t="str">
        <f>rebio23_80ml!BB4</f>
        <v>Pol.dolichoptera</v>
      </c>
      <c r="BC1" s="3" t="str">
        <f>rebio23_80ml!BC4</f>
        <v>Pol.vulgaris</v>
      </c>
      <c r="BD1" s="3" t="str">
        <f>rebio23_80ml!BD4</f>
        <v>Tes.patina</v>
      </c>
      <c r="BE1" s="3" t="str">
        <f>rebio23_80ml!BE4</f>
        <v>Tes.mucronata</v>
      </c>
      <c r="BF1" s="3" t="str">
        <f>rebio23_80ml!BF4</f>
        <v>Trichocerca.sp</v>
      </c>
      <c r="BG1" s="3" t="str">
        <f>rebio23_80ml!BG4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I1000"/>
  <sheetViews>
    <sheetView tabSelected="1" topLeftCell="D1" zoomScale="85" zoomScaleNormal="85" workbookViewId="0">
      <selection activeCell="L86" sqref="L86:L87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9" style="35" customWidth="1"/>
    <col min="15" max="17" width="9" style="7" customWidth="1"/>
    <col min="18" max="18" width="9" customWidth="1"/>
    <col min="19" max="19" width="9" style="7" customWidth="1"/>
    <col min="20" max="25" width="8.7109375" style="7" customWidth="1"/>
    <col min="26" max="1023" width="14.42578125" style="7" customWidth="1"/>
  </cols>
  <sheetData>
    <row r="1" spans="1:21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N1" s="35" t="s">
        <v>553</v>
      </c>
      <c r="O1" s="37"/>
      <c r="P1" s="37" t="s">
        <v>36</v>
      </c>
      <c r="Q1" s="37"/>
      <c r="S1" s="37"/>
      <c r="T1" s="37"/>
      <c r="U1" s="39" t="s">
        <v>368</v>
      </c>
    </row>
    <row r="2" spans="1:21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56</v>
      </c>
      <c r="L2" s="40" t="s">
        <v>369</v>
      </c>
      <c r="N2" s="35" t="s">
        <v>554</v>
      </c>
      <c r="O2" s="37" t="s">
        <v>555</v>
      </c>
      <c r="P2" s="35" t="s">
        <v>554</v>
      </c>
      <c r="Q2" s="37" t="s">
        <v>555</v>
      </c>
      <c r="S2" s="37" t="s">
        <v>556</v>
      </c>
      <c r="T2" s="37"/>
      <c r="U2" s="41" t="s">
        <v>370</v>
      </c>
    </row>
    <row r="3" spans="1:21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64" t="str">
        <f>"Rotifera = "&amp;SUM(K3:K59)</f>
        <v>Rotifera = 40</v>
      </c>
      <c r="L3" s="40" t="s">
        <v>371</v>
      </c>
      <c r="N3" s="15" t="str">
        <f>"N= "&amp;SUM(N4:N131)</f>
        <v>N= 1529</v>
      </c>
      <c r="O3" s="15" t="str">
        <f t="shared" ref="O3:Q3" si="0">"N= "&amp;SUM(O4:O131)</f>
        <v>N= 6840</v>
      </c>
      <c r="P3" s="15" t="str">
        <f t="shared" si="0"/>
        <v>N= 2891</v>
      </c>
      <c r="Q3" s="15" t="str">
        <f t="shared" si="0"/>
        <v>N= 7830</v>
      </c>
      <c r="R3" t="s">
        <v>557</v>
      </c>
      <c r="S3" s="60" t="str">
        <f>"N= "&amp;SUM(S4:S90)</f>
        <v>N= 19090</v>
      </c>
      <c r="T3" s="37"/>
      <c r="U3" s="41" t="s">
        <v>374</v>
      </c>
    </row>
    <row r="4" spans="1:21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64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62">
        <f>SUM(rebio23_80ml!$E$5:$E$22)</f>
        <v>994</v>
      </c>
      <c r="O4" s="63">
        <f>SUM(rebio23_80ml!$E$53:$E$70)</f>
        <v>1930</v>
      </c>
      <c r="P4" s="63">
        <f>SUM(rebio23_80ml!$E$23:$E$52)</f>
        <v>835</v>
      </c>
      <c r="Q4" s="63">
        <f>SUM(rebio23_80ml!$E$71:$E$100)</f>
        <v>2435</v>
      </c>
      <c r="S4" s="68">
        <f>SUM(N4:Q4)</f>
        <v>6194</v>
      </c>
      <c r="T4" s="37"/>
      <c r="U4" s="41" t="s">
        <v>376</v>
      </c>
    </row>
    <row r="5" spans="1:21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64" t="str">
        <f>"Copepoda = "&amp;SUM(K81:K91)</f>
        <v>Copepoda = 4</v>
      </c>
      <c r="K5" s="15">
        <v>0</v>
      </c>
      <c r="L5" s="40" t="s">
        <v>377</v>
      </c>
      <c r="N5" s="43"/>
      <c r="O5" s="60"/>
      <c r="P5" s="37"/>
      <c r="Q5" s="37"/>
      <c r="S5" s="60"/>
      <c r="T5" s="37"/>
      <c r="U5" s="37"/>
    </row>
    <row r="6" spans="1:21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65" t="str">
        <f>"Rot fam = "&amp;COUNTIF(K4:K59,"0")</f>
        <v>Rot fam = 14</v>
      </c>
      <c r="K6" s="15">
        <v>1</v>
      </c>
      <c r="L6" s="15" t="s">
        <v>107</v>
      </c>
      <c r="M6" s="15" t="s">
        <v>163</v>
      </c>
      <c r="N6" s="62">
        <f>SUM(rebio23_80ml!$N$5:$N$22)</f>
        <v>0</v>
      </c>
      <c r="O6" s="63">
        <f>SUM(rebio23_80ml!$N$53:$N$70)</f>
        <v>0</v>
      </c>
      <c r="P6" s="63">
        <f>SUM(rebio23_80ml!$N$23:$N$52)</f>
        <v>2</v>
      </c>
      <c r="Q6" s="63">
        <f>SUM(rebio23_80ml!$N$71:$N$100)</f>
        <v>0</v>
      </c>
      <c r="R6" s="67">
        <f>COUNTIF(N6:Q6,"&gt;0")/COUNTA(N6:Q6)*100</f>
        <v>25</v>
      </c>
      <c r="S6" s="60">
        <f>SUM(N6:Q6)</f>
        <v>2</v>
      </c>
      <c r="T6" s="37"/>
      <c r="U6" s="37"/>
    </row>
    <row r="7" spans="1:21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65" t="str">
        <f>"Rot spp = "&amp;SUM(K5:K59)</f>
        <v>Rot spp = 39</v>
      </c>
      <c r="K7" s="15">
        <v>0</v>
      </c>
      <c r="L7" s="40" t="s">
        <v>380</v>
      </c>
      <c r="N7" s="43"/>
      <c r="O7" s="60"/>
      <c r="P7" s="37"/>
      <c r="Q7" s="37"/>
      <c r="R7" s="67"/>
      <c r="S7" s="60"/>
      <c r="T7" s="37"/>
      <c r="U7" s="37"/>
    </row>
    <row r="8" spans="1:21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"Lec = "&amp;SUM(K13:K28)</f>
        <v>Lec = 15</v>
      </c>
      <c r="K8" s="15">
        <v>1</v>
      </c>
      <c r="L8" s="15" t="s">
        <v>104</v>
      </c>
      <c r="M8" s="15" t="s">
        <v>383</v>
      </c>
      <c r="N8" s="62">
        <f>SUM(rebio23_80ml!$K$5:$K$22)</f>
        <v>0</v>
      </c>
      <c r="O8" s="63">
        <f>SUM(rebio23_80ml!$K$53:$K$70)</f>
        <v>0</v>
      </c>
      <c r="P8" s="63">
        <f>SUM(rebio23_80ml!$K$23:$K$52)</f>
        <v>2</v>
      </c>
      <c r="Q8" s="63">
        <f>SUM(rebio23_80ml!$K$71:$K$100)</f>
        <v>0</v>
      </c>
      <c r="R8" s="67">
        <f>COUNTIF(N8:Q8,"&gt;0")/COUNTA(N8:Q8)*100</f>
        <v>25</v>
      </c>
      <c r="S8" s="60">
        <f>SUM(N8:Q8)</f>
        <v>2</v>
      </c>
      <c r="T8" s="37"/>
      <c r="U8" s="37"/>
    </row>
    <row r="9" spans="1:21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"Bra = "&amp;SUM(K29:K32)</f>
        <v>Bra = 3</v>
      </c>
      <c r="K9" s="38">
        <v>0</v>
      </c>
      <c r="L9" s="44" t="s">
        <v>385</v>
      </c>
      <c r="M9" s="38"/>
      <c r="N9" s="38"/>
      <c r="O9" s="60"/>
      <c r="P9" s="37"/>
      <c r="Q9" s="37"/>
      <c r="R9" s="67"/>
      <c r="S9" s="60"/>
      <c r="T9" s="37"/>
      <c r="U9" s="37"/>
    </row>
    <row r="10" spans="1:21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"Lep = "&amp;SUM(K33:K37)</f>
        <v>Lep = 4</v>
      </c>
      <c r="K10" s="38">
        <v>1</v>
      </c>
      <c r="L10" s="20" t="s">
        <v>100</v>
      </c>
      <c r="M10" s="15" t="s">
        <v>157</v>
      </c>
      <c r="N10" s="62">
        <f>SUM(rebio23_80ml!$G$5:$G$22)</f>
        <v>2</v>
      </c>
      <c r="O10" s="63">
        <f>SUM(rebio23_80ml!$G$53:$G$70)</f>
        <v>8</v>
      </c>
      <c r="P10" s="63">
        <f>SUM(rebio23_80ml!$G$23:$G$52)</f>
        <v>8</v>
      </c>
      <c r="Q10" s="63">
        <f>SUM(rebio23_80ml!$G$71:$G$100)</f>
        <v>0</v>
      </c>
      <c r="R10" s="67">
        <f>COUNTIF(N10:Q10,"&gt;0")/COUNTA(N10:Q10)*100</f>
        <v>75</v>
      </c>
      <c r="S10" s="60">
        <f>SUM(N10:Q10)</f>
        <v>18</v>
      </c>
      <c r="T10" s="37"/>
      <c r="U10" s="37"/>
    </row>
    <row r="11" spans="1:21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"Syn = "&amp;SUM(K40:K44)</f>
        <v>Syn = 4</v>
      </c>
      <c r="L11" s="40" t="s">
        <v>384</v>
      </c>
      <c r="N11" s="43"/>
      <c r="O11" s="60"/>
      <c r="P11" s="37"/>
      <c r="Q11" s="37"/>
      <c r="R11" s="67"/>
      <c r="S11" s="60"/>
      <c r="T11" s="37"/>
      <c r="U11" s="37"/>
    </row>
    <row r="12" spans="1:21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"Myt = "&amp;SUM(K47:K50)</f>
        <v>Myt = 3</v>
      </c>
      <c r="L12" s="40" t="s">
        <v>387</v>
      </c>
      <c r="N12" s="43"/>
      <c r="O12" s="60"/>
      <c r="P12" s="37"/>
      <c r="Q12" s="37"/>
      <c r="R12" s="67"/>
      <c r="S12" s="60"/>
      <c r="T12" s="37"/>
      <c r="U12" s="37"/>
    </row>
    <row r="13" spans="1:21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"Tes = "&amp;SUM(K56:K57)</f>
        <v>Tes = 2</v>
      </c>
      <c r="K13" s="15">
        <v>0</v>
      </c>
      <c r="L13" s="40" t="s">
        <v>388</v>
      </c>
      <c r="O13" s="60"/>
      <c r="P13" s="37"/>
      <c r="Q13" s="37"/>
      <c r="R13" s="67"/>
      <c r="S13" s="60"/>
      <c r="T13" s="37"/>
      <c r="U13" s="37"/>
    </row>
    <row r="14" spans="1:21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65" t="str">
        <f>"Clad fam = "&amp;COUNTIF(K63:K79,"0")</f>
        <v>Clad fam = 5</v>
      </c>
      <c r="K14" s="15">
        <v>1</v>
      </c>
      <c r="L14" s="15" t="s">
        <v>389</v>
      </c>
      <c r="M14" s="15" t="s">
        <v>167</v>
      </c>
      <c r="N14" s="62">
        <f>SUM(rebio23_80ml!$R$5:$R$22)</f>
        <v>1</v>
      </c>
      <c r="O14" s="63">
        <f>SUM(rebio23_80ml!$R$53:$R$70)</f>
        <v>0</v>
      </c>
      <c r="P14" s="63">
        <f>SUM(rebio23_80ml!$R$23:$R$52)</f>
        <v>0</v>
      </c>
      <c r="Q14" s="63">
        <f>SUM(rebio23_80ml!$R$71:$R$100)</f>
        <v>62</v>
      </c>
      <c r="R14" s="67">
        <f t="shared" ref="R14:R77" si="1">COUNTIF(N14:Q14,"&gt;0")/COUNTA(N14:Q14)*100</f>
        <v>50</v>
      </c>
      <c r="S14" s="60">
        <f>SUM(N14:Q14)</f>
        <v>63</v>
      </c>
      <c r="T14" s="37"/>
      <c r="U14" s="37"/>
    </row>
    <row r="15" spans="1:21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65" t="str">
        <f>"Clad spp = "&amp;SUM(K63:K79)</f>
        <v>Clad spp = 12</v>
      </c>
      <c r="K15" s="15">
        <v>1</v>
      </c>
      <c r="L15" s="15" t="s">
        <v>112</v>
      </c>
      <c r="M15" s="15" t="s">
        <v>168</v>
      </c>
      <c r="N15" s="62">
        <f>SUM(rebio23_80ml!$S$5:$S$22)</f>
        <v>60</v>
      </c>
      <c r="O15" s="63">
        <f>SUM(rebio23_80ml!$S$53:$S$70)</f>
        <v>9</v>
      </c>
      <c r="P15" s="63">
        <f>SUM(rebio23_80ml!$S$23:$S$52)</f>
        <v>20</v>
      </c>
      <c r="Q15" s="63">
        <f>SUM(rebio23_80ml!$S$71:$S$100)</f>
        <v>22</v>
      </c>
      <c r="R15" s="69">
        <f t="shared" si="1"/>
        <v>100</v>
      </c>
      <c r="S15" s="60">
        <f>SUM(N15:Q15)</f>
        <v>111</v>
      </c>
      <c r="T15" s="37"/>
      <c r="U15" s="37"/>
    </row>
    <row r="16" spans="1:21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"Chy = "&amp;SUM(K63:K68)</f>
        <v>Chy = 5</v>
      </c>
      <c r="K16" s="15">
        <v>1</v>
      </c>
      <c r="L16" s="15" t="s">
        <v>390</v>
      </c>
      <c r="M16" s="15" t="s">
        <v>169</v>
      </c>
      <c r="N16" s="62">
        <f>SUM(rebio23_80ml!$T$5:$T$22)</f>
        <v>4</v>
      </c>
      <c r="O16" s="63">
        <f>SUM(rebio23_80ml!$T$53:$T$70)</f>
        <v>4</v>
      </c>
      <c r="P16" s="63">
        <f>SUM(rebio23_80ml!$T$23:$T$52)</f>
        <v>5</v>
      </c>
      <c r="Q16" s="63">
        <f>SUM(rebio23_80ml!$T$71:$T$100)</f>
        <v>120</v>
      </c>
      <c r="R16" s="69">
        <f t="shared" si="1"/>
        <v>100</v>
      </c>
      <c r="S16" s="60">
        <f>SUM(N16:Q16)</f>
        <v>133</v>
      </c>
      <c r="T16" s="37"/>
      <c r="U16" s="37"/>
    </row>
    <row r="17" spans="1:21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"Mac = "&amp;SUM(K69:K72)</f>
        <v>Mac = 3</v>
      </c>
      <c r="K17" s="15">
        <v>1</v>
      </c>
      <c r="L17" s="15" t="s">
        <v>391</v>
      </c>
      <c r="M17" s="15" t="s">
        <v>170</v>
      </c>
      <c r="N17" s="62">
        <f>SUM(rebio23_80ml!$U$5:$U$22)</f>
        <v>13</v>
      </c>
      <c r="O17" s="63">
        <f>SUM(rebio23_80ml!$U$53:$U$70)</f>
        <v>1</v>
      </c>
      <c r="P17" s="63">
        <f>SUM(rebio23_80ml!$U$23:$U$52)</f>
        <v>2</v>
      </c>
      <c r="Q17" s="63">
        <f>SUM(rebio23_80ml!$U$71:$U$100)</f>
        <v>10</v>
      </c>
      <c r="R17" s="69">
        <f t="shared" si="1"/>
        <v>100</v>
      </c>
      <c r="S17" s="60">
        <f>SUM(N17:Q17)</f>
        <v>26</v>
      </c>
      <c r="T17" s="37"/>
      <c r="U17" s="37"/>
    </row>
    <row r="18" spans="1:21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"Sid = "&amp;SUM(K73:K75)</f>
        <v>Sid = 2</v>
      </c>
      <c r="K18" s="15">
        <v>1</v>
      </c>
      <c r="L18" s="15" t="s">
        <v>392</v>
      </c>
      <c r="M18" s="15" t="s">
        <v>171</v>
      </c>
      <c r="N18" s="62">
        <f>SUM(rebio23_80ml!$V$5:$V$22)</f>
        <v>1</v>
      </c>
      <c r="O18" s="63">
        <f>SUM(rebio23_80ml!$V$53:$V$70)</f>
        <v>5</v>
      </c>
      <c r="P18" s="63">
        <f>SUM(rebio23_80ml!$V$23:$V$52)</f>
        <v>6</v>
      </c>
      <c r="Q18" s="63">
        <f>SUM(rebio23_80ml!$V$71:$V$100)</f>
        <v>614</v>
      </c>
      <c r="R18" s="69">
        <f t="shared" si="1"/>
        <v>100</v>
      </c>
      <c r="S18" s="68">
        <f>SUM(N18:Q18)</f>
        <v>626</v>
      </c>
      <c r="T18" s="37"/>
      <c r="U18" s="37"/>
    </row>
    <row r="19" spans="1:21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65" t="str">
        <f>"Cop fam = "&amp;COUNTIF(K84:K92,"0")</f>
        <v>Cop fam = 2</v>
      </c>
      <c r="K19" s="15">
        <v>1</v>
      </c>
      <c r="L19" s="15" t="s">
        <v>395</v>
      </c>
      <c r="M19" s="15" t="s">
        <v>172</v>
      </c>
      <c r="N19" s="62">
        <f>SUM(rebio23_80ml!$W$5:$W$22)</f>
        <v>1</v>
      </c>
      <c r="O19" s="63">
        <f>SUM(rebio23_80ml!$W$53:$W$70)</f>
        <v>0</v>
      </c>
      <c r="P19" s="63">
        <f>SUM(rebio23_80ml!$W$23:$W$52)</f>
        <v>0</v>
      </c>
      <c r="Q19" s="63">
        <f>SUM(rebio23_80ml!$W$71:$W$100)</f>
        <v>0</v>
      </c>
      <c r="R19" s="67">
        <f t="shared" si="1"/>
        <v>25</v>
      </c>
      <c r="S19" s="60">
        <f>SUM(N19:Q19)</f>
        <v>1</v>
      </c>
      <c r="T19" s="37"/>
      <c r="U19" s="37"/>
    </row>
    <row r="20" spans="1:21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65" t="str">
        <f>"Cop spp = "&amp;SUM(K84:K91)</f>
        <v>Cop spp = 4</v>
      </c>
      <c r="K20" s="15">
        <v>1</v>
      </c>
      <c r="L20" s="15" t="s">
        <v>396</v>
      </c>
      <c r="M20" s="15" t="s">
        <v>174</v>
      </c>
      <c r="N20" s="62">
        <f>SUM(rebio23_80ml!$Y$5:$Y$22)</f>
        <v>3</v>
      </c>
      <c r="O20" s="63">
        <f>SUM(rebio23_80ml!$Y$53:$Y$70)</f>
        <v>83</v>
      </c>
      <c r="P20" s="63">
        <f>SUM(rebio23_80ml!$Y$23:$Y$52)</f>
        <v>7</v>
      </c>
      <c r="Q20" s="63">
        <f>SUM(rebio23_80ml!$Y$71:$Y$100)</f>
        <v>27</v>
      </c>
      <c r="R20" s="69">
        <f t="shared" si="1"/>
        <v>100</v>
      </c>
      <c r="S20" s="60">
        <f>SUM(N20:Q20)</f>
        <v>120</v>
      </c>
      <c r="T20" s="37"/>
      <c r="U20" s="37"/>
    </row>
    <row r="21" spans="1:21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9" t="str">
        <f>"Cyc = "&amp;SUM(K84:K87)</f>
        <v>Cyc = 3</v>
      </c>
      <c r="K21" s="15">
        <v>1</v>
      </c>
      <c r="L21" s="15" t="s">
        <v>119</v>
      </c>
      <c r="M21" s="15" t="s">
        <v>175</v>
      </c>
      <c r="N21" s="62">
        <f>SUM(rebio23_80ml!$Z$5:$Z$22)</f>
        <v>7</v>
      </c>
      <c r="O21" s="63">
        <f>SUM(rebio23_80ml!$Z$53:$Z$70)</f>
        <v>5</v>
      </c>
      <c r="P21" s="63">
        <f>SUM(rebio23_80ml!$Z$23:$Z$52)</f>
        <v>4</v>
      </c>
      <c r="Q21" s="63">
        <f>SUM(rebio23_80ml!$Z$71:$Z$100)</f>
        <v>74</v>
      </c>
      <c r="R21" s="69">
        <f t="shared" si="1"/>
        <v>100</v>
      </c>
      <c r="S21" s="60">
        <f>SUM(N21:Q21)</f>
        <v>90</v>
      </c>
      <c r="T21" s="37"/>
      <c r="U21" s="37"/>
    </row>
    <row r="22" spans="1:21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9" t="str">
        <f>"Juv = "&amp;SUM(K80:K82)</f>
        <v>Juv = 0</v>
      </c>
      <c r="K22" s="15">
        <v>1</v>
      </c>
      <c r="L22" s="15" t="s">
        <v>401</v>
      </c>
      <c r="M22" s="15" t="s">
        <v>176</v>
      </c>
      <c r="N22" s="62">
        <f>SUM(rebio23_80ml!$AA$5:$AA$22)</f>
        <v>13</v>
      </c>
      <c r="O22" s="63">
        <f>SUM(rebio23_80ml!$AA$53:$AA$70)</f>
        <v>4</v>
      </c>
      <c r="P22" s="63">
        <f>SUM(rebio23_80ml!$AA$23:$AA$52)</f>
        <v>8</v>
      </c>
      <c r="Q22" s="63">
        <f>SUM(rebio23_80ml!$AA$71:$AA$100)</f>
        <v>181</v>
      </c>
      <c r="R22" s="69">
        <f t="shared" si="1"/>
        <v>100</v>
      </c>
      <c r="S22" s="68">
        <f>SUM(N22:Q22)</f>
        <v>206</v>
      </c>
      <c r="T22" s="37"/>
      <c r="U22" s="37"/>
    </row>
    <row r="23" spans="1:21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K23" s="15">
        <v>1</v>
      </c>
      <c r="L23" s="15" t="s">
        <v>404</v>
      </c>
      <c r="M23" s="15" t="s">
        <v>177</v>
      </c>
      <c r="N23" s="62">
        <f>SUM(rebio23_80ml!$AB$5:$AB$22)</f>
        <v>1</v>
      </c>
      <c r="O23" s="63">
        <f>SUM(rebio23_80ml!$AB$53:$AB$70)</f>
        <v>0</v>
      </c>
      <c r="P23" s="63">
        <f>SUM(rebio23_80ml!$AB$23:$AB$52)</f>
        <v>1</v>
      </c>
      <c r="Q23" s="63">
        <f>SUM(rebio23_80ml!$AB$71:$AB$100)</f>
        <v>0</v>
      </c>
      <c r="R23" s="67">
        <f t="shared" si="1"/>
        <v>50</v>
      </c>
      <c r="S23" s="60">
        <f>SUM(N23:Q23)</f>
        <v>2</v>
      </c>
      <c r="T23" s="37"/>
      <c r="U23" s="37"/>
    </row>
    <row r="24" spans="1:21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K24" s="38">
        <v>1</v>
      </c>
      <c r="L24" s="70" t="s">
        <v>123</v>
      </c>
      <c r="M24" s="15" t="s">
        <v>179</v>
      </c>
      <c r="N24" s="62">
        <f>SUM(rebio23_80ml!$AD$5:$AD$22)</f>
        <v>2</v>
      </c>
      <c r="O24" s="63">
        <f>SUM(rebio23_80ml!$AD$53:$AD$70)</f>
        <v>0</v>
      </c>
      <c r="P24" s="63">
        <f>SUM(rebio23_80ml!$AD$23:$AD$52)</f>
        <v>3</v>
      </c>
      <c r="Q24" s="63">
        <f>SUM(rebio23_80ml!$AD$71:$AD$100)</f>
        <v>31</v>
      </c>
      <c r="R24" s="67">
        <f t="shared" si="1"/>
        <v>75</v>
      </c>
      <c r="S24" s="60">
        <f>SUM(N24:Q24)</f>
        <v>36</v>
      </c>
      <c r="T24" s="37"/>
      <c r="U24" s="37"/>
    </row>
    <row r="25" spans="1:21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K25" s="15">
        <v>1</v>
      </c>
      <c r="L25" s="15" t="s">
        <v>407</v>
      </c>
      <c r="M25" s="15" t="s">
        <v>180</v>
      </c>
      <c r="N25" s="62">
        <f>SUM(rebio23_80ml!$AE$5:$AE$22)</f>
        <v>2</v>
      </c>
      <c r="O25" s="63">
        <f>SUM(rebio23_80ml!$AE$53:$AE$70)</f>
        <v>0</v>
      </c>
      <c r="P25" s="63">
        <f>SUM(rebio23_80ml!$AE$23:$AE$52)</f>
        <v>0</v>
      </c>
      <c r="Q25" s="63">
        <f>SUM(rebio23_80ml!$AE$71:$AE$100)</f>
        <v>0</v>
      </c>
      <c r="R25" s="67">
        <f t="shared" si="1"/>
        <v>25</v>
      </c>
      <c r="S25" s="60">
        <f>SUM(N25:Q25)</f>
        <v>2</v>
      </c>
      <c r="T25" s="37"/>
      <c r="U25" s="37"/>
    </row>
    <row r="26" spans="1:21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62">
        <f>SUM(rebio23_80ml!$X$5:$X$22)</f>
        <v>1</v>
      </c>
      <c r="O26" s="63">
        <f>SUM(rebio23_80ml!$X$53:$X$70)</f>
        <v>0</v>
      </c>
      <c r="P26" s="63">
        <f>SUM(rebio23_80ml!$X$23:$X$52)</f>
        <v>1</v>
      </c>
      <c r="Q26" s="63">
        <f>SUM(rebio23_80ml!$X$71:$X$100)</f>
        <v>0</v>
      </c>
      <c r="R26" s="67">
        <f t="shared" si="1"/>
        <v>50</v>
      </c>
      <c r="S26" s="60">
        <f>SUM(N26:Q26)</f>
        <v>2</v>
      </c>
      <c r="T26" s="37"/>
      <c r="U26" s="37"/>
    </row>
    <row r="27" spans="1:21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62">
        <f>SUM(rebio23_80ml!$AC$5:$AC$22)</f>
        <v>0</v>
      </c>
      <c r="O27" s="63">
        <f>SUM(rebio23_80ml!$AC$53:$AC$70)</f>
        <v>0</v>
      </c>
      <c r="P27" s="63">
        <f>SUM(rebio23_80ml!$AC$23:$AC$52)</f>
        <v>3</v>
      </c>
      <c r="Q27" s="63">
        <f>SUM(rebio23_80ml!$AC$71:$AC$100)</f>
        <v>0</v>
      </c>
      <c r="R27" s="67">
        <f t="shared" si="1"/>
        <v>25</v>
      </c>
      <c r="S27" s="60">
        <f>SUM(N27:Q27)</f>
        <v>3</v>
      </c>
      <c r="T27" s="37"/>
      <c r="U27" s="37"/>
    </row>
    <row r="28" spans="1:21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62">
        <f>SUM(rebio23_80ml!$AF$5:$AF$22)</f>
        <v>1</v>
      </c>
      <c r="O28" s="63">
        <f>SUM(rebio23_80ml!$AF$53:$AF$70)</f>
        <v>0</v>
      </c>
      <c r="P28" s="63">
        <f>SUM(rebio23_80ml!$AF$23:$AF$52)</f>
        <v>0</v>
      </c>
      <c r="Q28" s="63">
        <f>SUM(rebio23_80ml!$AF$71:$AF$100)</f>
        <v>0</v>
      </c>
      <c r="R28" s="67">
        <f t="shared" si="1"/>
        <v>25</v>
      </c>
      <c r="S28" s="60">
        <f>SUM(N28:Q28)</f>
        <v>1</v>
      </c>
      <c r="T28" s="37"/>
      <c r="U28" s="37"/>
    </row>
    <row r="29" spans="1:21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K29" s="15">
        <v>0</v>
      </c>
      <c r="L29" s="40" t="s">
        <v>413</v>
      </c>
      <c r="O29" s="60"/>
      <c r="P29" s="37"/>
      <c r="Q29" s="37"/>
      <c r="R29" s="67"/>
      <c r="S29" s="60"/>
      <c r="T29" s="37"/>
      <c r="U29" s="37"/>
    </row>
    <row r="30" spans="1:21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62">
        <f>SUM(rebio23_80ml!$F$5:$F$22)</f>
        <v>3</v>
      </c>
      <c r="O30" s="63">
        <f>SUM(rebio23_80ml!$F$53:$F$70)</f>
        <v>3</v>
      </c>
      <c r="P30" s="63">
        <f>SUM(rebio23_80ml!$F$23:$F$52)</f>
        <v>0</v>
      </c>
      <c r="Q30" s="63">
        <f>SUM(rebio23_80ml!$F$71:$F$100)</f>
        <v>221</v>
      </c>
      <c r="R30" s="67">
        <f t="shared" si="1"/>
        <v>75</v>
      </c>
      <c r="S30" s="68">
        <f>SUM(N30:Q30)</f>
        <v>227</v>
      </c>
      <c r="T30" s="37"/>
      <c r="U30" s="37"/>
    </row>
    <row r="31" spans="1:21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62">
        <f>SUM(rebio23_80ml!$AN$5:$AN$22)</f>
        <v>2</v>
      </c>
      <c r="O31" s="63">
        <f>SUM(rebio23_80ml!$AN$53:$AN$70)</f>
        <v>25</v>
      </c>
      <c r="P31" s="63">
        <f>SUM(rebio23_80ml!$AN$23:$AN$52)</f>
        <v>2</v>
      </c>
      <c r="Q31" s="63">
        <f>SUM(rebio23_80ml!$AN$71:$AN$100)</f>
        <v>0</v>
      </c>
      <c r="R31" s="67">
        <f t="shared" si="1"/>
        <v>75</v>
      </c>
      <c r="S31" s="60">
        <f>SUM(N31:Q31)</f>
        <v>29</v>
      </c>
      <c r="T31" s="37"/>
      <c r="U31" s="37"/>
    </row>
    <row r="32" spans="1:21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62">
        <f>SUM(rebio23_80ml!$AY$5:$AY$22)</f>
        <v>6</v>
      </c>
      <c r="O32" s="63">
        <f>SUM(rebio23_80ml!$AY$53:$AY$70)</f>
        <v>176</v>
      </c>
      <c r="P32" s="63">
        <f>SUM(rebio23_80ml!$AY$23:$AY$52)</f>
        <v>2</v>
      </c>
      <c r="Q32" s="63">
        <f>SUM(rebio23_80ml!$AY$71:$AY$100)</f>
        <v>207</v>
      </c>
      <c r="R32" s="69">
        <f t="shared" si="1"/>
        <v>100</v>
      </c>
      <c r="S32" s="68">
        <f>SUM(N32:Q32)</f>
        <v>391</v>
      </c>
      <c r="T32" s="37"/>
      <c r="U32" s="37"/>
    </row>
    <row r="33" spans="1:21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K33" s="15">
        <v>0</v>
      </c>
      <c r="L33" s="40" t="s">
        <v>418</v>
      </c>
      <c r="M33" s="38"/>
      <c r="O33" s="60"/>
      <c r="P33" s="37"/>
      <c r="Q33" s="37"/>
      <c r="R33" s="67"/>
      <c r="S33" s="60"/>
      <c r="T33" s="37"/>
      <c r="U33" s="37"/>
    </row>
    <row r="34" spans="1:21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62">
        <f>SUM(rebio23_80ml!$AJ$5:$AJ$22)</f>
        <v>17</v>
      </c>
      <c r="O34" s="63">
        <f>SUM(rebio23_80ml!$AJ$53:$AJ$70)</f>
        <v>5</v>
      </c>
      <c r="P34" s="63">
        <f>SUM(rebio23_80ml!$AJ$23:$AJ$52)</f>
        <v>3</v>
      </c>
      <c r="Q34" s="63">
        <f>SUM(rebio23_80ml!$AJ$71:$AJ$100)</f>
        <v>0</v>
      </c>
      <c r="R34" s="67">
        <f t="shared" si="1"/>
        <v>75</v>
      </c>
      <c r="S34" s="60">
        <f>SUM(N34:Q34)</f>
        <v>25</v>
      </c>
      <c r="T34" s="37"/>
      <c r="U34" s="37"/>
    </row>
    <row r="35" spans="1:21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62">
        <f>SUM(rebio23_80ml!$AK$5:$AK$22)</f>
        <v>2</v>
      </c>
      <c r="O35" s="63">
        <f>SUM(rebio23_80ml!$AK$53:$AK$70)</f>
        <v>3</v>
      </c>
      <c r="P35" s="63">
        <f>SUM(rebio23_80ml!$AK$23:$AK$52)</f>
        <v>0</v>
      </c>
      <c r="Q35" s="63">
        <f>SUM(rebio23_80ml!$AK$71:$AK$100)</f>
        <v>0</v>
      </c>
      <c r="R35" s="67">
        <f t="shared" si="1"/>
        <v>50</v>
      </c>
      <c r="S35" s="60">
        <f>SUM(N35:Q35)</f>
        <v>5</v>
      </c>
      <c r="T35" s="37"/>
      <c r="U35" s="37"/>
    </row>
    <row r="36" spans="1:21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62">
        <f>SUM(rebio23_80ml!$AH$5:$AH$22)</f>
        <v>0</v>
      </c>
      <c r="O36" s="63">
        <f>SUM(rebio23_80ml!$AH$53:$AH$70)</f>
        <v>0</v>
      </c>
      <c r="P36" s="63">
        <f>SUM(rebio23_80ml!$AH$23:$AH$52)</f>
        <v>1</v>
      </c>
      <c r="Q36" s="63">
        <f>SUM(rebio23_80ml!$AH$71:$AH$100)</f>
        <v>0</v>
      </c>
      <c r="R36" s="67">
        <f t="shared" si="1"/>
        <v>25</v>
      </c>
      <c r="S36" s="60">
        <f>SUM(N36:Q36)</f>
        <v>1</v>
      </c>
      <c r="T36" s="37"/>
      <c r="U36" s="37"/>
    </row>
    <row r="37" spans="1:21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62">
        <f>SUM(rebio23_80ml!$AI$5:$AI$22)</f>
        <v>0</v>
      </c>
      <c r="O37" s="63">
        <f>SUM(rebio23_80ml!$AI$53:$AI$70)</f>
        <v>0</v>
      </c>
      <c r="P37" s="63">
        <f>SUM(rebio23_80ml!$AI$23:$AI$52)</f>
        <v>1</v>
      </c>
      <c r="Q37" s="63">
        <f>SUM(rebio23_80ml!$AI$71:$AI$100)</f>
        <v>0</v>
      </c>
      <c r="R37" s="67">
        <f t="shared" si="1"/>
        <v>25</v>
      </c>
      <c r="S37" s="60">
        <f>SUM(N37:Q37)</f>
        <v>1</v>
      </c>
      <c r="T37" s="37"/>
      <c r="U37" s="37"/>
    </row>
    <row r="38" spans="1:21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60"/>
      <c r="P38" s="37"/>
      <c r="Q38" s="37"/>
      <c r="R38" s="67"/>
      <c r="S38" s="60"/>
      <c r="T38" s="37"/>
      <c r="U38" s="37"/>
    </row>
    <row r="39" spans="1:21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62">
        <f>SUM(rebio23_80ml!$O$5:$O$22)</f>
        <v>0</v>
      </c>
      <c r="O39" s="63">
        <f>SUM(rebio23_80ml!$O$53:$O$70)</f>
        <v>0</v>
      </c>
      <c r="P39" s="63">
        <f>SUM(rebio23_80ml!$O$23:$O$52)</f>
        <v>1</v>
      </c>
      <c r="Q39" s="63">
        <f>SUM(rebio23_80ml!$O$71:$O$100)</f>
        <v>0</v>
      </c>
      <c r="R39" s="67">
        <f t="shared" si="1"/>
        <v>25</v>
      </c>
      <c r="S39" s="60">
        <f>SUM(N39:Q39)</f>
        <v>1</v>
      </c>
      <c r="T39" s="37"/>
      <c r="U39" s="37"/>
    </row>
    <row r="40" spans="1:21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K40" s="15">
        <v>0</v>
      </c>
      <c r="L40" s="66" t="s">
        <v>436</v>
      </c>
      <c r="M40" s="38"/>
      <c r="O40" s="60"/>
      <c r="P40" s="37"/>
      <c r="Q40" s="37"/>
      <c r="R40" s="67"/>
      <c r="S40" s="60"/>
      <c r="T40" s="37"/>
      <c r="U40" s="37"/>
    </row>
    <row r="41" spans="1:21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62">
        <f>SUM(rebio23_80ml!$BA$5:$BA$22)</f>
        <v>0</v>
      </c>
      <c r="O41" s="63">
        <f>SUM(rebio23_80ml!$BA$53:$BA$70)</f>
        <v>1</v>
      </c>
      <c r="P41" s="63">
        <f>SUM(rebio23_80ml!$BA$23:$BA$52)</f>
        <v>36</v>
      </c>
      <c r="Q41" s="63">
        <f>SUM(rebio23_80ml!$BA$71:$BA$100)</f>
        <v>1</v>
      </c>
      <c r="R41" s="67">
        <f t="shared" si="1"/>
        <v>75</v>
      </c>
      <c r="S41" s="60">
        <f>SUM(N41:Q41)</f>
        <v>38</v>
      </c>
      <c r="T41" s="37"/>
      <c r="U41" s="37"/>
    </row>
    <row r="42" spans="1:21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62">
        <f>SUM(rebio23_80ml!$BB$5:$BB$22)</f>
        <v>2</v>
      </c>
      <c r="O42" s="63">
        <f>SUM(rebio23_80ml!$BB$53:$BB$70)</f>
        <v>0</v>
      </c>
      <c r="P42" s="63">
        <f>SUM(rebio23_80ml!$BB$23:$BB$52)</f>
        <v>0</v>
      </c>
      <c r="Q42" s="63">
        <f>SUM(rebio23_80ml!$BB$71:$BB$100)</f>
        <v>0</v>
      </c>
      <c r="R42" s="67">
        <f t="shared" si="1"/>
        <v>25</v>
      </c>
      <c r="S42" s="60">
        <f>SUM(N42:Q42)</f>
        <v>2</v>
      </c>
      <c r="T42" s="37"/>
      <c r="U42" s="37"/>
    </row>
    <row r="43" spans="1:21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62">
        <f>SUM(rebio23_80ml!$BC$5:$BC$22)</f>
        <v>0</v>
      </c>
      <c r="O43" s="63">
        <f>SUM(rebio23_80ml!$BC$53:$BC$70)</f>
        <v>1</v>
      </c>
      <c r="P43" s="63">
        <f>SUM(rebio23_80ml!$BC$23:$BC$52)</f>
        <v>145</v>
      </c>
      <c r="Q43" s="63">
        <f>SUM(rebio23_80ml!$BC$71:$BC$100)</f>
        <v>1</v>
      </c>
      <c r="R43" s="67">
        <f t="shared" si="1"/>
        <v>75</v>
      </c>
      <c r="S43" s="68">
        <f>SUM(N43:Q43)</f>
        <v>147</v>
      </c>
      <c r="T43" s="37"/>
      <c r="U43" s="37"/>
    </row>
    <row r="44" spans="1:21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62">
        <f>SUM(rebio23_80ml!$AZ$5:$AZ$22)</f>
        <v>8</v>
      </c>
      <c r="O44" s="63">
        <f>SUM(rebio23_80ml!$AZ$53:$AZ$70)</f>
        <v>0</v>
      </c>
      <c r="P44" s="63">
        <f>SUM(rebio23_80ml!$AZ$23:$AZ$52)</f>
        <v>0</v>
      </c>
      <c r="Q44" s="63">
        <f>SUM(rebio23_80ml!$AZ$71:$AZ$100)</f>
        <v>0</v>
      </c>
      <c r="R44" s="67">
        <f t="shared" si="1"/>
        <v>25</v>
      </c>
      <c r="S44" s="60">
        <f>SUM(N44:Q44)</f>
        <v>8</v>
      </c>
      <c r="T44" s="37"/>
      <c r="U44" s="37"/>
    </row>
    <row r="45" spans="1:21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60"/>
      <c r="P45" s="37"/>
      <c r="Q45" s="37"/>
      <c r="R45" s="67"/>
      <c r="S45" s="60"/>
      <c r="T45" s="37"/>
      <c r="U45" s="37"/>
    </row>
    <row r="46" spans="1:21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7" t="s">
        <v>452</v>
      </c>
      <c r="M46" s="15" t="s">
        <v>158</v>
      </c>
      <c r="N46" s="62">
        <f>SUM(rebio23_80ml!$H$5:$H$22)</f>
        <v>8</v>
      </c>
      <c r="O46" s="63">
        <f>SUM(rebio23_80ml!$H$53:$H$70)</f>
        <v>0</v>
      </c>
      <c r="P46" s="63">
        <f>SUM(rebio23_80ml!$H$23:$H$52)</f>
        <v>0</v>
      </c>
      <c r="Q46" s="63">
        <f>SUM(rebio23_80ml!$H$71:$H$100)</f>
        <v>8</v>
      </c>
      <c r="R46" s="67">
        <f t="shared" si="1"/>
        <v>50</v>
      </c>
      <c r="S46" s="60">
        <f>SUM(N46:Q46)</f>
        <v>16</v>
      </c>
      <c r="T46" s="37"/>
      <c r="U46" s="37"/>
    </row>
    <row r="47" spans="1:21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K47" s="15">
        <v>0</v>
      </c>
      <c r="L47" s="40" t="s">
        <v>453</v>
      </c>
      <c r="M47" s="38"/>
      <c r="O47" s="60"/>
      <c r="P47" s="37"/>
      <c r="Q47" s="37"/>
      <c r="R47" s="67"/>
      <c r="S47" s="60"/>
      <c r="T47" s="37"/>
      <c r="U47" s="37"/>
    </row>
    <row r="48" spans="1:21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62">
        <f>SUM(rebio23_80ml!$AS$5:$AS$22)</f>
        <v>0</v>
      </c>
      <c r="O48" s="63">
        <f>SUM(rebio23_80ml!$AS$53:$AS$70)</f>
        <v>0</v>
      </c>
      <c r="P48" s="63">
        <f>SUM(rebio23_80ml!$AS$23:$AS$52)</f>
        <v>1</v>
      </c>
      <c r="Q48" s="63">
        <f>SUM(rebio23_80ml!$AS$71:$AS$100)</f>
        <v>0</v>
      </c>
      <c r="R48" s="67">
        <f t="shared" si="1"/>
        <v>25</v>
      </c>
      <c r="S48" s="60">
        <f>SUM(N48:Q48)</f>
        <v>1</v>
      </c>
      <c r="T48" s="37"/>
      <c r="U48" s="37"/>
    </row>
    <row r="49" spans="1:21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62">
        <f>SUM(rebio23_80ml!$AU$5:$AU$22)</f>
        <v>1</v>
      </c>
      <c r="O49" s="63">
        <f>SUM(rebio23_80ml!$AU$53:$AU$70)</f>
        <v>0</v>
      </c>
      <c r="P49" s="63">
        <f>SUM(rebio23_80ml!$AU$23:$AU$52)</f>
        <v>0</v>
      </c>
      <c r="Q49" s="63">
        <f>SUM(rebio23_80ml!$AU$71:$AU$100)</f>
        <v>0</v>
      </c>
      <c r="R49" s="67">
        <f t="shared" si="1"/>
        <v>25</v>
      </c>
      <c r="S49" s="60">
        <f>SUM(N49:Q49)</f>
        <v>1</v>
      </c>
      <c r="T49" s="37"/>
      <c r="U49" s="37"/>
    </row>
    <row r="50" spans="1:21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62">
        <f>SUM(rebio23_80ml!$AT$5:$AT$22)</f>
        <v>1</v>
      </c>
      <c r="O50" s="63">
        <f>SUM(rebio23_80ml!$AT$53:$AT$70)</f>
        <v>0</v>
      </c>
      <c r="P50" s="63">
        <f>SUM(rebio23_80ml!$AT$23:$AT$52)</f>
        <v>1</v>
      </c>
      <c r="Q50" s="63">
        <f>SUM(rebio23_80ml!$AT$71:$AT$100)</f>
        <v>0</v>
      </c>
      <c r="R50" s="67">
        <f t="shared" si="1"/>
        <v>50</v>
      </c>
      <c r="S50" s="60">
        <f>SUM(N50:Q50)</f>
        <v>2</v>
      </c>
      <c r="T50" s="37"/>
      <c r="U50" s="37"/>
    </row>
    <row r="51" spans="1:21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60"/>
      <c r="P51" s="37"/>
      <c r="Q51" s="37"/>
      <c r="R51" s="67"/>
      <c r="S51" s="60"/>
      <c r="T51" s="37"/>
      <c r="U51" s="37"/>
    </row>
    <row r="52" spans="1:21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62">
        <f>SUM(rebio23_80ml!$BG$5:$BG$22)</f>
        <v>2</v>
      </c>
      <c r="O52" s="63">
        <f>SUM(rebio23_80ml!$BG$53:$BG$70)</f>
        <v>0</v>
      </c>
      <c r="P52" s="63">
        <f>SUM(rebio23_80ml!$BG$23:$BG$52)</f>
        <v>0</v>
      </c>
      <c r="Q52" s="63">
        <f>SUM(rebio23_80ml!$BG$71:$BG$100)</f>
        <v>0</v>
      </c>
      <c r="R52" s="67">
        <f t="shared" si="1"/>
        <v>25</v>
      </c>
      <c r="S52" s="60">
        <f>SUM(N52:Q52)</f>
        <v>2</v>
      </c>
      <c r="T52" s="37"/>
      <c r="U52" s="37"/>
    </row>
    <row r="53" spans="1:21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60"/>
      <c r="P53" s="37"/>
      <c r="Q53" s="37"/>
      <c r="R53" s="67"/>
      <c r="S53" s="60"/>
      <c r="T53" s="37"/>
      <c r="U53" s="37"/>
    </row>
    <row r="54" spans="1:21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7" t="s">
        <v>109</v>
      </c>
      <c r="M54" s="15" t="s">
        <v>165</v>
      </c>
      <c r="N54" s="62">
        <f>SUM(rebio23_80ml!$P$5:$P$22)</f>
        <v>1</v>
      </c>
      <c r="O54" s="63">
        <f>SUM(rebio23_80ml!$P$53:$P$70)</f>
        <v>0</v>
      </c>
      <c r="P54" s="63">
        <f>SUM(rebio23_80ml!$P$23:$P$52)</f>
        <v>1</v>
      </c>
      <c r="Q54" s="63">
        <f>SUM(rebio23_80ml!$P$71:$P$100)</f>
        <v>1</v>
      </c>
      <c r="R54" s="67">
        <f t="shared" si="1"/>
        <v>75</v>
      </c>
      <c r="S54" s="60">
        <f>SUM(N54:Q54)</f>
        <v>3</v>
      </c>
      <c r="T54" s="37"/>
      <c r="U54" s="37"/>
    </row>
    <row r="55" spans="1:21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60"/>
      <c r="P55" s="37"/>
      <c r="Q55" s="37"/>
      <c r="R55" s="67"/>
      <c r="S55" s="60"/>
      <c r="T55" s="37"/>
      <c r="U55" s="37"/>
    </row>
    <row r="56" spans="1:21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62">
        <f>SUM(rebio23_80ml!$BE$5:$BE$22)</f>
        <v>0</v>
      </c>
      <c r="O56" s="63">
        <f>SUM(rebio23_80ml!$BE$53:$BE$70)</f>
        <v>0</v>
      </c>
      <c r="P56" s="63">
        <f>SUM(rebio23_80ml!$BE$23:$BE$52)</f>
        <v>3</v>
      </c>
      <c r="Q56" s="63">
        <f>SUM(rebio23_80ml!$BE$71:$BE$100)</f>
        <v>39</v>
      </c>
      <c r="R56" s="67">
        <f t="shared" si="1"/>
        <v>50</v>
      </c>
      <c r="S56" s="60">
        <f>SUM(N56:Q56)</f>
        <v>42</v>
      </c>
      <c r="T56" s="37"/>
      <c r="U56" s="37"/>
    </row>
    <row r="57" spans="1:21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62">
        <f>SUM(rebio23_80ml!$BD$5:$BD$22)</f>
        <v>4</v>
      </c>
      <c r="O57" s="63">
        <f>SUM(rebio23_80ml!$BD$53:$BD$70)</f>
        <v>3</v>
      </c>
      <c r="P57" s="63">
        <f>SUM(rebio23_80ml!$BD$23:$BD$52)</f>
        <v>11</v>
      </c>
      <c r="Q57" s="63">
        <f>SUM(rebio23_80ml!$BD$71:$BD$100)</f>
        <v>57</v>
      </c>
      <c r="R57" s="69">
        <f t="shared" si="1"/>
        <v>100</v>
      </c>
      <c r="S57" s="60">
        <f>SUM(N57:Q57)</f>
        <v>75</v>
      </c>
      <c r="T57" s="37"/>
      <c r="U57" s="37"/>
    </row>
    <row r="58" spans="1:21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60"/>
      <c r="P58" s="37"/>
      <c r="Q58" s="37"/>
      <c r="R58" s="67"/>
      <c r="S58" s="60">
        <f>SUM(N58:Q58)</f>
        <v>0</v>
      </c>
      <c r="T58" s="37"/>
      <c r="U58" s="37"/>
    </row>
    <row r="59" spans="1:21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62">
        <f>SUM(rebio23_80ml!$BF$5:$BF$22)</f>
        <v>0</v>
      </c>
      <c r="O59" s="63">
        <f>SUM(rebio23_80ml!$BF$53:$BF$70)</f>
        <v>1</v>
      </c>
      <c r="P59" s="63">
        <f>SUM(rebio23_80ml!$BF$23:$BF$52)</f>
        <v>2</v>
      </c>
      <c r="Q59" s="63">
        <f>SUM(rebio23_80ml!$BF$71:$BF$100)</f>
        <v>2</v>
      </c>
      <c r="R59" s="67">
        <f t="shared" si="1"/>
        <v>75</v>
      </c>
      <c r="S59" s="60">
        <f>SUM(N59:Q59)</f>
        <v>5</v>
      </c>
      <c r="T59" s="37"/>
      <c r="U59" s="37"/>
    </row>
    <row r="60" spans="1:21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60"/>
      <c r="P60" s="37"/>
      <c r="Q60" s="37"/>
      <c r="R60" s="67"/>
      <c r="S60" s="60"/>
      <c r="T60" s="37"/>
      <c r="U60" s="37"/>
    </row>
    <row r="61" spans="1:21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60"/>
      <c r="P61" s="37"/>
      <c r="Q61" s="37"/>
      <c r="R61" s="67"/>
      <c r="S61" s="60"/>
      <c r="T61" s="37"/>
      <c r="U61" s="37"/>
    </row>
    <row r="62" spans="1:21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60"/>
      <c r="P62" s="37"/>
      <c r="Q62" s="37"/>
      <c r="R62" s="67"/>
      <c r="S62" s="60"/>
      <c r="T62" s="37"/>
      <c r="U62" s="37"/>
    </row>
    <row r="63" spans="1:21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60"/>
      <c r="P63" s="37"/>
      <c r="Q63" s="37"/>
      <c r="R63" s="67"/>
      <c r="S63" s="60"/>
      <c r="T63" s="37"/>
      <c r="U63" s="37"/>
    </row>
    <row r="64" spans="1:21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62">
        <f>SUM(rebio23_80ml!$B$5:$B$22)</f>
        <v>13</v>
      </c>
      <c r="O64" s="63">
        <f>SUM(rebio23_80ml!$B$53:$B$70)</f>
        <v>856</v>
      </c>
      <c r="P64" s="63">
        <f>SUM(rebio23_80ml!$B$23:$B$52)</f>
        <v>13</v>
      </c>
      <c r="Q64" s="63">
        <f>SUM(rebio23_80ml!$B$71:$B$100)</f>
        <v>169</v>
      </c>
      <c r="R64" s="69">
        <f t="shared" si="1"/>
        <v>100</v>
      </c>
      <c r="S64" s="68">
        <f>SUM(N64:Q64)</f>
        <v>1051</v>
      </c>
      <c r="T64" s="37"/>
      <c r="U64" s="37"/>
    </row>
    <row r="65" spans="1:21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62">
        <f>SUM(rebio23_80ml!$C$5:$C$22)</f>
        <v>0</v>
      </c>
      <c r="O65" s="63">
        <f>SUM(rebio23_80ml!$C$53:$C$70)</f>
        <v>169</v>
      </c>
      <c r="P65" s="63">
        <f>SUM(rebio23_80ml!$C$23:$C$52)</f>
        <v>4</v>
      </c>
      <c r="Q65" s="63">
        <f>SUM(rebio23_80ml!$C$71:$C$100)</f>
        <v>48</v>
      </c>
      <c r="R65" s="67">
        <f t="shared" si="1"/>
        <v>75</v>
      </c>
      <c r="S65" s="60">
        <f>SUM(N65:Q65)</f>
        <v>221</v>
      </c>
      <c r="T65" s="37"/>
      <c r="U65" s="37"/>
    </row>
    <row r="66" spans="1:21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62">
        <f>SUM(rebio23_80ml!$D$5:$D$22)</f>
        <v>0</v>
      </c>
      <c r="O66" s="63">
        <f>SUM(rebio23_80ml!$D$53:$D$70)</f>
        <v>64</v>
      </c>
      <c r="P66" s="63">
        <f>SUM(rebio23_80ml!$D$23:$D$52)</f>
        <v>3</v>
      </c>
      <c r="Q66" s="63">
        <f>SUM(rebio23_80ml!$D$71:$D$100)</f>
        <v>34</v>
      </c>
      <c r="R66" s="67">
        <f t="shared" si="1"/>
        <v>75</v>
      </c>
      <c r="S66" s="60">
        <f>SUM(N66:Q66)</f>
        <v>101</v>
      </c>
      <c r="T66" s="37"/>
      <c r="U66" s="37"/>
    </row>
    <row r="67" spans="1:21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62">
        <f>SUM(rebio23_80ml!$J$5:$J$22)</f>
        <v>2</v>
      </c>
      <c r="O67" s="63">
        <f>SUM(rebio23_80ml!$J$53:$J$70)</f>
        <v>503</v>
      </c>
      <c r="P67" s="63">
        <f>SUM(rebio23_80ml!$J$23:$J$52)</f>
        <v>0</v>
      </c>
      <c r="Q67" s="63">
        <f>SUM(rebio23_80ml!$J$71:$J$100)</f>
        <v>331</v>
      </c>
      <c r="R67" s="67">
        <f t="shared" si="1"/>
        <v>75</v>
      </c>
      <c r="S67" s="68">
        <f>SUM(N67:Q67)</f>
        <v>836</v>
      </c>
      <c r="T67" s="37"/>
      <c r="U67" s="37"/>
    </row>
    <row r="68" spans="1:21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62">
        <f>SUM(rebio23_80ml!$AG$5:$AG$22)</f>
        <v>0</v>
      </c>
      <c r="O68" s="63">
        <f>SUM(rebio23_80ml!$AG$53:$AG$70)</f>
        <v>0</v>
      </c>
      <c r="P68" s="63">
        <f>SUM(rebio23_80ml!$AG$23:$AG$52)</f>
        <v>1</v>
      </c>
      <c r="Q68" s="63">
        <f>SUM(rebio23_80ml!$AG$71:$AG$100)</f>
        <v>28</v>
      </c>
      <c r="R68" s="67">
        <f t="shared" si="1"/>
        <v>50</v>
      </c>
      <c r="S68" s="60">
        <f>SUM(N68:Q68)</f>
        <v>29</v>
      </c>
      <c r="T68" s="37"/>
      <c r="U68" s="37"/>
    </row>
    <row r="69" spans="1:21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60"/>
      <c r="P69" s="37"/>
      <c r="Q69" s="37"/>
      <c r="R69" s="67"/>
      <c r="S69" s="60"/>
      <c r="T69" s="37"/>
      <c r="U69" s="37"/>
    </row>
    <row r="70" spans="1:21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62">
        <f>SUM(rebio23_80ml!$AQ$5:$AQ$22)</f>
        <v>0</v>
      </c>
      <c r="O70" s="63">
        <f>SUM(rebio23_80ml!$AQ$53:$AQ$70)</f>
        <v>12</v>
      </c>
      <c r="P70" s="63">
        <f>SUM(rebio23_80ml!$AQ$23:$AQ$52)</f>
        <v>10</v>
      </c>
      <c r="Q70" s="63">
        <f>SUM(rebio23_80ml!$AQ$71:$AQ$100)</f>
        <v>232</v>
      </c>
      <c r="R70" s="67">
        <f t="shared" si="1"/>
        <v>75</v>
      </c>
      <c r="S70" s="60">
        <f>SUM(N70:Q70)</f>
        <v>254</v>
      </c>
      <c r="T70" s="37"/>
      <c r="U70" s="37"/>
    </row>
    <row r="71" spans="1:21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62">
        <f>SUM(rebio23_80ml!$AP$5:$AP$22)</f>
        <v>1</v>
      </c>
      <c r="O71" s="63">
        <f>SUM(rebio23_80ml!$AP$53:$AP$70)</f>
        <v>34</v>
      </c>
      <c r="P71" s="63">
        <f>SUM(rebio23_80ml!$AP$23:$AP$52)</f>
        <v>2</v>
      </c>
      <c r="Q71" s="63">
        <f>SUM(rebio23_80ml!$AP$71:$AP$100)</f>
        <v>177</v>
      </c>
      <c r="R71" s="69">
        <f t="shared" si="1"/>
        <v>100</v>
      </c>
      <c r="S71" s="60">
        <f>SUM(N71:Q71)</f>
        <v>214</v>
      </c>
      <c r="T71" s="37"/>
      <c r="U71" s="37"/>
    </row>
    <row r="72" spans="1:21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62">
        <f>SUM(rebio23_80ml!$AO$5:$AO$22)</f>
        <v>3</v>
      </c>
      <c r="O72" s="63">
        <f>SUM(rebio23_80ml!$AO$53:$AO$70)</f>
        <v>3</v>
      </c>
      <c r="P72" s="63">
        <f>SUM(rebio23_80ml!$AO$23:$AO$52)</f>
        <v>7</v>
      </c>
      <c r="Q72" s="63">
        <f>SUM(rebio23_80ml!$AO$71:$AO$100)</f>
        <v>0</v>
      </c>
      <c r="R72" s="67">
        <f t="shared" si="1"/>
        <v>75</v>
      </c>
      <c r="S72" s="60">
        <f>SUM(N72:Q72)</f>
        <v>13</v>
      </c>
      <c r="T72" s="37"/>
      <c r="U72" s="37"/>
    </row>
    <row r="73" spans="1:21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60"/>
      <c r="P73" s="37"/>
      <c r="Q73" s="37"/>
      <c r="R73" s="67"/>
      <c r="S73" s="60"/>
      <c r="T73" s="37"/>
      <c r="U73" s="37"/>
    </row>
    <row r="74" spans="1:21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62">
        <f>SUM(rebio23_80ml!$L$5:$L$22)</f>
        <v>0</v>
      </c>
      <c r="O74" s="63">
        <f>SUM(rebio23_80ml!$L$53:$L$70)</f>
        <v>24</v>
      </c>
      <c r="P74" s="63">
        <f>SUM(rebio23_80ml!$L$23:$L$52)</f>
        <v>33</v>
      </c>
      <c r="Q74" s="63">
        <f>SUM(rebio23_80ml!$L$71:$L$100)</f>
        <v>346</v>
      </c>
      <c r="R74" s="67">
        <f t="shared" si="1"/>
        <v>75</v>
      </c>
      <c r="S74" s="60">
        <f>SUM(N74:Q74)</f>
        <v>403</v>
      </c>
      <c r="T74" s="37"/>
      <c r="U74" s="37"/>
    </row>
    <row r="75" spans="1:21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62">
        <f>SUM(rebio23_80ml!$M$5:$M$22)</f>
        <v>0</v>
      </c>
      <c r="O75" s="63">
        <f>SUM(rebio23_80ml!$M$53:$M$70)</f>
        <v>0</v>
      </c>
      <c r="P75" s="63">
        <f>SUM(rebio23_80ml!$M$23:$M$52)</f>
        <v>18</v>
      </c>
      <c r="Q75" s="63">
        <f>SUM(rebio23_80ml!$M$71:$M$100)</f>
        <v>0</v>
      </c>
      <c r="R75" s="67">
        <f t="shared" si="1"/>
        <v>25</v>
      </c>
      <c r="S75" s="60">
        <f>SUM(N75:Q75)</f>
        <v>18</v>
      </c>
      <c r="T75" s="37"/>
      <c r="U75" s="37"/>
    </row>
    <row r="76" spans="1:21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60"/>
      <c r="P76" s="37"/>
      <c r="Q76" s="37"/>
      <c r="R76" s="67"/>
      <c r="S76" s="60"/>
      <c r="T76" s="37"/>
      <c r="U76" s="37"/>
    </row>
    <row r="77" spans="1:21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62">
        <f>SUM(rebio23_80ml!$Q$5:$Q$22)</f>
        <v>1</v>
      </c>
      <c r="O77" s="63">
        <f>SUM(rebio23_80ml!$Q$53:$Q$70)</f>
        <v>16</v>
      </c>
      <c r="P77" s="63">
        <f>SUM(rebio23_80ml!$Q$23:$Q$52)</f>
        <v>7</v>
      </c>
      <c r="Q77" s="63">
        <f>SUM(rebio23_80ml!$Q$71:$Q$100)</f>
        <v>202</v>
      </c>
      <c r="R77" s="69">
        <f t="shared" si="1"/>
        <v>100</v>
      </c>
      <c r="S77" s="60">
        <f>SUM(N77:Q77)</f>
        <v>226</v>
      </c>
      <c r="T77" s="37"/>
      <c r="U77" s="37"/>
    </row>
    <row r="78" spans="1:21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60"/>
      <c r="P78" s="37"/>
      <c r="Q78" s="37"/>
      <c r="R78" s="67"/>
      <c r="S78" s="60"/>
      <c r="T78" s="37"/>
      <c r="U78" s="37"/>
    </row>
    <row r="79" spans="1:21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62">
        <f>SUM(rebio23_80ml!$AR$5:$AR$22)</f>
        <v>0</v>
      </c>
      <c r="O79" s="63">
        <f>SUM(rebio23_80ml!$AR$53:$AR$70)</f>
        <v>4</v>
      </c>
      <c r="P79" s="63">
        <f>SUM(rebio23_80ml!$AR$23:$AR$52)</f>
        <v>4</v>
      </c>
      <c r="Q79" s="63">
        <f>SUM(rebio23_80ml!$AR$71:$AR$100)</f>
        <v>44</v>
      </c>
      <c r="R79" s="67">
        <f t="shared" ref="R78:R90" si="2">COUNTIF(N79:Q79,"&gt;0")/COUNTA(N79:Q79)*100</f>
        <v>75</v>
      </c>
      <c r="S79" s="60">
        <f>SUM(N79:Q79)</f>
        <v>52</v>
      </c>
      <c r="T79" s="37"/>
      <c r="U79" s="37"/>
    </row>
    <row r="80" spans="1:21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60"/>
      <c r="P80" s="37"/>
      <c r="Q80" s="37"/>
      <c r="R80" s="67"/>
      <c r="S80" s="60"/>
      <c r="T80" s="37"/>
      <c r="U80" s="37"/>
    </row>
    <row r="81" spans="1:21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0</v>
      </c>
      <c r="L81" s="15" t="s">
        <v>141</v>
      </c>
      <c r="M81" s="15" t="s">
        <v>141</v>
      </c>
      <c r="N81" s="62">
        <f>SUM(rebio23_80ml!$AV$5:$AV$22)</f>
        <v>156</v>
      </c>
      <c r="O81" s="63">
        <f>SUM(rebio23_80ml!$AV$53:$AV$70)</f>
        <v>648</v>
      </c>
      <c r="P81" s="63">
        <f>SUM(rebio23_80ml!$AV$23:$AV$52)</f>
        <v>1104</v>
      </c>
      <c r="Q81" s="63">
        <f>SUM(rebio23_80ml!$AV$71:$AV$100)</f>
        <v>525</v>
      </c>
      <c r="R81" s="69">
        <f t="shared" si="2"/>
        <v>100</v>
      </c>
      <c r="S81" s="68">
        <f>SUM(N81:Q81)</f>
        <v>2433</v>
      </c>
      <c r="T81" s="37"/>
      <c r="U81" s="37"/>
    </row>
    <row r="82" spans="1:21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0</v>
      </c>
      <c r="L82" s="15" t="s">
        <v>102</v>
      </c>
      <c r="M82" s="15" t="s">
        <v>102</v>
      </c>
      <c r="N82" s="62">
        <f>SUM(rebio23_80ml!$I$5:$I$22)</f>
        <v>167</v>
      </c>
      <c r="O82" s="63">
        <f>SUM(rebio23_80ml!$I$53:$I$70)</f>
        <v>2007</v>
      </c>
      <c r="P82" s="63">
        <f>SUM(rebio23_80ml!$I$23:$I$52)</f>
        <v>428</v>
      </c>
      <c r="Q82" s="63">
        <f>SUM(rebio23_80ml!$I$71:$I$100)</f>
        <v>1459</v>
      </c>
      <c r="R82" s="69">
        <f t="shared" si="2"/>
        <v>100</v>
      </c>
      <c r="S82" s="68">
        <f>SUM(N82:Q82)</f>
        <v>4061</v>
      </c>
      <c r="T82" s="37"/>
      <c r="U82" s="37"/>
    </row>
    <row r="83" spans="1:21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60"/>
      <c r="P83" s="37"/>
      <c r="Q83" s="37"/>
      <c r="R83" s="67"/>
      <c r="S83" s="60"/>
      <c r="T83" s="37"/>
      <c r="U83" s="37"/>
    </row>
    <row r="84" spans="1:21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60"/>
      <c r="P84" s="37"/>
      <c r="Q84" s="37"/>
      <c r="R84" s="67"/>
      <c r="S84" s="60"/>
      <c r="T84" s="37"/>
      <c r="U84" s="37"/>
    </row>
    <row r="85" spans="1:21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62">
        <f>SUM(rebio23_80ml!$AM$5:$AM$22)</f>
        <v>2</v>
      </c>
      <c r="O85" s="63">
        <f>SUM(rebio23_80ml!$AM$53:$AM$70)</f>
        <v>23</v>
      </c>
      <c r="P85" s="63">
        <f>SUM(rebio23_80ml!$AM$23:$AM$52)</f>
        <v>5</v>
      </c>
      <c r="Q85" s="63">
        <f>SUM(rebio23_80ml!$AM$71:$AM$100)</f>
        <v>0</v>
      </c>
      <c r="R85" s="67">
        <f t="shared" si="2"/>
        <v>75</v>
      </c>
      <c r="S85" s="60">
        <f>SUM(N85:Q85)</f>
        <v>30</v>
      </c>
      <c r="T85" s="37"/>
      <c r="U85" s="37"/>
    </row>
    <row r="86" spans="1:21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62">
        <f>SUM(rebio23_80ml!$AL$5:$AL$22)</f>
        <v>4</v>
      </c>
      <c r="O86" s="63">
        <f>SUM(rebio23_80ml!$AL$53:$AL$70)</f>
        <v>94</v>
      </c>
      <c r="P86" s="63">
        <f>SUM(rebio23_80ml!$AL$23:$AL$52)</f>
        <v>1</v>
      </c>
      <c r="Q86" s="63">
        <f>SUM(rebio23_80ml!$AL$71:$AL$100)</f>
        <v>42</v>
      </c>
      <c r="R86" s="69">
        <f t="shared" si="2"/>
        <v>100</v>
      </c>
      <c r="S86" s="60">
        <f>SUM(N86:Q86)</f>
        <v>141</v>
      </c>
      <c r="T86" s="37"/>
      <c r="U86" s="37"/>
    </row>
    <row r="87" spans="1:21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62">
        <f>SUM(rebio23_80ml!$AX$5:$AX$22)</f>
        <v>17</v>
      </c>
      <c r="O87" s="63">
        <f>SUM(rebio23_80ml!$AX$53:$AX$70)</f>
        <v>116</v>
      </c>
      <c r="P87" s="63">
        <f>SUM(rebio23_80ml!$AX$23:$AX$52)</f>
        <v>50</v>
      </c>
      <c r="Q87" s="63">
        <f>SUM(rebio23_80ml!$AX$71:$AX$100)</f>
        <v>48</v>
      </c>
      <c r="R87" s="69">
        <f t="shared" si="2"/>
        <v>100</v>
      </c>
      <c r="S87" s="60">
        <f>SUM(N87:Q87)</f>
        <v>231</v>
      </c>
      <c r="T87" s="37"/>
      <c r="U87" s="37"/>
    </row>
    <row r="88" spans="1:21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60"/>
      <c r="P88" s="37"/>
      <c r="Q88" s="37"/>
      <c r="R88" s="67"/>
      <c r="S88" s="60"/>
      <c r="T88" s="37"/>
      <c r="U88" s="37"/>
    </row>
    <row r="89" spans="1:21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60"/>
      <c r="P89" s="37"/>
      <c r="Q89" s="37"/>
      <c r="R89" s="67"/>
      <c r="S89" s="60"/>
      <c r="T89" s="37"/>
      <c r="U89" s="37"/>
    </row>
    <row r="90" spans="1:21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62">
        <f>SUM(rebio23_80ml!$AW$5:$AW$22)</f>
        <v>0</v>
      </c>
      <c r="O90" s="63">
        <f>SUM(rebio23_80ml!$AW$53:$AW$70)</f>
        <v>0</v>
      </c>
      <c r="P90" s="63">
        <f>SUM(rebio23_80ml!$AW$23:$AW$52)</f>
        <v>84</v>
      </c>
      <c r="Q90" s="63">
        <f>SUM(rebio23_80ml!$AW$71:$AW$100)</f>
        <v>32</v>
      </c>
      <c r="R90" s="67">
        <f t="shared" si="2"/>
        <v>50</v>
      </c>
      <c r="S90" s="60">
        <f>SUM(N90:Q90)</f>
        <v>116</v>
      </c>
      <c r="T90" s="37"/>
      <c r="U90" s="37"/>
    </row>
    <row r="91" spans="1:21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 s="60"/>
      <c r="P91" s="37"/>
      <c r="Q91" s="37"/>
      <c r="S91" s="60"/>
      <c r="T91" s="37"/>
      <c r="U91" s="37"/>
    </row>
    <row r="92" spans="1:21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  <c r="S92" s="37"/>
      <c r="T92" s="37"/>
      <c r="U92" s="37"/>
    </row>
    <row r="93" spans="1:21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  <c r="S93" s="37"/>
      <c r="T93" s="37"/>
      <c r="U93" s="37"/>
    </row>
    <row r="94" spans="1:21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  <c r="S94" s="37"/>
      <c r="T94" s="37"/>
      <c r="U94" s="37"/>
    </row>
    <row r="95" spans="1:21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  <c r="S95" s="37"/>
      <c r="T95" s="37"/>
      <c r="U95" s="37"/>
    </row>
    <row r="96" spans="1:21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  <c r="S96" s="37"/>
      <c r="T96" s="37"/>
      <c r="U96" s="37"/>
    </row>
    <row r="97" spans="1:21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  <c r="S97" s="37"/>
      <c r="T97" s="37"/>
      <c r="U97" s="37"/>
    </row>
    <row r="98" spans="1:21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  <c r="S98" s="37"/>
      <c r="T98" s="37"/>
      <c r="U98" s="37"/>
    </row>
    <row r="99" spans="1:21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  <c r="S99" s="37"/>
      <c r="T99" s="37"/>
      <c r="U99" s="37"/>
    </row>
    <row r="100" spans="1:21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  <c r="S100" s="37"/>
      <c r="T100" s="37"/>
      <c r="U100" s="37"/>
    </row>
    <row r="101" spans="1:21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  <c r="S101" s="37"/>
      <c r="T101" s="37"/>
      <c r="U101" s="37"/>
    </row>
    <row r="102" spans="1:21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  <c r="S102" s="37"/>
      <c r="T102" s="37"/>
      <c r="U102" s="37"/>
    </row>
    <row r="103" spans="1:21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  <c r="S103" s="37"/>
      <c r="T103" s="37"/>
      <c r="U103" s="37"/>
    </row>
    <row r="104" spans="1:21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  <c r="S104" s="37"/>
      <c r="T104" s="37"/>
      <c r="U104" s="37"/>
    </row>
    <row r="105" spans="1:21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  <c r="S105" s="37"/>
      <c r="T105" s="37"/>
      <c r="U105" s="37"/>
    </row>
    <row r="106" spans="1:21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  <c r="S106" s="37"/>
      <c r="T106" s="37"/>
      <c r="U106" s="37"/>
    </row>
    <row r="107" spans="1:21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  <c r="S107" s="37"/>
      <c r="T107" s="37"/>
      <c r="U107" s="37"/>
    </row>
    <row r="108" spans="1:21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  <c r="S108" s="37"/>
      <c r="T108" s="37"/>
      <c r="U108" s="37"/>
    </row>
    <row r="109" spans="1:21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  <c r="S109" s="37"/>
      <c r="T109" s="37"/>
      <c r="U109" s="37"/>
    </row>
    <row r="110" spans="1:21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  <c r="S110" s="37"/>
      <c r="T110" s="37"/>
      <c r="U110" s="37"/>
    </row>
    <row r="111" spans="1:21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  <c r="S111" s="37"/>
      <c r="T111" s="37"/>
      <c r="U111" s="37"/>
    </row>
    <row r="112" spans="1:21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  <c r="S112" s="37"/>
      <c r="T112" s="37"/>
      <c r="U112" s="37"/>
    </row>
    <row r="113" spans="1:21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  <c r="S113" s="37"/>
      <c r="T113" s="37"/>
      <c r="U113" s="37"/>
    </row>
    <row r="114" spans="1:21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  <c r="S114" s="37"/>
      <c r="T114" s="37"/>
      <c r="U114" s="37"/>
    </row>
    <row r="115" spans="1:21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  <c r="S115" s="37"/>
      <c r="T115" s="37"/>
      <c r="U115" s="37"/>
    </row>
    <row r="116" spans="1:21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  <c r="S116" s="37"/>
      <c r="T116" s="37"/>
      <c r="U116" s="37"/>
    </row>
    <row r="117" spans="1:21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  <c r="S117" s="37"/>
      <c r="T117" s="37"/>
      <c r="U117" s="37"/>
    </row>
    <row r="118" spans="1:21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  <c r="S118" s="37"/>
      <c r="T118" s="37"/>
      <c r="U118" s="37"/>
    </row>
    <row r="119" spans="1:21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  <c r="S119" s="37"/>
      <c r="T119" s="37"/>
      <c r="U119" s="37"/>
    </row>
    <row r="120" spans="1:21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  <c r="S120" s="37"/>
      <c r="T120" s="37"/>
      <c r="U120" s="37"/>
    </row>
    <row r="121" spans="1:21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  <c r="S121" s="37"/>
      <c r="T121" s="37"/>
      <c r="U121" s="37"/>
    </row>
    <row r="122" spans="1:21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  <c r="S122" s="37"/>
      <c r="T122" s="37"/>
      <c r="U122" s="37"/>
    </row>
    <row r="123" spans="1:21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  <c r="S123" s="37"/>
      <c r="T123" s="37"/>
      <c r="U123" s="37"/>
    </row>
    <row r="124" spans="1:21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  <c r="S124" s="37"/>
      <c r="T124" s="37"/>
      <c r="U124" s="37"/>
    </row>
    <row r="125" spans="1:21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  <c r="S125" s="37"/>
      <c r="T125" s="37"/>
      <c r="U125" s="37"/>
    </row>
    <row r="126" spans="1:21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  <c r="S126" s="37"/>
      <c r="T126" s="37"/>
      <c r="U126" s="37"/>
    </row>
    <row r="127" spans="1:21" ht="15.75" customHeight="1" x14ac:dyDescent="0.25">
      <c r="K127" s="38"/>
      <c r="L127" s="38"/>
      <c r="M127" s="38"/>
      <c r="N127" s="38"/>
    </row>
    <row r="128" spans="1:21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U2" r:id="rId1" xr:uid="{00000000-0004-0000-0500-000000000000}"/>
    <hyperlink ref="U3" r:id="rId2" xr:uid="{00000000-0004-0000-0500-000001000000}"/>
    <hyperlink ref="U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9545-CA97-4B8E-BD04-9028A3F5AE81}">
  <dimension ref="A1:V1048576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7" sqref="B7"/>
    </sheetView>
  </sheetViews>
  <sheetFormatPr defaultColWidth="17.140625" defaultRowHeight="15.75" customHeight="1" x14ac:dyDescent="0.25"/>
  <cols>
    <col min="1" max="16384" width="17.140625" style="51"/>
  </cols>
  <sheetData>
    <row r="1" spans="1:22" ht="15.75" customHeight="1" x14ac:dyDescent="0.25">
      <c r="B1" s="56" t="s">
        <v>526</v>
      </c>
      <c r="C1" s="56"/>
      <c r="D1" s="56"/>
      <c r="E1" s="56" t="s">
        <v>528</v>
      </c>
      <c r="F1" s="56"/>
      <c r="G1" s="56"/>
      <c r="H1" s="56"/>
      <c r="I1" s="56"/>
      <c r="J1" s="56" t="s">
        <v>527</v>
      </c>
      <c r="K1" s="56"/>
      <c r="L1" s="56"/>
      <c r="M1" s="56"/>
      <c r="N1" s="56"/>
      <c r="O1" s="56" t="s">
        <v>529</v>
      </c>
      <c r="P1" s="56"/>
      <c r="Q1" s="56"/>
      <c r="R1" s="56"/>
      <c r="S1" s="56" t="s">
        <v>524</v>
      </c>
      <c r="T1" s="56"/>
      <c r="U1" s="56"/>
      <c r="V1" s="56"/>
    </row>
    <row r="2" spans="1:22" ht="15" x14ac:dyDescent="0.25">
      <c r="A2" s="50" t="str">
        <f>"n = "&amp;COUNTA(A3:A1014)</f>
        <v>n = 96</v>
      </c>
      <c r="B2" s="51" t="s">
        <v>531</v>
      </c>
      <c r="C2" s="50" t="s">
        <v>530</v>
      </c>
      <c r="D2" s="51" t="s">
        <v>532</v>
      </c>
      <c r="E2" s="51" t="s">
        <v>533</v>
      </c>
      <c r="F2" s="51" t="s">
        <v>534</v>
      </c>
      <c r="G2" s="51" t="s">
        <v>550</v>
      </c>
      <c r="H2" s="51" t="s">
        <v>535</v>
      </c>
      <c r="I2" s="51" t="s">
        <v>536</v>
      </c>
      <c r="J2" s="51" t="s">
        <v>537</v>
      </c>
      <c r="K2" s="51" t="s">
        <v>538</v>
      </c>
      <c r="L2" s="51" t="s">
        <v>549</v>
      </c>
      <c r="M2" s="51" t="s">
        <v>539</v>
      </c>
      <c r="N2" s="51" t="s">
        <v>540</v>
      </c>
      <c r="O2" s="51" t="s">
        <v>541</v>
      </c>
      <c r="P2" s="51" t="s">
        <v>542</v>
      </c>
      <c r="Q2" s="51" t="s">
        <v>548</v>
      </c>
      <c r="R2" s="51" t="s">
        <v>543</v>
      </c>
      <c r="S2" s="51" t="s">
        <v>544</v>
      </c>
      <c r="T2" s="51" t="s">
        <v>545</v>
      </c>
      <c r="U2" s="51" t="s">
        <v>547</v>
      </c>
      <c r="V2" s="51" t="s">
        <v>546</v>
      </c>
    </row>
    <row r="3" spans="1:22" ht="15" x14ac:dyDescent="0.25">
      <c r="A3" s="52" t="str">
        <f>rebio23_80ml!A5</f>
        <v>S-B-P05-H1</v>
      </c>
      <c r="B3" s="53">
        <v>111</v>
      </c>
      <c r="C3" s="53">
        <v>11</v>
      </c>
      <c r="D3" s="53">
        <v>1</v>
      </c>
      <c r="E3" s="53">
        <v>11111</v>
      </c>
      <c r="F3" s="53">
        <v>1111</v>
      </c>
      <c r="G3" s="53">
        <v>111</v>
      </c>
      <c r="H3" s="53">
        <v>11</v>
      </c>
      <c r="I3" s="53">
        <v>1</v>
      </c>
      <c r="J3" s="53"/>
      <c r="K3" s="53"/>
      <c r="L3" s="53"/>
      <c r="M3" s="53"/>
      <c r="N3" s="53"/>
      <c r="O3" s="53">
        <v>1111</v>
      </c>
      <c r="P3" s="53">
        <v>111</v>
      </c>
      <c r="Q3" s="53">
        <v>11</v>
      </c>
      <c r="R3" s="53">
        <v>1</v>
      </c>
      <c r="S3" s="53"/>
      <c r="T3" s="53"/>
      <c r="U3" s="53"/>
      <c r="V3" s="53"/>
    </row>
    <row r="4" spans="1:22" ht="15" x14ac:dyDescent="0.25">
      <c r="A4" s="52" t="str">
        <f>rebio23_80ml!A6</f>
        <v>S-B-P05-H2</v>
      </c>
      <c r="B4" s="53">
        <v>111</v>
      </c>
      <c r="C4" s="53">
        <v>11</v>
      </c>
      <c r="D4" s="53">
        <v>1</v>
      </c>
      <c r="E4" s="53">
        <v>11112</v>
      </c>
      <c r="F4" s="53">
        <v>1111</v>
      </c>
      <c r="G4" s="53">
        <v>111</v>
      </c>
      <c r="H4" s="53">
        <v>11</v>
      </c>
      <c r="I4" s="53">
        <v>1</v>
      </c>
      <c r="J4" s="53"/>
      <c r="K4" s="53"/>
      <c r="L4" s="53"/>
      <c r="M4" s="53"/>
      <c r="N4" s="53"/>
      <c r="O4" s="53">
        <v>1112</v>
      </c>
      <c r="P4" s="53">
        <v>111</v>
      </c>
      <c r="Q4" s="53">
        <v>11</v>
      </c>
      <c r="R4" s="53">
        <v>1</v>
      </c>
      <c r="S4" s="53"/>
      <c r="T4" s="53"/>
      <c r="U4" s="53"/>
      <c r="V4" s="53"/>
    </row>
    <row r="5" spans="1:22" ht="15" x14ac:dyDescent="0.25">
      <c r="A5" s="52" t="str">
        <f>rebio23_80ml!A7</f>
        <v>S-B-P05-H3</v>
      </c>
      <c r="B5" s="53">
        <v>111</v>
      </c>
      <c r="C5" s="53">
        <v>11</v>
      </c>
      <c r="D5" s="53">
        <v>1</v>
      </c>
      <c r="E5" s="53">
        <v>11113</v>
      </c>
      <c r="F5" s="53">
        <v>1111</v>
      </c>
      <c r="G5" s="53">
        <v>111</v>
      </c>
      <c r="H5" s="53">
        <v>11</v>
      </c>
      <c r="I5" s="53">
        <v>1</v>
      </c>
      <c r="J5" s="53"/>
      <c r="K5" s="53"/>
      <c r="L5" s="53"/>
      <c r="M5" s="53"/>
      <c r="N5" s="53"/>
      <c r="O5" s="53">
        <v>1113</v>
      </c>
      <c r="P5" s="53">
        <v>111</v>
      </c>
      <c r="Q5" s="53">
        <v>11</v>
      </c>
      <c r="R5" s="53">
        <v>1</v>
      </c>
      <c r="S5" s="53"/>
      <c r="T5" s="53"/>
      <c r="U5" s="53"/>
      <c r="V5" s="53"/>
    </row>
    <row r="6" spans="1:22" ht="15" x14ac:dyDescent="0.25">
      <c r="A6" s="52" t="str">
        <f>rebio23_80ml!A8</f>
        <v>S-B-P06-H1</v>
      </c>
      <c r="B6" s="53">
        <v>111</v>
      </c>
      <c r="C6" s="53">
        <v>11</v>
      </c>
      <c r="D6" s="53">
        <v>1</v>
      </c>
      <c r="E6" s="53">
        <v>11114</v>
      </c>
      <c r="F6" s="53">
        <v>1112</v>
      </c>
      <c r="G6" s="53">
        <v>111</v>
      </c>
      <c r="H6" s="53">
        <v>11</v>
      </c>
      <c r="I6" s="53">
        <v>1</v>
      </c>
      <c r="J6" s="53"/>
      <c r="K6" s="53"/>
      <c r="L6" s="53"/>
      <c r="M6" s="53"/>
      <c r="N6" s="53"/>
      <c r="O6" s="53">
        <v>1114</v>
      </c>
      <c r="P6" s="53">
        <v>112</v>
      </c>
      <c r="Q6" s="53">
        <v>11</v>
      </c>
      <c r="R6" s="53">
        <v>1</v>
      </c>
      <c r="S6" s="53"/>
      <c r="T6" s="53"/>
      <c r="U6" s="53"/>
      <c r="V6" s="53"/>
    </row>
    <row r="7" spans="1:22" ht="15" x14ac:dyDescent="0.25">
      <c r="A7" s="52" t="str">
        <f>rebio23_80ml!A9</f>
        <v>S-B-P06-H2</v>
      </c>
      <c r="B7" s="53">
        <v>111</v>
      </c>
      <c r="C7" s="53">
        <v>11</v>
      </c>
      <c r="D7" s="53">
        <v>1</v>
      </c>
      <c r="E7" s="53">
        <v>11115</v>
      </c>
      <c r="F7" s="53">
        <v>1112</v>
      </c>
      <c r="G7" s="53">
        <v>111</v>
      </c>
      <c r="H7" s="53">
        <v>11</v>
      </c>
      <c r="I7" s="53">
        <v>1</v>
      </c>
      <c r="J7" s="53"/>
      <c r="K7" s="53"/>
      <c r="L7" s="53"/>
      <c r="M7" s="53"/>
      <c r="N7" s="53"/>
      <c r="O7" s="53">
        <v>1115</v>
      </c>
      <c r="P7" s="53">
        <v>112</v>
      </c>
      <c r="Q7" s="53">
        <v>11</v>
      </c>
      <c r="R7" s="53">
        <v>1</v>
      </c>
      <c r="S7" s="53"/>
      <c r="T7" s="53"/>
      <c r="U7" s="53"/>
      <c r="V7" s="53"/>
    </row>
    <row r="8" spans="1:22" ht="15" x14ac:dyDescent="0.25">
      <c r="A8" s="52" t="str">
        <f>rebio23_80ml!A10</f>
        <v>S-B-P06-H3</v>
      </c>
      <c r="B8" s="53">
        <v>111</v>
      </c>
      <c r="C8" s="53">
        <v>11</v>
      </c>
      <c r="D8" s="53">
        <v>1</v>
      </c>
      <c r="E8" s="53">
        <v>11116</v>
      </c>
      <c r="F8" s="53">
        <v>1112</v>
      </c>
      <c r="G8" s="53">
        <v>111</v>
      </c>
      <c r="H8" s="53">
        <v>11</v>
      </c>
      <c r="I8" s="53">
        <v>1</v>
      </c>
      <c r="J8" s="53"/>
      <c r="K8" s="53"/>
      <c r="L8" s="53"/>
      <c r="M8" s="53"/>
      <c r="N8" s="53"/>
      <c r="O8" s="53">
        <v>1116</v>
      </c>
      <c r="P8" s="53">
        <v>112</v>
      </c>
      <c r="Q8" s="53">
        <v>11</v>
      </c>
      <c r="R8" s="53">
        <v>1</v>
      </c>
      <c r="S8" s="53"/>
      <c r="T8" s="53"/>
      <c r="U8" s="53"/>
      <c r="V8" s="53"/>
    </row>
    <row r="9" spans="1:22" ht="15" x14ac:dyDescent="0.25">
      <c r="A9" s="52" t="str">
        <f>rebio23_80ml!A11</f>
        <v>S-B-P07-H1</v>
      </c>
      <c r="B9" s="53">
        <v>111</v>
      </c>
      <c r="C9" s="53">
        <v>11</v>
      </c>
      <c r="D9" s="53">
        <v>1</v>
      </c>
      <c r="E9" s="53">
        <v>11117</v>
      </c>
      <c r="F9" s="53">
        <v>1113</v>
      </c>
      <c r="G9" s="53">
        <v>111</v>
      </c>
      <c r="H9" s="53">
        <v>11</v>
      </c>
      <c r="I9" s="53">
        <v>1</v>
      </c>
      <c r="J9" s="53"/>
      <c r="K9" s="53"/>
      <c r="L9" s="53"/>
      <c r="M9" s="53"/>
      <c r="N9" s="53"/>
      <c r="O9" s="53">
        <v>1117</v>
      </c>
      <c r="P9" s="53">
        <v>113</v>
      </c>
      <c r="Q9" s="53">
        <v>11</v>
      </c>
      <c r="R9" s="53">
        <v>1</v>
      </c>
      <c r="S9" s="53"/>
      <c r="T9" s="53"/>
      <c r="U9" s="53"/>
      <c r="V9" s="53"/>
    </row>
    <row r="10" spans="1:22" ht="15" x14ac:dyDescent="0.25">
      <c r="A10" s="52" t="str">
        <f>rebio23_80ml!A12</f>
        <v>S-B-P07-H2</v>
      </c>
      <c r="B10" s="53">
        <v>111</v>
      </c>
      <c r="C10" s="53">
        <v>11</v>
      </c>
      <c r="D10" s="53">
        <v>1</v>
      </c>
      <c r="E10" s="53">
        <v>11118</v>
      </c>
      <c r="F10" s="53">
        <v>1113</v>
      </c>
      <c r="G10" s="53">
        <v>111</v>
      </c>
      <c r="H10" s="53">
        <v>11</v>
      </c>
      <c r="I10" s="53">
        <v>1</v>
      </c>
      <c r="J10" s="53"/>
      <c r="K10" s="53"/>
      <c r="L10" s="53"/>
      <c r="M10" s="53"/>
      <c r="N10" s="53"/>
      <c r="O10" s="53">
        <v>1118</v>
      </c>
      <c r="P10" s="53">
        <v>113</v>
      </c>
      <c r="Q10" s="53">
        <v>11</v>
      </c>
      <c r="R10" s="53">
        <v>1</v>
      </c>
      <c r="S10" s="53"/>
      <c r="T10" s="53"/>
      <c r="U10" s="53"/>
      <c r="V10" s="53"/>
    </row>
    <row r="11" spans="1:22" ht="15" x14ac:dyDescent="0.25">
      <c r="A11" s="52" t="str">
        <f>rebio23_80ml!A13</f>
        <v>S-B-P07-H3</v>
      </c>
      <c r="B11" s="53">
        <v>111</v>
      </c>
      <c r="C11" s="53">
        <v>11</v>
      </c>
      <c r="D11" s="53">
        <v>1</v>
      </c>
      <c r="E11" s="53">
        <v>11119</v>
      </c>
      <c r="F11" s="53">
        <v>1113</v>
      </c>
      <c r="G11" s="53">
        <v>111</v>
      </c>
      <c r="H11" s="53">
        <v>11</v>
      </c>
      <c r="I11" s="53">
        <v>1</v>
      </c>
      <c r="J11" s="53"/>
      <c r="K11" s="53"/>
      <c r="L11" s="53"/>
      <c r="M11" s="53"/>
      <c r="N11" s="53"/>
      <c r="O11" s="53">
        <v>1119</v>
      </c>
      <c r="P11" s="53">
        <v>113</v>
      </c>
      <c r="Q11" s="53">
        <v>11</v>
      </c>
      <c r="R11" s="53">
        <v>1</v>
      </c>
      <c r="S11" s="53"/>
      <c r="T11" s="53"/>
      <c r="U11" s="53"/>
      <c r="V11" s="53"/>
    </row>
    <row r="12" spans="1:22" ht="15" x14ac:dyDescent="0.25">
      <c r="A12" s="52" t="str">
        <f>rebio23_80ml!A14</f>
        <v>S-B-P08-H1</v>
      </c>
      <c r="B12" s="53">
        <v>111</v>
      </c>
      <c r="C12" s="53">
        <v>11</v>
      </c>
      <c r="D12" s="53">
        <v>1</v>
      </c>
      <c r="E12" s="53">
        <v>11120</v>
      </c>
      <c r="F12" s="53">
        <v>1114</v>
      </c>
      <c r="G12" s="53">
        <v>112</v>
      </c>
      <c r="H12" s="53">
        <v>11</v>
      </c>
      <c r="I12" s="53">
        <v>1</v>
      </c>
      <c r="J12" s="53"/>
      <c r="K12" s="53"/>
      <c r="L12" s="53"/>
      <c r="M12" s="53"/>
      <c r="N12" s="53"/>
      <c r="O12" s="53">
        <v>1120</v>
      </c>
      <c r="P12" s="53">
        <v>114</v>
      </c>
      <c r="Q12" s="53">
        <v>12</v>
      </c>
      <c r="R12" s="53">
        <v>1</v>
      </c>
      <c r="S12" s="53"/>
      <c r="T12" s="53"/>
      <c r="U12" s="53"/>
      <c r="V12" s="53"/>
    </row>
    <row r="13" spans="1:22" ht="15" x14ac:dyDescent="0.25">
      <c r="A13" s="52" t="str">
        <f>rebio23_80ml!A15</f>
        <v>S-B-P08-H2</v>
      </c>
      <c r="B13" s="53">
        <v>111</v>
      </c>
      <c r="C13" s="53">
        <v>11</v>
      </c>
      <c r="D13" s="53">
        <v>1</v>
      </c>
      <c r="E13" s="53">
        <v>11121</v>
      </c>
      <c r="F13" s="53">
        <v>1114</v>
      </c>
      <c r="G13" s="53">
        <v>112</v>
      </c>
      <c r="H13" s="53">
        <v>11</v>
      </c>
      <c r="I13" s="53">
        <v>1</v>
      </c>
      <c r="J13" s="53"/>
      <c r="K13" s="53"/>
      <c r="L13" s="53"/>
      <c r="M13" s="53"/>
      <c r="N13" s="53"/>
      <c r="O13" s="53">
        <v>1121</v>
      </c>
      <c r="P13" s="53">
        <v>114</v>
      </c>
      <c r="Q13" s="53">
        <v>12</v>
      </c>
      <c r="R13" s="53">
        <v>1</v>
      </c>
      <c r="S13" s="53"/>
      <c r="T13" s="53"/>
      <c r="U13" s="53"/>
      <c r="V13" s="53"/>
    </row>
    <row r="14" spans="1:22" ht="15" x14ac:dyDescent="0.25">
      <c r="A14" s="52" t="str">
        <f>rebio23_80ml!A16</f>
        <v>S-B-P08-H3</v>
      </c>
      <c r="B14" s="53">
        <v>111</v>
      </c>
      <c r="C14" s="53">
        <v>11</v>
      </c>
      <c r="D14" s="53">
        <v>1</v>
      </c>
      <c r="E14" s="53">
        <v>11122</v>
      </c>
      <c r="F14" s="53">
        <v>1114</v>
      </c>
      <c r="G14" s="53">
        <v>112</v>
      </c>
      <c r="H14" s="53">
        <v>11</v>
      </c>
      <c r="I14" s="53">
        <v>1</v>
      </c>
      <c r="J14" s="53"/>
      <c r="K14" s="53"/>
      <c r="L14" s="53"/>
      <c r="M14" s="53"/>
      <c r="N14" s="53"/>
      <c r="O14" s="53">
        <v>1122</v>
      </c>
      <c r="P14" s="53">
        <v>114</v>
      </c>
      <c r="Q14" s="53">
        <v>12</v>
      </c>
      <c r="R14" s="53">
        <v>1</v>
      </c>
      <c r="S14" s="53"/>
      <c r="T14" s="53"/>
      <c r="U14" s="53"/>
      <c r="V14" s="53"/>
    </row>
    <row r="15" spans="1:22" ht="15" x14ac:dyDescent="0.25">
      <c r="A15" s="52" t="str">
        <f>rebio23_80ml!A17</f>
        <v>S-B-P09-H1</v>
      </c>
      <c r="B15" s="53">
        <v>111</v>
      </c>
      <c r="C15" s="53">
        <v>11</v>
      </c>
      <c r="D15" s="53">
        <v>1</v>
      </c>
      <c r="E15" s="53">
        <v>11123</v>
      </c>
      <c r="F15" s="53">
        <v>1115</v>
      </c>
      <c r="G15" s="53">
        <v>112</v>
      </c>
      <c r="H15" s="53">
        <v>11</v>
      </c>
      <c r="I15" s="53">
        <v>1</v>
      </c>
      <c r="J15" s="53"/>
      <c r="K15" s="53"/>
      <c r="L15" s="53"/>
      <c r="M15" s="53"/>
      <c r="N15" s="53"/>
      <c r="O15" s="53">
        <v>1123</v>
      </c>
      <c r="P15" s="53">
        <v>115</v>
      </c>
      <c r="Q15" s="53">
        <v>12</v>
      </c>
      <c r="R15" s="53">
        <v>1</v>
      </c>
      <c r="S15" s="53"/>
      <c r="T15" s="53"/>
      <c r="U15" s="53"/>
      <c r="V15" s="53"/>
    </row>
    <row r="16" spans="1:22" ht="15" x14ac:dyDescent="0.25">
      <c r="A16" s="52" t="str">
        <f>rebio23_80ml!A18</f>
        <v>S-B-P09-H2</v>
      </c>
      <c r="B16" s="53">
        <v>111</v>
      </c>
      <c r="C16" s="53">
        <v>11</v>
      </c>
      <c r="D16" s="53">
        <v>1</v>
      </c>
      <c r="E16" s="53">
        <v>11124</v>
      </c>
      <c r="F16" s="53">
        <v>1115</v>
      </c>
      <c r="G16" s="53">
        <v>112</v>
      </c>
      <c r="H16" s="53">
        <v>11</v>
      </c>
      <c r="I16" s="53">
        <v>1</v>
      </c>
      <c r="J16" s="53"/>
      <c r="K16" s="53"/>
      <c r="L16" s="53"/>
      <c r="M16" s="53"/>
      <c r="N16" s="53"/>
      <c r="O16" s="53">
        <v>1124</v>
      </c>
      <c r="P16" s="53">
        <v>115</v>
      </c>
      <c r="Q16" s="53">
        <v>12</v>
      </c>
      <c r="R16" s="53">
        <v>1</v>
      </c>
      <c r="S16" s="53"/>
      <c r="T16" s="53"/>
      <c r="U16" s="53"/>
      <c r="V16" s="53"/>
    </row>
    <row r="17" spans="1:22" ht="15" x14ac:dyDescent="0.25">
      <c r="A17" s="52" t="str">
        <f>rebio23_80ml!A19</f>
        <v>S-B-P09-H3</v>
      </c>
      <c r="B17" s="53">
        <v>111</v>
      </c>
      <c r="C17" s="53">
        <v>11</v>
      </c>
      <c r="D17" s="53">
        <v>1</v>
      </c>
      <c r="E17" s="53">
        <v>11125</v>
      </c>
      <c r="F17" s="53">
        <v>1115</v>
      </c>
      <c r="G17" s="53">
        <v>112</v>
      </c>
      <c r="H17" s="53">
        <v>11</v>
      </c>
      <c r="I17" s="53">
        <v>1</v>
      </c>
      <c r="J17" s="53"/>
      <c r="K17" s="53"/>
      <c r="L17" s="53"/>
      <c r="M17" s="53"/>
      <c r="N17" s="53"/>
      <c r="O17" s="53">
        <v>1125</v>
      </c>
      <c r="P17" s="53">
        <v>115</v>
      </c>
      <c r="Q17" s="53">
        <v>12</v>
      </c>
      <c r="R17" s="53">
        <v>1</v>
      </c>
      <c r="S17" s="53"/>
      <c r="T17" s="53"/>
      <c r="U17" s="53"/>
      <c r="V17" s="53"/>
    </row>
    <row r="18" spans="1:22" ht="15" x14ac:dyDescent="0.25">
      <c r="A18" s="52" t="str">
        <f>rebio23_80ml!A20</f>
        <v>S-B-P10-H1</v>
      </c>
      <c r="B18" s="53">
        <v>111</v>
      </c>
      <c r="C18" s="53">
        <v>11</v>
      </c>
      <c r="D18" s="53">
        <v>1</v>
      </c>
      <c r="E18" s="53">
        <v>11126</v>
      </c>
      <c r="F18" s="53">
        <v>1116</v>
      </c>
      <c r="G18" s="53">
        <v>112</v>
      </c>
      <c r="H18" s="53">
        <v>11</v>
      </c>
      <c r="I18" s="53">
        <v>1</v>
      </c>
      <c r="J18" s="53"/>
      <c r="K18" s="53"/>
      <c r="L18" s="53"/>
      <c r="M18" s="53"/>
      <c r="N18" s="53"/>
      <c r="O18" s="53">
        <v>1126</v>
      </c>
      <c r="P18" s="53">
        <v>116</v>
      </c>
      <c r="Q18" s="53">
        <v>12</v>
      </c>
      <c r="R18" s="53">
        <v>1</v>
      </c>
      <c r="S18" s="53"/>
      <c r="T18" s="53"/>
      <c r="U18" s="53"/>
      <c r="V18" s="53"/>
    </row>
    <row r="19" spans="1:22" ht="15" x14ac:dyDescent="0.25">
      <c r="A19" s="52" t="str">
        <f>rebio23_80ml!A21</f>
        <v>S-B-P10-H2</v>
      </c>
      <c r="B19" s="53">
        <v>111</v>
      </c>
      <c r="C19" s="53">
        <v>11</v>
      </c>
      <c r="D19" s="53">
        <v>1</v>
      </c>
      <c r="E19" s="53">
        <v>11127</v>
      </c>
      <c r="F19" s="53">
        <v>1116</v>
      </c>
      <c r="G19" s="53">
        <v>112</v>
      </c>
      <c r="H19" s="53">
        <v>11</v>
      </c>
      <c r="I19" s="53">
        <v>1</v>
      </c>
      <c r="J19" s="53"/>
      <c r="K19" s="53"/>
      <c r="L19" s="53"/>
      <c r="M19" s="53"/>
      <c r="N19" s="53"/>
      <c r="O19" s="53">
        <v>1127</v>
      </c>
      <c r="P19" s="53">
        <v>116</v>
      </c>
      <c r="Q19" s="53">
        <v>12</v>
      </c>
      <c r="R19" s="53">
        <v>1</v>
      </c>
      <c r="S19" s="53"/>
      <c r="T19" s="53"/>
      <c r="U19" s="53"/>
      <c r="V19" s="53"/>
    </row>
    <row r="20" spans="1:22" ht="15" x14ac:dyDescent="0.25">
      <c r="A20" s="52" t="str">
        <f>rebio23_80ml!A22</f>
        <v>S-B-P10-H3</v>
      </c>
      <c r="B20" s="53">
        <v>111</v>
      </c>
      <c r="C20" s="53">
        <v>11</v>
      </c>
      <c r="D20" s="53">
        <v>1</v>
      </c>
      <c r="E20" s="53">
        <v>11128</v>
      </c>
      <c r="F20" s="53">
        <v>1116</v>
      </c>
      <c r="G20" s="53">
        <v>112</v>
      </c>
      <c r="H20" s="53">
        <v>11</v>
      </c>
      <c r="I20" s="53">
        <v>1</v>
      </c>
      <c r="J20" s="53"/>
      <c r="K20" s="53"/>
      <c r="L20" s="53"/>
      <c r="M20" s="53"/>
      <c r="N20" s="53"/>
      <c r="O20" s="53">
        <v>1128</v>
      </c>
      <c r="P20" s="53">
        <v>116</v>
      </c>
      <c r="Q20" s="53">
        <v>12</v>
      </c>
      <c r="R20" s="53">
        <v>1</v>
      </c>
      <c r="S20" s="53"/>
      <c r="T20" s="53"/>
      <c r="U20" s="53"/>
      <c r="V20" s="53"/>
    </row>
    <row r="21" spans="1:22" ht="15" x14ac:dyDescent="0.25">
      <c r="A21" s="52" t="str">
        <f>rebio23_80ml!A23</f>
        <v>S-C-P11-H1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</row>
    <row r="22" spans="1:22" ht="15" x14ac:dyDescent="0.25">
      <c r="A22" s="52" t="str">
        <f>rebio23_80ml!A24</f>
        <v>S-C-P11-H2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</row>
    <row r="23" spans="1:22" ht="15" x14ac:dyDescent="0.25">
      <c r="A23" s="52" t="str">
        <f>rebio23_80ml!A25</f>
        <v>S-C-P11-H3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</row>
    <row r="24" spans="1:22" ht="15" x14ac:dyDescent="0.25">
      <c r="A24" s="52" t="str">
        <f>rebio23_80ml!A26</f>
        <v>S-C-P12-H1</v>
      </c>
      <c r="B24" s="53">
        <v>112</v>
      </c>
      <c r="C24" s="53">
        <v>11</v>
      </c>
      <c r="D24" s="53">
        <v>1</v>
      </c>
      <c r="E24" s="53">
        <v>11129</v>
      </c>
      <c r="F24" s="53">
        <v>1117</v>
      </c>
      <c r="G24" s="53">
        <v>113</v>
      </c>
      <c r="H24" s="53">
        <v>12</v>
      </c>
      <c r="I24" s="53">
        <v>1</v>
      </c>
      <c r="J24" s="53"/>
      <c r="K24" s="53"/>
      <c r="L24" s="53"/>
      <c r="M24" s="53"/>
      <c r="N24" s="53"/>
      <c r="O24" s="53"/>
      <c r="P24" s="53"/>
      <c r="Q24" s="53"/>
      <c r="R24" s="53"/>
      <c r="S24" s="53">
        <v>1111</v>
      </c>
      <c r="T24" s="53">
        <v>111</v>
      </c>
      <c r="U24" s="53">
        <v>11</v>
      </c>
      <c r="V24" s="53">
        <v>1</v>
      </c>
    </row>
    <row r="25" spans="1:22" ht="15" x14ac:dyDescent="0.25">
      <c r="A25" s="52" t="str">
        <f>rebio23_80ml!A27</f>
        <v>S-C-P12-H2</v>
      </c>
      <c r="B25" s="53">
        <v>112</v>
      </c>
      <c r="C25" s="53">
        <v>11</v>
      </c>
      <c r="D25" s="53">
        <v>1</v>
      </c>
      <c r="E25" s="53">
        <v>11130</v>
      </c>
      <c r="F25" s="53">
        <v>1117</v>
      </c>
      <c r="G25" s="53">
        <v>113</v>
      </c>
      <c r="H25" s="53">
        <v>12</v>
      </c>
      <c r="I25" s="53">
        <v>1</v>
      </c>
      <c r="J25" s="53"/>
      <c r="K25" s="53"/>
      <c r="L25" s="53"/>
      <c r="M25" s="53"/>
      <c r="N25" s="53"/>
      <c r="O25" s="53"/>
      <c r="P25" s="53"/>
      <c r="Q25" s="53"/>
      <c r="R25" s="53"/>
      <c r="S25" s="53">
        <v>1112</v>
      </c>
      <c r="T25" s="53">
        <v>111</v>
      </c>
      <c r="U25" s="53">
        <v>11</v>
      </c>
      <c r="V25" s="53">
        <v>1</v>
      </c>
    </row>
    <row r="26" spans="1:22" ht="15" x14ac:dyDescent="0.25">
      <c r="A26" s="52" t="str">
        <f>rebio23_80ml!A28</f>
        <v>S-C-P12-H3</v>
      </c>
      <c r="B26" s="53">
        <v>112</v>
      </c>
      <c r="C26" s="53">
        <v>11</v>
      </c>
      <c r="D26" s="53">
        <v>1</v>
      </c>
      <c r="E26" s="53">
        <v>11131</v>
      </c>
      <c r="F26" s="53">
        <v>1117</v>
      </c>
      <c r="G26" s="53">
        <v>113</v>
      </c>
      <c r="H26" s="53">
        <v>12</v>
      </c>
      <c r="I26" s="53">
        <v>1</v>
      </c>
      <c r="J26" s="53"/>
      <c r="K26" s="53"/>
      <c r="L26" s="53"/>
      <c r="M26" s="53"/>
      <c r="N26" s="53"/>
      <c r="O26" s="53"/>
      <c r="P26" s="53"/>
      <c r="Q26" s="53"/>
      <c r="R26" s="53"/>
      <c r="S26" s="53">
        <v>1113</v>
      </c>
      <c r="T26" s="53">
        <v>111</v>
      </c>
      <c r="U26" s="53">
        <v>11</v>
      </c>
      <c r="V26" s="53">
        <v>1</v>
      </c>
    </row>
    <row r="27" spans="1:22" ht="15" x14ac:dyDescent="0.25">
      <c r="A27" s="52" t="str">
        <f>rebio23_80ml!A29</f>
        <v>S-C-P13-H1</v>
      </c>
      <c r="B27" s="53">
        <v>112</v>
      </c>
      <c r="C27" s="53">
        <v>11</v>
      </c>
      <c r="D27" s="53">
        <v>1</v>
      </c>
      <c r="E27" s="53">
        <v>11132</v>
      </c>
      <c r="F27" s="53">
        <v>1118</v>
      </c>
      <c r="G27" s="53">
        <v>113</v>
      </c>
      <c r="H27" s="53">
        <v>12</v>
      </c>
      <c r="I27" s="53">
        <v>1</v>
      </c>
      <c r="J27" s="53"/>
      <c r="K27" s="53"/>
      <c r="L27" s="53"/>
      <c r="M27" s="53"/>
      <c r="N27" s="53"/>
      <c r="O27" s="53"/>
      <c r="P27" s="53"/>
      <c r="Q27" s="53"/>
      <c r="R27" s="53"/>
      <c r="S27" s="53">
        <v>1114</v>
      </c>
      <c r="T27" s="53">
        <v>112</v>
      </c>
      <c r="U27" s="53">
        <v>11</v>
      </c>
      <c r="V27" s="53">
        <v>1</v>
      </c>
    </row>
    <row r="28" spans="1:22" ht="15" x14ac:dyDescent="0.25">
      <c r="A28" s="52" t="str">
        <f>rebio23_80ml!A30</f>
        <v>S-C-P13-H2</v>
      </c>
      <c r="B28" s="53">
        <v>112</v>
      </c>
      <c r="C28" s="53">
        <v>11</v>
      </c>
      <c r="D28" s="53">
        <v>1</v>
      </c>
      <c r="E28" s="53">
        <v>11133</v>
      </c>
      <c r="F28" s="53">
        <v>1118</v>
      </c>
      <c r="G28" s="53">
        <v>113</v>
      </c>
      <c r="H28" s="53">
        <v>12</v>
      </c>
      <c r="I28" s="53">
        <v>1</v>
      </c>
      <c r="J28" s="53"/>
      <c r="K28" s="53"/>
      <c r="L28" s="53"/>
      <c r="M28" s="53"/>
      <c r="N28" s="53"/>
      <c r="O28" s="53"/>
      <c r="P28" s="53"/>
      <c r="Q28" s="53"/>
      <c r="R28" s="53"/>
      <c r="S28" s="53">
        <v>1115</v>
      </c>
      <c r="T28" s="53">
        <v>112</v>
      </c>
      <c r="U28" s="53">
        <v>11</v>
      </c>
      <c r="V28" s="53">
        <v>1</v>
      </c>
    </row>
    <row r="29" spans="1:22" ht="15" x14ac:dyDescent="0.25">
      <c r="A29" s="52" t="str">
        <f>rebio23_80ml!A31</f>
        <v>S-C-P13-H3</v>
      </c>
      <c r="B29" s="53">
        <v>112</v>
      </c>
      <c r="C29" s="53">
        <v>11</v>
      </c>
      <c r="D29" s="53">
        <v>1</v>
      </c>
      <c r="E29" s="53">
        <v>11134</v>
      </c>
      <c r="F29" s="53">
        <v>1118</v>
      </c>
      <c r="G29" s="53">
        <v>113</v>
      </c>
      <c r="H29" s="53">
        <v>12</v>
      </c>
      <c r="I29" s="53">
        <v>1</v>
      </c>
      <c r="J29" s="53"/>
      <c r="K29" s="53"/>
      <c r="L29" s="53"/>
      <c r="M29" s="53"/>
      <c r="N29" s="53"/>
      <c r="O29" s="53"/>
      <c r="P29" s="53"/>
      <c r="Q29" s="53"/>
      <c r="R29" s="53"/>
      <c r="S29" s="53">
        <v>1116</v>
      </c>
      <c r="T29" s="53">
        <v>112</v>
      </c>
      <c r="U29" s="53">
        <v>11</v>
      </c>
      <c r="V29" s="53">
        <v>1</v>
      </c>
    </row>
    <row r="30" spans="1:22" ht="15" x14ac:dyDescent="0.25">
      <c r="A30" s="52" t="str">
        <f>rebio23_80ml!A32</f>
        <v>S-C-P14-H1</v>
      </c>
      <c r="B30" s="53">
        <v>112</v>
      </c>
      <c r="C30" s="53">
        <v>11</v>
      </c>
      <c r="D30" s="53">
        <v>1</v>
      </c>
      <c r="E30" s="53">
        <v>11135</v>
      </c>
      <c r="F30" s="53">
        <v>1119</v>
      </c>
      <c r="G30" s="53">
        <v>113</v>
      </c>
      <c r="H30" s="53">
        <v>12</v>
      </c>
      <c r="I30" s="53">
        <v>1</v>
      </c>
      <c r="J30" s="53"/>
      <c r="K30" s="53"/>
      <c r="L30" s="53"/>
      <c r="M30" s="53"/>
      <c r="N30" s="53"/>
      <c r="O30" s="53"/>
      <c r="P30" s="53"/>
      <c r="Q30" s="53"/>
      <c r="R30" s="53"/>
      <c r="S30" s="53">
        <v>1117</v>
      </c>
      <c r="T30" s="53">
        <v>113</v>
      </c>
      <c r="U30" s="53">
        <v>11</v>
      </c>
      <c r="V30" s="53">
        <v>1</v>
      </c>
    </row>
    <row r="31" spans="1:22" ht="15" x14ac:dyDescent="0.25">
      <c r="A31" s="52" t="str">
        <f>rebio23_80ml!A33</f>
        <v>S-C-P14-H2</v>
      </c>
      <c r="B31" s="53">
        <v>112</v>
      </c>
      <c r="C31" s="53">
        <v>11</v>
      </c>
      <c r="D31" s="53">
        <v>1</v>
      </c>
      <c r="E31" s="53">
        <v>11136</v>
      </c>
      <c r="F31" s="53">
        <v>1119</v>
      </c>
      <c r="G31" s="53">
        <v>113</v>
      </c>
      <c r="H31" s="53">
        <v>12</v>
      </c>
      <c r="I31" s="53">
        <v>1</v>
      </c>
      <c r="J31" s="53"/>
      <c r="K31" s="53"/>
      <c r="L31" s="53"/>
      <c r="M31" s="53"/>
      <c r="N31" s="53"/>
      <c r="O31" s="53"/>
      <c r="P31" s="53"/>
      <c r="Q31" s="53"/>
      <c r="R31" s="53"/>
      <c r="S31" s="53">
        <v>1118</v>
      </c>
      <c r="T31" s="53">
        <v>113</v>
      </c>
      <c r="U31" s="53">
        <v>11</v>
      </c>
      <c r="V31" s="53">
        <v>1</v>
      </c>
    </row>
    <row r="32" spans="1:22" ht="15" x14ac:dyDescent="0.25">
      <c r="A32" s="52" t="str">
        <f>rebio23_80ml!A34</f>
        <v>S-C-P14-H3</v>
      </c>
      <c r="B32" s="53">
        <v>112</v>
      </c>
      <c r="C32" s="53">
        <v>11</v>
      </c>
      <c r="D32" s="53">
        <v>1</v>
      </c>
      <c r="E32" s="53">
        <v>11137</v>
      </c>
      <c r="F32" s="53">
        <v>1119</v>
      </c>
      <c r="G32" s="53">
        <v>113</v>
      </c>
      <c r="H32" s="53">
        <v>12</v>
      </c>
      <c r="I32" s="53">
        <v>1</v>
      </c>
      <c r="J32" s="53"/>
      <c r="K32" s="53"/>
      <c r="L32" s="53"/>
      <c r="M32" s="53"/>
      <c r="N32" s="53"/>
      <c r="O32" s="53"/>
      <c r="P32" s="53"/>
      <c r="Q32" s="53"/>
      <c r="R32" s="53"/>
      <c r="S32" s="53">
        <v>1119</v>
      </c>
      <c r="T32" s="53">
        <v>113</v>
      </c>
      <c r="U32" s="53">
        <v>11</v>
      </c>
      <c r="V32" s="53">
        <v>1</v>
      </c>
    </row>
    <row r="33" spans="1:22" ht="15" x14ac:dyDescent="0.25">
      <c r="A33" s="52" t="str">
        <f>rebio23_80ml!A35</f>
        <v>S-C-P15-H1</v>
      </c>
      <c r="B33" s="53">
        <v>112</v>
      </c>
      <c r="C33" s="53">
        <v>11</v>
      </c>
      <c r="D33" s="53">
        <v>1</v>
      </c>
      <c r="E33" s="53">
        <v>11138</v>
      </c>
      <c r="F33" s="53">
        <v>1120</v>
      </c>
      <c r="G33" s="53">
        <v>113</v>
      </c>
      <c r="H33" s="53">
        <v>12</v>
      </c>
      <c r="I33" s="53">
        <v>1</v>
      </c>
      <c r="J33" s="53"/>
      <c r="K33" s="53"/>
      <c r="L33" s="53"/>
      <c r="M33" s="53"/>
      <c r="N33" s="53"/>
      <c r="O33" s="53"/>
      <c r="P33" s="53"/>
      <c r="Q33" s="53"/>
      <c r="R33" s="53"/>
      <c r="S33" s="53">
        <v>1120</v>
      </c>
      <c r="T33" s="53">
        <v>114</v>
      </c>
      <c r="U33" s="53">
        <v>11</v>
      </c>
      <c r="V33" s="53">
        <v>1</v>
      </c>
    </row>
    <row r="34" spans="1:22" ht="15" x14ac:dyDescent="0.25">
      <c r="A34" s="52" t="str">
        <f>rebio23_80ml!A36</f>
        <v>S-C-P15-H2</v>
      </c>
      <c r="B34" s="53">
        <v>112</v>
      </c>
      <c r="C34" s="53">
        <v>11</v>
      </c>
      <c r="D34" s="53">
        <v>1</v>
      </c>
      <c r="E34" s="53">
        <v>11139</v>
      </c>
      <c r="F34" s="53">
        <v>1120</v>
      </c>
      <c r="G34" s="53">
        <v>113</v>
      </c>
      <c r="H34" s="53">
        <v>12</v>
      </c>
      <c r="I34" s="53">
        <v>1</v>
      </c>
      <c r="J34" s="53"/>
      <c r="K34" s="53"/>
      <c r="L34" s="53"/>
      <c r="M34" s="53"/>
      <c r="N34" s="53"/>
      <c r="O34" s="53"/>
      <c r="P34" s="53"/>
      <c r="Q34" s="53"/>
      <c r="R34" s="53"/>
      <c r="S34" s="53">
        <v>1121</v>
      </c>
      <c r="T34" s="53">
        <v>114</v>
      </c>
      <c r="U34" s="53">
        <v>11</v>
      </c>
      <c r="V34" s="53">
        <v>1</v>
      </c>
    </row>
    <row r="35" spans="1:22" ht="15" x14ac:dyDescent="0.25">
      <c r="A35" s="52" t="str">
        <f>rebio23_80ml!A37</f>
        <v>S-C-P15-H3</v>
      </c>
      <c r="B35" s="53">
        <v>112</v>
      </c>
      <c r="C35" s="53">
        <v>11</v>
      </c>
      <c r="D35" s="53">
        <v>1</v>
      </c>
      <c r="E35" s="53">
        <v>11140</v>
      </c>
      <c r="F35" s="53">
        <v>1120</v>
      </c>
      <c r="G35" s="53">
        <v>113</v>
      </c>
      <c r="H35" s="53">
        <v>12</v>
      </c>
      <c r="I35" s="53">
        <v>1</v>
      </c>
      <c r="J35" s="53"/>
      <c r="K35" s="53"/>
      <c r="L35" s="53"/>
      <c r="M35" s="53"/>
      <c r="N35" s="53"/>
      <c r="O35" s="53"/>
      <c r="P35" s="53"/>
      <c r="Q35" s="53"/>
      <c r="R35" s="53"/>
      <c r="S35" s="53">
        <v>1122</v>
      </c>
      <c r="T35" s="53">
        <v>114</v>
      </c>
      <c r="U35" s="53">
        <v>11</v>
      </c>
      <c r="V35" s="53">
        <v>1</v>
      </c>
    </row>
    <row r="36" spans="1:22" ht="15" x14ac:dyDescent="0.25">
      <c r="A36" s="52" t="str">
        <f>rebio23_80ml!A38</f>
        <v>S-C-P16-H1</v>
      </c>
      <c r="B36" s="53">
        <v>112</v>
      </c>
      <c r="C36" s="53">
        <v>11</v>
      </c>
      <c r="D36" s="53">
        <v>1</v>
      </c>
      <c r="E36" s="53">
        <v>11141</v>
      </c>
      <c r="F36" s="53">
        <v>1121</v>
      </c>
      <c r="G36" s="53">
        <v>113</v>
      </c>
      <c r="H36" s="53">
        <v>12</v>
      </c>
      <c r="I36" s="53">
        <v>1</v>
      </c>
      <c r="J36" s="53"/>
      <c r="K36" s="53"/>
      <c r="L36" s="53"/>
      <c r="M36" s="53"/>
      <c r="N36" s="53"/>
      <c r="O36" s="53"/>
      <c r="P36" s="53"/>
      <c r="Q36" s="53"/>
      <c r="R36" s="53"/>
      <c r="S36" s="53">
        <v>1123</v>
      </c>
      <c r="T36" s="53">
        <v>115</v>
      </c>
      <c r="U36" s="53">
        <v>11</v>
      </c>
      <c r="V36" s="53">
        <v>1</v>
      </c>
    </row>
    <row r="37" spans="1:22" ht="15" x14ac:dyDescent="0.25">
      <c r="A37" s="52" t="str">
        <f>rebio23_80ml!A39</f>
        <v>S-C-P16-H2</v>
      </c>
      <c r="B37" s="53">
        <v>112</v>
      </c>
      <c r="C37" s="53">
        <v>11</v>
      </c>
      <c r="D37" s="53">
        <v>1</v>
      </c>
      <c r="E37" s="53">
        <v>11142</v>
      </c>
      <c r="F37" s="53">
        <v>1121</v>
      </c>
      <c r="G37" s="53">
        <v>113</v>
      </c>
      <c r="H37" s="53">
        <v>12</v>
      </c>
      <c r="I37" s="53">
        <v>1</v>
      </c>
      <c r="J37" s="53"/>
      <c r="K37" s="53"/>
      <c r="L37" s="53"/>
      <c r="M37" s="53"/>
      <c r="N37" s="53"/>
      <c r="O37" s="53"/>
      <c r="P37" s="53"/>
      <c r="Q37" s="53"/>
      <c r="R37" s="53"/>
      <c r="S37" s="53">
        <v>1124</v>
      </c>
      <c r="T37" s="53">
        <v>115</v>
      </c>
      <c r="U37" s="53">
        <v>11</v>
      </c>
      <c r="V37" s="53">
        <v>1</v>
      </c>
    </row>
    <row r="38" spans="1:22" ht="15" x14ac:dyDescent="0.25">
      <c r="A38" s="52" t="str">
        <f>rebio23_80ml!A40</f>
        <v>S-C-P16-H3</v>
      </c>
      <c r="B38" s="53">
        <v>112</v>
      </c>
      <c r="C38" s="53">
        <v>11</v>
      </c>
      <c r="D38" s="53">
        <v>1</v>
      </c>
      <c r="E38" s="53">
        <v>11143</v>
      </c>
      <c r="F38" s="53">
        <v>1121</v>
      </c>
      <c r="G38" s="53">
        <v>113</v>
      </c>
      <c r="H38" s="53">
        <v>12</v>
      </c>
      <c r="I38" s="53">
        <v>1</v>
      </c>
      <c r="J38" s="53"/>
      <c r="K38" s="53"/>
      <c r="L38" s="53"/>
      <c r="M38" s="53"/>
      <c r="N38" s="53"/>
      <c r="O38" s="53"/>
      <c r="P38" s="53"/>
      <c r="Q38" s="53"/>
      <c r="R38" s="53"/>
      <c r="S38" s="53">
        <v>1125</v>
      </c>
      <c r="T38" s="53">
        <v>115</v>
      </c>
      <c r="U38" s="53">
        <v>11</v>
      </c>
      <c r="V38" s="53">
        <v>1</v>
      </c>
    </row>
    <row r="39" spans="1:22" ht="15" x14ac:dyDescent="0.25">
      <c r="A39" s="52" t="str">
        <f>rebio23_80ml!A41</f>
        <v>S-C-P17-H1</v>
      </c>
      <c r="B39" s="53">
        <v>112</v>
      </c>
      <c r="C39" s="53">
        <v>11</v>
      </c>
      <c r="D39" s="53">
        <v>1</v>
      </c>
      <c r="E39" s="53">
        <v>11144</v>
      </c>
      <c r="F39" s="53">
        <v>1122</v>
      </c>
      <c r="G39" s="53">
        <v>114</v>
      </c>
      <c r="H39" s="53">
        <v>12</v>
      </c>
      <c r="I39" s="53">
        <v>1</v>
      </c>
      <c r="J39" s="53"/>
      <c r="K39" s="53"/>
      <c r="L39" s="53"/>
      <c r="M39" s="53"/>
      <c r="N39" s="53"/>
      <c r="O39" s="53"/>
      <c r="P39" s="53"/>
      <c r="Q39" s="53"/>
      <c r="R39" s="53"/>
      <c r="S39" s="53">
        <v>1126</v>
      </c>
      <c r="T39" s="53">
        <v>116</v>
      </c>
      <c r="U39" s="53">
        <v>12</v>
      </c>
      <c r="V39" s="53">
        <v>1</v>
      </c>
    </row>
    <row r="40" spans="1:22" ht="15" x14ac:dyDescent="0.25">
      <c r="A40" s="52" t="str">
        <f>rebio23_80ml!A42</f>
        <v>S-C-P17-H2</v>
      </c>
      <c r="B40" s="53">
        <v>112</v>
      </c>
      <c r="C40" s="53">
        <v>11</v>
      </c>
      <c r="D40" s="53">
        <v>1</v>
      </c>
      <c r="E40" s="53">
        <v>11145</v>
      </c>
      <c r="F40" s="53">
        <v>1122</v>
      </c>
      <c r="G40" s="53">
        <v>114</v>
      </c>
      <c r="H40" s="53">
        <v>12</v>
      </c>
      <c r="I40" s="53">
        <v>1</v>
      </c>
      <c r="J40" s="53"/>
      <c r="K40" s="53"/>
      <c r="L40" s="53"/>
      <c r="M40" s="53"/>
      <c r="N40" s="53"/>
      <c r="O40" s="53"/>
      <c r="P40" s="53"/>
      <c r="Q40" s="53"/>
      <c r="R40" s="53"/>
      <c r="S40" s="53">
        <v>1127</v>
      </c>
      <c r="T40" s="53">
        <v>116</v>
      </c>
      <c r="U40" s="53">
        <v>12</v>
      </c>
      <c r="V40" s="53">
        <v>1</v>
      </c>
    </row>
    <row r="41" spans="1:22" ht="15" x14ac:dyDescent="0.25">
      <c r="A41" s="52" t="str">
        <f>rebio23_80ml!A43</f>
        <v>S-C-P17-H3</v>
      </c>
      <c r="B41" s="53">
        <v>112</v>
      </c>
      <c r="C41" s="53">
        <v>11</v>
      </c>
      <c r="D41" s="53">
        <v>1</v>
      </c>
      <c r="E41" s="53">
        <v>11146</v>
      </c>
      <c r="F41" s="53">
        <v>1122</v>
      </c>
      <c r="G41" s="53">
        <v>114</v>
      </c>
      <c r="H41" s="53">
        <v>12</v>
      </c>
      <c r="I41" s="53">
        <v>1</v>
      </c>
      <c r="J41" s="53"/>
      <c r="K41" s="53"/>
      <c r="L41" s="53"/>
      <c r="M41" s="53"/>
      <c r="N41" s="53"/>
      <c r="O41" s="53"/>
      <c r="P41" s="53"/>
      <c r="Q41" s="53"/>
      <c r="R41" s="53"/>
      <c r="S41" s="53">
        <v>1128</v>
      </c>
      <c r="T41" s="53">
        <v>116</v>
      </c>
      <c r="U41" s="53">
        <v>12</v>
      </c>
      <c r="V41" s="53">
        <v>1</v>
      </c>
    </row>
    <row r="42" spans="1:22" ht="15" x14ac:dyDescent="0.25">
      <c r="A42" s="52" t="str">
        <f>rebio23_80ml!A44</f>
        <v>S-C-P18-H1</v>
      </c>
      <c r="B42" s="53">
        <v>112</v>
      </c>
      <c r="C42" s="53">
        <v>11</v>
      </c>
      <c r="D42" s="53">
        <v>1</v>
      </c>
      <c r="E42" s="53">
        <v>11147</v>
      </c>
      <c r="F42" s="53">
        <v>1123</v>
      </c>
      <c r="G42" s="53">
        <v>114</v>
      </c>
      <c r="H42" s="53">
        <v>12</v>
      </c>
      <c r="I42" s="53">
        <v>1</v>
      </c>
      <c r="J42" s="53"/>
      <c r="K42" s="53"/>
      <c r="L42" s="53"/>
      <c r="M42" s="53"/>
      <c r="N42" s="53"/>
      <c r="O42" s="53"/>
      <c r="P42" s="53"/>
      <c r="Q42" s="53"/>
      <c r="R42" s="53"/>
      <c r="S42" s="53">
        <v>1129</v>
      </c>
      <c r="T42" s="53">
        <v>117</v>
      </c>
      <c r="U42" s="53">
        <v>12</v>
      </c>
      <c r="V42" s="53">
        <v>1</v>
      </c>
    </row>
    <row r="43" spans="1:22" ht="15" x14ac:dyDescent="0.25">
      <c r="A43" s="52" t="str">
        <f>rebio23_80ml!A45</f>
        <v>S-C-P18-H2</v>
      </c>
      <c r="B43" s="53">
        <v>112</v>
      </c>
      <c r="C43" s="53">
        <v>11</v>
      </c>
      <c r="D43" s="53">
        <v>1</v>
      </c>
      <c r="E43" s="53">
        <v>11148</v>
      </c>
      <c r="F43" s="53">
        <v>1123</v>
      </c>
      <c r="G43" s="53">
        <v>114</v>
      </c>
      <c r="H43" s="53">
        <v>12</v>
      </c>
      <c r="I43" s="53">
        <v>1</v>
      </c>
      <c r="J43" s="53"/>
      <c r="K43" s="53"/>
      <c r="L43" s="53"/>
      <c r="M43" s="53"/>
      <c r="N43" s="53"/>
      <c r="O43" s="53"/>
      <c r="P43" s="53"/>
      <c r="Q43" s="53"/>
      <c r="R43" s="53"/>
      <c r="S43" s="53">
        <v>1130</v>
      </c>
      <c r="T43" s="53">
        <v>117</v>
      </c>
      <c r="U43" s="53">
        <v>12</v>
      </c>
      <c r="V43" s="53">
        <v>1</v>
      </c>
    </row>
    <row r="44" spans="1:22" ht="15" x14ac:dyDescent="0.25">
      <c r="A44" s="52" t="str">
        <f>rebio23_80ml!A46</f>
        <v>S-C-P18-H3</v>
      </c>
      <c r="B44" s="53">
        <v>112</v>
      </c>
      <c r="C44" s="53">
        <v>11</v>
      </c>
      <c r="D44" s="53">
        <v>1</v>
      </c>
      <c r="E44" s="53">
        <v>11149</v>
      </c>
      <c r="F44" s="53">
        <v>1123</v>
      </c>
      <c r="G44" s="53">
        <v>114</v>
      </c>
      <c r="H44" s="53">
        <v>12</v>
      </c>
      <c r="I44" s="53">
        <v>1</v>
      </c>
      <c r="J44" s="53"/>
      <c r="K44" s="53"/>
      <c r="L44" s="53"/>
      <c r="M44" s="53"/>
      <c r="N44" s="53"/>
      <c r="O44" s="53"/>
      <c r="P44" s="53"/>
      <c r="Q44" s="53"/>
      <c r="R44" s="53"/>
      <c r="S44" s="53">
        <v>1131</v>
      </c>
      <c r="T44" s="53">
        <v>117</v>
      </c>
      <c r="U44" s="53">
        <v>12</v>
      </c>
      <c r="V44" s="53">
        <v>1</v>
      </c>
    </row>
    <row r="45" spans="1:22" ht="15" x14ac:dyDescent="0.25">
      <c r="A45" s="52" t="str">
        <f>rebio23_80ml!A47</f>
        <v>S-C-P19-H1</v>
      </c>
      <c r="B45" s="53">
        <v>112</v>
      </c>
      <c r="C45" s="53">
        <v>11</v>
      </c>
      <c r="D45" s="53">
        <v>1</v>
      </c>
      <c r="E45" s="53">
        <v>11150</v>
      </c>
      <c r="F45" s="53">
        <v>1124</v>
      </c>
      <c r="G45" s="53">
        <v>114</v>
      </c>
      <c r="H45" s="53">
        <v>12</v>
      </c>
      <c r="I45" s="53">
        <v>1</v>
      </c>
      <c r="J45" s="53"/>
      <c r="K45" s="53"/>
      <c r="L45" s="53"/>
      <c r="M45" s="53"/>
      <c r="N45" s="53"/>
      <c r="O45" s="53"/>
      <c r="P45" s="53"/>
      <c r="Q45" s="53"/>
      <c r="R45" s="53"/>
      <c r="S45" s="53">
        <v>1132</v>
      </c>
      <c r="T45" s="53">
        <v>118</v>
      </c>
      <c r="U45" s="53">
        <v>12</v>
      </c>
      <c r="V45" s="53">
        <v>1</v>
      </c>
    </row>
    <row r="46" spans="1:22" ht="15" x14ac:dyDescent="0.25">
      <c r="A46" s="52" t="str">
        <f>rebio23_80ml!A48</f>
        <v>S-C-P19-H2</v>
      </c>
      <c r="B46" s="53">
        <v>112</v>
      </c>
      <c r="C46" s="53">
        <v>11</v>
      </c>
      <c r="D46" s="53">
        <v>1</v>
      </c>
      <c r="E46" s="53">
        <v>11151</v>
      </c>
      <c r="F46" s="53">
        <v>1124</v>
      </c>
      <c r="G46" s="53">
        <v>114</v>
      </c>
      <c r="H46" s="53">
        <v>12</v>
      </c>
      <c r="I46" s="53">
        <v>1</v>
      </c>
      <c r="J46" s="53"/>
      <c r="K46" s="53"/>
      <c r="L46" s="53"/>
      <c r="M46" s="53"/>
      <c r="N46" s="53"/>
      <c r="O46" s="53"/>
      <c r="P46" s="53"/>
      <c r="Q46" s="53"/>
      <c r="R46" s="53"/>
      <c r="S46" s="53">
        <v>1133</v>
      </c>
      <c r="T46" s="53">
        <v>118</v>
      </c>
      <c r="U46" s="53">
        <v>12</v>
      </c>
      <c r="V46" s="53">
        <v>1</v>
      </c>
    </row>
    <row r="47" spans="1:22" ht="15" x14ac:dyDescent="0.25">
      <c r="A47" s="52" t="str">
        <f>rebio23_80ml!A49</f>
        <v>S-C-P19-H3</v>
      </c>
      <c r="B47" s="53">
        <v>112</v>
      </c>
      <c r="C47" s="53">
        <v>11</v>
      </c>
      <c r="D47" s="53">
        <v>1</v>
      </c>
      <c r="E47" s="53">
        <v>11152</v>
      </c>
      <c r="F47" s="53">
        <v>1124</v>
      </c>
      <c r="G47" s="53">
        <v>114</v>
      </c>
      <c r="H47" s="53">
        <v>12</v>
      </c>
      <c r="I47" s="53">
        <v>1</v>
      </c>
      <c r="J47" s="53"/>
      <c r="K47" s="53"/>
      <c r="L47" s="53"/>
      <c r="M47" s="53"/>
      <c r="N47" s="53"/>
      <c r="O47" s="53"/>
      <c r="P47" s="53"/>
      <c r="Q47" s="53"/>
      <c r="R47" s="53"/>
      <c r="S47" s="53">
        <v>1134</v>
      </c>
      <c r="T47" s="53">
        <v>118</v>
      </c>
      <c r="U47" s="53">
        <v>12</v>
      </c>
      <c r="V47" s="53">
        <v>1</v>
      </c>
    </row>
    <row r="48" spans="1:22" ht="15" x14ac:dyDescent="0.25">
      <c r="A48" s="52" t="str">
        <f>rebio23_80ml!A50</f>
        <v>S-C-P20-H1</v>
      </c>
      <c r="B48" s="53">
        <v>112</v>
      </c>
      <c r="C48" s="53">
        <v>11</v>
      </c>
      <c r="D48" s="53">
        <v>1</v>
      </c>
      <c r="E48" s="53">
        <v>11153</v>
      </c>
      <c r="F48" s="53">
        <v>1125</v>
      </c>
      <c r="G48" s="53">
        <v>114</v>
      </c>
      <c r="H48" s="53">
        <v>12</v>
      </c>
      <c r="I48" s="53">
        <v>1</v>
      </c>
      <c r="J48" s="53"/>
      <c r="K48" s="53"/>
      <c r="L48" s="53"/>
      <c r="M48" s="53"/>
      <c r="N48" s="53"/>
      <c r="O48" s="53"/>
      <c r="P48" s="53"/>
      <c r="Q48" s="53"/>
      <c r="R48" s="53"/>
      <c r="S48" s="53">
        <v>1135</v>
      </c>
      <c r="T48" s="53">
        <v>119</v>
      </c>
      <c r="U48" s="53">
        <v>12</v>
      </c>
      <c r="V48" s="53">
        <v>1</v>
      </c>
    </row>
    <row r="49" spans="1:22" ht="15" x14ac:dyDescent="0.25">
      <c r="A49" s="52" t="str">
        <f>rebio23_80ml!A51</f>
        <v>S-C-P20-H2</v>
      </c>
      <c r="B49" s="53">
        <v>112</v>
      </c>
      <c r="C49" s="53">
        <v>11</v>
      </c>
      <c r="D49" s="53">
        <v>1</v>
      </c>
      <c r="E49" s="53">
        <v>11154</v>
      </c>
      <c r="F49" s="53">
        <v>1125</v>
      </c>
      <c r="G49" s="53">
        <v>114</v>
      </c>
      <c r="H49" s="53">
        <v>12</v>
      </c>
      <c r="I49" s="53">
        <v>1</v>
      </c>
      <c r="J49" s="53"/>
      <c r="K49" s="53"/>
      <c r="L49" s="53"/>
      <c r="M49" s="53"/>
      <c r="N49" s="53"/>
      <c r="O49" s="53"/>
      <c r="P49" s="53"/>
      <c r="Q49" s="53"/>
      <c r="R49" s="53"/>
      <c r="S49" s="53">
        <v>1136</v>
      </c>
      <c r="T49" s="53">
        <v>119</v>
      </c>
      <c r="U49" s="53">
        <v>12</v>
      </c>
      <c r="V49" s="53">
        <v>1</v>
      </c>
    </row>
    <row r="50" spans="1:22" ht="15" x14ac:dyDescent="0.25">
      <c r="A50" s="52" t="str">
        <f>rebio23_80ml!A52</f>
        <v>S-C-P20-H3</v>
      </c>
      <c r="B50" s="53">
        <v>112</v>
      </c>
      <c r="C50" s="53">
        <v>11</v>
      </c>
      <c r="D50" s="53">
        <v>1</v>
      </c>
      <c r="E50" s="53">
        <v>11155</v>
      </c>
      <c r="F50" s="53">
        <v>1125</v>
      </c>
      <c r="G50" s="53">
        <v>114</v>
      </c>
      <c r="H50" s="53">
        <v>12</v>
      </c>
      <c r="I50" s="53">
        <v>1</v>
      </c>
      <c r="J50" s="53"/>
      <c r="K50" s="53"/>
      <c r="L50" s="53"/>
      <c r="M50" s="53"/>
      <c r="N50" s="53"/>
      <c r="O50" s="53"/>
      <c r="P50" s="53"/>
      <c r="Q50" s="53"/>
      <c r="R50" s="53"/>
      <c r="S50" s="53">
        <v>1137</v>
      </c>
      <c r="T50" s="53">
        <v>119</v>
      </c>
      <c r="U50" s="53">
        <v>12</v>
      </c>
      <c r="V50" s="53">
        <v>1</v>
      </c>
    </row>
    <row r="51" spans="1:22" ht="15" x14ac:dyDescent="0.25">
      <c r="A51" s="54" t="str">
        <f>rebio23_80ml!A53</f>
        <v>C-B-P05-H1</v>
      </c>
      <c r="B51" s="55">
        <v>113</v>
      </c>
      <c r="C51" s="55">
        <v>12</v>
      </c>
      <c r="D51" s="55">
        <v>1</v>
      </c>
      <c r="E51" s="55"/>
      <c r="F51" s="55"/>
      <c r="G51" s="55"/>
      <c r="H51" s="55"/>
      <c r="I51" s="55"/>
      <c r="J51" s="55">
        <v>11111</v>
      </c>
      <c r="K51" s="55">
        <v>1111</v>
      </c>
      <c r="L51" s="55">
        <v>111</v>
      </c>
      <c r="M51" s="55">
        <v>11</v>
      </c>
      <c r="N51" s="55">
        <v>1</v>
      </c>
      <c r="O51" s="55">
        <v>1111</v>
      </c>
      <c r="P51" s="55">
        <v>111</v>
      </c>
      <c r="Q51" s="55">
        <v>11</v>
      </c>
      <c r="R51" s="55">
        <v>1</v>
      </c>
      <c r="S51" s="55"/>
      <c r="T51" s="55"/>
      <c r="U51" s="55"/>
      <c r="V51" s="55"/>
    </row>
    <row r="52" spans="1:22" ht="15" x14ac:dyDescent="0.25">
      <c r="A52" s="54" t="str">
        <f>rebio23_80ml!A54</f>
        <v>C-B-P05-H2</v>
      </c>
      <c r="B52" s="55">
        <v>113</v>
      </c>
      <c r="C52" s="55">
        <v>12</v>
      </c>
      <c r="D52" s="55">
        <v>1</v>
      </c>
      <c r="E52" s="55"/>
      <c r="F52" s="55"/>
      <c r="G52" s="55"/>
      <c r="H52" s="55"/>
      <c r="I52" s="55"/>
      <c r="J52" s="55">
        <v>11112</v>
      </c>
      <c r="K52" s="55">
        <v>1111</v>
      </c>
      <c r="L52" s="55">
        <v>111</v>
      </c>
      <c r="M52" s="55">
        <v>11</v>
      </c>
      <c r="N52" s="55">
        <v>1</v>
      </c>
      <c r="O52" s="55">
        <v>1112</v>
      </c>
      <c r="P52" s="55">
        <v>111</v>
      </c>
      <c r="Q52" s="55">
        <v>11</v>
      </c>
      <c r="R52" s="55">
        <v>1</v>
      </c>
      <c r="S52" s="55"/>
      <c r="T52" s="55"/>
      <c r="U52" s="55"/>
      <c r="V52" s="55"/>
    </row>
    <row r="53" spans="1:22" ht="15" x14ac:dyDescent="0.25">
      <c r="A53" s="54" t="str">
        <f>rebio23_80ml!A55</f>
        <v>C-B-P05-H3</v>
      </c>
      <c r="B53" s="55">
        <v>113</v>
      </c>
      <c r="C53" s="55">
        <v>12</v>
      </c>
      <c r="D53" s="55">
        <v>1</v>
      </c>
      <c r="E53" s="55"/>
      <c r="F53" s="55"/>
      <c r="G53" s="55"/>
      <c r="H53" s="55"/>
      <c r="I53" s="55"/>
      <c r="J53" s="55">
        <v>11113</v>
      </c>
      <c r="K53" s="55">
        <v>1111</v>
      </c>
      <c r="L53" s="55">
        <v>111</v>
      </c>
      <c r="M53" s="55">
        <v>11</v>
      </c>
      <c r="N53" s="55">
        <v>1</v>
      </c>
      <c r="O53" s="55">
        <v>1113</v>
      </c>
      <c r="P53" s="55">
        <v>111</v>
      </c>
      <c r="Q53" s="55">
        <v>11</v>
      </c>
      <c r="R53" s="55">
        <v>1</v>
      </c>
      <c r="S53" s="55"/>
      <c r="T53" s="55"/>
      <c r="U53" s="55"/>
      <c r="V53" s="55"/>
    </row>
    <row r="54" spans="1:22" ht="15" x14ac:dyDescent="0.25">
      <c r="A54" s="54" t="str">
        <f>rebio23_80ml!A56</f>
        <v>C-B-P06-H1</v>
      </c>
      <c r="B54" s="55">
        <v>113</v>
      </c>
      <c r="C54" s="55">
        <v>12</v>
      </c>
      <c r="D54" s="55">
        <v>1</v>
      </c>
      <c r="E54" s="55"/>
      <c r="F54" s="55"/>
      <c r="G54" s="55"/>
      <c r="H54" s="55"/>
      <c r="I54" s="55"/>
      <c r="J54" s="55">
        <v>11114</v>
      </c>
      <c r="K54" s="55">
        <v>1112</v>
      </c>
      <c r="L54" s="55">
        <v>111</v>
      </c>
      <c r="M54" s="55">
        <v>11</v>
      </c>
      <c r="N54" s="55">
        <v>1</v>
      </c>
      <c r="O54" s="55">
        <v>1114</v>
      </c>
      <c r="P54" s="55">
        <v>112</v>
      </c>
      <c r="Q54" s="55">
        <v>11</v>
      </c>
      <c r="R54" s="55">
        <v>1</v>
      </c>
      <c r="S54" s="55"/>
      <c r="T54" s="55"/>
      <c r="U54" s="55"/>
      <c r="V54" s="55"/>
    </row>
    <row r="55" spans="1:22" ht="15" x14ac:dyDescent="0.25">
      <c r="A55" s="54" t="str">
        <f>rebio23_80ml!A57</f>
        <v>C-B-P06-H2</v>
      </c>
      <c r="B55" s="55">
        <v>113</v>
      </c>
      <c r="C55" s="55">
        <v>12</v>
      </c>
      <c r="D55" s="55">
        <v>1</v>
      </c>
      <c r="E55" s="55"/>
      <c r="F55" s="55"/>
      <c r="G55" s="55"/>
      <c r="H55" s="55"/>
      <c r="I55" s="55"/>
      <c r="J55" s="55">
        <v>11115</v>
      </c>
      <c r="K55" s="55">
        <v>1112</v>
      </c>
      <c r="L55" s="55">
        <v>111</v>
      </c>
      <c r="M55" s="55">
        <v>11</v>
      </c>
      <c r="N55" s="55">
        <v>1</v>
      </c>
      <c r="O55" s="55">
        <v>1115</v>
      </c>
      <c r="P55" s="55">
        <v>112</v>
      </c>
      <c r="Q55" s="55">
        <v>11</v>
      </c>
      <c r="R55" s="55">
        <v>1</v>
      </c>
      <c r="S55" s="55"/>
      <c r="T55" s="55"/>
      <c r="U55" s="55"/>
      <c r="V55" s="55"/>
    </row>
    <row r="56" spans="1:22" ht="15" x14ac:dyDescent="0.25">
      <c r="A56" s="54" t="str">
        <f>rebio23_80ml!A58</f>
        <v>C-B-P06-H3</v>
      </c>
      <c r="B56" s="55">
        <v>113</v>
      </c>
      <c r="C56" s="55">
        <v>12</v>
      </c>
      <c r="D56" s="55">
        <v>1</v>
      </c>
      <c r="E56" s="55"/>
      <c r="F56" s="55"/>
      <c r="G56" s="55"/>
      <c r="H56" s="55"/>
      <c r="I56" s="55"/>
      <c r="J56" s="55">
        <v>11116</v>
      </c>
      <c r="K56" s="55">
        <v>1112</v>
      </c>
      <c r="L56" s="55">
        <v>111</v>
      </c>
      <c r="M56" s="55">
        <v>11</v>
      </c>
      <c r="N56" s="55">
        <v>1</v>
      </c>
      <c r="O56" s="55">
        <v>1116</v>
      </c>
      <c r="P56" s="55">
        <v>112</v>
      </c>
      <c r="Q56" s="55">
        <v>11</v>
      </c>
      <c r="R56" s="55">
        <v>1</v>
      </c>
      <c r="S56" s="55"/>
      <c r="T56" s="55"/>
      <c r="U56" s="55"/>
      <c r="V56" s="55"/>
    </row>
    <row r="57" spans="1:22" ht="15" x14ac:dyDescent="0.25">
      <c r="A57" s="54" t="str">
        <f>rebio23_80ml!A59</f>
        <v>C-B-P07-H1</v>
      </c>
      <c r="B57" s="55">
        <v>113</v>
      </c>
      <c r="C57" s="55">
        <v>12</v>
      </c>
      <c r="D57" s="55">
        <v>1</v>
      </c>
      <c r="E57" s="55"/>
      <c r="F57" s="55"/>
      <c r="G57" s="55"/>
      <c r="H57" s="55"/>
      <c r="I57" s="55"/>
      <c r="J57" s="55">
        <v>11117</v>
      </c>
      <c r="K57" s="55">
        <v>1113</v>
      </c>
      <c r="L57" s="55">
        <v>111</v>
      </c>
      <c r="M57" s="55">
        <v>11</v>
      </c>
      <c r="N57" s="55">
        <v>1</v>
      </c>
      <c r="O57" s="55">
        <v>1117</v>
      </c>
      <c r="P57" s="55">
        <v>113</v>
      </c>
      <c r="Q57" s="55">
        <v>11</v>
      </c>
      <c r="R57" s="55">
        <v>1</v>
      </c>
      <c r="S57" s="55"/>
      <c r="T57" s="55"/>
      <c r="U57" s="55"/>
      <c r="V57" s="55"/>
    </row>
    <row r="58" spans="1:22" ht="15" x14ac:dyDescent="0.25">
      <c r="A58" s="54" t="str">
        <f>rebio23_80ml!A60</f>
        <v>C-B-P07-H2</v>
      </c>
      <c r="B58" s="55">
        <v>113</v>
      </c>
      <c r="C58" s="55">
        <v>12</v>
      </c>
      <c r="D58" s="55">
        <v>1</v>
      </c>
      <c r="E58" s="55"/>
      <c r="F58" s="55"/>
      <c r="G58" s="55"/>
      <c r="H58" s="55"/>
      <c r="I58" s="55"/>
      <c r="J58" s="55">
        <v>11118</v>
      </c>
      <c r="K58" s="55">
        <v>1113</v>
      </c>
      <c r="L58" s="55">
        <v>111</v>
      </c>
      <c r="M58" s="55">
        <v>11</v>
      </c>
      <c r="N58" s="55">
        <v>1</v>
      </c>
      <c r="O58" s="55">
        <v>1118</v>
      </c>
      <c r="P58" s="55">
        <v>113</v>
      </c>
      <c r="Q58" s="55">
        <v>11</v>
      </c>
      <c r="R58" s="55">
        <v>1</v>
      </c>
      <c r="S58" s="55"/>
      <c r="T58" s="55"/>
      <c r="U58" s="55"/>
      <c r="V58" s="55"/>
    </row>
    <row r="59" spans="1:22" ht="15" x14ac:dyDescent="0.25">
      <c r="A59" s="54" t="str">
        <f>rebio23_80ml!A61</f>
        <v>C-B-P07-H3</v>
      </c>
      <c r="B59" s="55">
        <v>113</v>
      </c>
      <c r="C59" s="55">
        <v>12</v>
      </c>
      <c r="D59" s="55">
        <v>1</v>
      </c>
      <c r="E59" s="55"/>
      <c r="F59" s="55"/>
      <c r="G59" s="55"/>
      <c r="H59" s="55"/>
      <c r="I59" s="55"/>
      <c r="J59" s="55">
        <v>11119</v>
      </c>
      <c r="K59" s="55">
        <v>1113</v>
      </c>
      <c r="L59" s="55">
        <v>111</v>
      </c>
      <c r="M59" s="55">
        <v>11</v>
      </c>
      <c r="N59" s="55">
        <v>1</v>
      </c>
      <c r="O59" s="55">
        <v>1119</v>
      </c>
      <c r="P59" s="55">
        <v>113</v>
      </c>
      <c r="Q59" s="55">
        <v>11</v>
      </c>
      <c r="R59" s="55">
        <v>1</v>
      </c>
      <c r="S59" s="55"/>
      <c r="T59" s="55"/>
      <c r="U59" s="55"/>
      <c r="V59" s="55"/>
    </row>
    <row r="60" spans="1:22" ht="15" x14ac:dyDescent="0.25">
      <c r="A60" s="54" t="str">
        <f>rebio23_80ml!A62</f>
        <v>C-B-P08-H1</v>
      </c>
      <c r="B60" s="55">
        <v>113</v>
      </c>
      <c r="C60" s="55">
        <v>12</v>
      </c>
      <c r="D60" s="55">
        <v>1</v>
      </c>
      <c r="E60" s="55"/>
      <c r="F60" s="55"/>
      <c r="G60" s="55"/>
      <c r="H60" s="55"/>
      <c r="I60" s="55"/>
      <c r="J60" s="55">
        <v>11120</v>
      </c>
      <c r="K60" s="55">
        <v>1114</v>
      </c>
      <c r="L60" s="55">
        <v>112</v>
      </c>
      <c r="M60" s="55">
        <v>11</v>
      </c>
      <c r="N60" s="55">
        <v>1</v>
      </c>
      <c r="O60" s="55">
        <v>1120</v>
      </c>
      <c r="P60" s="55">
        <v>114</v>
      </c>
      <c r="Q60" s="55">
        <v>12</v>
      </c>
      <c r="R60" s="55">
        <v>1</v>
      </c>
      <c r="S60" s="55"/>
      <c r="T60" s="55"/>
      <c r="U60" s="55"/>
      <c r="V60" s="55"/>
    </row>
    <row r="61" spans="1:22" ht="15" x14ac:dyDescent="0.25">
      <c r="A61" s="54" t="str">
        <f>rebio23_80ml!A63</f>
        <v>C-B-P08-H2</v>
      </c>
      <c r="B61" s="55">
        <v>113</v>
      </c>
      <c r="C61" s="55">
        <v>12</v>
      </c>
      <c r="D61" s="55">
        <v>1</v>
      </c>
      <c r="E61" s="55"/>
      <c r="F61" s="55"/>
      <c r="G61" s="55"/>
      <c r="H61" s="55"/>
      <c r="I61" s="55"/>
      <c r="J61" s="55">
        <v>11121</v>
      </c>
      <c r="K61" s="55">
        <v>1114</v>
      </c>
      <c r="L61" s="55">
        <v>112</v>
      </c>
      <c r="M61" s="55">
        <v>11</v>
      </c>
      <c r="N61" s="55">
        <v>1</v>
      </c>
      <c r="O61" s="55">
        <v>1121</v>
      </c>
      <c r="P61" s="55">
        <v>114</v>
      </c>
      <c r="Q61" s="55">
        <v>12</v>
      </c>
      <c r="R61" s="55">
        <v>1</v>
      </c>
      <c r="S61" s="55"/>
      <c r="T61" s="55"/>
      <c r="U61" s="55"/>
      <c r="V61" s="55"/>
    </row>
    <row r="62" spans="1:22" ht="15" x14ac:dyDescent="0.25">
      <c r="A62" s="54" t="str">
        <f>rebio23_80ml!A64</f>
        <v>C-B-P08-H3</v>
      </c>
      <c r="B62" s="55">
        <v>113</v>
      </c>
      <c r="C62" s="55">
        <v>12</v>
      </c>
      <c r="D62" s="55">
        <v>1</v>
      </c>
      <c r="E62" s="55"/>
      <c r="F62" s="55"/>
      <c r="G62" s="55"/>
      <c r="H62" s="55"/>
      <c r="I62" s="55"/>
      <c r="J62" s="55">
        <v>11122</v>
      </c>
      <c r="K62" s="55">
        <v>1114</v>
      </c>
      <c r="L62" s="55">
        <v>112</v>
      </c>
      <c r="M62" s="55">
        <v>11</v>
      </c>
      <c r="N62" s="55">
        <v>1</v>
      </c>
      <c r="O62" s="55">
        <v>1122</v>
      </c>
      <c r="P62" s="55">
        <v>114</v>
      </c>
      <c r="Q62" s="55">
        <v>12</v>
      </c>
      <c r="R62" s="55">
        <v>1</v>
      </c>
      <c r="S62" s="55"/>
      <c r="T62" s="55"/>
      <c r="U62" s="55"/>
      <c r="V62" s="55"/>
    </row>
    <row r="63" spans="1:22" ht="15" x14ac:dyDescent="0.25">
      <c r="A63" s="54" t="str">
        <f>rebio23_80ml!A65</f>
        <v>C-B-P09-H1</v>
      </c>
      <c r="B63" s="55">
        <v>113</v>
      </c>
      <c r="C63" s="55">
        <v>12</v>
      </c>
      <c r="D63" s="55">
        <v>1</v>
      </c>
      <c r="E63" s="55"/>
      <c r="F63" s="55"/>
      <c r="G63" s="55"/>
      <c r="H63" s="55"/>
      <c r="I63" s="55"/>
      <c r="J63" s="55">
        <v>11123</v>
      </c>
      <c r="K63" s="55">
        <v>1115</v>
      </c>
      <c r="L63" s="55">
        <v>112</v>
      </c>
      <c r="M63" s="55">
        <v>11</v>
      </c>
      <c r="N63" s="55">
        <v>1</v>
      </c>
      <c r="O63" s="55">
        <v>1123</v>
      </c>
      <c r="P63" s="55">
        <v>115</v>
      </c>
      <c r="Q63" s="55">
        <v>12</v>
      </c>
      <c r="R63" s="55">
        <v>1</v>
      </c>
      <c r="S63" s="55"/>
      <c r="T63" s="55"/>
      <c r="U63" s="55"/>
      <c r="V63" s="55"/>
    </row>
    <row r="64" spans="1:22" ht="15" x14ac:dyDescent="0.25">
      <c r="A64" s="54" t="str">
        <f>rebio23_80ml!A66</f>
        <v>C-B-P09-H2</v>
      </c>
      <c r="B64" s="55">
        <v>113</v>
      </c>
      <c r="C64" s="55">
        <v>12</v>
      </c>
      <c r="D64" s="55">
        <v>1</v>
      </c>
      <c r="E64" s="55"/>
      <c r="F64" s="55"/>
      <c r="G64" s="55"/>
      <c r="H64" s="55"/>
      <c r="I64" s="55"/>
      <c r="J64" s="55">
        <v>11124</v>
      </c>
      <c r="K64" s="55">
        <v>1115</v>
      </c>
      <c r="L64" s="55">
        <v>112</v>
      </c>
      <c r="M64" s="55">
        <v>11</v>
      </c>
      <c r="N64" s="55">
        <v>1</v>
      </c>
      <c r="O64" s="55">
        <v>1124</v>
      </c>
      <c r="P64" s="55">
        <v>115</v>
      </c>
      <c r="Q64" s="55">
        <v>12</v>
      </c>
      <c r="R64" s="55">
        <v>1</v>
      </c>
      <c r="S64" s="55"/>
      <c r="T64" s="55"/>
      <c r="U64" s="55"/>
      <c r="V64" s="55"/>
    </row>
    <row r="65" spans="1:22" ht="15" x14ac:dyDescent="0.25">
      <c r="A65" s="54" t="str">
        <f>rebio23_80ml!A67</f>
        <v>C-B-P09-H3</v>
      </c>
      <c r="B65" s="55">
        <v>113</v>
      </c>
      <c r="C65" s="55">
        <v>12</v>
      </c>
      <c r="D65" s="55">
        <v>1</v>
      </c>
      <c r="E65" s="55"/>
      <c r="F65" s="55"/>
      <c r="G65" s="55"/>
      <c r="H65" s="55"/>
      <c r="I65" s="55"/>
      <c r="J65" s="55">
        <v>11125</v>
      </c>
      <c r="K65" s="55">
        <v>1115</v>
      </c>
      <c r="L65" s="55">
        <v>112</v>
      </c>
      <c r="M65" s="55">
        <v>11</v>
      </c>
      <c r="N65" s="55">
        <v>1</v>
      </c>
      <c r="O65" s="55">
        <v>1125</v>
      </c>
      <c r="P65" s="55">
        <v>115</v>
      </c>
      <c r="Q65" s="55">
        <v>12</v>
      </c>
      <c r="R65" s="55">
        <v>1</v>
      </c>
      <c r="S65" s="55"/>
      <c r="T65" s="55"/>
      <c r="U65" s="55"/>
      <c r="V65" s="55"/>
    </row>
    <row r="66" spans="1:22" ht="15" x14ac:dyDescent="0.25">
      <c r="A66" s="54" t="str">
        <f>rebio23_80ml!A68</f>
        <v>C-B-P10-H1</v>
      </c>
      <c r="B66" s="55">
        <v>113</v>
      </c>
      <c r="C66" s="55">
        <v>12</v>
      </c>
      <c r="D66" s="55">
        <v>1</v>
      </c>
      <c r="E66" s="55"/>
      <c r="F66" s="55"/>
      <c r="G66" s="55"/>
      <c r="H66" s="55"/>
      <c r="I66" s="55"/>
      <c r="J66" s="55">
        <v>11126</v>
      </c>
      <c r="K66" s="55">
        <v>1116</v>
      </c>
      <c r="L66" s="55">
        <v>112</v>
      </c>
      <c r="M66" s="55">
        <v>11</v>
      </c>
      <c r="N66" s="55">
        <v>1</v>
      </c>
      <c r="O66" s="55">
        <v>1126</v>
      </c>
      <c r="P66" s="55">
        <v>116</v>
      </c>
      <c r="Q66" s="55">
        <v>12</v>
      </c>
      <c r="R66" s="55">
        <v>1</v>
      </c>
      <c r="S66" s="55"/>
      <c r="T66" s="55"/>
      <c r="U66" s="55"/>
      <c r="V66" s="55"/>
    </row>
    <row r="67" spans="1:22" ht="15" x14ac:dyDescent="0.25">
      <c r="A67" s="54" t="str">
        <f>rebio23_80ml!A69</f>
        <v>C-B-P10-H2</v>
      </c>
      <c r="B67" s="55">
        <v>113</v>
      </c>
      <c r="C67" s="55">
        <v>12</v>
      </c>
      <c r="D67" s="55">
        <v>1</v>
      </c>
      <c r="E67" s="55"/>
      <c r="F67" s="55"/>
      <c r="G67" s="55"/>
      <c r="H67" s="55"/>
      <c r="I67" s="55"/>
      <c r="J67" s="55">
        <v>11127</v>
      </c>
      <c r="K67" s="55">
        <v>1116</v>
      </c>
      <c r="L67" s="55">
        <v>112</v>
      </c>
      <c r="M67" s="55">
        <v>11</v>
      </c>
      <c r="N67" s="55">
        <v>1</v>
      </c>
      <c r="O67" s="55">
        <v>1127</v>
      </c>
      <c r="P67" s="55">
        <v>116</v>
      </c>
      <c r="Q67" s="55">
        <v>12</v>
      </c>
      <c r="R67" s="55">
        <v>1</v>
      </c>
      <c r="S67" s="55"/>
      <c r="T67" s="55"/>
      <c r="U67" s="55"/>
      <c r="V67" s="55"/>
    </row>
    <row r="68" spans="1:22" ht="15" x14ac:dyDescent="0.25">
      <c r="A68" s="54" t="str">
        <f>rebio23_80ml!A70</f>
        <v>C-B-P10-H3</v>
      </c>
      <c r="B68" s="55">
        <v>113</v>
      </c>
      <c r="C68" s="55">
        <v>12</v>
      </c>
      <c r="D68" s="55">
        <v>1</v>
      </c>
      <c r="E68" s="55"/>
      <c r="F68" s="55"/>
      <c r="G68" s="55"/>
      <c r="H68" s="55"/>
      <c r="I68" s="55"/>
      <c r="J68" s="55">
        <v>11128</v>
      </c>
      <c r="K68" s="55">
        <v>1116</v>
      </c>
      <c r="L68" s="55">
        <v>112</v>
      </c>
      <c r="M68" s="55">
        <v>11</v>
      </c>
      <c r="N68" s="55">
        <v>1</v>
      </c>
      <c r="O68" s="55">
        <v>1128</v>
      </c>
      <c r="P68" s="55">
        <v>116</v>
      </c>
      <c r="Q68" s="55">
        <v>12</v>
      </c>
      <c r="R68" s="55">
        <v>1</v>
      </c>
      <c r="S68" s="55"/>
      <c r="T68" s="55"/>
      <c r="U68" s="55"/>
      <c r="V68" s="55"/>
    </row>
    <row r="69" spans="1:22" ht="15" x14ac:dyDescent="0.25">
      <c r="A69" s="54" t="str">
        <f>rebio23_80ml!A71</f>
        <v>C-C-P11-H1</v>
      </c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</row>
    <row r="70" spans="1:22" ht="15" x14ac:dyDescent="0.25">
      <c r="A70" s="54" t="str">
        <f>rebio23_80ml!A72</f>
        <v>C-C-P11-H2</v>
      </c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</row>
    <row r="71" spans="1:22" ht="15" x14ac:dyDescent="0.25">
      <c r="A71" s="54" t="str">
        <f>rebio23_80ml!A73</f>
        <v>C-C-P11-H3</v>
      </c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</row>
    <row r="72" spans="1:22" ht="15" x14ac:dyDescent="0.25">
      <c r="A72" s="54" t="str">
        <f>rebio23_80ml!A74</f>
        <v>C-C-P12-H1</v>
      </c>
      <c r="B72" s="55">
        <v>114</v>
      </c>
      <c r="C72" s="55">
        <v>12</v>
      </c>
      <c r="D72" s="55">
        <v>1</v>
      </c>
      <c r="E72" s="55"/>
      <c r="F72" s="55"/>
      <c r="G72" s="55"/>
      <c r="H72" s="55"/>
      <c r="I72" s="55"/>
      <c r="J72" s="55">
        <v>11129</v>
      </c>
      <c r="K72" s="55">
        <v>1117</v>
      </c>
      <c r="L72" s="55">
        <v>113</v>
      </c>
      <c r="M72" s="55">
        <v>12</v>
      </c>
      <c r="N72" s="55">
        <v>1</v>
      </c>
      <c r="O72" s="55"/>
      <c r="P72" s="55"/>
      <c r="Q72" s="55"/>
      <c r="R72" s="55"/>
      <c r="S72" s="55">
        <v>1111</v>
      </c>
      <c r="T72" s="55">
        <v>111</v>
      </c>
      <c r="U72" s="55">
        <v>11</v>
      </c>
      <c r="V72" s="55">
        <v>1</v>
      </c>
    </row>
    <row r="73" spans="1:22" ht="15" x14ac:dyDescent="0.25">
      <c r="A73" s="54" t="str">
        <f>rebio23_80ml!A75</f>
        <v>C-C-P12-H2</v>
      </c>
      <c r="B73" s="55">
        <v>114</v>
      </c>
      <c r="C73" s="55">
        <v>12</v>
      </c>
      <c r="D73" s="55">
        <v>1</v>
      </c>
      <c r="E73" s="55"/>
      <c r="F73" s="55"/>
      <c r="G73" s="55"/>
      <c r="H73" s="55"/>
      <c r="I73" s="55"/>
      <c r="J73" s="55">
        <v>11130</v>
      </c>
      <c r="K73" s="55">
        <v>1117</v>
      </c>
      <c r="L73" s="55">
        <v>113</v>
      </c>
      <c r="M73" s="55">
        <v>12</v>
      </c>
      <c r="N73" s="55">
        <v>1</v>
      </c>
      <c r="O73" s="55"/>
      <c r="P73" s="55"/>
      <c r="Q73" s="55"/>
      <c r="R73" s="55"/>
      <c r="S73" s="55">
        <v>1112</v>
      </c>
      <c r="T73" s="55">
        <v>111</v>
      </c>
      <c r="U73" s="55">
        <v>11</v>
      </c>
      <c r="V73" s="55">
        <v>1</v>
      </c>
    </row>
    <row r="74" spans="1:22" ht="15" x14ac:dyDescent="0.25">
      <c r="A74" s="54" t="str">
        <f>rebio23_80ml!A76</f>
        <v>C-C-P12-H3</v>
      </c>
      <c r="B74" s="55">
        <v>114</v>
      </c>
      <c r="C74" s="55">
        <v>12</v>
      </c>
      <c r="D74" s="55">
        <v>1</v>
      </c>
      <c r="E74" s="55"/>
      <c r="F74" s="55"/>
      <c r="G74" s="55"/>
      <c r="H74" s="55"/>
      <c r="I74" s="55"/>
      <c r="J74" s="55">
        <v>11131</v>
      </c>
      <c r="K74" s="55">
        <v>1117</v>
      </c>
      <c r="L74" s="55">
        <v>113</v>
      </c>
      <c r="M74" s="55">
        <v>12</v>
      </c>
      <c r="N74" s="55">
        <v>1</v>
      </c>
      <c r="O74" s="55"/>
      <c r="P74" s="55"/>
      <c r="Q74" s="55"/>
      <c r="R74" s="55"/>
      <c r="S74" s="55">
        <v>1113</v>
      </c>
      <c r="T74" s="55">
        <v>111</v>
      </c>
      <c r="U74" s="55">
        <v>11</v>
      </c>
      <c r="V74" s="55">
        <v>1</v>
      </c>
    </row>
    <row r="75" spans="1:22" ht="15" x14ac:dyDescent="0.25">
      <c r="A75" s="54" t="str">
        <f>rebio23_80ml!A77</f>
        <v>C-C-P13-H1</v>
      </c>
      <c r="B75" s="55">
        <v>114</v>
      </c>
      <c r="C75" s="55">
        <v>12</v>
      </c>
      <c r="D75" s="55">
        <v>1</v>
      </c>
      <c r="E75" s="55"/>
      <c r="F75" s="55"/>
      <c r="G75" s="55"/>
      <c r="H75" s="55"/>
      <c r="I75" s="55"/>
      <c r="J75" s="55">
        <v>11132</v>
      </c>
      <c r="K75" s="55">
        <v>1118</v>
      </c>
      <c r="L75" s="55">
        <v>113</v>
      </c>
      <c r="M75" s="55">
        <v>12</v>
      </c>
      <c r="N75" s="55">
        <v>1</v>
      </c>
      <c r="O75" s="55"/>
      <c r="P75" s="55"/>
      <c r="Q75" s="55"/>
      <c r="R75" s="55"/>
      <c r="S75" s="55">
        <v>1114</v>
      </c>
      <c r="T75" s="55">
        <v>112</v>
      </c>
      <c r="U75" s="55">
        <v>11</v>
      </c>
      <c r="V75" s="55">
        <v>1</v>
      </c>
    </row>
    <row r="76" spans="1:22" ht="15" x14ac:dyDescent="0.25">
      <c r="A76" s="54" t="str">
        <f>rebio23_80ml!A78</f>
        <v>C-C-P13-H2</v>
      </c>
      <c r="B76" s="55">
        <v>114</v>
      </c>
      <c r="C76" s="55">
        <v>12</v>
      </c>
      <c r="D76" s="55">
        <v>1</v>
      </c>
      <c r="E76" s="55"/>
      <c r="F76" s="55"/>
      <c r="G76" s="55"/>
      <c r="H76" s="55"/>
      <c r="I76" s="55"/>
      <c r="J76" s="55">
        <v>11133</v>
      </c>
      <c r="K76" s="55">
        <v>1118</v>
      </c>
      <c r="L76" s="55">
        <v>113</v>
      </c>
      <c r="M76" s="55">
        <v>12</v>
      </c>
      <c r="N76" s="55">
        <v>1</v>
      </c>
      <c r="O76" s="55"/>
      <c r="P76" s="55"/>
      <c r="Q76" s="55"/>
      <c r="R76" s="55"/>
      <c r="S76" s="55">
        <v>1115</v>
      </c>
      <c r="T76" s="55">
        <v>112</v>
      </c>
      <c r="U76" s="55">
        <v>11</v>
      </c>
      <c r="V76" s="55">
        <v>1</v>
      </c>
    </row>
    <row r="77" spans="1:22" ht="15" x14ac:dyDescent="0.25">
      <c r="A77" s="54" t="str">
        <f>rebio23_80ml!A79</f>
        <v>C-C-P13-H3</v>
      </c>
      <c r="B77" s="55">
        <v>114</v>
      </c>
      <c r="C77" s="55">
        <v>12</v>
      </c>
      <c r="D77" s="55">
        <v>1</v>
      </c>
      <c r="E77" s="55"/>
      <c r="F77" s="55"/>
      <c r="G77" s="55"/>
      <c r="H77" s="55"/>
      <c r="I77" s="55"/>
      <c r="J77" s="55">
        <v>11134</v>
      </c>
      <c r="K77" s="55">
        <v>1118</v>
      </c>
      <c r="L77" s="55">
        <v>113</v>
      </c>
      <c r="M77" s="55">
        <v>12</v>
      </c>
      <c r="N77" s="55">
        <v>1</v>
      </c>
      <c r="O77" s="55"/>
      <c r="P77" s="55"/>
      <c r="Q77" s="55"/>
      <c r="R77" s="55"/>
      <c r="S77" s="55">
        <v>1116</v>
      </c>
      <c r="T77" s="55">
        <v>112</v>
      </c>
      <c r="U77" s="55">
        <v>11</v>
      </c>
      <c r="V77" s="55">
        <v>1</v>
      </c>
    </row>
    <row r="78" spans="1:22" ht="15" x14ac:dyDescent="0.25">
      <c r="A78" s="54" t="str">
        <f>rebio23_80ml!A80</f>
        <v>C-C-P14-H1</v>
      </c>
      <c r="B78" s="55">
        <v>114</v>
      </c>
      <c r="C78" s="55">
        <v>12</v>
      </c>
      <c r="D78" s="55">
        <v>1</v>
      </c>
      <c r="E78" s="55"/>
      <c r="F78" s="55"/>
      <c r="G78" s="55"/>
      <c r="H78" s="55"/>
      <c r="I78" s="55"/>
      <c r="J78" s="55">
        <v>11135</v>
      </c>
      <c r="K78" s="55">
        <v>1119</v>
      </c>
      <c r="L78" s="55">
        <v>113</v>
      </c>
      <c r="M78" s="55">
        <v>12</v>
      </c>
      <c r="N78" s="55">
        <v>1</v>
      </c>
      <c r="O78" s="55"/>
      <c r="P78" s="55"/>
      <c r="Q78" s="55"/>
      <c r="R78" s="55"/>
      <c r="S78" s="55">
        <v>1117</v>
      </c>
      <c r="T78" s="55">
        <v>113</v>
      </c>
      <c r="U78" s="55">
        <v>11</v>
      </c>
      <c r="V78" s="55">
        <v>1</v>
      </c>
    </row>
    <row r="79" spans="1:22" ht="15" x14ac:dyDescent="0.25">
      <c r="A79" s="54" t="str">
        <f>rebio23_80ml!A81</f>
        <v>C-C-P14-H2</v>
      </c>
      <c r="B79" s="55">
        <v>114</v>
      </c>
      <c r="C79" s="55">
        <v>12</v>
      </c>
      <c r="D79" s="55">
        <v>1</v>
      </c>
      <c r="E79" s="55"/>
      <c r="F79" s="55"/>
      <c r="G79" s="55"/>
      <c r="H79" s="55"/>
      <c r="I79" s="55"/>
      <c r="J79" s="55">
        <v>11136</v>
      </c>
      <c r="K79" s="55">
        <v>1119</v>
      </c>
      <c r="L79" s="55">
        <v>113</v>
      </c>
      <c r="M79" s="55">
        <v>12</v>
      </c>
      <c r="N79" s="55">
        <v>1</v>
      </c>
      <c r="O79" s="55"/>
      <c r="P79" s="55"/>
      <c r="Q79" s="55"/>
      <c r="R79" s="55"/>
      <c r="S79" s="55">
        <v>1118</v>
      </c>
      <c r="T79" s="55">
        <v>113</v>
      </c>
      <c r="U79" s="55">
        <v>11</v>
      </c>
      <c r="V79" s="55">
        <v>1</v>
      </c>
    </row>
    <row r="80" spans="1:22" ht="15" x14ac:dyDescent="0.25">
      <c r="A80" s="54" t="str">
        <f>rebio23_80ml!A82</f>
        <v>C-C-P14-H3</v>
      </c>
      <c r="B80" s="55">
        <v>114</v>
      </c>
      <c r="C80" s="55">
        <v>12</v>
      </c>
      <c r="D80" s="55">
        <v>1</v>
      </c>
      <c r="E80" s="55"/>
      <c r="F80" s="55"/>
      <c r="G80" s="55"/>
      <c r="H80" s="55"/>
      <c r="I80" s="55"/>
      <c r="J80" s="55">
        <v>11137</v>
      </c>
      <c r="K80" s="55">
        <v>1119</v>
      </c>
      <c r="L80" s="55">
        <v>113</v>
      </c>
      <c r="M80" s="55">
        <v>12</v>
      </c>
      <c r="N80" s="55">
        <v>1</v>
      </c>
      <c r="O80" s="55"/>
      <c r="P80" s="55"/>
      <c r="Q80" s="55"/>
      <c r="R80" s="55"/>
      <c r="S80" s="55">
        <v>1119</v>
      </c>
      <c r="T80" s="55">
        <v>113</v>
      </c>
      <c r="U80" s="55">
        <v>11</v>
      </c>
      <c r="V80" s="55">
        <v>1</v>
      </c>
    </row>
    <row r="81" spans="1:22" ht="15" x14ac:dyDescent="0.25">
      <c r="A81" s="54" t="str">
        <f>rebio23_80ml!A83</f>
        <v>C-C-P15-H1</v>
      </c>
      <c r="B81" s="55">
        <v>114</v>
      </c>
      <c r="C81" s="55">
        <v>12</v>
      </c>
      <c r="D81" s="55">
        <v>1</v>
      </c>
      <c r="E81" s="55"/>
      <c r="F81" s="55"/>
      <c r="G81" s="55"/>
      <c r="H81" s="55"/>
      <c r="I81" s="55"/>
      <c r="J81" s="55">
        <v>11138</v>
      </c>
      <c r="K81" s="55">
        <v>1120</v>
      </c>
      <c r="L81" s="55">
        <v>113</v>
      </c>
      <c r="M81" s="55">
        <v>12</v>
      </c>
      <c r="N81" s="55">
        <v>1</v>
      </c>
      <c r="O81" s="55"/>
      <c r="P81" s="55"/>
      <c r="Q81" s="55"/>
      <c r="R81" s="55"/>
      <c r="S81" s="55">
        <v>1120</v>
      </c>
      <c r="T81" s="55">
        <v>114</v>
      </c>
      <c r="U81" s="55">
        <v>11</v>
      </c>
      <c r="V81" s="55">
        <v>1</v>
      </c>
    </row>
    <row r="82" spans="1:22" ht="15" x14ac:dyDescent="0.25">
      <c r="A82" s="54" t="str">
        <f>rebio23_80ml!A84</f>
        <v>C-C-P15-H2</v>
      </c>
      <c r="B82" s="55">
        <v>114</v>
      </c>
      <c r="C82" s="55">
        <v>12</v>
      </c>
      <c r="D82" s="55">
        <v>1</v>
      </c>
      <c r="E82" s="55"/>
      <c r="F82" s="55"/>
      <c r="G82" s="55"/>
      <c r="H82" s="55"/>
      <c r="I82" s="55"/>
      <c r="J82" s="55">
        <v>11139</v>
      </c>
      <c r="K82" s="55">
        <v>1120</v>
      </c>
      <c r="L82" s="55">
        <v>113</v>
      </c>
      <c r="M82" s="55">
        <v>12</v>
      </c>
      <c r="N82" s="55">
        <v>1</v>
      </c>
      <c r="O82" s="55"/>
      <c r="P82" s="55"/>
      <c r="Q82" s="55"/>
      <c r="R82" s="55"/>
      <c r="S82" s="55">
        <v>1121</v>
      </c>
      <c r="T82" s="55">
        <v>114</v>
      </c>
      <c r="U82" s="55">
        <v>11</v>
      </c>
      <c r="V82" s="55">
        <v>1</v>
      </c>
    </row>
    <row r="83" spans="1:22" ht="15" x14ac:dyDescent="0.25">
      <c r="A83" s="54" t="str">
        <f>rebio23_80ml!A85</f>
        <v>C-C-P15-H3</v>
      </c>
      <c r="B83" s="55">
        <v>114</v>
      </c>
      <c r="C83" s="55">
        <v>12</v>
      </c>
      <c r="D83" s="55">
        <v>1</v>
      </c>
      <c r="E83" s="55"/>
      <c r="F83" s="55"/>
      <c r="G83" s="55"/>
      <c r="H83" s="55"/>
      <c r="I83" s="55"/>
      <c r="J83" s="55">
        <v>11140</v>
      </c>
      <c r="K83" s="55">
        <v>1120</v>
      </c>
      <c r="L83" s="55">
        <v>113</v>
      </c>
      <c r="M83" s="55">
        <v>12</v>
      </c>
      <c r="N83" s="55">
        <v>1</v>
      </c>
      <c r="O83" s="55"/>
      <c r="P83" s="55"/>
      <c r="Q83" s="55"/>
      <c r="R83" s="55"/>
      <c r="S83" s="55">
        <v>1122</v>
      </c>
      <c r="T83" s="55">
        <v>114</v>
      </c>
      <c r="U83" s="55">
        <v>11</v>
      </c>
      <c r="V83" s="55">
        <v>1</v>
      </c>
    </row>
    <row r="84" spans="1:22" ht="15" x14ac:dyDescent="0.25">
      <c r="A84" s="54" t="str">
        <f>rebio23_80ml!A86</f>
        <v>C-C-P16-H1</v>
      </c>
      <c r="B84" s="55">
        <v>114</v>
      </c>
      <c r="C84" s="55">
        <v>12</v>
      </c>
      <c r="D84" s="55">
        <v>1</v>
      </c>
      <c r="E84" s="55"/>
      <c r="F84" s="55"/>
      <c r="G84" s="55"/>
      <c r="H84" s="55"/>
      <c r="I84" s="55"/>
      <c r="J84" s="55">
        <v>11141</v>
      </c>
      <c r="K84" s="55">
        <v>1121</v>
      </c>
      <c r="L84" s="55">
        <v>113</v>
      </c>
      <c r="M84" s="55">
        <v>12</v>
      </c>
      <c r="N84" s="55">
        <v>1</v>
      </c>
      <c r="O84" s="55"/>
      <c r="P84" s="55"/>
      <c r="Q84" s="55"/>
      <c r="R84" s="55"/>
      <c r="S84" s="55">
        <v>1123</v>
      </c>
      <c r="T84" s="55">
        <v>115</v>
      </c>
      <c r="U84" s="55">
        <v>11</v>
      </c>
      <c r="V84" s="55">
        <v>1</v>
      </c>
    </row>
    <row r="85" spans="1:22" ht="15" x14ac:dyDescent="0.25">
      <c r="A85" s="54" t="str">
        <f>rebio23_80ml!A87</f>
        <v>C-C-P16-H2</v>
      </c>
      <c r="B85" s="55">
        <v>114</v>
      </c>
      <c r="C85" s="55">
        <v>12</v>
      </c>
      <c r="D85" s="55">
        <v>1</v>
      </c>
      <c r="E85" s="55"/>
      <c r="F85" s="55"/>
      <c r="G85" s="55"/>
      <c r="H85" s="55"/>
      <c r="I85" s="55"/>
      <c r="J85" s="55">
        <v>11142</v>
      </c>
      <c r="K85" s="55">
        <v>1121</v>
      </c>
      <c r="L85" s="55">
        <v>113</v>
      </c>
      <c r="M85" s="55">
        <v>12</v>
      </c>
      <c r="N85" s="55">
        <v>1</v>
      </c>
      <c r="O85" s="55"/>
      <c r="P85" s="55"/>
      <c r="Q85" s="55"/>
      <c r="R85" s="55"/>
      <c r="S85" s="55">
        <v>1124</v>
      </c>
      <c r="T85" s="55">
        <v>115</v>
      </c>
      <c r="U85" s="55">
        <v>11</v>
      </c>
      <c r="V85" s="55">
        <v>1</v>
      </c>
    </row>
    <row r="86" spans="1:22" ht="15" x14ac:dyDescent="0.25">
      <c r="A86" s="54" t="str">
        <f>rebio23_80ml!A88</f>
        <v>C-C-P16-H3</v>
      </c>
      <c r="B86" s="55">
        <v>114</v>
      </c>
      <c r="C86" s="55">
        <v>12</v>
      </c>
      <c r="D86" s="55">
        <v>1</v>
      </c>
      <c r="E86" s="55"/>
      <c r="F86" s="55"/>
      <c r="G86" s="55"/>
      <c r="H86" s="55"/>
      <c r="I86" s="55"/>
      <c r="J86" s="55">
        <v>11143</v>
      </c>
      <c r="K86" s="55">
        <v>1121</v>
      </c>
      <c r="L86" s="55">
        <v>113</v>
      </c>
      <c r="M86" s="55">
        <v>12</v>
      </c>
      <c r="N86" s="55">
        <v>1</v>
      </c>
      <c r="O86" s="55"/>
      <c r="P86" s="55"/>
      <c r="Q86" s="55"/>
      <c r="R86" s="55"/>
      <c r="S86" s="55">
        <v>1125</v>
      </c>
      <c r="T86" s="55">
        <v>115</v>
      </c>
      <c r="U86" s="55">
        <v>11</v>
      </c>
      <c r="V86" s="55">
        <v>1</v>
      </c>
    </row>
    <row r="87" spans="1:22" ht="15" x14ac:dyDescent="0.25">
      <c r="A87" s="54" t="str">
        <f>rebio23_80ml!A89</f>
        <v>C-C-P17-H1</v>
      </c>
      <c r="B87" s="55">
        <v>114</v>
      </c>
      <c r="C87" s="55">
        <v>12</v>
      </c>
      <c r="D87" s="55">
        <v>1</v>
      </c>
      <c r="E87" s="55"/>
      <c r="F87" s="55"/>
      <c r="G87" s="55"/>
      <c r="H87" s="55"/>
      <c r="I87" s="55"/>
      <c r="J87" s="55">
        <v>11144</v>
      </c>
      <c r="K87" s="55">
        <v>1122</v>
      </c>
      <c r="L87" s="55">
        <v>114</v>
      </c>
      <c r="M87" s="55">
        <v>12</v>
      </c>
      <c r="N87" s="55">
        <v>1</v>
      </c>
      <c r="O87" s="55"/>
      <c r="P87" s="55"/>
      <c r="Q87" s="55"/>
      <c r="R87" s="55"/>
      <c r="S87" s="55">
        <v>1126</v>
      </c>
      <c r="T87" s="55">
        <v>116</v>
      </c>
      <c r="U87" s="55">
        <v>12</v>
      </c>
      <c r="V87" s="55">
        <v>1</v>
      </c>
    </row>
    <row r="88" spans="1:22" ht="15" x14ac:dyDescent="0.25">
      <c r="A88" s="54" t="str">
        <f>rebio23_80ml!A90</f>
        <v>C-C-P17-H2</v>
      </c>
      <c r="B88" s="55">
        <v>114</v>
      </c>
      <c r="C88" s="55">
        <v>12</v>
      </c>
      <c r="D88" s="55">
        <v>1</v>
      </c>
      <c r="E88" s="55"/>
      <c r="F88" s="55"/>
      <c r="G88" s="55"/>
      <c r="H88" s="55"/>
      <c r="I88" s="55"/>
      <c r="J88" s="55">
        <v>11145</v>
      </c>
      <c r="K88" s="55">
        <v>1122</v>
      </c>
      <c r="L88" s="55">
        <v>114</v>
      </c>
      <c r="M88" s="55">
        <v>12</v>
      </c>
      <c r="N88" s="55">
        <v>1</v>
      </c>
      <c r="O88" s="55"/>
      <c r="P88" s="55"/>
      <c r="Q88" s="55"/>
      <c r="R88" s="55"/>
      <c r="S88" s="55">
        <v>1127</v>
      </c>
      <c r="T88" s="55">
        <v>116</v>
      </c>
      <c r="U88" s="55">
        <v>12</v>
      </c>
      <c r="V88" s="55">
        <v>1</v>
      </c>
    </row>
    <row r="89" spans="1:22" ht="15" x14ac:dyDescent="0.25">
      <c r="A89" s="54" t="str">
        <f>rebio23_80ml!A91</f>
        <v>C-C-P17-H3</v>
      </c>
      <c r="B89" s="55">
        <v>114</v>
      </c>
      <c r="C89" s="55">
        <v>12</v>
      </c>
      <c r="D89" s="55">
        <v>1</v>
      </c>
      <c r="E89" s="55"/>
      <c r="F89" s="55"/>
      <c r="G89" s="55"/>
      <c r="H89" s="55"/>
      <c r="I89" s="55"/>
      <c r="J89" s="55">
        <v>11146</v>
      </c>
      <c r="K89" s="55">
        <v>1122</v>
      </c>
      <c r="L89" s="55">
        <v>114</v>
      </c>
      <c r="M89" s="55">
        <v>12</v>
      </c>
      <c r="N89" s="55">
        <v>1</v>
      </c>
      <c r="O89" s="55"/>
      <c r="P89" s="55"/>
      <c r="Q89" s="55"/>
      <c r="R89" s="55"/>
      <c r="S89" s="55">
        <v>1128</v>
      </c>
      <c r="T89" s="55">
        <v>116</v>
      </c>
      <c r="U89" s="55">
        <v>12</v>
      </c>
      <c r="V89" s="55">
        <v>1</v>
      </c>
    </row>
    <row r="90" spans="1:22" ht="15" x14ac:dyDescent="0.25">
      <c r="A90" s="54" t="str">
        <f>rebio23_80ml!A92</f>
        <v>C-C-P18-H1</v>
      </c>
      <c r="B90" s="55">
        <v>114</v>
      </c>
      <c r="C90" s="55">
        <v>12</v>
      </c>
      <c r="D90" s="55">
        <v>1</v>
      </c>
      <c r="E90" s="55"/>
      <c r="F90" s="55"/>
      <c r="G90" s="55"/>
      <c r="H90" s="55"/>
      <c r="I90" s="55"/>
      <c r="J90" s="55">
        <v>11147</v>
      </c>
      <c r="K90" s="55">
        <v>1123</v>
      </c>
      <c r="L90" s="55">
        <v>114</v>
      </c>
      <c r="M90" s="55">
        <v>12</v>
      </c>
      <c r="N90" s="55">
        <v>1</v>
      </c>
      <c r="O90" s="55"/>
      <c r="P90" s="55"/>
      <c r="Q90" s="55"/>
      <c r="R90" s="55"/>
      <c r="S90" s="55">
        <v>1129</v>
      </c>
      <c r="T90" s="55">
        <v>117</v>
      </c>
      <c r="U90" s="55">
        <v>12</v>
      </c>
      <c r="V90" s="55">
        <v>1</v>
      </c>
    </row>
    <row r="91" spans="1:22" ht="15" x14ac:dyDescent="0.25">
      <c r="A91" s="54" t="str">
        <f>rebio23_80ml!A93</f>
        <v>C-C-P18-H2</v>
      </c>
      <c r="B91" s="55">
        <v>114</v>
      </c>
      <c r="C91" s="55">
        <v>12</v>
      </c>
      <c r="D91" s="55">
        <v>1</v>
      </c>
      <c r="E91" s="55"/>
      <c r="F91" s="55"/>
      <c r="G91" s="55"/>
      <c r="H91" s="55"/>
      <c r="I91" s="55"/>
      <c r="J91" s="55">
        <v>11148</v>
      </c>
      <c r="K91" s="55">
        <v>1123</v>
      </c>
      <c r="L91" s="55">
        <v>114</v>
      </c>
      <c r="M91" s="55">
        <v>12</v>
      </c>
      <c r="N91" s="55">
        <v>1</v>
      </c>
      <c r="O91" s="55"/>
      <c r="P91" s="55"/>
      <c r="Q91" s="55"/>
      <c r="R91" s="55"/>
      <c r="S91" s="55">
        <v>1130</v>
      </c>
      <c r="T91" s="55">
        <v>117</v>
      </c>
      <c r="U91" s="55">
        <v>12</v>
      </c>
      <c r="V91" s="55">
        <v>1</v>
      </c>
    </row>
    <row r="92" spans="1:22" ht="15" x14ac:dyDescent="0.25">
      <c r="A92" s="54" t="str">
        <f>rebio23_80ml!A94</f>
        <v>C-C-P18-H3</v>
      </c>
      <c r="B92" s="55">
        <v>114</v>
      </c>
      <c r="C92" s="55">
        <v>12</v>
      </c>
      <c r="D92" s="55">
        <v>1</v>
      </c>
      <c r="E92" s="55"/>
      <c r="F92" s="55"/>
      <c r="G92" s="55"/>
      <c r="H92" s="55"/>
      <c r="I92" s="55"/>
      <c r="J92" s="55">
        <v>11149</v>
      </c>
      <c r="K92" s="55">
        <v>1123</v>
      </c>
      <c r="L92" s="55">
        <v>114</v>
      </c>
      <c r="M92" s="55">
        <v>12</v>
      </c>
      <c r="N92" s="55">
        <v>1</v>
      </c>
      <c r="O92" s="55"/>
      <c r="P92" s="55"/>
      <c r="Q92" s="55"/>
      <c r="R92" s="55"/>
      <c r="S92" s="55">
        <v>1131</v>
      </c>
      <c r="T92" s="55">
        <v>117</v>
      </c>
      <c r="U92" s="55">
        <v>12</v>
      </c>
      <c r="V92" s="55">
        <v>1</v>
      </c>
    </row>
    <row r="93" spans="1:22" ht="15" x14ac:dyDescent="0.25">
      <c r="A93" s="54" t="str">
        <f>rebio23_80ml!A95</f>
        <v>C-C-P19-H1</v>
      </c>
      <c r="B93" s="55">
        <v>114</v>
      </c>
      <c r="C93" s="55">
        <v>12</v>
      </c>
      <c r="D93" s="55">
        <v>1</v>
      </c>
      <c r="E93" s="55"/>
      <c r="F93" s="55"/>
      <c r="G93" s="55"/>
      <c r="H93" s="55"/>
      <c r="I93" s="55"/>
      <c r="J93" s="55">
        <v>11150</v>
      </c>
      <c r="K93" s="55">
        <v>1124</v>
      </c>
      <c r="L93" s="55">
        <v>114</v>
      </c>
      <c r="M93" s="55">
        <v>12</v>
      </c>
      <c r="N93" s="55">
        <v>1</v>
      </c>
      <c r="O93" s="55"/>
      <c r="P93" s="55"/>
      <c r="Q93" s="55"/>
      <c r="R93" s="55"/>
      <c r="S93" s="55">
        <v>1132</v>
      </c>
      <c r="T93" s="55">
        <v>118</v>
      </c>
      <c r="U93" s="55">
        <v>12</v>
      </c>
      <c r="V93" s="55">
        <v>1</v>
      </c>
    </row>
    <row r="94" spans="1:22" ht="15" x14ac:dyDescent="0.25">
      <c r="A94" s="54" t="str">
        <f>rebio23_80ml!A96</f>
        <v>C-C-P19-H2</v>
      </c>
      <c r="B94" s="55">
        <v>114</v>
      </c>
      <c r="C94" s="55">
        <v>12</v>
      </c>
      <c r="D94" s="55">
        <v>1</v>
      </c>
      <c r="E94" s="55"/>
      <c r="F94" s="55"/>
      <c r="G94" s="55"/>
      <c r="H94" s="55"/>
      <c r="I94" s="55"/>
      <c r="J94" s="55">
        <v>11151</v>
      </c>
      <c r="K94" s="55">
        <v>1124</v>
      </c>
      <c r="L94" s="55">
        <v>114</v>
      </c>
      <c r="M94" s="55">
        <v>12</v>
      </c>
      <c r="N94" s="55">
        <v>1</v>
      </c>
      <c r="O94" s="55"/>
      <c r="P94" s="55"/>
      <c r="Q94" s="55"/>
      <c r="R94" s="55"/>
      <c r="S94" s="55">
        <v>1133</v>
      </c>
      <c r="T94" s="55">
        <v>118</v>
      </c>
      <c r="U94" s="55">
        <v>12</v>
      </c>
      <c r="V94" s="55">
        <v>1</v>
      </c>
    </row>
    <row r="95" spans="1:22" ht="15" x14ac:dyDescent="0.25">
      <c r="A95" s="54" t="str">
        <f>rebio23_80ml!A97</f>
        <v>C-C-P19-H3</v>
      </c>
      <c r="B95" s="55">
        <v>114</v>
      </c>
      <c r="C95" s="55">
        <v>12</v>
      </c>
      <c r="D95" s="55">
        <v>1</v>
      </c>
      <c r="E95" s="55"/>
      <c r="F95" s="55"/>
      <c r="G95" s="55"/>
      <c r="H95" s="55"/>
      <c r="I95" s="55"/>
      <c r="J95" s="55">
        <v>11152</v>
      </c>
      <c r="K95" s="55">
        <v>1124</v>
      </c>
      <c r="L95" s="55">
        <v>114</v>
      </c>
      <c r="M95" s="55">
        <v>12</v>
      </c>
      <c r="N95" s="55">
        <v>1</v>
      </c>
      <c r="O95" s="55"/>
      <c r="P95" s="55"/>
      <c r="Q95" s="55"/>
      <c r="R95" s="55"/>
      <c r="S95" s="55">
        <v>1134</v>
      </c>
      <c r="T95" s="55">
        <v>118</v>
      </c>
      <c r="U95" s="55">
        <v>12</v>
      </c>
      <c r="V95" s="55">
        <v>1</v>
      </c>
    </row>
    <row r="96" spans="1:22" ht="15.75" customHeight="1" x14ac:dyDescent="0.25">
      <c r="A96" s="54" t="str">
        <f>rebio23_80ml!A98</f>
        <v>C-C-P20-H1</v>
      </c>
      <c r="B96" s="55">
        <v>114</v>
      </c>
      <c r="C96" s="55">
        <v>12</v>
      </c>
      <c r="D96" s="55">
        <v>1</v>
      </c>
      <c r="E96" s="55"/>
      <c r="F96" s="55"/>
      <c r="G96" s="55"/>
      <c r="H96" s="55"/>
      <c r="I96" s="55"/>
      <c r="J96" s="55">
        <v>11153</v>
      </c>
      <c r="K96" s="55">
        <v>1125</v>
      </c>
      <c r="L96" s="55">
        <v>114</v>
      </c>
      <c r="M96" s="55">
        <v>12</v>
      </c>
      <c r="N96" s="55">
        <v>1</v>
      </c>
      <c r="O96" s="55"/>
      <c r="P96" s="55"/>
      <c r="Q96" s="55"/>
      <c r="R96" s="55"/>
      <c r="S96" s="55">
        <v>1135</v>
      </c>
      <c r="T96" s="55">
        <v>119</v>
      </c>
      <c r="U96" s="55">
        <v>12</v>
      </c>
      <c r="V96" s="55">
        <v>1</v>
      </c>
    </row>
    <row r="97" spans="1:22" ht="15.75" customHeight="1" x14ac:dyDescent="0.25">
      <c r="A97" s="54" t="str">
        <f>rebio23_80ml!A99</f>
        <v>C-C-P20-H2</v>
      </c>
      <c r="B97" s="55">
        <v>114</v>
      </c>
      <c r="C97" s="55">
        <v>12</v>
      </c>
      <c r="D97" s="55">
        <v>1</v>
      </c>
      <c r="E97" s="55"/>
      <c r="F97" s="55"/>
      <c r="G97" s="55"/>
      <c r="H97" s="55"/>
      <c r="I97" s="55"/>
      <c r="J97" s="55">
        <v>11154</v>
      </c>
      <c r="K97" s="55">
        <v>1125</v>
      </c>
      <c r="L97" s="55">
        <v>114</v>
      </c>
      <c r="M97" s="55">
        <v>12</v>
      </c>
      <c r="N97" s="55">
        <v>1</v>
      </c>
      <c r="O97" s="55"/>
      <c r="P97" s="55"/>
      <c r="Q97" s="55"/>
      <c r="R97" s="55"/>
      <c r="S97" s="55">
        <v>1136</v>
      </c>
      <c r="T97" s="55">
        <v>119</v>
      </c>
      <c r="U97" s="55">
        <v>12</v>
      </c>
      <c r="V97" s="55">
        <v>1</v>
      </c>
    </row>
    <row r="98" spans="1:22" ht="15.75" customHeight="1" x14ac:dyDescent="0.25">
      <c r="A98" s="54" t="str">
        <f>rebio23_80ml!A100</f>
        <v>C-C-P20-H3</v>
      </c>
      <c r="B98" s="55">
        <v>114</v>
      </c>
      <c r="C98" s="55">
        <v>12</v>
      </c>
      <c r="D98" s="55">
        <v>1</v>
      </c>
      <c r="E98" s="55"/>
      <c r="F98" s="55"/>
      <c r="G98" s="55"/>
      <c r="H98" s="55"/>
      <c r="I98" s="55"/>
      <c r="J98" s="55">
        <v>11155</v>
      </c>
      <c r="K98" s="55">
        <v>1125</v>
      </c>
      <c r="L98" s="55">
        <v>114</v>
      </c>
      <c r="M98" s="55">
        <v>12</v>
      </c>
      <c r="N98" s="55">
        <v>1</v>
      </c>
      <c r="O98" s="55"/>
      <c r="P98" s="55"/>
      <c r="Q98" s="55"/>
      <c r="R98" s="55"/>
      <c r="S98" s="55">
        <v>1137</v>
      </c>
      <c r="T98" s="55">
        <v>119</v>
      </c>
      <c r="U98" s="55">
        <v>12</v>
      </c>
      <c r="V98" s="55">
        <v>1</v>
      </c>
    </row>
    <row r="1048575" ht="15" x14ac:dyDescent="0.25"/>
    <row r="1048576" ht="15" x14ac:dyDescent="0.25"/>
  </sheetData>
  <mergeCells count="5">
    <mergeCell ref="B1:D1"/>
    <mergeCell ref="E1:I1"/>
    <mergeCell ref="J1:N1"/>
    <mergeCell ref="O1:R1"/>
    <mergeCell ref="S1:V1"/>
  </mergeCell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525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escalas_final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created xsi:type="dcterms:W3CDTF">2026-09-24T15:21:39Z</dcterms:created>
  <dcterms:modified xsi:type="dcterms:W3CDTF">2026-10-04T23:29:42Z</dcterms:modified>
  <dc:language>pt-BR</dc:language>
</cp:coreProperties>
</file>