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80d9b848b88e342/MSS/_Zoo-Rebio/ZooRebio3-23_24/rebio23-part/dados/"/>
    </mc:Choice>
  </mc:AlternateContent>
  <xr:revisionPtr revIDLastSave="306" documentId="8_{3F5A86CD-7606-47D4-931D-30BD1EAC09D6}" xr6:coauthVersionLast="47" xr6:coauthVersionMax="47" xr10:uidLastSave="{16485D47-CF40-4C50-9EFF-5295062F875D}"/>
  <bookViews>
    <workbookView xWindow="-120" yWindow="-120" windowWidth="29040" windowHeight="15720" tabRatio="779" activeTab="6" xr2:uid="{00000000-000D-0000-FFFF-FFFF00000000}"/>
  </bookViews>
  <sheets>
    <sheet name="contagens" sheetId="1" r:id="rId1"/>
    <sheet name="rebio23_80ml" sheetId="2" r:id="rId2"/>
    <sheet name="densidade_hab_indL" sheetId="3" r:id="rId3"/>
    <sheet name="densidade_ponto_indL" sheetId="4" r:id="rId4"/>
    <sheet name="codes" sheetId="5" r:id="rId5"/>
    <sheet name="Espécies" sheetId="6" r:id="rId6"/>
    <sheet name="escalas_final" sheetId="10" r:id="rId7"/>
    <sheet name="&lt;-- AQUI" sheetId="9" r:id="rId8"/>
  </sheets>
  <definedNames>
    <definedName name="Excel_BuiltIn__FilterDatabase" localSheetId="2">densidade_hab_indL!$A$1:$D$49</definedName>
    <definedName name="Excel_BuiltIn__FilterDatabase" localSheetId="1">rebio23_80ml!$A$3:$CM$104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A98" i="10" l="1"/>
  <c r="A97" i="10"/>
  <c r="A96" i="10"/>
  <c r="A95" i="10"/>
  <c r="A94" i="10"/>
  <c r="A93" i="10"/>
  <c r="A92" i="10"/>
  <c r="A91" i="10"/>
  <c r="A90" i="10"/>
  <c r="A89" i="10"/>
  <c r="A88" i="10"/>
  <c r="A87" i="10"/>
  <c r="A86" i="10"/>
  <c r="A85" i="10"/>
  <c r="A84" i="10"/>
  <c r="A83" i="10"/>
  <c r="A82" i="10"/>
  <c r="A81" i="10"/>
  <c r="A80" i="10"/>
  <c r="A79" i="10"/>
  <c r="A78" i="10"/>
  <c r="A77" i="10"/>
  <c r="A76" i="10"/>
  <c r="A75" i="10"/>
  <c r="A74" i="10"/>
  <c r="A73" i="10"/>
  <c r="A72" i="10"/>
  <c r="A71" i="10"/>
  <c r="A70" i="10"/>
  <c r="A69" i="10"/>
  <c r="A68" i="10"/>
  <c r="A67" i="10"/>
  <c r="A66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A2" i="2"/>
  <c r="BG22" i="3"/>
  <c r="BF22" i="3"/>
  <c r="BE22" i="3"/>
  <c r="BD22" i="3"/>
  <c r="BC22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P22" i="3"/>
  <c r="O22" i="3"/>
  <c r="N22" i="3"/>
  <c r="M22" i="3"/>
  <c r="L22" i="3"/>
  <c r="K22" i="3"/>
  <c r="J22" i="3"/>
  <c r="I22" i="3"/>
  <c r="H22" i="3"/>
  <c r="G22" i="3"/>
  <c r="F22" i="3"/>
  <c r="E22" i="3"/>
  <c r="D22" i="3"/>
  <c r="C22" i="3"/>
  <c r="B22" i="3"/>
  <c r="BG21" i="3"/>
  <c r="BF21" i="3"/>
  <c r="BE21" i="3"/>
  <c r="BD21" i="3"/>
  <c r="BC21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P21" i="3"/>
  <c r="O21" i="3"/>
  <c r="N21" i="3"/>
  <c r="M21" i="3"/>
  <c r="L21" i="3"/>
  <c r="K21" i="3"/>
  <c r="J21" i="3"/>
  <c r="I21" i="3"/>
  <c r="H21" i="3"/>
  <c r="G21" i="3"/>
  <c r="F21" i="3"/>
  <c r="E21" i="3"/>
  <c r="D21" i="3"/>
  <c r="C21" i="3"/>
  <c r="B21" i="3"/>
  <c r="BG20" i="3"/>
  <c r="BF20" i="3"/>
  <c r="BE20" i="3"/>
  <c r="BD20" i="3"/>
  <c r="BC20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P20" i="3"/>
  <c r="O20" i="3"/>
  <c r="N20" i="3"/>
  <c r="M20" i="3"/>
  <c r="L20" i="3"/>
  <c r="K20" i="3"/>
  <c r="J20" i="3"/>
  <c r="I20" i="3"/>
  <c r="H20" i="3"/>
  <c r="G20" i="3"/>
  <c r="F20" i="3"/>
  <c r="E20" i="3"/>
  <c r="D20" i="3"/>
  <c r="C20" i="3"/>
  <c r="B20" i="3"/>
  <c r="N90" i="6"/>
  <c r="N87" i="6"/>
  <c r="N86" i="6"/>
  <c r="N85" i="6"/>
  <c r="N82" i="6"/>
  <c r="N81" i="6"/>
  <c r="N79" i="6"/>
  <c r="N77" i="6"/>
  <c r="N75" i="6"/>
  <c r="N74" i="6"/>
  <c r="N72" i="6"/>
  <c r="N71" i="6"/>
  <c r="N70" i="6"/>
  <c r="N68" i="6"/>
  <c r="N67" i="6"/>
  <c r="N66" i="6"/>
  <c r="N65" i="6"/>
  <c r="N64" i="6"/>
  <c r="N59" i="6"/>
  <c r="N57" i="6"/>
  <c r="N56" i="6"/>
  <c r="N54" i="6"/>
  <c r="N52" i="6"/>
  <c r="N50" i="6"/>
  <c r="N49" i="6"/>
  <c r="N48" i="6"/>
  <c r="N46" i="6"/>
  <c r="N44" i="6"/>
  <c r="N43" i="6"/>
  <c r="N42" i="6"/>
  <c r="N41" i="6"/>
  <c r="N39" i="6"/>
  <c r="N37" i="6"/>
  <c r="N36" i="6"/>
  <c r="N35" i="6"/>
  <c r="N34" i="6"/>
  <c r="N32" i="6"/>
  <c r="N31" i="6"/>
  <c r="N30" i="6"/>
  <c r="N28" i="6"/>
  <c r="N27" i="6"/>
  <c r="N26" i="6"/>
  <c r="N25" i="6"/>
  <c r="N24" i="6"/>
  <c r="N23" i="6"/>
  <c r="N22" i="6"/>
  <c r="N21" i="6"/>
  <c r="N20" i="6"/>
  <c r="N19" i="6"/>
  <c r="N18" i="6"/>
  <c r="J18" i="6"/>
  <c r="A18" i="6"/>
  <c r="N17" i="6"/>
  <c r="J17" i="6"/>
  <c r="A17" i="6"/>
  <c r="N16" i="6"/>
  <c r="J16" i="6"/>
  <c r="A16" i="6"/>
  <c r="N15" i="6"/>
  <c r="J15" i="6"/>
  <c r="A15" i="6"/>
  <c r="N14" i="6"/>
  <c r="J14" i="6"/>
  <c r="A14" i="6"/>
  <c r="J13" i="6"/>
  <c r="A13" i="6"/>
  <c r="J12" i="6"/>
  <c r="A12" i="6"/>
  <c r="J11" i="6"/>
  <c r="A11" i="6"/>
  <c r="N10" i="6"/>
  <c r="J10" i="6"/>
  <c r="A10" i="6"/>
  <c r="J9" i="6"/>
  <c r="A9" i="6"/>
  <c r="N8" i="6"/>
  <c r="J8" i="6"/>
  <c r="A8" i="6"/>
  <c r="J7" i="6"/>
  <c r="A7" i="6"/>
  <c r="N6" i="6"/>
  <c r="J6" i="6"/>
  <c r="A6" i="6"/>
  <c r="J5" i="6"/>
  <c r="A5" i="6"/>
  <c r="N4" i="6"/>
  <c r="J4" i="6"/>
  <c r="A4" i="6"/>
  <c r="J3" i="6"/>
  <c r="A3" i="6"/>
  <c r="J2" i="6"/>
  <c r="A2" i="6"/>
  <c r="D9" i="5"/>
  <c r="E9" i="5" s="1"/>
  <c r="A9" i="5"/>
  <c r="BG1" i="4"/>
  <c r="BF1" i="4"/>
  <c r="BE1" i="4"/>
  <c r="BD1" i="4"/>
  <c r="BC1" i="4"/>
  <c r="BB1" i="4"/>
  <c r="BA1" i="4"/>
  <c r="AZ1" i="4"/>
  <c r="AY1" i="4"/>
  <c r="AX1" i="4"/>
  <c r="AW1" i="4"/>
  <c r="AV1" i="4"/>
  <c r="AU1" i="4"/>
  <c r="AT1" i="4"/>
  <c r="AS1" i="4"/>
  <c r="AR1" i="4"/>
  <c r="AQ1" i="4"/>
  <c r="AP1" i="4"/>
  <c r="AO1" i="4"/>
  <c r="AN1" i="4"/>
  <c r="AM1" i="4"/>
  <c r="AL1" i="4"/>
  <c r="AK1" i="4"/>
  <c r="AJ1" i="4"/>
  <c r="AI1" i="4"/>
  <c r="AH1" i="4"/>
  <c r="AG1" i="4"/>
  <c r="AF1" i="4"/>
  <c r="AE1" i="4"/>
  <c r="AD1" i="4"/>
  <c r="AC1" i="4"/>
  <c r="AB1" i="4"/>
  <c r="AA1" i="4"/>
  <c r="Z1" i="4"/>
  <c r="Y1" i="4"/>
  <c r="X1" i="4"/>
  <c r="W1" i="4"/>
  <c r="V1" i="4"/>
  <c r="U1" i="4"/>
  <c r="T1" i="4"/>
  <c r="S1" i="4"/>
  <c r="R1" i="4"/>
  <c r="Q1" i="4"/>
  <c r="P1" i="4"/>
  <c r="O1" i="4"/>
  <c r="N1" i="4"/>
  <c r="M1" i="4"/>
  <c r="L1" i="4"/>
  <c r="K1" i="4"/>
  <c r="J1" i="4"/>
  <c r="I1" i="4"/>
  <c r="H1" i="4"/>
  <c r="G1" i="4"/>
  <c r="F1" i="4"/>
  <c r="E1" i="4"/>
  <c r="D1" i="4"/>
  <c r="C1" i="4"/>
  <c r="B1" i="4"/>
  <c r="BG97" i="3"/>
  <c r="BF97" i="3"/>
  <c r="BE97" i="3"/>
  <c r="BD97" i="3"/>
  <c r="BC97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P97" i="3"/>
  <c r="O97" i="3"/>
  <c r="N97" i="3"/>
  <c r="M97" i="3"/>
  <c r="L97" i="3"/>
  <c r="K97" i="3"/>
  <c r="J97" i="3"/>
  <c r="I97" i="3"/>
  <c r="H97" i="3"/>
  <c r="G97" i="3"/>
  <c r="F97" i="3"/>
  <c r="E97" i="3"/>
  <c r="D97" i="3"/>
  <c r="C97" i="3"/>
  <c r="B97" i="3"/>
  <c r="A97" i="3"/>
  <c r="BG96" i="3"/>
  <c r="BF96" i="3"/>
  <c r="BE96" i="3"/>
  <c r="BD96" i="3"/>
  <c r="BC96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P96" i="3"/>
  <c r="O96" i="3"/>
  <c r="N96" i="3"/>
  <c r="M96" i="3"/>
  <c r="L96" i="3"/>
  <c r="K96" i="3"/>
  <c r="J96" i="3"/>
  <c r="I96" i="3"/>
  <c r="H96" i="3"/>
  <c r="G96" i="3"/>
  <c r="F96" i="3"/>
  <c r="E96" i="3"/>
  <c r="D96" i="3"/>
  <c r="C96" i="3"/>
  <c r="B96" i="3"/>
  <c r="A96" i="3"/>
  <c r="BG95" i="3"/>
  <c r="BF95" i="3"/>
  <c r="BE95" i="3"/>
  <c r="BD95" i="3"/>
  <c r="BC95" i="3"/>
  <c r="BC33" i="4" s="1"/>
  <c r="BB95" i="3"/>
  <c r="BB33" i="4" s="1"/>
  <c r="BA95" i="3"/>
  <c r="AZ95" i="3"/>
  <c r="AZ33" i="4" s="1"/>
  <c r="AY95" i="3"/>
  <c r="AX95" i="3"/>
  <c r="AW95" i="3"/>
  <c r="AV95" i="3"/>
  <c r="AU95" i="3"/>
  <c r="AU33" i="4" s="1"/>
  <c r="AT95" i="3"/>
  <c r="AT33" i="4" s="1"/>
  <c r="AS95" i="3"/>
  <c r="AR95" i="3"/>
  <c r="AR33" i="4" s="1"/>
  <c r="AQ95" i="3"/>
  <c r="AP95" i="3"/>
  <c r="AO95" i="3"/>
  <c r="AN95" i="3"/>
  <c r="AM95" i="3"/>
  <c r="AM33" i="4" s="1"/>
  <c r="AL95" i="3"/>
  <c r="AL33" i="4" s="1"/>
  <c r="AK95" i="3"/>
  <c r="AK33" i="4" s="1"/>
  <c r="AJ95" i="3"/>
  <c r="AJ33" i="4" s="1"/>
  <c r="AI95" i="3"/>
  <c r="AH95" i="3"/>
  <c r="AG95" i="3"/>
  <c r="AF95" i="3"/>
  <c r="AE95" i="3"/>
  <c r="AE33" i="4" s="1"/>
  <c r="AD95" i="3"/>
  <c r="AD33" i="4" s="1"/>
  <c r="AC95" i="3"/>
  <c r="AC33" i="4" s="1"/>
  <c r="AB95" i="3"/>
  <c r="AB33" i="4" s="1"/>
  <c r="AA95" i="3"/>
  <c r="Z95" i="3"/>
  <c r="Y95" i="3"/>
  <c r="X95" i="3"/>
  <c r="W95" i="3"/>
  <c r="W33" i="4" s="1"/>
  <c r="V95" i="3"/>
  <c r="V33" i="4" s="1"/>
  <c r="U95" i="3"/>
  <c r="U33" i="4" s="1"/>
  <c r="T95" i="3"/>
  <c r="T33" i="4" s="1"/>
  <c r="S95" i="3"/>
  <c r="R95" i="3"/>
  <c r="Q95" i="3"/>
  <c r="P95" i="3"/>
  <c r="O95" i="3"/>
  <c r="O33" i="4" s="1"/>
  <c r="N95" i="3"/>
  <c r="N33" i="4" s="1"/>
  <c r="M95" i="3"/>
  <c r="M33" i="4" s="1"/>
  <c r="L95" i="3"/>
  <c r="L33" i="4" s="1"/>
  <c r="K95" i="3"/>
  <c r="J95" i="3"/>
  <c r="I95" i="3"/>
  <c r="H95" i="3"/>
  <c r="G95" i="3"/>
  <c r="G33" i="4" s="1"/>
  <c r="F95" i="3"/>
  <c r="F33" i="4" s="1"/>
  <c r="E95" i="3"/>
  <c r="E33" i="4" s="1"/>
  <c r="D95" i="3"/>
  <c r="D33" i="4" s="1"/>
  <c r="C95" i="3"/>
  <c r="B95" i="3"/>
  <c r="A95" i="3"/>
  <c r="BG94" i="3"/>
  <c r="BF94" i="3"/>
  <c r="BE94" i="3"/>
  <c r="BD94" i="3"/>
  <c r="BC94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P94" i="3"/>
  <c r="O94" i="3"/>
  <c r="N94" i="3"/>
  <c r="M94" i="3"/>
  <c r="L94" i="3"/>
  <c r="K94" i="3"/>
  <c r="J94" i="3"/>
  <c r="I94" i="3"/>
  <c r="H94" i="3"/>
  <c r="G94" i="3"/>
  <c r="F94" i="3"/>
  <c r="E94" i="3"/>
  <c r="D94" i="3"/>
  <c r="C94" i="3"/>
  <c r="B94" i="3"/>
  <c r="A94" i="3"/>
  <c r="BG93" i="3"/>
  <c r="BF93" i="3"/>
  <c r="BE93" i="3"/>
  <c r="BD93" i="3"/>
  <c r="BC93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P93" i="3"/>
  <c r="O93" i="3"/>
  <c r="N93" i="3"/>
  <c r="M93" i="3"/>
  <c r="L93" i="3"/>
  <c r="K93" i="3"/>
  <c r="J93" i="3"/>
  <c r="I93" i="3"/>
  <c r="H93" i="3"/>
  <c r="G93" i="3"/>
  <c r="F93" i="3"/>
  <c r="E93" i="3"/>
  <c r="D93" i="3"/>
  <c r="C93" i="3"/>
  <c r="B93" i="3"/>
  <c r="A93" i="3"/>
  <c r="BG92" i="3"/>
  <c r="BF92" i="3"/>
  <c r="BE92" i="3"/>
  <c r="BD92" i="3"/>
  <c r="BC92" i="3"/>
  <c r="BC32" i="4" s="1"/>
  <c r="BB92" i="3"/>
  <c r="BB32" i="4" s="1"/>
  <c r="BA92" i="3"/>
  <c r="AZ92" i="3"/>
  <c r="AY92" i="3"/>
  <c r="AX92" i="3"/>
  <c r="AW92" i="3"/>
  <c r="AV92" i="3"/>
  <c r="AU92" i="3"/>
  <c r="AU32" i="4" s="1"/>
  <c r="AT92" i="3"/>
  <c r="AT32" i="4" s="1"/>
  <c r="AS92" i="3"/>
  <c r="AR92" i="3"/>
  <c r="AQ92" i="3"/>
  <c r="AP92" i="3"/>
  <c r="AO92" i="3"/>
  <c r="AN92" i="3"/>
  <c r="AM92" i="3"/>
  <c r="AM32" i="4" s="1"/>
  <c r="AL92" i="3"/>
  <c r="AL32" i="4" s="1"/>
  <c r="AK92" i="3"/>
  <c r="AJ92" i="3"/>
  <c r="AI92" i="3"/>
  <c r="AH92" i="3"/>
  <c r="AG92" i="3"/>
  <c r="AF92" i="3"/>
  <c r="AE92" i="3"/>
  <c r="AE32" i="4" s="1"/>
  <c r="AD92" i="3"/>
  <c r="AD32" i="4" s="1"/>
  <c r="AC92" i="3"/>
  <c r="AB92" i="3"/>
  <c r="AA92" i="3"/>
  <c r="Z92" i="3"/>
  <c r="Y92" i="3"/>
  <c r="X92" i="3"/>
  <c r="W92" i="3"/>
  <c r="W32" i="4" s="1"/>
  <c r="V92" i="3"/>
  <c r="V32" i="4" s="1"/>
  <c r="U92" i="3"/>
  <c r="T92" i="3"/>
  <c r="S92" i="3"/>
  <c r="R92" i="3"/>
  <c r="Q92" i="3"/>
  <c r="P92" i="3"/>
  <c r="O92" i="3"/>
  <c r="O32" i="4" s="1"/>
  <c r="N92" i="3"/>
  <c r="N32" i="4" s="1"/>
  <c r="M92" i="3"/>
  <c r="L92" i="3"/>
  <c r="K92" i="3"/>
  <c r="J92" i="3"/>
  <c r="I92" i="3"/>
  <c r="H92" i="3"/>
  <c r="G92" i="3"/>
  <c r="G32" i="4" s="1"/>
  <c r="F92" i="3"/>
  <c r="F32" i="4" s="1"/>
  <c r="E92" i="3"/>
  <c r="D92" i="3"/>
  <c r="C92" i="3"/>
  <c r="B92" i="3"/>
  <c r="A92" i="3"/>
  <c r="BG91" i="3"/>
  <c r="BF91" i="3"/>
  <c r="BE91" i="3"/>
  <c r="BD91" i="3"/>
  <c r="BC91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P91" i="3"/>
  <c r="O91" i="3"/>
  <c r="N91" i="3"/>
  <c r="M91" i="3"/>
  <c r="L91" i="3"/>
  <c r="K91" i="3"/>
  <c r="J91" i="3"/>
  <c r="I91" i="3"/>
  <c r="H91" i="3"/>
  <c r="G91" i="3"/>
  <c r="F91" i="3"/>
  <c r="E91" i="3"/>
  <c r="D91" i="3"/>
  <c r="C91" i="3"/>
  <c r="B91" i="3"/>
  <c r="A91" i="3"/>
  <c r="BG90" i="3"/>
  <c r="BF90" i="3"/>
  <c r="BE90" i="3"/>
  <c r="BD90" i="3"/>
  <c r="BC90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P90" i="3"/>
  <c r="O90" i="3"/>
  <c r="N90" i="3"/>
  <c r="M90" i="3"/>
  <c r="L90" i="3"/>
  <c r="K90" i="3"/>
  <c r="J90" i="3"/>
  <c r="I90" i="3"/>
  <c r="H90" i="3"/>
  <c r="G90" i="3"/>
  <c r="F90" i="3"/>
  <c r="E90" i="3"/>
  <c r="D90" i="3"/>
  <c r="C90" i="3"/>
  <c r="B90" i="3"/>
  <c r="A90" i="3"/>
  <c r="BG89" i="3"/>
  <c r="BF89" i="3"/>
  <c r="BE89" i="3"/>
  <c r="BD89" i="3"/>
  <c r="BD31" i="4" s="1"/>
  <c r="BC89" i="3"/>
  <c r="BC31" i="4" s="1"/>
  <c r="BB89" i="3"/>
  <c r="BA89" i="3"/>
  <c r="AZ89" i="3"/>
  <c r="AY89" i="3"/>
  <c r="AX89" i="3"/>
  <c r="AW89" i="3"/>
  <c r="AV89" i="3"/>
  <c r="AV31" i="4" s="1"/>
  <c r="AU89" i="3"/>
  <c r="AU31" i="4" s="1"/>
  <c r="AT89" i="3"/>
  <c r="AS89" i="3"/>
  <c r="AR89" i="3"/>
  <c r="AQ89" i="3"/>
  <c r="AP89" i="3"/>
  <c r="AO89" i="3"/>
  <c r="AN89" i="3"/>
  <c r="AN31" i="4" s="1"/>
  <c r="AM89" i="3"/>
  <c r="AM31" i="4" s="1"/>
  <c r="AL89" i="3"/>
  <c r="AK89" i="3"/>
  <c r="AJ89" i="3"/>
  <c r="AI89" i="3"/>
  <c r="AH89" i="3"/>
  <c r="AG89" i="3"/>
  <c r="AF89" i="3"/>
  <c r="AF31" i="4" s="1"/>
  <c r="AE89" i="3"/>
  <c r="AE31" i="4" s="1"/>
  <c r="AD89" i="3"/>
  <c r="AC89" i="3"/>
  <c r="AB89" i="3"/>
  <c r="AA89" i="3"/>
  <c r="Z89" i="3"/>
  <c r="Y89" i="3"/>
  <c r="X89" i="3"/>
  <c r="X31" i="4" s="1"/>
  <c r="W89" i="3"/>
  <c r="W31" i="4" s="1"/>
  <c r="V89" i="3"/>
  <c r="U89" i="3"/>
  <c r="T89" i="3"/>
  <c r="S89" i="3"/>
  <c r="R89" i="3"/>
  <c r="Q89" i="3"/>
  <c r="P89" i="3"/>
  <c r="P31" i="4" s="1"/>
  <c r="O89" i="3"/>
  <c r="O31" i="4" s="1"/>
  <c r="N89" i="3"/>
  <c r="M89" i="3"/>
  <c r="L89" i="3"/>
  <c r="K89" i="3"/>
  <c r="J89" i="3"/>
  <c r="I89" i="3"/>
  <c r="H89" i="3"/>
  <c r="H31" i="4" s="1"/>
  <c r="G89" i="3"/>
  <c r="G31" i="4" s="1"/>
  <c r="F89" i="3"/>
  <c r="E89" i="3"/>
  <c r="D89" i="3"/>
  <c r="C89" i="3"/>
  <c r="B89" i="3"/>
  <c r="A89" i="3"/>
  <c r="BG88" i="3"/>
  <c r="BF88" i="3"/>
  <c r="BE88" i="3"/>
  <c r="BD88" i="3"/>
  <c r="BC88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P88" i="3"/>
  <c r="O88" i="3"/>
  <c r="N88" i="3"/>
  <c r="M88" i="3"/>
  <c r="L88" i="3"/>
  <c r="K88" i="3"/>
  <c r="J88" i="3"/>
  <c r="I88" i="3"/>
  <c r="H88" i="3"/>
  <c r="G88" i="3"/>
  <c r="F88" i="3"/>
  <c r="E88" i="3"/>
  <c r="D88" i="3"/>
  <c r="C88" i="3"/>
  <c r="B88" i="3"/>
  <c r="A88" i="3"/>
  <c r="BG87" i="3"/>
  <c r="BF87" i="3"/>
  <c r="BE87" i="3"/>
  <c r="BD87" i="3"/>
  <c r="BC87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P87" i="3"/>
  <c r="O87" i="3"/>
  <c r="N87" i="3"/>
  <c r="M87" i="3"/>
  <c r="L87" i="3"/>
  <c r="K87" i="3"/>
  <c r="J87" i="3"/>
  <c r="I87" i="3"/>
  <c r="H87" i="3"/>
  <c r="G87" i="3"/>
  <c r="F87" i="3"/>
  <c r="E87" i="3"/>
  <c r="D87" i="3"/>
  <c r="C87" i="3"/>
  <c r="B87" i="3"/>
  <c r="A87" i="3"/>
  <c r="BG86" i="3"/>
  <c r="BF86" i="3"/>
  <c r="BE86" i="3"/>
  <c r="BE30" i="4" s="1"/>
  <c r="BD86" i="3"/>
  <c r="BD30" i="4" s="1"/>
  <c r="BC86" i="3"/>
  <c r="BB86" i="3"/>
  <c r="BA86" i="3"/>
  <c r="AZ86" i="3"/>
  <c r="AY86" i="3"/>
  <c r="AX86" i="3"/>
  <c r="AW86" i="3"/>
  <c r="AW30" i="4" s="1"/>
  <c r="AV86" i="3"/>
  <c r="AV30" i="4" s="1"/>
  <c r="AU86" i="3"/>
  <c r="AT86" i="3"/>
  <c r="AS86" i="3"/>
  <c r="AR86" i="3"/>
  <c r="AQ86" i="3"/>
  <c r="AP86" i="3"/>
  <c r="AO86" i="3"/>
  <c r="AO30" i="4" s="1"/>
  <c r="AN86" i="3"/>
  <c r="AN30" i="4" s="1"/>
  <c r="AM86" i="3"/>
  <c r="AL86" i="3"/>
  <c r="AK86" i="3"/>
  <c r="AJ86" i="3"/>
  <c r="AI86" i="3"/>
  <c r="AH86" i="3"/>
  <c r="AG86" i="3"/>
  <c r="AG30" i="4" s="1"/>
  <c r="AF86" i="3"/>
  <c r="AF30" i="4" s="1"/>
  <c r="AE86" i="3"/>
  <c r="AD86" i="3"/>
  <c r="AC86" i="3"/>
  <c r="AB86" i="3"/>
  <c r="AA86" i="3"/>
  <c r="Z86" i="3"/>
  <c r="Y86" i="3"/>
  <c r="Y30" i="4" s="1"/>
  <c r="X86" i="3"/>
  <c r="X30" i="4" s="1"/>
  <c r="W86" i="3"/>
  <c r="V86" i="3"/>
  <c r="U86" i="3"/>
  <c r="T86" i="3"/>
  <c r="S86" i="3"/>
  <c r="R86" i="3"/>
  <c r="Q86" i="3"/>
  <c r="Q30" i="4" s="1"/>
  <c r="P86" i="3"/>
  <c r="P30" i="4" s="1"/>
  <c r="O86" i="3"/>
  <c r="N86" i="3"/>
  <c r="M86" i="3"/>
  <c r="L86" i="3"/>
  <c r="K86" i="3"/>
  <c r="J86" i="3"/>
  <c r="I86" i="3"/>
  <c r="I30" i="4" s="1"/>
  <c r="H86" i="3"/>
  <c r="H30" i="4" s="1"/>
  <c r="G86" i="3"/>
  <c r="F86" i="3"/>
  <c r="E86" i="3"/>
  <c r="D86" i="3"/>
  <c r="C86" i="3"/>
  <c r="B86" i="3"/>
  <c r="A86" i="3"/>
  <c r="BG85" i="3"/>
  <c r="BF85" i="3"/>
  <c r="BE85" i="3"/>
  <c r="BD85" i="3"/>
  <c r="BC85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P85" i="3"/>
  <c r="O85" i="3"/>
  <c r="N85" i="3"/>
  <c r="M85" i="3"/>
  <c r="L85" i="3"/>
  <c r="K85" i="3"/>
  <c r="J85" i="3"/>
  <c r="I85" i="3"/>
  <c r="H85" i="3"/>
  <c r="G85" i="3"/>
  <c r="F85" i="3"/>
  <c r="E85" i="3"/>
  <c r="D85" i="3"/>
  <c r="C85" i="3"/>
  <c r="B85" i="3"/>
  <c r="A85" i="3"/>
  <c r="BG84" i="3"/>
  <c r="BF84" i="3"/>
  <c r="BE84" i="3"/>
  <c r="BD84" i="3"/>
  <c r="BC84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P84" i="3"/>
  <c r="O84" i="3"/>
  <c r="N84" i="3"/>
  <c r="M84" i="3"/>
  <c r="L84" i="3"/>
  <c r="K84" i="3"/>
  <c r="J84" i="3"/>
  <c r="I84" i="3"/>
  <c r="H84" i="3"/>
  <c r="G84" i="3"/>
  <c r="F84" i="3"/>
  <c r="E84" i="3"/>
  <c r="D84" i="3"/>
  <c r="C84" i="3"/>
  <c r="B84" i="3"/>
  <c r="A84" i="3"/>
  <c r="BG83" i="3"/>
  <c r="BF83" i="3"/>
  <c r="BF29" i="4" s="1"/>
  <c r="BE83" i="3"/>
  <c r="BE29" i="4" s="1"/>
  <c r="BD83" i="3"/>
  <c r="BC83" i="3"/>
  <c r="BB83" i="3"/>
  <c r="BA83" i="3"/>
  <c r="AZ83" i="3"/>
  <c r="AY83" i="3"/>
  <c r="AX83" i="3"/>
  <c r="AX29" i="4" s="1"/>
  <c r="AW83" i="3"/>
  <c r="AW29" i="4" s="1"/>
  <c r="AV83" i="3"/>
  <c r="AU83" i="3"/>
  <c r="AT83" i="3"/>
  <c r="AS83" i="3"/>
  <c r="AR83" i="3"/>
  <c r="AQ83" i="3"/>
  <c r="AP83" i="3"/>
  <c r="AP29" i="4" s="1"/>
  <c r="AO83" i="3"/>
  <c r="AO29" i="4" s="1"/>
  <c r="AN83" i="3"/>
  <c r="AM83" i="3"/>
  <c r="AL83" i="3"/>
  <c r="AK83" i="3"/>
  <c r="AJ83" i="3"/>
  <c r="AI83" i="3"/>
  <c r="AH83" i="3"/>
  <c r="AH29" i="4" s="1"/>
  <c r="AG83" i="3"/>
  <c r="AG29" i="4" s="1"/>
  <c r="AF83" i="3"/>
  <c r="AE83" i="3"/>
  <c r="AD83" i="3"/>
  <c r="AC83" i="3"/>
  <c r="AB83" i="3"/>
  <c r="AA83" i="3"/>
  <c r="Z83" i="3"/>
  <c r="Z29" i="4" s="1"/>
  <c r="Y83" i="3"/>
  <c r="Y29" i="4" s="1"/>
  <c r="X83" i="3"/>
  <c r="W83" i="3"/>
  <c r="V83" i="3"/>
  <c r="U83" i="3"/>
  <c r="T83" i="3"/>
  <c r="S83" i="3"/>
  <c r="R83" i="3"/>
  <c r="R29" i="4" s="1"/>
  <c r="Q83" i="3"/>
  <c r="Q29" i="4" s="1"/>
  <c r="P83" i="3"/>
  <c r="O83" i="3"/>
  <c r="N83" i="3"/>
  <c r="M83" i="3"/>
  <c r="L83" i="3"/>
  <c r="K83" i="3"/>
  <c r="J83" i="3"/>
  <c r="J29" i="4" s="1"/>
  <c r="I83" i="3"/>
  <c r="I29" i="4" s="1"/>
  <c r="H83" i="3"/>
  <c r="G83" i="3"/>
  <c r="F83" i="3"/>
  <c r="E83" i="3"/>
  <c r="D83" i="3"/>
  <c r="C83" i="3"/>
  <c r="B83" i="3"/>
  <c r="B29" i="4" s="1"/>
  <c r="A83" i="3"/>
  <c r="BG82" i="3"/>
  <c r="BF82" i="3"/>
  <c r="BE82" i="3"/>
  <c r="BD82" i="3"/>
  <c r="BC82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P82" i="3"/>
  <c r="O82" i="3"/>
  <c r="N82" i="3"/>
  <c r="M82" i="3"/>
  <c r="L82" i="3"/>
  <c r="K82" i="3"/>
  <c r="J82" i="3"/>
  <c r="I82" i="3"/>
  <c r="H82" i="3"/>
  <c r="G82" i="3"/>
  <c r="F82" i="3"/>
  <c r="E82" i="3"/>
  <c r="D82" i="3"/>
  <c r="C82" i="3"/>
  <c r="B82" i="3"/>
  <c r="A82" i="3"/>
  <c r="BG81" i="3"/>
  <c r="BF81" i="3"/>
  <c r="BE81" i="3"/>
  <c r="BD81" i="3"/>
  <c r="BC81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P81" i="3"/>
  <c r="O81" i="3"/>
  <c r="N81" i="3"/>
  <c r="M81" i="3"/>
  <c r="L81" i="3"/>
  <c r="K81" i="3"/>
  <c r="J81" i="3"/>
  <c r="I81" i="3"/>
  <c r="H81" i="3"/>
  <c r="G81" i="3"/>
  <c r="F81" i="3"/>
  <c r="E81" i="3"/>
  <c r="D81" i="3"/>
  <c r="C81" i="3"/>
  <c r="B81" i="3"/>
  <c r="A81" i="3"/>
  <c r="BG80" i="3"/>
  <c r="BG28" i="4" s="1"/>
  <c r="BF80" i="3"/>
  <c r="BF28" i="4" s="1"/>
  <c r="BE80" i="3"/>
  <c r="BD80" i="3"/>
  <c r="BC80" i="3"/>
  <c r="BB80" i="3"/>
  <c r="BA80" i="3"/>
  <c r="AZ80" i="3"/>
  <c r="AY80" i="3"/>
  <c r="AY28" i="4" s="1"/>
  <c r="AX80" i="3"/>
  <c r="AX28" i="4" s="1"/>
  <c r="AW80" i="3"/>
  <c r="AV80" i="3"/>
  <c r="AU80" i="3"/>
  <c r="AT80" i="3"/>
  <c r="AS80" i="3"/>
  <c r="AR80" i="3"/>
  <c r="AQ80" i="3"/>
  <c r="AQ28" i="4" s="1"/>
  <c r="AP80" i="3"/>
  <c r="AP28" i="4" s="1"/>
  <c r="AO80" i="3"/>
  <c r="AN80" i="3"/>
  <c r="AM80" i="3"/>
  <c r="AL80" i="3"/>
  <c r="AK80" i="3"/>
  <c r="AJ80" i="3"/>
  <c r="AI80" i="3"/>
  <c r="AI28" i="4" s="1"/>
  <c r="AH80" i="3"/>
  <c r="AH28" i="4" s="1"/>
  <c r="AG80" i="3"/>
  <c r="AF80" i="3"/>
  <c r="AE80" i="3"/>
  <c r="AD80" i="3"/>
  <c r="AC80" i="3"/>
  <c r="AB80" i="3"/>
  <c r="AA80" i="3"/>
  <c r="AA28" i="4" s="1"/>
  <c r="Z80" i="3"/>
  <c r="Z28" i="4" s="1"/>
  <c r="Y80" i="3"/>
  <c r="X80" i="3"/>
  <c r="W80" i="3"/>
  <c r="V80" i="3"/>
  <c r="U80" i="3"/>
  <c r="T80" i="3"/>
  <c r="S80" i="3"/>
  <c r="S28" i="4" s="1"/>
  <c r="R80" i="3"/>
  <c r="R28" i="4" s="1"/>
  <c r="Q80" i="3"/>
  <c r="P80" i="3"/>
  <c r="O80" i="3"/>
  <c r="N80" i="3"/>
  <c r="M80" i="3"/>
  <c r="L80" i="3"/>
  <c r="K80" i="3"/>
  <c r="K28" i="4" s="1"/>
  <c r="J80" i="3"/>
  <c r="J28" i="4" s="1"/>
  <c r="I80" i="3"/>
  <c r="H80" i="3"/>
  <c r="G80" i="3"/>
  <c r="F80" i="3"/>
  <c r="E80" i="3"/>
  <c r="D80" i="3"/>
  <c r="C80" i="3"/>
  <c r="C28" i="4" s="1"/>
  <c r="B80" i="3"/>
  <c r="B28" i="4" s="1"/>
  <c r="A80" i="3"/>
  <c r="BG79" i="3"/>
  <c r="BF79" i="3"/>
  <c r="BE79" i="3"/>
  <c r="BD79" i="3"/>
  <c r="BC79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P79" i="3"/>
  <c r="O79" i="3"/>
  <c r="N79" i="3"/>
  <c r="M79" i="3"/>
  <c r="L79" i="3"/>
  <c r="K79" i="3"/>
  <c r="J79" i="3"/>
  <c r="I79" i="3"/>
  <c r="H79" i="3"/>
  <c r="G79" i="3"/>
  <c r="F79" i="3"/>
  <c r="E79" i="3"/>
  <c r="D79" i="3"/>
  <c r="C79" i="3"/>
  <c r="B79" i="3"/>
  <c r="A79" i="3"/>
  <c r="BG78" i="3"/>
  <c r="BF78" i="3"/>
  <c r="BE78" i="3"/>
  <c r="BD78" i="3"/>
  <c r="BC78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P78" i="3"/>
  <c r="O78" i="3"/>
  <c r="N78" i="3"/>
  <c r="M78" i="3"/>
  <c r="L78" i="3"/>
  <c r="K78" i="3"/>
  <c r="J78" i="3"/>
  <c r="I78" i="3"/>
  <c r="H78" i="3"/>
  <c r="G78" i="3"/>
  <c r="F78" i="3"/>
  <c r="E78" i="3"/>
  <c r="D78" i="3"/>
  <c r="C78" i="3"/>
  <c r="B78" i="3"/>
  <c r="A78" i="3"/>
  <c r="BG77" i="3"/>
  <c r="BG27" i="4" s="1"/>
  <c r="BF77" i="3"/>
  <c r="BE77" i="3"/>
  <c r="BD77" i="3"/>
  <c r="BC77" i="3"/>
  <c r="BB77" i="3"/>
  <c r="BA77" i="3"/>
  <c r="AZ77" i="3"/>
  <c r="AZ27" i="4" s="1"/>
  <c r="AY77" i="3"/>
  <c r="AY27" i="4" s="1"/>
  <c r="AX77" i="3"/>
  <c r="AW77" i="3"/>
  <c r="AV77" i="3"/>
  <c r="AU77" i="3"/>
  <c r="AT77" i="3"/>
  <c r="AS77" i="3"/>
  <c r="AR77" i="3"/>
  <c r="AR27" i="4" s="1"/>
  <c r="AQ77" i="3"/>
  <c r="AQ27" i="4" s="1"/>
  <c r="AP77" i="3"/>
  <c r="AO77" i="3"/>
  <c r="AN77" i="3"/>
  <c r="AM77" i="3"/>
  <c r="AL77" i="3"/>
  <c r="AK77" i="3"/>
  <c r="AJ77" i="3"/>
  <c r="AJ27" i="4" s="1"/>
  <c r="AI77" i="3"/>
  <c r="AI27" i="4" s="1"/>
  <c r="AH77" i="3"/>
  <c r="AG77" i="3"/>
  <c r="AF77" i="3"/>
  <c r="AE77" i="3"/>
  <c r="AD77" i="3"/>
  <c r="AC77" i="3"/>
  <c r="AB77" i="3"/>
  <c r="AB27" i="4" s="1"/>
  <c r="AA77" i="3"/>
  <c r="AA27" i="4" s="1"/>
  <c r="Z77" i="3"/>
  <c r="Y77" i="3"/>
  <c r="X77" i="3"/>
  <c r="W77" i="3"/>
  <c r="V77" i="3"/>
  <c r="U77" i="3"/>
  <c r="T77" i="3"/>
  <c r="T27" i="4" s="1"/>
  <c r="S77" i="3"/>
  <c r="S27" i="4" s="1"/>
  <c r="R77" i="3"/>
  <c r="Q77" i="3"/>
  <c r="P77" i="3"/>
  <c r="O77" i="3"/>
  <c r="N77" i="3"/>
  <c r="M77" i="3"/>
  <c r="L77" i="3"/>
  <c r="L27" i="4" s="1"/>
  <c r="K77" i="3"/>
  <c r="K27" i="4" s="1"/>
  <c r="J77" i="3"/>
  <c r="I77" i="3"/>
  <c r="H77" i="3"/>
  <c r="G77" i="3"/>
  <c r="F77" i="3"/>
  <c r="E77" i="3"/>
  <c r="D77" i="3"/>
  <c r="D27" i="4" s="1"/>
  <c r="C77" i="3"/>
  <c r="C27" i="4" s="1"/>
  <c r="B77" i="3"/>
  <c r="A77" i="3"/>
  <c r="BG76" i="3"/>
  <c r="BF76" i="3"/>
  <c r="BE76" i="3"/>
  <c r="BD76" i="3"/>
  <c r="BC76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P76" i="3"/>
  <c r="O76" i="3"/>
  <c r="N76" i="3"/>
  <c r="M76" i="3"/>
  <c r="L76" i="3"/>
  <c r="K76" i="3"/>
  <c r="J76" i="3"/>
  <c r="I76" i="3"/>
  <c r="H76" i="3"/>
  <c r="G76" i="3"/>
  <c r="F76" i="3"/>
  <c r="E76" i="3"/>
  <c r="D76" i="3"/>
  <c r="C76" i="3"/>
  <c r="B76" i="3"/>
  <c r="A76" i="3"/>
  <c r="BG75" i="3"/>
  <c r="BF75" i="3"/>
  <c r="BE75" i="3"/>
  <c r="BD75" i="3"/>
  <c r="BC75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P75" i="3"/>
  <c r="O75" i="3"/>
  <c r="N75" i="3"/>
  <c r="M75" i="3"/>
  <c r="L75" i="3"/>
  <c r="K75" i="3"/>
  <c r="J75" i="3"/>
  <c r="I75" i="3"/>
  <c r="H75" i="3"/>
  <c r="G75" i="3"/>
  <c r="F75" i="3"/>
  <c r="E75" i="3"/>
  <c r="D75" i="3"/>
  <c r="C75" i="3"/>
  <c r="B75" i="3"/>
  <c r="A75" i="3"/>
  <c r="BG74" i="3"/>
  <c r="BF74" i="3"/>
  <c r="BE74" i="3"/>
  <c r="BD74" i="3"/>
  <c r="BC74" i="3"/>
  <c r="BB74" i="3"/>
  <c r="BA74" i="3"/>
  <c r="BA26" i="4" s="1"/>
  <c r="AZ74" i="3"/>
  <c r="AZ26" i="4" s="1"/>
  <c r="AY74" i="3"/>
  <c r="AX74" i="3"/>
  <c r="AW74" i="3"/>
  <c r="AV74" i="3"/>
  <c r="AU74" i="3"/>
  <c r="AT74" i="3"/>
  <c r="AS74" i="3"/>
  <c r="AS26" i="4" s="1"/>
  <c r="AR74" i="3"/>
  <c r="AR26" i="4" s="1"/>
  <c r="AQ74" i="3"/>
  <c r="AP74" i="3"/>
  <c r="AO74" i="3"/>
  <c r="AN74" i="3"/>
  <c r="AM74" i="3"/>
  <c r="AL74" i="3"/>
  <c r="AK74" i="3"/>
  <c r="AK26" i="4" s="1"/>
  <c r="AJ74" i="3"/>
  <c r="AJ26" i="4" s="1"/>
  <c r="AI74" i="3"/>
  <c r="AH74" i="3"/>
  <c r="AG74" i="3"/>
  <c r="AF74" i="3"/>
  <c r="AE74" i="3"/>
  <c r="AD74" i="3"/>
  <c r="AC74" i="3"/>
  <c r="AC26" i="4" s="1"/>
  <c r="AB74" i="3"/>
  <c r="AB26" i="4" s="1"/>
  <c r="AA74" i="3"/>
  <c r="Z74" i="3"/>
  <c r="Y74" i="3"/>
  <c r="X74" i="3"/>
  <c r="W74" i="3"/>
  <c r="V74" i="3"/>
  <c r="U74" i="3"/>
  <c r="U26" i="4" s="1"/>
  <c r="T74" i="3"/>
  <c r="T26" i="4" s="1"/>
  <c r="S74" i="3"/>
  <c r="R74" i="3"/>
  <c r="Q74" i="3"/>
  <c r="P74" i="3"/>
  <c r="O74" i="3"/>
  <c r="N74" i="3"/>
  <c r="M74" i="3"/>
  <c r="M26" i="4" s="1"/>
  <c r="L74" i="3"/>
  <c r="L26" i="4" s="1"/>
  <c r="K74" i="3"/>
  <c r="J74" i="3"/>
  <c r="I74" i="3"/>
  <c r="H74" i="3"/>
  <c r="G74" i="3"/>
  <c r="F74" i="3"/>
  <c r="E74" i="3"/>
  <c r="E26" i="4" s="1"/>
  <c r="D74" i="3"/>
  <c r="D26" i="4" s="1"/>
  <c r="C74" i="3"/>
  <c r="B74" i="3"/>
  <c r="A74" i="3"/>
  <c r="BG73" i="3"/>
  <c r="BF73" i="3"/>
  <c r="BE73" i="3"/>
  <c r="BD73" i="3"/>
  <c r="BC73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P73" i="3"/>
  <c r="O73" i="3"/>
  <c r="N73" i="3"/>
  <c r="M73" i="3"/>
  <c r="L73" i="3"/>
  <c r="K73" i="3"/>
  <c r="J73" i="3"/>
  <c r="I73" i="3"/>
  <c r="H73" i="3"/>
  <c r="G73" i="3"/>
  <c r="F73" i="3"/>
  <c r="E73" i="3"/>
  <c r="D73" i="3"/>
  <c r="C73" i="3"/>
  <c r="B73" i="3"/>
  <c r="A73" i="3"/>
  <c r="BG72" i="3"/>
  <c r="BF72" i="3"/>
  <c r="BE72" i="3"/>
  <c r="BD72" i="3"/>
  <c r="BC72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P72" i="3"/>
  <c r="O72" i="3"/>
  <c r="N72" i="3"/>
  <c r="M72" i="3"/>
  <c r="L72" i="3"/>
  <c r="K72" i="3"/>
  <c r="J72" i="3"/>
  <c r="I72" i="3"/>
  <c r="H72" i="3"/>
  <c r="G72" i="3"/>
  <c r="F72" i="3"/>
  <c r="E72" i="3"/>
  <c r="D72" i="3"/>
  <c r="C72" i="3"/>
  <c r="B72" i="3"/>
  <c r="A72" i="3"/>
  <c r="BG71" i="3"/>
  <c r="BF71" i="3"/>
  <c r="BE71" i="3"/>
  <c r="BD71" i="3"/>
  <c r="BC71" i="3"/>
  <c r="BB71" i="3"/>
  <c r="BB25" i="4" s="1"/>
  <c r="BA71" i="3"/>
  <c r="BA25" i="4" s="1"/>
  <c r="AZ71" i="3"/>
  <c r="AY71" i="3"/>
  <c r="AX71" i="3"/>
  <c r="AW71" i="3"/>
  <c r="AV71" i="3"/>
  <c r="AU71" i="3"/>
  <c r="AT71" i="3"/>
  <c r="AT25" i="4" s="1"/>
  <c r="AS71" i="3"/>
  <c r="AS25" i="4" s="1"/>
  <c r="AR71" i="3"/>
  <c r="AQ71" i="3"/>
  <c r="AP71" i="3"/>
  <c r="AO71" i="3"/>
  <c r="AN71" i="3"/>
  <c r="AM71" i="3"/>
  <c r="AL71" i="3"/>
  <c r="AL25" i="4" s="1"/>
  <c r="AK71" i="3"/>
  <c r="AK25" i="4" s="1"/>
  <c r="AJ71" i="3"/>
  <c r="AI71" i="3"/>
  <c r="AH71" i="3"/>
  <c r="AG71" i="3"/>
  <c r="AF71" i="3"/>
  <c r="AE71" i="3"/>
  <c r="AD71" i="3"/>
  <c r="AD25" i="4" s="1"/>
  <c r="AC71" i="3"/>
  <c r="AC25" i="4" s="1"/>
  <c r="AB71" i="3"/>
  <c r="AA71" i="3"/>
  <c r="Z71" i="3"/>
  <c r="Y71" i="3"/>
  <c r="X71" i="3"/>
  <c r="W71" i="3"/>
  <c r="V71" i="3"/>
  <c r="V25" i="4" s="1"/>
  <c r="U71" i="3"/>
  <c r="U25" i="4" s="1"/>
  <c r="T71" i="3"/>
  <c r="S71" i="3"/>
  <c r="R71" i="3"/>
  <c r="Q71" i="3"/>
  <c r="P71" i="3"/>
  <c r="O71" i="3"/>
  <c r="N71" i="3"/>
  <c r="N25" i="4" s="1"/>
  <c r="M71" i="3"/>
  <c r="M25" i="4" s="1"/>
  <c r="L71" i="3"/>
  <c r="K71" i="3"/>
  <c r="J71" i="3"/>
  <c r="I71" i="3"/>
  <c r="H71" i="3"/>
  <c r="G71" i="3"/>
  <c r="F71" i="3"/>
  <c r="F25" i="4" s="1"/>
  <c r="E71" i="3"/>
  <c r="E25" i="4" s="1"/>
  <c r="D71" i="3"/>
  <c r="D25" i="4" s="1"/>
  <c r="C71" i="3"/>
  <c r="B71" i="3"/>
  <c r="A71" i="3"/>
  <c r="BG70" i="3"/>
  <c r="BF70" i="3"/>
  <c r="BE70" i="3"/>
  <c r="BD70" i="3"/>
  <c r="BC70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P70" i="3"/>
  <c r="O70" i="3"/>
  <c r="N70" i="3"/>
  <c r="M70" i="3"/>
  <c r="L70" i="3"/>
  <c r="K70" i="3"/>
  <c r="J70" i="3"/>
  <c r="I70" i="3"/>
  <c r="H70" i="3"/>
  <c r="G70" i="3"/>
  <c r="F70" i="3"/>
  <c r="E70" i="3"/>
  <c r="D70" i="3"/>
  <c r="C70" i="3"/>
  <c r="B70" i="3"/>
  <c r="A70" i="3"/>
  <c r="BG69" i="3"/>
  <c r="BF69" i="3"/>
  <c r="BE69" i="3"/>
  <c r="BD69" i="3"/>
  <c r="BC69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P69" i="3"/>
  <c r="O69" i="3"/>
  <c r="N69" i="3"/>
  <c r="M69" i="3"/>
  <c r="L69" i="3"/>
  <c r="K69" i="3"/>
  <c r="J69" i="3"/>
  <c r="I69" i="3"/>
  <c r="H69" i="3"/>
  <c r="G69" i="3"/>
  <c r="F69" i="3"/>
  <c r="E69" i="3"/>
  <c r="D69" i="3"/>
  <c r="C69" i="3"/>
  <c r="B69" i="3"/>
  <c r="A69" i="3"/>
  <c r="BG68" i="3"/>
  <c r="BF68" i="3"/>
  <c r="BE68" i="3"/>
  <c r="BD68" i="3"/>
  <c r="BC68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P68" i="3"/>
  <c r="O68" i="3"/>
  <c r="N68" i="3"/>
  <c r="M68" i="3"/>
  <c r="L68" i="3"/>
  <c r="K68" i="3"/>
  <c r="J68" i="3"/>
  <c r="I68" i="3"/>
  <c r="H68" i="3"/>
  <c r="G68" i="3"/>
  <c r="F68" i="3"/>
  <c r="E68" i="3"/>
  <c r="D68" i="3"/>
  <c r="C68" i="3"/>
  <c r="B68" i="3"/>
  <c r="A68" i="3"/>
  <c r="BG67" i="3"/>
  <c r="BF67" i="3"/>
  <c r="BE67" i="3"/>
  <c r="BD67" i="3"/>
  <c r="BC67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P67" i="3"/>
  <c r="O67" i="3"/>
  <c r="N67" i="3"/>
  <c r="M67" i="3"/>
  <c r="L67" i="3"/>
  <c r="K67" i="3"/>
  <c r="J67" i="3"/>
  <c r="I67" i="3"/>
  <c r="H67" i="3"/>
  <c r="G67" i="3"/>
  <c r="F67" i="3"/>
  <c r="E67" i="3"/>
  <c r="D67" i="3"/>
  <c r="C67" i="3"/>
  <c r="B67" i="3"/>
  <c r="A67" i="3"/>
  <c r="BG66" i="3"/>
  <c r="BF66" i="3"/>
  <c r="BE66" i="3"/>
  <c r="BD66" i="3"/>
  <c r="BC66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P66" i="3"/>
  <c r="O66" i="3"/>
  <c r="N66" i="3"/>
  <c r="M66" i="3"/>
  <c r="L66" i="3"/>
  <c r="K66" i="3"/>
  <c r="J66" i="3"/>
  <c r="I66" i="3"/>
  <c r="H66" i="3"/>
  <c r="G66" i="3"/>
  <c r="F66" i="3"/>
  <c r="E66" i="3"/>
  <c r="D66" i="3"/>
  <c r="C66" i="3"/>
  <c r="B66" i="3"/>
  <c r="A66" i="3"/>
  <c r="BG65" i="3"/>
  <c r="BF65" i="3"/>
  <c r="BE65" i="3"/>
  <c r="BD65" i="3"/>
  <c r="BD23" i="4" s="1"/>
  <c r="BC65" i="3"/>
  <c r="BC23" i="4" s="1"/>
  <c r="BB65" i="3"/>
  <c r="BA65" i="3"/>
  <c r="AZ65" i="3"/>
  <c r="AY65" i="3"/>
  <c r="AX65" i="3"/>
  <c r="AW65" i="3"/>
  <c r="AV65" i="3"/>
  <c r="AV23" i="4" s="1"/>
  <c r="AU65" i="3"/>
  <c r="AU23" i="4" s="1"/>
  <c r="AT65" i="3"/>
  <c r="AS65" i="3"/>
  <c r="AR65" i="3"/>
  <c r="AQ65" i="3"/>
  <c r="AP65" i="3"/>
  <c r="AO65" i="3"/>
  <c r="AN65" i="3"/>
  <c r="AN23" i="4" s="1"/>
  <c r="AM65" i="3"/>
  <c r="AM23" i="4" s="1"/>
  <c r="AL65" i="3"/>
  <c r="AK65" i="3"/>
  <c r="AJ65" i="3"/>
  <c r="AI65" i="3"/>
  <c r="AH65" i="3"/>
  <c r="AG65" i="3"/>
  <c r="AF65" i="3"/>
  <c r="AF23" i="4" s="1"/>
  <c r="AE65" i="3"/>
  <c r="AE23" i="4" s="1"/>
  <c r="AD65" i="3"/>
  <c r="AC65" i="3"/>
  <c r="AB65" i="3"/>
  <c r="AA65" i="3"/>
  <c r="Z65" i="3"/>
  <c r="Y65" i="3"/>
  <c r="X65" i="3"/>
  <c r="X23" i="4" s="1"/>
  <c r="W65" i="3"/>
  <c r="W23" i="4" s="1"/>
  <c r="V65" i="3"/>
  <c r="U65" i="3"/>
  <c r="T65" i="3"/>
  <c r="S65" i="3"/>
  <c r="R65" i="3"/>
  <c r="Q65" i="3"/>
  <c r="P65" i="3"/>
  <c r="P23" i="4" s="1"/>
  <c r="O65" i="3"/>
  <c r="O23" i="4" s="1"/>
  <c r="N65" i="3"/>
  <c r="M65" i="3"/>
  <c r="L65" i="3"/>
  <c r="K65" i="3"/>
  <c r="J65" i="3"/>
  <c r="I65" i="3"/>
  <c r="H65" i="3"/>
  <c r="H23" i="4" s="1"/>
  <c r="G65" i="3"/>
  <c r="G23" i="4" s="1"/>
  <c r="F65" i="3"/>
  <c r="E65" i="3"/>
  <c r="D65" i="3"/>
  <c r="C65" i="3"/>
  <c r="B65" i="3"/>
  <c r="A65" i="3"/>
  <c r="BG64" i="3"/>
  <c r="BF64" i="3"/>
  <c r="BE64" i="3"/>
  <c r="BD64" i="3"/>
  <c r="BC64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64" i="3"/>
  <c r="BG63" i="3"/>
  <c r="BF63" i="3"/>
  <c r="BE63" i="3"/>
  <c r="BD63" i="3"/>
  <c r="BC63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63" i="3"/>
  <c r="BG62" i="3"/>
  <c r="BF62" i="3"/>
  <c r="BE62" i="3"/>
  <c r="BE22" i="4" s="1"/>
  <c r="BD62" i="3"/>
  <c r="BD22" i="4" s="1"/>
  <c r="BC62" i="3"/>
  <c r="BB62" i="3"/>
  <c r="BA62" i="3"/>
  <c r="AZ62" i="3"/>
  <c r="AY62" i="3"/>
  <c r="AX62" i="3"/>
  <c r="AW62" i="3"/>
  <c r="AW22" i="4" s="1"/>
  <c r="AV62" i="3"/>
  <c r="AV22" i="4" s="1"/>
  <c r="AU62" i="3"/>
  <c r="AT62" i="3"/>
  <c r="AS62" i="3"/>
  <c r="AR62" i="3"/>
  <c r="AQ62" i="3"/>
  <c r="AP62" i="3"/>
  <c r="AO62" i="3"/>
  <c r="AO22" i="4" s="1"/>
  <c r="AN62" i="3"/>
  <c r="AN22" i="4" s="1"/>
  <c r="AM62" i="3"/>
  <c r="AL62" i="3"/>
  <c r="AK62" i="3"/>
  <c r="AJ62" i="3"/>
  <c r="AI62" i="3"/>
  <c r="AH62" i="3"/>
  <c r="AG62" i="3"/>
  <c r="AG22" i="4" s="1"/>
  <c r="AF62" i="3"/>
  <c r="AF22" i="4" s="1"/>
  <c r="AE62" i="3"/>
  <c r="AD62" i="3"/>
  <c r="AC62" i="3"/>
  <c r="AB62" i="3"/>
  <c r="AA62" i="3"/>
  <c r="Z62" i="3"/>
  <c r="Y62" i="3"/>
  <c r="Y22" i="4" s="1"/>
  <c r="X62" i="3"/>
  <c r="X22" i="4" s="1"/>
  <c r="W62" i="3"/>
  <c r="V62" i="3"/>
  <c r="U62" i="3"/>
  <c r="T62" i="3"/>
  <c r="S62" i="3"/>
  <c r="R62" i="3"/>
  <c r="Q62" i="3"/>
  <c r="Q22" i="4" s="1"/>
  <c r="P62" i="3"/>
  <c r="P22" i="4" s="1"/>
  <c r="O62" i="3"/>
  <c r="N62" i="3"/>
  <c r="M62" i="3"/>
  <c r="L62" i="3"/>
  <c r="K62" i="3"/>
  <c r="J62" i="3"/>
  <c r="I62" i="3"/>
  <c r="I22" i="4" s="1"/>
  <c r="H62" i="3"/>
  <c r="H22" i="4" s="1"/>
  <c r="G62" i="3"/>
  <c r="F62" i="3"/>
  <c r="E62" i="3"/>
  <c r="D62" i="3"/>
  <c r="C62" i="3"/>
  <c r="B62" i="3"/>
  <c r="A62" i="3"/>
  <c r="BG61" i="3"/>
  <c r="BF61" i="3"/>
  <c r="BE61" i="3"/>
  <c r="BD61" i="3"/>
  <c r="BC61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61" i="3"/>
  <c r="BG60" i="3"/>
  <c r="BF60" i="3"/>
  <c r="BE60" i="3"/>
  <c r="BD60" i="3"/>
  <c r="BC60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60" i="3"/>
  <c r="BG59" i="3"/>
  <c r="BF59" i="3"/>
  <c r="BF21" i="4" s="1"/>
  <c r="BE59" i="3"/>
  <c r="BE21" i="4" s="1"/>
  <c r="BD59" i="3"/>
  <c r="BC59" i="3"/>
  <c r="BB59" i="3"/>
  <c r="BA59" i="3"/>
  <c r="AZ59" i="3"/>
  <c r="AY59" i="3"/>
  <c r="AX59" i="3"/>
  <c r="AX21" i="4" s="1"/>
  <c r="AW59" i="3"/>
  <c r="AW21" i="4" s="1"/>
  <c r="AV59" i="3"/>
  <c r="AU59" i="3"/>
  <c r="AT59" i="3"/>
  <c r="AS59" i="3"/>
  <c r="AR59" i="3"/>
  <c r="AQ59" i="3"/>
  <c r="AP59" i="3"/>
  <c r="AP21" i="4" s="1"/>
  <c r="AO59" i="3"/>
  <c r="AO21" i="4" s="1"/>
  <c r="AN59" i="3"/>
  <c r="AM59" i="3"/>
  <c r="AL59" i="3"/>
  <c r="AK59" i="3"/>
  <c r="AJ59" i="3"/>
  <c r="AI59" i="3"/>
  <c r="AH59" i="3"/>
  <c r="AH21" i="4" s="1"/>
  <c r="AG59" i="3"/>
  <c r="AG21" i="4" s="1"/>
  <c r="AF59" i="3"/>
  <c r="AE59" i="3"/>
  <c r="AD59" i="3"/>
  <c r="AC59" i="3"/>
  <c r="AB59" i="3"/>
  <c r="AA59" i="3"/>
  <c r="Z59" i="3"/>
  <c r="Z21" i="4" s="1"/>
  <c r="Y59" i="3"/>
  <c r="Y21" i="4" s="1"/>
  <c r="X59" i="3"/>
  <c r="W59" i="3"/>
  <c r="V59" i="3"/>
  <c r="U59" i="3"/>
  <c r="T59" i="3"/>
  <c r="S59" i="3"/>
  <c r="R59" i="3"/>
  <c r="R21" i="4" s="1"/>
  <c r="Q59" i="3"/>
  <c r="Q21" i="4" s="1"/>
  <c r="P59" i="3"/>
  <c r="O59" i="3"/>
  <c r="N59" i="3"/>
  <c r="M59" i="3"/>
  <c r="L59" i="3"/>
  <c r="K59" i="3"/>
  <c r="J59" i="3"/>
  <c r="J21" i="4" s="1"/>
  <c r="I59" i="3"/>
  <c r="I21" i="4" s="1"/>
  <c r="H59" i="3"/>
  <c r="G59" i="3"/>
  <c r="F59" i="3"/>
  <c r="E59" i="3"/>
  <c r="D59" i="3"/>
  <c r="C59" i="3"/>
  <c r="B59" i="3"/>
  <c r="B21" i="4" s="1"/>
  <c r="A59" i="3"/>
  <c r="BG58" i="3"/>
  <c r="BF58" i="3"/>
  <c r="BE58" i="3"/>
  <c r="BD58" i="3"/>
  <c r="BC58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58" i="3"/>
  <c r="BG57" i="3"/>
  <c r="BF57" i="3"/>
  <c r="BE57" i="3"/>
  <c r="BD57" i="3"/>
  <c r="BC57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57" i="3"/>
  <c r="BG56" i="3"/>
  <c r="BG20" i="4" s="1"/>
  <c r="BF56" i="3"/>
  <c r="BF20" i="4" s="1"/>
  <c r="BE56" i="3"/>
  <c r="BD56" i="3"/>
  <c r="BC56" i="3"/>
  <c r="BB56" i="3"/>
  <c r="BA56" i="3"/>
  <c r="AZ56" i="3"/>
  <c r="AY56" i="3"/>
  <c r="AY20" i="4" s="1"/>
  <c r="AX56" i="3"/>
  <c r="AX20" i="4" s="1"/>
  <c r="AW56" i="3"/>
  <c r="AV56" i="3"/>
  <c r="AU56" i="3"/>
  <c r="AT56" i="3"/>
  <c r="AS56" i="3"/>
  <c r="AR56" i="3"/>
  <c r="AQ56" i="3"/>
  <c r="AQ20" i="4" s="1"/>
  <c r="AP56" i="3"/>
  <c r="AP20" i="4" s="1"/>
  <c r="AO56" i="3"/>
  <c r="AN56" i="3"/>
  <c r="AM56" i="3"/>
  <c r="AL56" i="3"/>
  <c r="AK56" i="3"/>
  <c r="AJ56" i="3"/>
  <c r="AI56" i="3"/>
  <c r="AI20" i="4" s="1"/>
  <c r="AH56" i="3"/>
  <c r="AH20" i="4" s="1"/>
  <c r="AG56" i="3"/>
  <c r="AF56" i="3"/>
  <c r="AE56" i="3"/>
  <c r="AD56" i="3"/>
  <c r="AC56" i="3"/>
  <c r="AB56" i="3"/>
  <c r="AA56" i="3"/>
  <c r="AA20" i="4" s="1"/>
  <c r="Z56" i="3"/>
  <c r="Z20" i="4" s="1"/>
  <c r="Y56" i="3"/>
  <c r="X56" i="3"/>
  <c r="W56" i="3"/>
  <c r="V56" i="3"/>
  <c r="U56" i="3"/>
  <c r="T56" i="3"/>
  <c r="S56" i="3"/>
  <c r="S20" i="4" s="1"/>
  <c r="R56" i="3"/>
  <c r="R20" i="4" s="1"/>
  <c r="Q56" i="3"/>
  <c r="P56" i="3"/>
  <c r="O56" i="3"/>
  <c r="N56" i="3"/>
  <c r="M56" i="3"/>
  <c r="L56" i="3"/>
  <c r="K56" i="3"/>
  <c r="K20" i="4" s="1"/>
  <c r="J56" i="3"/>
  <c r="J20" i="4" s="1"/>
  <c r="I56" i="3"/>
  <c r="H56" i="3"/>
  <c r="G56" i="3"/>
  <c r="F56" i="3"/>
  <c r="E56" i="3"/>
  <c r="D56" i="3"/>
  <c r="C56" i="3"/>
  <c r="C20" i="4" s="1"/>
  <c r="B56" i="3"/>
  <c r="B20" i="4" s="1"/>
  <c r="A56" i="3"/>
  <c r="BG55" i="3"/>
  <c r="BF55" i="3"/>
  <c r="BE55" i="3"/>
  <c r="BD55" i="3"/>
  <c r="BC55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55" i="3"/>
  <c r="BG54" i="3"/>
  <c r="BF54" i="3"/>
  <c r="BE54" i="3"/>
  <c r="BD54" i="3"/>
  <c r="BC54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54" i="3"/>
  <c r="BG53" i="3"/>
  <c r="BG19" i="4" s="1"/>
  <c r="BF53" i="3"/>
  <c r="BE53" i="3"/>
  <c r="BD53" i="3"/>
  <c r="BC53" i="3"/>
  <c r="BB53" i="3"/>
  <c r="BA53" i="3"/>
  <c r="AZ53" i="3"/>
  <c r="AZ19" i="4" s="1"/>
  <c r="AY53" i="3"/>
  <c r="AY19" i="4" s="1"/>
  <c r="AX53" i="3"/>
  <c r="AW53" i="3"/>
  <c r="AV53" i="3"/>
  <c r="AU53" i="3"/>
  <c r="AT53" i="3"/>
  <c r="AS53" i="3"/>
  <c r="AR53" i="3"/>
  <c r="AR19" i="4" s="1"/>
  <c r="AQ53" i="3"/>
  <c r="AQ19" i="4" s="1"/>
  <c r="AP53" i="3"/>
  <c r="AO53" i="3"/>
  <c r="AN53" i="3"/>
  <c r="AM53" i="3"/>
  <c r="AL53" i="3"/>
  <c r="AK53" i="3"/>
  <c r="AJ53" i="3"/>
  <c r="AJ19" i="4" s="1"/>
  <c r="AI53" i="3"/>
  <c r="AI19" i="4" s="1"/>
  <c r="AH53" i="3"/>
  <c r="AG53" i="3"/>
  <c r="AF53" i="3"/>
  <c r="AE53" i="3"/>
  <c r="AD53" i="3"/>
  <c r="AC53" i="3"/>
  <c r="AB53" i="3"/>
  <c r="AB19" i="4" s="1"/>
  <c r="AA53" i="3"/>
  <c r="AA19" i="4" s="1"/>
  <c r="Z53" i="3"/>
  <c r="Y53" i="3"/>
  <c r="X53" i="3"/>
  <c r="W53" i="3"/>
  <c r="V53" i="3"/>
  <c r="U53" i="3"/>
  <c r="T53" i="3"/>
  <c r="T19" i="4" s="1"/>
  <c r="S53" i="3"/>
  <c r="S19" i="4" s="1"/>
  <c r="R53" i="3"/>
  <c r="Q53" i="3"/>
  <c r="P53" i="3"/>
  <c r="O53" i="3"/>
  <c r="N53" i="3"/>
  <c r="M53" i="3"/>
  <c r="L53" i="3"/>
  <c r="L19" i="4" s="1"/>
  <c r="K53" i="3"/>
  <c r="K19" i="4" s="1"/>
  <c r="J53" i="3"/>
  <c r="I53" i="3"/>
  <c r="H53" i="3"/>
  <c r="G53" i="3"/>
  <c r="F53" i="3"/>
  <c r="E53" i="3"/>
  <c r="D53" i="3"/>
  <c r="D19" i="4" s="1"/>
  <c r="C53" i="3"/>
  <c r="C19" i="4" s="1"/>
  <c r="B53" i="3"/>
  <c r="A53" i="3"/>
  <c r="BG52" i="3"/>
  <c r="BF52" i="3"/>
  <c r="BE52" i="3"/>
  <c r="BD52" i="3"/>
  <c r="BC52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52" i="3"/>
  <c r="BG51" i="3"/>
  <c r="BF51" i="3"/>
  <c r="BE51" i="3"/>
  <c r="BD51" i="3"/>
  <c r="BC51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G18" i="4" s="1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51" i="3"/>
  <c r="BG50" i="3"/>
  <c r="BF50" i="3"/>
  <c r="BE50" i="3"/>
  <c r="BD50" i="3"/>
  <c r="BC50" i="3"/>
  <c r="BB50" i="3"/>
  <c r="BA50" i="3"/>
  <c r="BA18" i="4" s="1"/>
  <c r="AZ50" i="3"/>
  <c r="AZ18" i="4" s="1"/>
  <c r="AY50" i="3"/>
  <c r="AX50" i="3"/>
  <c r="AW50" i="3"/>
  <c r="AV50" i="3"/>
  <c r="AU50" i="3"/>
  <c r="AT50" i="3"/>
  <c r="AS50" i="3"/>
  <c r="AS18" i="4" s="1"/>
  <c r="AR50" i="3"/>
  <c r="AR18" i="4" s="1"/>
  <c r="AQ50" i="3"/>
  <c r="AP50" i="3"/>
  <c r="AO50" i="3"/>
  <c r="AN50" i="3"/>
  <c r="AM50" i="3"/>
  <c r="AL50" i="3"/>
  <c r="AK50" i="3"/>
  <c r="AK18" i="4" s="1"/>
  <c r="AJ50" i="3"/>
  <c r="AJ18" i="4" s="1"/>
  <c r="AI50" i="3"/>
  <c r="AH50" i="3"/>
  <c r="AG50" i="3"/>
  <c r="AF50" i="3"/>
  <c r="AE50" i="3"/>
  <c r="AD50" i="3"/>
  <c r="AC50" i="3"/>
  <c r="AC18" i="4" s="1"/>
  <c r="AB50" i="3"/>
  <c r="AB18" i="4" s="1"/>
  <c r="AA50" i="3"/>
  <c r="Z50" i="3"/>
  <c r="Y50" i="3"/>
  <c r="X50" i="3"/>
  <c r="W50" i="3"/>
  <c r="V50" i="3"/>
  <c r="U50" i="3"/>
  <c r="U18" i="4" s="1"/>
  <c r="T50" i="3"/>
  <c r="T18" i="4" s="1"/>
  <c r="S50" i="3"/>
  <c r="R50" i="3"/>
  <c r="Q50" i="3"/>
  <c r="P50" i="3"/>
  <c r="O50" i="3"/>
  <c r="N50" i="3"/>
  <c r="M50" i="3"/>
  <c r="M18" i="4" s="1"/>
  <c r="L50" i="3"/>
  <c r="L18" i="4" s="1"/>
  <c r="K50" i="3"/>
  <c r="J50" i="3"/>
  <c r="I50" i="3"/>
  <c r="H50" i="3"/>
  <c r="G50" i="3"/>
  <c r="F50" i="3"/>
  <c r="E50" i="3"/>
  <c r="E18" i="4" s="1"/>
  <c r="D50" i="3"/>
  <c r="D18" i="4" s="1"/>
  <c r="C50" i="3"/>
  <c r="B50" i="3"/>
  <c r="A50" i="3"/>
  <c r="BG49" i="3"/>
  <c r="BF49" i="3"/>
  <c r="BE49" i="3"/>
  <c r="BD49" i="3"/>
  <c r="BC49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P49" i="3"/>
  <c r="O49" i="3"/>
  <c r="N49" i="3"/>
  <c r="M49" i="3"/>
  <c r="L49" i="3"/>
  <c r="K49" i="3"/>
  <c r="J49" i="3"/>
  <c r="I49" i="3"/>
  <c r="H49" i="3"/>
  <c r="G49" i="3"/>
  <c r="F49" i="3"/>
  <c r="E49" i="3"/>
  <c r="D49" i="3"/>
  <c r="C49" i="3"/>
  <c r="B49" i="3"/>
  <c r="A49" i="3"/>
  <c r="BG48" i="3"/>
  <c r="BF48" i="3"/>
  <c r="BE48" i="3"/>
  <c r="BD48" i="3"/>
  <c r="BC48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P48" i="3"/>
  <c r="O48" i="3"/>
  <c r="N48" i="3"/>
  <c r="M48" i="3"/>
  <c r="L48" i="3"/>
  <c r="K48" i="3"/>
  <c r="J48" i="3"/>
  <c r="I48" i="3"/>
  <c r="H48" i="3"/>
  <c r="G48" i="3"/>
  <c r="F48" i="3"/>
  <c r="E48" i="3"/>
  <c r="D48" i="3"/>
  <c r="C48" i="3"/>
  <c r="B48" i="3"/>
  <c r="A48" i="3"/>
  <c r="BG47" i="3"/>
  <c r="BF47" i="3"/>
  <c r="BE47" i="3"/>
  <c r="BD47" i="3"/>
  <c r="BC47" i="3"/>
  <c r="BB47" i="3"/>
  <c r="BB17" i="4" s="1"/>
  <c r="BA47" i="3"/>
  <c r="BA17" i="4" s="1"/>
  <c r="AZ47" i="3"/>
  <c r="AY47" i="3"/>
  <c r="AX47" i="3"/>
  <c r="AW47" i="3"/>
  <c r="AV47" i="3"/>
  <c r="AU47" i="3"/>
  <c r="AT47" i="3"/>
  <c r="AT17" i="4" s="1"/>
  <c r="AS47" i="3"/>
  <c r="AS17" i="4" s="1"/>
  <c r="AR47" i="3"/>
  <c r="AQ47" i="3"/>
  <c r="AP47" i="3"/>
  <c r="AO47" i="3"/>
  <c r="AN47" i="3"/>
  <c r="AM47" i="3"/>
  <c r="AL47" i="3"/>
  <c r="AL17" i="4" s="1"/>
  <c r="AK47" i="3"/>
  <c r="AK17" i="4" s="1"/>
  <c r="AJ47" i="3"/>
  <c r="AI47" i="3"/>
  <c r="AH47" i="3"/>
  <c r="AG47" i="3"/>
  <c r="AF47" i="3"/>
  <c r="AE47" i="3"/>
  <c r="AD47" i="3"/>
  <c r="AD17" i="4" s="1"/>
  <c r="AC47" i="3"/>
  <c r="AC17" i="4" s="1"/>
  <c r="AB47" i="3"/>
  <c r="AA47" i="3"/>
  <c r="Z47" i="3"/>
  <c r="Y47" i="3"/>
  <c r="X47" i="3"/>
  <c r="W47" i="3"/>
  <c r="V47" i="3"/>
  <c r="V17" i="4" s="1"/>
  <c r="U47" i="3"/>
  <c r="U17" i="4" s="1"/>
  <c r="T47" i="3"/>
  <c r="S47" i="3"/>
  <c r="R47" i="3"/>
  <c r="Q47" i="3"/>
  <c r="P47" i="3"/>
  <c r="O47" i="3"/>
  <c r="N47" i="3"/>
  <c r="N17" i="4" s="1"/>
  <c r="M47" i="3"/>
  <c r="M17" i="4" s="1"/>
  <c r="L47" i="3"/>
  <c r="K47" i="3"/>
  <c r="J47" i="3"/>
  <c r="I47" i="3"/>
  <c r="H47" i="3"/>
  <c r="G47" i="3"/>
  <c r="F47" i="3"/>
  <c r="F17" i="4" s="1"/>
  <c r="E47" i="3"/>
  <c r="E17" i="4" s="1"/>
  <c r="D47" i="3"/>
  <c r="C47" i="3"/>
  <c r="B47" i="3"/>
  <c r="A47" i="3"/>
  <c r="BG46" i="3"/>
  <c r="BF46" i="3"/>
  <c r="BE46" i="3"/>
  <c r="BD46" i="3"/>
  <c r="BC46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P46" i="3"/>
  <c r="O46" i="3"/>
  <c r="N46" i="3"/>
  <c r="M46" i="3"/>
  <c r="L46" i="3"/>
  <c r="K46" i="3"/>
  <c r="J46" i="3"/>
  <c r="I46" i="3"/>
  <c r="H46" i="3"/>
  <c r="G46" i="3"/>
  <c r="F46" i="3"/>
  <c r="E46" i="3"/>
  <c r="D46" i="3"/>
  <c r="C46" i="3"/>
  <c r="B46" i="3"/>
  <c r="A46" i="3"/>
  <c r="BG45" i="3"/>
  <c r="BF45" i="3"/>
  <c r="BE45" i="3"/>
  <c r="BD45" i="3"/>
  <c r="BC45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P45" i="3"/>
  <c r="O45" i="3"/>
  <c r="N45" i="3"/>
  <c r="M45" i="3"/>
  <c r="L45" i="3"/>
  <c r="K45" i="3"/>
  <c r="J45" i="3"/>
  <c r="I45" i="3"/>
  <c r="H45" i="3"/>
  <c r="G45" i="3"/>
  <c r="F45" i="3"/>
  <c r="E45" i="3"/>
  <c r="D45" i="3"/>
  <c r="C45" i="3"/>
  <c r="B45" i="3"/>
  <c r="A45" i="3"/>
  <c r="BG44" i="3"/>
  <c r="BF44" i="3"/>
  <c r="BE44" i="3"/>
  <c r="BD44" i="3"/>
  <c r="BC44" i="3"/>
  <c r="BC16" i="4" s="1"/>
  <c r="BB44" i="3"/>
  <c r="BB16" i="4" s="1"/>
  <c r="BA44" i="3"/>
  <c r="AZ44" i="3"/>
  <c r="AY44" i="3"/>
  <c r="AX44" i="3"/>
  <c r="AW44" i="3"/>
  <c r="AV44" i="3"/>
  <c r="AU44" i="3"/>
  <c r="AU16" i="4" s="1"/>
  <c r="AT44" i="3"/>
  <c r="AT16" i="4" s="1"/>
  <c r="AS44" i="3"/>
  <c r="AR44" i="3"/>
  <c r="AQ44" i="3"/>
  <c r="AP44" i="3"/>
  <c r="AO44" i="3"/>
  <c r="AN44" i="3"/>
  <c r="AM44" i="3"/>
  <c r="AM16" i="4" s="1"/>
  <c r="AL44" i="3"/>
  <c r="AL16" i="4" s="1"/>
  <c r="AK44" i="3"/>
  <c r="AJ44" i="3"/>
  <c r="AI44" i="3"/>
  <c r="AH44" i="3"/>
  <c r="AG44" i="3"/>
  <c r="AF44" i="3"/>
  <c r="AE44" i="3"/>
  <c r="AE16" i="4" s="1"/>
  <c r="AD44" i="3"/>
  <c r="AD16" i="4" s="1"/>
  <c r="AC44" i="3"/>
  <c r="AB44" i="3"/>
  <c r="AA44" i="3"/>
  <c r="Z44" i="3"/>
  <c r="Y44" i="3"/>
  <c r="X44" i="3"/>
  <c r="W44" i="3"/>
  <c r="W16" i="4" s="1"/>
  <c r="V44" i="3"/>
  <c r="V16" i="4" s="1"/>
  <c r="U44" i="3"/>
  <c r="T44" i="3"/>
  <c r="S44" i="3"/>
  <c r="R44" i="3"/>
  <c r="Q44" i="3"/>
  <c r="P44" i="3"/>
  <c r="O44" i="3"/>
  <c r="O16" i="4" s="1"/>
  <c r="N44" i="3"/>
  <c r="N16" i="4" s="1"/>
  <c r="M44" i="3"/>
  <c r="L44" i="3"/>
  <c r="K44" i="3"/>
  <c r="J44" i="3"/>
  <c r="I44" i="3"/>
  <c r="H44" i="3"/>
  <c r="G44" i="3"/>
  <c r="G16" i="4" s="1"/>
  <c r="F44" i="3"/>
  <c r="F16" i="4" s="1"/>
  <c r="E44" i="3"/>
  <c r="D44" i="3"/>
  <c r="C44" i="3"/>
  <c r="B44" i="3"/>
  <c r="A44" i="3"/>
  <c r="BG43" i="3"/>
  <c r="BF43" i="3"/>
  <c r="BE43" i="3"/>
  <c r="BD43" i="3"/>
  <c r="BC43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P43" i="3"/>
  <c r="O43" i="3"/>
  <c r="N43" i="3"/>
  <c r="M43" i="3"/>
  <c r="L43" i="3"/>
  <c r="K43" i="3"/>
  <c r="J43" i="3"/>
  <c r="I43" i="3"/>
  <c r="H43" i="3"/>
  <c r="G43" i="3"/>
  <c r="F43" i="3"/>
  <c r="E43" i="3"/>
  <c r="D43" i="3"/>
  <c r="C43" i="3"/>
  <c r="B43" i="3"/>
  <c r="A43" i="3"/>
  <c r="BG42" i="3"/>
  <c r="BF42" i="3"/>
  <c r="BE42" i="3"/>
  <c r="BD42" i="3"/>
  <c r="BC42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P42" i="3"/>
  <c r="O42" i="3"/>
  <c r="N42" i="3"/>
  <c r="M42" i="3"/>
  <c r="L42" i="3"/>
  <c r="K42" i="3"/>
  <c r="J42" i="3"/>
  <c r="I42" i="3"/>
  <c r="H42" i="3"/>
  <c r="G42" i="3"/>
  <c r="F42" i="3"/>
  <c r="E42" i="3"/>
  <c r="D42" i="3"/>
  <c r="C42" i="3"/>
  <c r="B42" i="3"/>
  <c r="A42" i="3"/>
  <c r="BG41" i="3"/>
  <c r="BF41" i="3"/>
  <c r="BE41" i="3"/>
  <c r="BD41" i="3"/>
  <c r="BD15" i="4" s="1"/>
  <c r="BC41" i="3"/>
  <c r="BC15" i="4" s="1"/>
  <c r="BB41" i="3"/>
  <c r="BA41" i="3"/>
  <c r="AZ41" i="3"/>
  <c r="AY41" i="3"/>
  <c r="AX41" i="3"/>
  <c r="AW41" i="3"/>
  <c r="AV41" i="3"/>
  <c r="AV15" i="4" s="1"/>
  <c r="AU41" i="3"/>
  <c r="AU15" i="4" s="1"/>
  <c r="AT41" i="3"/>
  <c r="AS41" i="3"/>
  <c r="AR41" i="3"/>
  <c r="AQ41" i="3"/>
  <c r="AP41" i="3"/>
  <c r="AO41" i="3"/>
  <c r="AN41" i="3"/>
  <c r="AN15" i="4" s="1"/>
  <c r="AM41" i="3"/>
  <c r="AM15" i="4" s="1"/>
  <c r="AL41" i="3"/>
  <c r="AK41" i="3"/>
  <c r="AJ41" i="3"/>
  <c r="AI41" i="3"/>
  <c r="AH41" i="3"/>
  <c r="AG41" i="3"/>
  <c r="AF41" i="3"/>
  <c r="AF15" i="4" s="1"/>
  <c r="AE41" i="3"/>
  <c r="AE15" i="4" s="1"/>
  <c r="AD41" i="3"/>
  <c r="AC41" i="3"/>
  <c r="AB41" i="3"/>
  <c r="AA41" i="3"/>
  <c r="Z41" i="3"/>
  <c r="Y41" i="3"/>
  <c r="X41" i="3"/>
  <c r="X15" i="4" s="1"/>
  <c r="W41" i="3"/>
  <c r="W15" i="4" s="1"/>
  <c r="V41" i="3"/>
  <c r="U41" i="3"/>
  <c r="T41" i="3"/>
  <c r="S41" i="3"/>
  <c r="R41" i="3"/>
  <c r="Q41" i="3"/>
  <c r="P41" i="3"/>
  <c r="P15" i="4" s="1"/>
  <c r="O41" i="3"/>
  <c r="O15" i="4" s="1"/>
  <c r="N41" i="3"/>
  <c r="M41" i="3"/>
  <c r="L41" i="3"/>
  <c r="K41" i="3"/>
  <c r="J41" i="3"/>
  <c r="I41" i="3"/>
  <c r="H41" i="3"/>
  <c r="H15" i="4" s="1"/>
  <c r="G41" i="3"/>
  <c r="G15" i="4" s="1"/>
  <c r="F41" i="3"/>
  <c r="E41" i="3"/>
  <c r="D41" i="3"/>
  <c r="C41" i="3"/>
  <c r="B41" i="3"/>
  <c r="A41" i="3"/>
  <c r="BG40" i="3"/>
  <c r="BF40" i="3"/>
  <c r="BE40" i="3"/>
  <c r="BD40" i="3"/>
  <c r="BC40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B40" i="3"/>
  <c r="A40" i="3"/>
  <c r="BG39" i="3"/>
  <c r="BF39" i="3"/>
  <c r="BE39" i="3"/>
  <c r="BD39" i="3"/>
  <c r="BC39" i="3"/>
  <c r="BB39" i="3"/>
  <c r="BB14" i="4" s="1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B39" i="3"/>
  <c r="A39" i="3"/>
  <c r="BG38" i="3"/>
  <c r="BF38" i="3"/>
  <c r="BE38" i="3"/>
  <c r="BE14" i="4" s="1"/>
  <c r="BD38" i="3"/>
  <c r="BD14" i="4" s="1"/>
  <c r="BC38" i="3"/>
  <c r="BB38" i="3"/>
  <c r="BA38" i="3"/>
  <c r="AZ38" i="3"/>
  <c r="AY38" i="3"/>
  <c r="AX38" i="3"/>
  <c r="AW38" i="3"/>
  <c r="AW14" i="4" s="1"/>
  <c r="AV38" i="3"/>
  <c r="AV14" i="4" s="1"/>
  <c r="AU38" i="3"/>
  <c r="AT38" i="3"/>
  <c r="AS38" i="3"/>
  <c r="AR38" i="3"/>
  <c r="AQ38" i="3"/>
  <c r="AP38" i="3"/>
  <c r="AO38" i="3"/>
  <c r="AO14" i="4" s="1"/>
  <c r="AN38" i="3"/>
  <c r="AN14" i="4" s="1"/>
  <c r="AM38" i="3"/>
  <c r="AL38" i="3"/>
  <c r="AK38" i="3"/>
  <c r="AJ38" i="3"/>
  <c r="AI38" i="3"/>
  <c r="AH38" i="3"/>
  <c r="AG38" i="3"/>
  <c r="AG14" i="4" s="1"/>
  <c r="AF38" i="3"/>
  <c r="AF14" i="4" s="1"/>
  <c r="AE38" i="3"/>
  <c r="AD38" i="3"/>
  <c r="AC38" i="3"/>
  <c r="AB38" i="3"/>
  <c r="AA38" i="3"/>
  <c r="Z38" i="3"/>
  <c r="Y38" i="3"/>
  <c r="Y14" i="4" s="1"/>
  <c r="X38" i="3"/>
  <c r="X14" i="4" s="1"/>
  <c r="W38" i="3"/>
  <c r="V38" i="3"/>
  <c r="U38" i="3"/>
  <c r="T38" i="3"/>
  <c r="S38" i="3"/>
  <c r="R38" i="3"/>
  <c r="Q38" i="3"/>
  <c r="Q14" i="4" s="1"/>
  <c r="P38" i="3"/>
  <c r="P14" i="4" s="1"/>
  <c r="O38" i="3"/>
  <c r="N38" i="3"/>
  <c r="M38" i="3"/>
  <c r="L38" i="3"/>
  <c r="K38" i="3"/>
  <c r="J38" i="3"/>
  <c r="I38" i="3"/>
  <c r="I14" i="4" s="1"/>
  <c r="H38" i="3"/>
  <c r="H14" i="4" s="1"/>
  <c r="G38" i="3"/>
  <c r="F38" i="3"/>
  <c r="E38" i="3"/>
  <c r="D38" i="3"/>
  <c r="C38" i="3"/>
  <c r="B38" i="3"/>
  <c r="A38" i="3"/>
  <c r="BG37" i="3"/>
  <c r="BF37" i="3"/>
  <c r="BE37" i="3"/>
  <c r="BD37" i="3"/>
  <c r="BC37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B37" i="3"/>
  <c r="A37" i="3"/>
  <c r="BG36" i="3"/>
  <c r="BF36" i="3"/>
  <c r="BE36" i="3"/>
  <c r="BD36" i="3"/>
  <c r="BC36" i="3"/>
  <c r="BB36" i="3"/>
  <c r="BA36" i="3"/>
  <c r="AZ36" i="3"/>
  <c r="AY36" i="3"/>
  <c r="AX36" i="3"/>
  <c r="AW36" i="3"/>
  <c r="AV36" i="3"/>
  <c r="AU36" i="3"/>
  <c r="AU13" i="4" s="1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B36" i="3"/>
  <c r="A36" i="3"/>
  <c r="BG35" i="3"/>
  <c r="BF35" i="3"/>
  <c r="BF13" i="4" s="1"/>
  <c r="BE35" i="3"/>
  <c r="BE13" i="4" s="1"/>
  <c r="BD35" i="3"/>
  <c r="BC35" i="3"/>
  <c r="BB35" i="3"/>
  <c r="BA35" i="3"/>
  <c r="AZ35" i="3"/>
  <c r="AY35" i="3"/>
  <c r="AX35" i="3"/>
  <c r="AX13" i="4" s="1"/>
  <c r="AW35" i="3"/>
  <c r="AW13" i="4" s="1"/>
  <c r="AV35" i="3"/>
  <c r="AU35" i="3"/>
  <c r="AT35" i="3"/>
  <c r="AS35" i="3"/>
  <c r="AR35" i="3"/>
  <c r="AQ35" i="3"/>
  <c r="AP35" i="3"/>
  <c r="AP13" i="4" s="1"/>
  <c r="AO35" i="3"/>
  <c r="AO13" i="4" s="1"/>
  <c r="AN35" i="3"/>
  <c r="AM35" i="3"/>
  <c r="AL35" i="3"/>
  <c r="AK35" i="3"/>
  <c r="AJ35" i="3"/>
  <c r="AI35" i="3"/>
  <c r="AH35" i="3"/>
  <c r="AH13" i="4" s="1"/>
  <c r="AG35" i="3"/>
  <c r="AG13" i="4" s="1"/>
  <c r="AF35" i="3"/>
  <c r="AE35" i="3"/>
  <c r="AD35" i="3"/>
  <c r="AC35" i="3"/>
  <c r="AB35" i="3"/>
  <c r="AA35" i="3"/>
  <c r="Z35" i="3"/>
  <c r="Z13" i="4" s="1"/>
  <c r="Y35" i="3"/>
  <c r="Y13" i="4" s="1"/>
  <c r="X35" i="3"/>
  <c r="W35" i="3"/>
  <c r="V35" i="3"/>
  <c r="U35" i="3"/>
  <c r="T35" i="3"/>
  <c r="S35" i="3"/>
  <c r="R35" i="3"/>
  <c r="R13" i="4" s="1"/>
  <c r="Q35" i="3"/>
  <c r="Q13" i="4" s="1"/>
  <c r="P35" i="3"/>
  <c r="O35" i="3"/>
  <c r="N35" i="3"/>
  <c r="M35" i="3"/>
  <c r="L35" i="3"/>
  <c r="K35" i="3"/>
  <c r="J35" i="3"/>
  <c r="J13" i="4" s="1"/>
  <c r="I35" i="3"/>
  <c r="I13" i="4" s="1"/>
  <c r="H35" i="3"/>
  <c r="G35" i="3"/>
  <c r="F35" i="3"/>
  <c r="E35" i="3"/>
  <c r="D35" i="3"/>
  <c r="C35" i="3"/>
  <c r="B35" i="3"/>
  <c r="B13" i="4" s="1"/>
  <c r="A35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D34" i="3"/>
  <c r="C34" i="3"/>
  <c r="B34" i="3"/>
  <c r="A34" i="3"/>
  <c r="BG33" i="3"/>
  <c r="BF33" i="3"/>
  <c r="BE33" i="3"/>
  <c r="BD33" i="3"/>
  <c r="BC33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J33" i="3"/>
  <c r="I33" i="3"/>
  <c r="H33" i="3"/>
  <c r="G33" i="3"/>
  <c r="F33" i="3"/>
  <c r="E33" i="3"/>
  <c r="D33" i="3"/>
  <c r="C33" i="3"/>
  <c r="B33" i="3"/>
  <c r="A33" i="3"/>
  <c r="BG32" i="3"/>
  <c r="BG12" i="4" s="1"/>
  <c r="BF32" i="3"/>
  <c r="BF12" i="4" s="1"/>
  <c r="BE32" i="3"/>
  <c r="BD32" i="3"/>
  <c r="BC32" i="3"/>
  <c r="BB32" i="3"/>
  <c r="BA32" i="3"/>
  <c r="AZ32" i="3"/>
  <c r="AY32" i="3"/>
  <c r="AY12" i="4" s="1"/>
  <c r="AX32" i="3"/>
  <c r="AX12" i="4" s="1"/>
  <c r="AW32" i="3"/>
  <c r="AV32" i="3"/>
  <c r="AU32" i="3"/>
  <c r="AT32" i="3"/>
  <c r="AS32" i="3"/>
  <c r="AR32" i="3"/>
  <c r="AQ32" i="3"/>
  <c r="AQ12" i="4" s="1"/>
  <c r="AP32" i="3"/>
  <c r="AP12" i="4" s="1"/>
  <c r="AO32" i="3"/>
  <c r="AN32" i="3"/>
  <c r="AM32" i="3"/>
  <c r="AL32" i="3"/>
  <c r="AK32" i="3"/>
  <c r="AJ32" i="3"/>
  <c r="AI32" i="3"/>
  <c r="AI12" i="4" s="1"/>
  <c r="AH32" i="3"/>
  <c r="AH12" i="4" s="1"/>
  <c r="AG32" i="3"/>
  <c r="AF32" i="3"/>
  <c r="AE32" i="3"/>
  <c r="AD32" i="3"/>
  <c r="AC32" i="3"/>
  <c r="AB32" i="3"/>
  <c r="AA32" i="3"/>
  <c r="AA12" i="4" s="1"/>
  <c r="Z32" i="3"/>
  <c r="Z12" i="4" s="1"/>
  <c r="Y32" i="3"/>
  <c r="X32" i="3"/>
  <c r="W32" i="3"/>
  <c r="V32" i="3"/>
  <c r="U32" i="3"/>
  <c r="T32" i="3"/>
  <c r="S32" i="3"/>
  <c r="S12" i="4" s="1"/>
  <c r="R32" i="3"/>
  <c r="R12" i="4" s="1"/>
  <c r="Q32" i="3"/>
  <c r="P32" i="3"/>
  <c r="O32" i="3"/>
  <c r="N32" i="3"/>
  <c r="M32" i="3"/>
  <c r="L32" i="3"/>
  <c r="K32" i="3"/>
  <c r="K12" i="4" s="1"/>
  <c r="J32" i="3"/>
  <c r="J12" i="4" s="1"/>
  <c r="I32" i="3"/>
  <c r="H32" i="3"/>
  <c r="G32" i="3"/>
  <c r="F32" i="3"/>
  <c r="E32" i="3"/>
  <c r="D32" i="3"/>
  <c r="C32" i="3"/>
  <c r="C12" i="4" s="1"/>
  <c r="B32" i="3"/>
  <c r="B12" i="4" s="1"/>
  <c r="A32" i="3"/>
  <c r="BG31" i="3"/>
  <c r="BF31" i="3"/>
  <c r="BE31" i="3"/>
  <c r="BD31" i="3"/>
  <c r="BC31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P31" i="3"/>
  <c r="O31" i="3"/>
  <c r="N31" i="3"/>
  <c r="M31" i="3"/>
  <c r="L31" i="3"/>
  <c r="K31" i="3"/>
  <c r="J31" i="3"/>
  <c r="I31" i="3"/>
  <c r="H31" i="3"/>
  <c r="G31" i="3"/>
  <c r="F31" i="3"/>
  <c r="E31" i="3"/>
  <c r="D31" i="3"/>
  <c r="C31" i="3"/>
  <c r="B31" i="3"/>
  <c r="A31" i="3"/>
  <c r="BG30" i="3"/>
  <c r="BF30" i="3"/>
  <c r="BE30" i="3"/>
  <c r="BD30" i="3"/>
  <c r="BC30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P30" i="3"/>
  <c r="O30" i="3"/>
  <c r="N30" i="3"/>
  <c r="M30" i="3"/>
  <c r="L30" i="3"/>
  <c r="K30" i="3"/>
  <c r="J30" i="3"/>
  <c r="I30" i="3"/>
  <c r="H30" i="3"/>
  <c r="G30" i="3"/>
  <c r="F30" i="3"/>
  <c r="E30" i="3"/>
  <c r="D30" i="3"/>
  <c r="C30" i="3"/>
  <c r="B30" i="3"/>
  <c r="A30" i="3"/>
  <c r="BG29" i="3"/>
  <c r="BG11" i="4" s="1"/>
  <c r="BF29" i="3"/>
  <c r="BE29" i="3"/>
  <c r="BD29" i="3"/>
  <c r="BC29" i="3"/>
  <c r="BB29" i="3"/>
  <c r="BA29" i="3"/>
  <c r="AZ29" i="3"/>
  <c r="AZ11" i="4" s="1"/>
  <c r="AY29" i="3"/>
  <c r="AY11" i="4" s="1"/>
  <c r="AX29" i="3"/>
  <c r="AW29" i="3"/>
  <c r="AV29" i="3"/>
  <c r="AU29" i="3"/>
  <c r="AT29" i="3"/>
  <c r="AS29" i="3"/>
  <c r="AR29" i="3"/>
  <c r="AR11" i="4" s="1"/>
  <c r="AQ29" i="3"/>
  <c r="AQ11" i="4" s="1"/>
  <c r="AP29" i="3"/>
  <c r="AO29" i="3"/>
  <c r="AN29" i="3"/>
  <c r="AM29" i="3"/>
  <c r="AL29" i="3"/>
  <c r="AK29" i="3"/>
  <c r="AJ29" i="3"/>
  <c r="AJ11" i="4" s="1"/>
  <c r="AI29" i="3"/>
  <c r="AI11" i="4" s="1"/>
  <c r="AH29" i="3"/>
  <c r="AG29" i="3"/>
  <c r="AF29" i="3"/>
  <c r="AE29" i="3"/>
  <c r="AD29" i="3"/>
  <c r="AC29" i="3"/>
  <c r="AB29" i="3"/>
  <c r="AB11" i="4" s="1"/>
  <c r="AA29" i="3"/>
  <c r="AA11" i="4" s="1"/>
  <c r="Z29" i="3"/>
  <c r="Y29" i="3"/>
  <c r="X29" i="3"/>
  <c r="W29" i="3"/>
  <c r="V29" i="3"/>
  <c r="U29" i="3"/>
  <c r="T29" i="3"/>
  <c r="T11" i="4" s="1"/>
  <c r="S29" i="3"/>
  <c r="S11" i="4" s="1"/>
  <c r="R29" i="3"/>
  <c r="Q29" i="3"/>
  <c r="P29" i="3"/>
  <c r="O29" i="3"/>
  <c r="N29" i="3"/>
  <c r="M29" i="3"/>
  <c r="L29" i="3"/>
  <c r="L11" i="4" s="1"/>
  <c r="K29" i="3"/>
  <c r="K11" i="4" s="1"/>
  <c r="J29" i="3"/>
  <c r="I29" i="3"/>
  <c r="H29" i="3"/>
  <c r="G29" i="3"/>
  <c r="F29" i="3"/>
  <c r="E29" i="3"/>
  <c r="D29" i="3"/>
  <c r="D11" i="4" s="1"/>
  <c r="C29" i="3"/>
  <c r="C11" i="4" s="1"/>
  <c r="B29" i="3"/>
  <c r="A29" i="3"/>
  <c r="BG28" i="3"/>
  <c r="BF28" i="3"/>
  <c r="BE28" i="3"/>
  <c r="BD28" i="3"/>
  <c r="BC28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J28" i="3"/>
  <c r="I28" i="3"/>
  <c r="H28" i="3"/>
  <c r="G28" i="3"/>
  <c r="F28" i="3"/>
  <c r="E28" i="3"/>
  <c r="D28" i="3"/>
  <c r="C28" i="3"/>
  <c r="B28" i="3"/>
  <c r="A28" i="3"/>
  <c r="BG27" i="3"/>
  <c r="BF27" i="3"/>
  <c r="BE27" i="3"/>
  <c r="BD27" i="3"/>
  <c r="BC27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P27" i="3"/>
  <c r="O27" i="3"/>
  <c r="N27" i="3"/>
  <c r="M27" i="3"/>
  <c r="L27" i="3"/>
  <c r="K27" i="3"/>
  <c r="J27" i="3"/>
  <c r="I27" i="3"/>
  <c r="H27" i="3"/>
  <c r="G27" i="3"/>
  <c r="F27" i="3"/>
  <c r="E27" i="3"/>
  <c r="D27" i="3"/>
  <c r="C27" i="3"/>
  <c r="B27" i="3"/>
  <c r="A27" i="3"/>
  <c r="BG26" i="3"/>
  <c r="BF26" i="3"/>
  <c r="BE26" i="3"/>
  <c r="BD26" i="3"/>
  <c r="BC26" i="3"/>
  <c r="BB26" i="3"/>
  <c r="BA26" i="3"/>
  <c r="BA10" i="4" s="1"/>
  <c r="AZ26" i="3"/>
  <c r="AZ10" i="4" s="1"/>
  <c r="AY26" i="3"/>
  <c r="AX26" i="3"/>
  <c r="AW26" i="3"/>
  <c r="AV26" i="3"/>
  <c r="AU26" i="3"/>
  <c r="AT26" i="3"/>
  <c r="AS26" i="3"/>
  <c r="AS10" i="4" s="1"/>
  <c r="AR26" i="3"/>
  <c r="AR10" i="4" s="1"/>
  <c r="AQ26" i="3"/>
  <c r="AP26" i="3"/>
  <c r="AO26" i="3"/>
  <c r="AN26" i="3"/>
  <c r="AM26" i="3"/>
  <c r="AL26" i="3"/>
  <c r="AK26" i="3"/>
  <c r="AK10" i="4" s="1"/>
  <c r="AJ26" i="3"/>
  <c r="AJ10" i="4" s="1"/>
  <c r="AI26" i="3"/>
  <c r="AH26" i="3"/>
  <c r="AG26" i="3"/>
  <c r="AF26" i="3"/>
  <c r="AE26" i="3"/>
  <c r="AD26" i="3"/>
  <c r="AC26" i="3"/>
  <c r="AC10" i="4" s="1"/>
  <c r="AB26" i="3"/>
  <c r="AB10" i="4" s="1"/>
  <c r="AA26" i="3"/>
  <c r="Z26" i="3"/>
  <c r="Y26" i="3"/>
  <c r="X26" i="3"/>
  <c r="W26" i="3"/>
  <c r="V26" i="3"/>
  <c r="U26" i="3"/>
  <c r="U10" i="4" s="1"/>
  <c r="T26" i="3"/>
  <c r="T10" i="4" s="1"/>
  <c r="S26" i="3"/>
  <c r="R26" i="3"/>
  <c r="Q26" i="3"/>
  <c r="P26" i="3"/>
  <c r="O26" i="3"/>
  <c r="N26" i="3"/>
  <c r="M26" i="3"/>
  <c r="M10" i="4" s="1"/>
  <c r="L26" i="3"/>
  <c r="L10" i="4" s="1"/>
  <c r="K26" i="3"/>
  <c r="J26" i="3"/>
  <c r="I26" i="3"/>
  <c r="H26" i="3"/>
  <c r="G26" i="3"/>
  <c r="F26" i="3"/>
  <c r="E26" i="3"/>
  <c r="E10" i="4" s="1"/>
  <c r="D26" i="3"/>
  <c r="D10" i="4" s="1"/>
  <c r="C26" i="3"/>
  <c r="B26" i="3"/>
  <c r="A26" i="3"/>
  <c r="BG25" i="3"/>
  <c r="BF25" i="3"/>
  <c r="BE25" i="3"/>
  <c r="BD25" i="3"/>
  <c r="BC25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J25" i="3"/>
  <c r="I25" i="3"/>
  <c r="H25" i="3"/>
  <c r="G25" i="3"/>
  <c r="F25" i="3"/>
  <c r="E25" i="3"/>
  <c r="D25" i="3"/>
  <c r="C25" i="3"/>
  <c r="B25" i="3"/>
  <c r="A25" i="3"/>
  <c r="BG24" i="3"/>
  <c r="BF24" i="3"/>
  <c r="BE24" i="3"/>
  <c r="BD24" i="3"/>
  <c r="BC24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P24" i="3"/>
  <c r="O24" i="3"/>
  <c r="N24" i="3"/>
  <c r="M24" i="3"/>
  <c r="L24" i="3"/>
  <c r="K24" i="3"/>
  <c r="J24" i="3"/>
  <c r="I24" i="3"/>
  <c r="H24" i="3"/>
  <c r="G24" i="3"/>
  <c r="F24" i="3"/>
  <c r="E24" i="3"/>
  <c r="D24" i="3"/>
  <c r="C24" i="3"/>
  <c r="B24" i="3"/>
  <c r="A24" i="3"/>
  <c r="BG23" i="3"/>
  <c r="BF23" i="3"/>
  <c r="BE23" i="3"/>
  <c r="BD23" i="3"/>
  <c r="BC23" i="3"/>
  <c r="BB23" i="3"/>
  <c r="BB9" i="4" s="1"/>
  <c r="BA23" i="3"/>
  <c r="BA9" i="4" s="1"/>
  <c r="AZ23" i="3"/>
  <c r="AY23" i="3"/>
  <c r="AX23" i="3"/>
  <c r="AW23" i="3"/>
  <c r="AV23" i="3"/>
  <c r="AU23" i="3"/>
  <c r="AT23" i="3"/>
  <c r="AT9" i="4" s="1"/>
  <c r="AS23" i="3"/>
  <c r="AS9" i="4" s="1"/>
  <c r="AR23" i="3"/>
  <c r="AQ23" i="3"/>
  <c r="AP23" i="3"/>
  <c r="AO23" i="3"/>
  <c r="AN23" i="3"/>
  <c r="AM23" i="3"/>
  <c r="AL23" i="3"/>
  <c r="AL9" i="4" s="1"/>
  <c r="AK23" i="3"/>
  <c r="AK9" i="4" s="1"/>
  <c r="AJ23" i="3"/>
  <c r="AI23" i="3"/>
  <c r="AH23" i="3"/>
  <c r="AG23" i="3"/>
  <c r="AF23" i="3"/>
  <c r="AE23" i="3"/>
  <c r="AD23" i="3"/>
  <c r="AD9" i="4" s="1"/>
  <c r="AC23" i="3"/>
  <c r="AC9" i="4" s="1"/>
  <c r="AB23" i="3"/>
  <c r="AA23" i="3"/>
  <c r="Z23" i="3"/>
  <c r="Y23" i="3"/>
  <c r="X23" i="3"/>
  <c r="W23" i="3"/>
  <c r="V23" i="3"/>
  <c r="V9" i="4" s="1"/>
  <c r="U23" i="3"/>
  <c r="U9" i="4" s="1"/>
  <c r="T23" i="3"/>
  <c r="S23" i="3"/>
  <c r="R23" i="3"/>
  <c r="Q23" i="3"/>
  <c r="P23" i="3"/>
  <c r="O23" i="3"/>
  <c r="N23" i="3"/>
  <c r="N9" i="4" s="1"/>
  <c r="M23" i="3"/>
  <c r="M9" i="4" s="1"/>
  <c r="L23" i="3"/>
  <c r="K23" i="3"/>
  <c r="J23" i="3"/>
  <c r="I23" i="3"/>
  <c r="H23" i="3"/>
  <c r="G23" i="3"/>
  <c r="F23" i="3"/>
  <c r="F9" i="4" s="1"/>
  <c r="E23" i="3"/>
  <c r="E9" i="4" s="1"/>
  <c r="D23" i="3"/>
  <c r="C23" i="3"/>
  <c r="B23" i="3"/>
  <c r="A23" i="3"/>
  <c r="A22" i="3"/>
  <c r="A21" i="3"/>
  <c r="A20" i="3"/>
  <c r="BG19" i="3"/>
  <c r="BF19" i="3"/>
  <c r="BE19" i="3"/>
  <c r="BD19" i="3"/>
  <c r="BC19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P19" i="3"/>
  <c r="O19" i="3"/>
  <c r="N19" i="3"/>
  <c r="M19" i="3"/>
  <c r="L19" i="3"/>
  <c r="K19" i="3"/>
  <c r="J19" i="3"/>
  <c r="I19" i="3"/>
  <c r="H19" i="3"/>
  <c r="G19" i="3"/>
  <c r="F19" i="3"/>
  <c r="E19" i="3"/>
  <c r="D19" i="3"/>
  <c r="C19" i="3"/>
  <c r="B19" i="3"/>
  <c r="A19" i="3"/>
  <c r="BG18" i="3"/>
  <c r="BF18" i="3"/>
  <c r="BE18" i="3"/>
  <c r="BD18" i="3"/>
  <c r="BC18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P18" i="3"/>
  <c r="O18" i="3"/>
  <c r="N18" i="3"/>
  <c r="M18" i="3"/>
  <c r="L18" i="3"/>
  <c r="K18" i="3"/>
  <c r="J18" i="3"/>
  <c r="I18" i="3"/>
  <c r="H18" i="3"/>
  <c r="G18" i="3"/>
  <c r="F18" i="3"/>
  <c r="E18" i="3"/>
  <c r="E7" i="4" s="1"/>
  <c r="D18" i="3"/>
  <c r="C18" i="3"/>
  <c r="B18" i="3"/>
  <c r="A18" i="3"/>
  <c r="BG17" i="3"/>
  <c r="BF17" i="3"/>
  <c r="BF7" i="4" s="1"/>
  <c r="BE17" i="3"/>
  <c r="BE7" i="4" s="1"/>
  <c r="BD17" i="3"/>
  <c r="BC17" i="3"/>
  <c r="BB17" i="3"/>
  <c r="BA17" i="3"/>
  <c r="AZ17" i="3"/>
  <c r="AY17" i="3"/>
  <c r="AX17" i="3"/>
  <c r="AX7" i="4" s="1"/>
  <c r="AW17" i="3"/>
  <c r="AW7" i="4" s="1"/>
  <c r="AV17" i="3"/>
  <c r="AU17" i="3"/>
  <c r="AT17" i="3"/>
  <c r="AS17" i="3"/>
  <c r="AR17" i="3"/>
  <c r="AQ17" i="3"/>
  <c r="AP17" i="3"/>
  <c r="AP7" i="4" s="1"/>
  <c r="AO17" i="3"/>
  <c r="AO7" i="4" s="1"/>
  <c r="AN17" i="3"/>
  <c r="AM17" i="3"/>
  <c r="AL17" i="3"/>
  <c r="AK17" i="3"/>
  <c r="AJ17" i="3"/>
  <c r="AI17" i="3"/>
  <c r="AH17" i="3"/>
  <c r="AH7" i="4" s="1"/>
  <c r="AG17" i="3"/>
  <c r="AG7" i="4" s="1"/>
  <c r="AF17" i="3"/>
  <c r="AE17" i="3"/>
  <c r="AD17" i="3"/>
  <c r="AC17" i="3"/>
  <c r="AB17" i="3"/>
  <c r="AA17" i="3"/>
  <c r="Z17" i="3"/>
  <c r="Z7" i="4" s="1"/>
  <c r="Y17" i="3"/>
  <c r="Y7" i="4" s="1"/>
  <c r="X17" i="3"/>
  <c r="W17" i="3"/>
  <c r="V17" i="3"/>
  <c r="U17" i="3"/>
  <c r="T17" i="3"/>
  <c r="S17" i="3"/>
  <c r="R17" i="3"/>
  <c r="R7" i="4" s="1"/>
  <c r="Q17" i="3"/>
  <c r="Q7" i="4" s="1"/>
  <c r="P17" i="3"/>
  <c r="O17" i="3"/>
  <c r="N17" i="3"/>
  <c r="M17" i="3"/>
  <c r="L17" i="3"/>
  <c r="K17" i="3"/>
  <c r="J17" i="3"/>
  <c r="J7" i="4" s="1"/>
  <c r="I17" i="3"/>
  <c r="I7" i="4" s="1"/>
  <c r="H17" i="3"/>
  <c r="G17" i="3"/>
  <c r="F17" i="3"/>
  <c r="E17" i="3"/>
  <c r="D17" i="3"/>
  <c r="C17" i="3"/>
  <c r="B17" i="3"/>
  <c r="B7" i="4" s="1"/>
  <c r="A17" i="3"/>
  <c r="BG16" i="3"/>
  <c r="BF16" i="3"/>
  <c r="BE16" i="3"/>
  <c r="BD16" i="3"/>
  <c r="BC16" i="3"/>
  <c r="BB16" i="3"/>
  <c r="BA16" i="3"/>
  <c r="BA6" i="4" s="1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P16" i="3"/>
  <c r="O16" i="3"/>
  <c r="N16" i="3"/>
  <c r="M16" i="3"/>
  <c r="L16" i="3"/>
  <c r="K16" i="3"/>
  <c r="J16" i="3"/>
  <c r="I16" i="3"/>
  <c r="H16" i="3"/>
  <c r="G16" i="3"/>
  <c r="F16" i="3"/>
  <c r="E16" i="3"/>
  <c r="D16" i="3"/>
  <c r="C16" i="3"/>
  <c r="B16" i="3"/>
  <c r="A16" i="3"/>
  <c r="BG15" i="3"/>
  <c r="BF15" i="3"/>
  <c r="BE15" i="3"/>
  <c r="BD15" i="3"/>
  <c r="BC15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P15" i="3"/>
  <c r="O15" i="3"/>
  <c r="N15" i="3"/>
  <c r="M15" i="3"/>
  <c r="L15" i="3"/>
  <c r="K15" i="3"/>
  <c r="J15" i="3"/>
  <c r="I15" i="3"/>
  <c r="H15" i="3"/>
  <c r="G15" i="3"/>
  <c r="F15" i="3"/>
  <c r="E15" i="3"/>
  <c r="D15" i="3"/>
  <c r="C15" i="3"/>
  <c r="B15" i="3"/>
  <c r="A15" i="3"/>
  <c r="BG14" i="3"/>
  <c r="BG6" i="4" s="1"/>
  <c r="BF14" i="3"/>
  <c r="BF6" i="4" s="1"/>
  <c r="BE14" i="3"/>
  <c r="BD14" i="3"/>
  <c r="BC14" i="3"/>
  <c r="BB14" i="3"/>
  <c r="BA14" i="3"/>
  <c r="AZ14" i="3"/>
  <c r="AY14" i="3"/>
  <c r="AY6" i="4" s="1"/>
  <c r="AX14" i="3"/>
  <c r="AX6" i="4" s="1"/>
  <c r="AW14" i="3"/>
  <c r="AV14" i="3"/>
  <c r="AU14" i="3"/>
  <c r="AT14" i="3"/>
  <c r="AS14" i="3"/>
  <c r="AR14" i="3"/>
  <c r="AQ14" i="3"/>
  <c r="AQ6" i="4" s="1"/>
  <c r="AP14" i="3"/>
  <c r="AP6" i="4" s="1"/>
  <c r="AO14" i="3"/>
  <c r="AN14" i="3"/>
  <c r="AM14" i="3"/>
  <c r="AL14" i="3"/>
  <c r="AK14" i="3"/>
  <c r="AJ14" i="3"/>
  <c r="AI14" i="3"/>
  <c r="AI6" i="4" s="1"/>
  <c r="AH14" i="3"/>
  <c r="AH6" i="4" s="1"/>
  <c r="AG14" i="3"/>
  <c r="AF14" i="3"/>
  <c r="AE14" i="3"/>
  <c r="AD14" i="3"/>
  <c r="AC14" i="3"/>
  <c r="AB14" i="3"/>
  <c r="AA14" i="3"/>
  <c r="AA6" i="4" s="1"/>
  <c r="Z14" i="3"/>
  <c r="Z6" i="4" s="1"/>
  <c r="Y14" i="3"/>
  <c r="X14" i="3"/>
  <c r="W14" i="3"/>
  <c r="V14" i="3"/>
  <c r="U14" i="3"/>
  <c r="T14" i="3"/>
  <c r="S14" i="3"/>
  <c r="S6" i="4" s="1"/>
  <c r="R14" i="3"/>
  <c r="R6" i="4" s="1"/>
  <c r="Q14" i="3"/>
  <c r="P14" i="3"/>
  <c r="O14" i="3"/>
  <c r="N14" i="3"/>
  <c r="M14" i="3"/>
  <c r="L14" i="3"/>
  <c r="K14" i="3"/>
  <c r="K6" i="4" s="1"/>
  <c r="J14" i="3"/>
  <c r="J6" i="4" s="1"/>
  <c r="I14" i="3"/>
  <c r="H14" i="3"/>
  <c r="G14" i="3"/>
  <c r="F14" i="3"/>
  <c r="E14" i="3"/>
  <c r="D14" i="3"/>
  <c r="C14" i="3"/>
  <c r="C6" i="4" s="1"/>
  <c r="B14" i="3"/>
  <c r="B6" i="4" s="1"/>
  <c r="A14" i="3"/>
  <c r="BG13" i="3"/>
  <c r="BF13" i="3"/>
  <c r="BE13" i="3"/>
  <c r="BD13" i="3"/>
  <c r="BC13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P13" i="3"/>
  <c r="O13" i="3"/>
  <c r="N13" i="3"/>
  <c r="M13" i="3"/>
  <c r="L13" i="3"/>
  <c r="K13" i="3"/>
  <c r="J13" i="3"/>
  <c r="I13" i="3"/>
  <c r="H13" i="3"/>
  <c r="G13" i="3"/>
  <c r="F13" i="3"/>
  <c r="E13" i="3"/>
  <c r="D13" i="3"/>
  <c r="C13" i="3"/>
  <c r="B13" i="3"/>
  <c r="A13" i="3"/>
  <c r="BG12" i="3"/>
  <c r="BF12" i="3"/>
  <c r="BE12" i="3"/>
  <c r="BD12" i="3"/>
  <c r="BC12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P12" i="3"/>
  <c r="O12" i="3"/>
  <c r="N12" i="3"/>
  <c r="M12" i="3"/>
  <c r="L12" i="3"/>
  <c r="K12" i="3"/>
  <c r="J12" i="3"/>
  <c r="I12" i="3"/>
  <c r="H12" i="3"/>
  <c r="G12" i="3"/>
  <c r="F12" i="3"/>
  <c r="E12" i="3"/>
  <c r="D12" i="3"/>
  <c r="C12" i="3"/>
  <c r="B12" i="3"/>
  <c r="A12" i="3"/>
  <c r="BG11" i="3"/>
  <c r="BG5" i="4" s="1"/>
  <c r="BF11" i="3"/>
  <c r="BE11" i="3"/>
  <c r="BD11" i="3"/>
  <c r="BC11" i="3"/>
  <c r="BB11" i="3"/>
  <c r="BA11" i="3"/>
  <c r="AZ11" i="3"/>
  <c r="AZ5" i="4" s="1"/>
  <c r="AY11" i="3"/>
  <c r="AY5" i="4" s="1"/>
  <c r="AX11" i="3"/>
  <c r="AW11" i="3"/>
  <c r="AV11" i="3"/>
  <c r="AU11" i="3"/>
  <c r="AT11" i="3"/>
  <c r="AS11" i="3"/>
  <c r="AR11" i="3"/>
  <c r="AR5" i="4" s="1"/>
  <c r="AQ11" i="3"/>
  <c r="AQ5" i="4" s="1"/>
  <c r="AP11" i="3"/>
  <c r="AP5" i="4" s="1"/>
  <c r="AO11" i="3"/>
  <c r="AN11" i="3"/>
  <c r="AM11" i="3"/>
  <c r="AL11" i="3"/>
  <c r="AK11" i="3"/>
  <c r="AJ11" i="3"/>
  <c r="AJ5" i="4" s="1"/>
  <c r="AI11" i="3"/>
  <c r="AI5" i="4" s="1"/>
  <c r="AH11" i="3"/>
  <c r="AH5" i="4" s="1"/>
  <c r="AG11" i="3"/>
  <c r="AF11" i="3"/>
  <c r="AE11" i="3"/>
  <c r="AD11" i="3"/>
  <c r="AC11" i="3"/>
  <c r="AB11" i="3"/>
  <c r="AB5" i="4" s="1"/>
  <c r="AA11" i="3"/>
  <c r="AA5" i="4" s="1"/>
  <c r="Z11" i="3"/>
  <c r="Z5" i="4" s="1"/>
  <c r="Y11" i="3"/>
  <c r="X11" i="3"/>
  <c r="W11" i="3"/>
  <c r="V11" i="3"/>
  <c r="U11" i="3"/>
  <c r="T11" i="3"/>
  <c r="T5" i="4" s="1"/>
  <c r="S11" i="3"/>
  <c r="S5" i="4" s="1"/>
  <c r="R11" i="3"/>
  <c r="R5" i="4" s="1"/>
  <c r="Q11" i="3"/>
  <c r="P11" i="3"/>
  <c r="O11" i="3"/>
  <c r="N11" i="3"/>
  <c r="M11" i="3"/>
  <c r="L11" i="3"/>
  <c r="L5" i="4" s="1"/>
  <c r="K11" i="3"/>
  <c r="K5" i="4" s="1"/>
  <c r="J11" i="3"/>
  <c r="J5" i="4" s="1"/>
  <c r="I11" i="3"/>
  <c r="H11" i="3"/>
  <c r="G11" i="3"/>
  <c r="F11" i="3"/>
  <c r="E11" i="3"/>
  <c r="D11" i="3"/>
  <c r="D5" i="4" s="1"/>
  <c r="C11" i="3"/>
  <c r="C5" i="4" s="1"/>
  <c r="B11" i="3"/>
  <c r="B5" i="4" s="1"/>
  <c r="A11" i="3"/>
  <c r="BG10" i="3"/>
  <c r="BF10" i="3"/>
  <c r="BE10" i="3"/>
  <c r="BD10" i="3"/>
  <c r="BC10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P10" i="3"/>
  <c r="O10" i="3"/>
  <c r="N10" i="3"/>
  <c r="M10" i="3"/>
  <c r="L10" i="3"/>
  <c r="K10" i="3"/>
  <c r="J10" i="3"/>
  <c r="I10" i="3"/>
  <c r="H10" i="3"/>
  <c r="G10" i="3"/>
  <c r="F10" i="3"/>
  <c r="E10" i="3"/>
  <c r="D10" i="3"/>
  <c r="C10" i="3"/>
  <c r="B10" i="3"/>
  <c r="A10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P9" i="3"/>
  <c r="O9" i="3"/>
  <c r="N9" i="3"/>
  <c r="M9" i="3"/>
  <c r="L9" i="3"/>
  <c r="K9" i="3"/>
  <c r="J9" i="3"/>
  <c r="I9" i="3"/>
  <c r="H9" i="3"/>
  <c r="G9" i="3"/>
  <c r="F9" i="3"/>
  <c r="E9" i="3"/>
  <c r="D9" i="3"/>
  <c r="C9" i="3"/>
  <c r="B9" i="3"/>
  <c r="A9" i="3"/>
  <c r="BG8" i="3"/>
  <c r="BG4" i="4" s="1"/>
  <c r="BF8" i="3"/>
  <c r="BE8" i="3"/>
  <c r="BD8" i="3"/>
  <c r="BC8" i="3"/>
  <c r="BB8" i="3"/>
  <c r="BA8" i="3"/>
  <c r="BA4" i="4" s="1"/>
  <c r="AZ8" i="3"/>
  <c r="AZ4" i="4" s="1"/>
  <c r="AY8" i="3"/>
  <c r="AY4" i="4" s="1"/>
  <c r="AX8" i="3"/>
  <c r="AW8" i="3"/>
  <c r="AV8" i="3"/>
  <c r="AU8" i="3"/>
  <c r="AT8" i="3"/>
  <c r="AS8" i="3"/>
  <c r="AS4" i="4" s="1"/>
  <c r="AR8" i="3"/>
  <c r="AR4" i="4" s="1"/>
  <c r="AQ8" i="3"/>
  <c r="AQ4" i="4" s="1"/>
  <c r="AP8" i="3"/>
  <c r="AO8" i="3"/>
  <c r="AN8" i="3"/>
  <c r="AM8" i="3"/>
  <c r="AL8" i="3"/>
  <c r="AK8" i="3"/>
  <c r="AK4" i="4" s="1"/>
  <c r="AJ8" i="3"/>
  <c r="AJ4" i="4" s="1"/>
  <c r="AI8" i="3"/>
  <c r="AI4" i="4" s="1"/>
  <c r="AH8" i="3"/>
  <c r="AG8" i="3"/>
  <c r="AF8" i="3"/>
  <c r="AE8" i="3"/>
  <c r="AD8" i="3"/>
  <c r="AC8" i="3"/>
  <c r="AC4" i="4" s="1"/>
  <c r="AB8" i="3"/>
  <c r="AB4" i="4" s="1"/>
  <c r="AA8" i="3"/>
  <c r="AA4" i="4" s="1"/>
  <c r="Z8" i="3"/>
  <c r="Y8" i="3"/>
  <c r="X8" i="3"/>
  <c r="W8" i="3"/>
  <c r="V8" i="3"/>
  <c r="U8" i="3"/>
  <c r="U4" i="4" s="1"/>
  <c r="T8" i="3"/>
  <c r="T4" i="4" s="1"/>
  <c r="S8" i="3"/>
  <c r="S4" i="4" s="1"/>
  <c r="R8" i="3"/>
  <c r="Q8" i="3"/>
  <c r="P8" i="3"/>
  <c r="O8" i="3"/>
  <c r="N8" i="3"/>
  <c r="M8" i="3"/>
  <c r="M4" i="4" s="1"/>
  <c r="L8" i="3"/>
  <c r="L4" i="4" s="1"/>
  <c r="K8" i="3"/>
  <c r="K4" i="4" s="1"/>
  <c r="J8" i="3"/>
  <c r="I8" i="3"/>
  <c r="H8" i="3"/>
  <c r="G8" i="3"/>
  <c r="F8" i="3"/>
  <c r="E8" i="3"/>
  <c r="E4" i="4" s="1"/>
  <c r="D8" i="3"/>
  <c r="D4" i="4" s="1"/>
  <c r="C8" i="3"/>
  <c r="C4" i="4" s="1"/>
  <c r="B8" i="3"/>
  <c r="A8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F3" i="4" s="1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7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H3" i="4" s="1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6" i="3"/>
  <c r="BG5" i="3"/>
  <c r="BF5" i="3"/>
  <c r="BE5" i="3"/>
  <c r="BD5" i="3"/>
  <c r="BC5" i="3"/>
  <c r="BB5" i="3"/>
  <c r="BB3" i="4" s="1"/>
  <c r="BA5" i="3"/>
  <c r="BA3" i="4" s="1"/>
  <c r="AZ5" i="3"/>
  <c r="AZ3" i="4" s="1"/>
  <c r="AY5" i="3"/>
  <c r="AX5" i="3"/>
  <c r="AW5" i="3"/>
  <c r="AV5" i="3"/>
  <c r="AU5" i="3"/>
  <c r="AT5" i="3"/>
  <c r="AT3" i="4" s="1"/>
  <c r="AS5" i="3"/>
  <c r="AS3" i="4" s="1"/>
  <c r="AR5" i="3"/>
  <c r="AR3" i="4" s="1"/>
  <c r="AQ5" i="3"/>
  <c r="AP5" i="3"/>
  <c r="AO5" i="3"/>
  <c r="AN5" i="3"/>
  <c r="AM5" i="3"/>
  <c r="AL5" i="3"/>
  <c r="AL3" i="4" s="1"/>
  <c r="AK5" i="3"/>
  <c r="AK3" i="4" s="1"/>
  <c r="AJ5" i="3"/>
  <c r="AJ3" i="4" s="1"/>
  <c r="AI5" i="3"/>
  <c r="AH5" i="3"/>
  <c r="AG5" i="3"/>
  <c r="AF5" i="3"/>
  <c r="AE5" i="3"/>
  <c r="AD5" i="3"/>
  <c r="AD3" i="4" s="1"/>
  <c r="AC5" i="3"/>
  <c r="AC3" i="4" s="1"/>
  <c r="AB5" i="3"/>
  <c r="AB3" i="4" s="1"/>
  <c r="AA5" i="3"/>
  <c r="Z5" i="3"/>
  <c r="Y5" i="3"/>
  <c r="X5" i="3"/>
  <c r="W5" i="3"/>
  <c r="V5" i="3"/>
  <c r="V3" i="4" s="1"/>
  <c r="U5" i="3"/>
  <c r="U3" i="4" s="1"/>
  <c r="T5" i="3"/>
  <c r="T3" i="4" s="1"/>
  <c r="S5" i="3"/>
  <c r="R5" i="3"/>
  <c r="Q5" i="3"/>
  <c r="P5" i="3"/>
  <c r="O5" i="3"/>
  <c r="N5" i="3"/>
  <c r="N3" i="4" s="1"/>
  <c r="M5" i="3"/>
  <c r="M3" i="4" s="1"/>
  <c r="L5" i="3"/>
  <c r="L3" i="4" s="1"/>
  <c r="K5" i="3"/>
  <c r="J5" i="3"/>
  <c r="I5" i="3"/>
  <c r="H5" i="3"/>
  <c r="G5" i="3"/>
  <c r="F5" i="3"/>
  <c r="F3" i="4" s="1"/>
  <c r="E5" i="3"/>
  <c r="E3" i="4" s="1"/>
  <c r="D5" i="3"/>
  <c r="D3" i="4" s="1"/>
  <c r="C5" i="3"/>
  <c r="B5" i="3"/>
  <c r="A5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I2" i="4" s="1"/>
  <c r="H4" i="3"/>
  <c r="G4" i="3"/>
  <c r="F4" i="3"/>
  <c r="E4" i="3"/>
  <c r="D4" i="3"/>
  <c r="C4" i="3"/>
  <c r="B4" i="3"/>
  <c r="A4" i="3"/>
  <c r="BG3" i="3"/>
  <c r="BF3" i="3"/>
  <c r="BE3" i="3"/>
  <c r="BD3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D2" i="4" s="1"/>
  <c r="C3" i="3"/>
  <c r="B3" i="3"/>
  <c r="A3" i="3"/>
  <c r="BG2" i="3"/>
  <c r="BF2" i="3"/>
  <c r="BE2" i="3"/>
  <c r="BD2" i="3"/>
  <c r="BC2" i="3"/>
  <c r="BC2" i="4" s="1"/>
  <c r="BB2" i="3"/>
  <c r="BB2" i="4" s="1"/>
  <c r="BA2" i="3"/>
  <c r="BA2" i="4" s="1"/>
  <c r="AZ2" i="3"/>
  <c r="AY2" i="3"/>
  <c r="AX2" i="3"/>
  <c r="AW2" i="3"/>
  <c r="AV2" i="3"/>
  <c r="AU2" i="3"/>
  <c r="AU2" i="4" s="1"/>
  <c r="AT2" i="3"/>
  <c r="AT2" i="4" s="1"/>
  <c r="AS2" i="3"/>
  <c r="AS2" i="4" s="1"/>
  <c r="AR2" i="3"/>
  <c r="AQ2" i="3"/>
  <c r="AP2" i="3"/>
  <c r="AO2" i="3"/>
  <c r="AN2" i="3"/>
  <c r="AM2" i="3"/>
  <c r="AM2" i="4" s="1"/>
  <c r="AL2" i="3"/>
  <c r="AL2" i="4" s="1"/>
  <c r="AK2" i="3"/>
  <c r="AK2" i="4" s="1"/>
  <c r="AJ2" i="3"/>
  <c r="AI2" i="3"/>
  <c r="AH2" i="3"/>
  <c r="AG2" i="3"/>
  <c r="AF2" i="3"/>
  <c r="AE2" i="3"/>
  <c r="AE2" i="4" s="1"/>
  <c r="AD2" i="3"/>
  <c r="AD2" i="4" s="1"/>
  <c r="AC2" i="3"/>
  <c r="AC2" i="4" s="1"/>
  <c r="AB2" i="3"/>
  <c r="AA2" i="3"/>
  <c r="Z2" i="3"/>
  <c r="Y2" i="3"/>
  <c r="X2" i="3"/>
  <c r="W2" i="3"/>
  <c r="W2" i="4" s="1"/>
  <c r="V2" i="3"/>
  <c r="V2" i="4" s="1"/>
  <c r="U2" i="3"/>
  <c r="U2" i="4" s="1"/>
  <c r="T2" i="3"/>
  <c r="S2" i="3"/>
  <c r="R2" i="3"/>
  <c r="Q2" i="3"/>
  <c r="P2" i="3"/>
  <c r="O2" i="3"/>
  <c r="O2" i="4" s="1"/>
  <c r="N2" i="3"/>
  <c r="N2" i="4" s="1"/>
  <c r="M2" i="3"/>
  <c r="M2" i="4" s="1"/>
  <c r="L2" i="3"/>
  <c r="K2" i="3"/>
  <c r="J2" i="3"/>
  <c r="I2" i="3"/>
  <c r="H2" i="3"/>
  <c r="G2" i="3"/>
  <c r="G2" i="4" s="1"/>
  <c r="F2" i="3"/>
  <c r="F2" i="4" s="1"/>
  <c r="E2" i="3"/>
  <c r="E2" i="4" s="1"/>
  <c r="D2" i="3"/>
  <c r="C2" i="3"/>
  <c r="B2" i="3"/>
  <c r="A2" i="3"/>
  <c r="BG1" i="3"/>
  <c r="BF1" i="3"/>
  <c r="BE1" i="3"/>
  <c r="BD1" i="3"/>
  <c r="BC1" i="3"/>
  <c r="BB1" i="3"/>
  <c r="BA1" i="3"/>
  <c r="AZ1" i="3"/>
  <c r="AY1" i="3"/>
  <c r="AX1" i="3"/>
  <c r="AW1" i="3"/>
  <c r="AV1" i="3"/>
  <c r="AU1" i="3"/>
  <c r="AT1" i="3"/>
  <c r="AS1" i="3"/>
  <c r="AR1" i="3"/>
  <c r="AQ1" i="3"/>
  <c r="AP1" i="3"/>
  <c r="AO1" i="3"/>
  <c r="AN1" i="3"/>
  <c r="AM1" i="3"/>
  <c r="AL1" i="3"/>
  <c r="AK1" i="3"/>
  <c r="AJ1" i="3"/>
  <c r="AI1" i="3"/>
  <c r="AH1" i="3"/>
  <c r="AG1" i="3"/>
  <c r="AF1" i="3"/>
  <c r="AE1" i="3"/>
  <c r="AD1" i="3"/>
  <c r="AC1" i="3"/>
  <c r="AB1" i="3"/>
  <c r="AA1" i="3"/>
  <c r="Z1" i="3"/>
  <c r="Y1" i="3"/>
  <c r="X1" i="3"/>
  <c r="W1" i="3"/>
  <c r="V1" i="3"/>
  <c r="U1" i="3"/>
  <c r="T1" i="3"/>
  <c r="S1" i="3"/>
  <c r="R1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B1" i="3"/>
  <c r="H1" i="1"/>
  <c r="G1" i="1"/>
  <c r="A1" i="1"/>
  <c r="A1" i="2"/>
  <c r="A2" i="10" l="1"/>
  <c r="X2" i="4"/>
  <c r="AN2" i="4"/>
  <c r="O3" i="4"/>
  <c r="AU3" i="4"/>
  <c r="AL4" i="4"/>
  <c r="E5" i="4"/>
  <c r="AK5" i="4"/>
  <c r="D6" i="4"/>
  <c r="AJ6" i="4"/>
  <c r="AA7" i="4"/>
  <c r="AY7" i="4"/>
  <c r="AE9" i="4"/>
  <c r="F10" i="4"/>
  <c r="BB10" i="4"/>
  <c r="M11" i="4"/>
  <c r="AK11" i="4"/>
  <c r="L12" i="4"/>
  <c r="AZ12" i="4"/>
  <c r="S13" i="4"/>
  <c r="AQ13" i="4"/>
  <c r="V5" i="4"/>
  <c r="AT5" i="4"/>
  <c r="AF2" i="4"/>
  <c r="W3" i="4"/>
  <c r="F4" i="4"/>
  <c r="AD4" i="4"/>
  <c r="AC5" i="4"/>
  <c r="AR6" i="4"/>
  <c r="S7" i="4"/>
  <c r="AQ7" i="4"/>
  <c r="O9" i="4"/>
  <c r="AM9" i="4"/>
  <c r="AD10" i="4"/>
  <c r="AS11" i="4"/>
  <c r="AJ12" i="4"/>
  <c r="AX2" i="4"/>
  <c r="P4" i="4"/>
  <c r="AN4" i="4"/>
  <c r="H2" i="4"/>
  <c r="AV2" i="4"/>
  <c r="AE3" i="4"/>
  <c r="BC3" i="4"/>
  <c r="N4" i="4"/>
  <c r="AT4" i="4"/>
  <c r="U5" i="4"/>
  <c r="BA5" i="4"/>
  <c r="T6" i="4"/>
  <c r="AZ6" i="4"/>
  <c r="K7" i="4"/>
  <c r="G9" i="4"/>
  <c r="AU9" i="4"/>
  <c r="V10" i="4"/>
  <c r="AT10" i="4"/>
  <c r="U11" i="4"/>
  <c r="BA11" i="4"/>
  <c r="T12" i="4"/>
  <c r="AR12" i="4"/>
  <c r="K13" i="4"/>
  <c r="AI13" i="4"/>
  <c r="BG13" i="4"/>
  <c r="BD3" i="4"/>
  <c r="Z2" i="4"/>
  <c r="J3" i="4"/>
  <c r="O6" i="4"/>
  <c r="AW10" i="4"/>
  <c r="P2" i="4"/>
  <c r="BD2" i="4"/>
  <c r="G3" i="4"/>
  <c r="AM3" i="4"/>
  <c r="V4" i="4"/>
  <c r="BB4" i="4"/>
  <c r="M5" i="4"/>
  <c r="AS5" i="4"/>
  <c r="L6" i="4"/>
  <c r="AB6" i="4"/>
  <c r="C7" i="4"/>
  <c r="AI7" i="4"/>
  <c r="BG7" i="4"/>
  <c r="W9" i="4"/>
  <c r="BC9" i="4"/>
  <c r="N10" i="4"/>
  <c r="AL10" i="4"/>
  <c r="E11" i="4"/>
  <c r="AC11" i="4"/>
  <c r="D12" i="4"/>
  <c r="AB12" i="4"/>
  <c r="C13" i="4"/>
  <c r="AA13" i="4"/>
  <c r="AY13" i="4"/>
  <c r="AW2" i="4"/>
  <c r="AB2" i="4"/>
  <c r="AA9" i="4"/>
  <c r="AX5" i="4"/>
  <c r="BF5" i="4"/>
  <c r="I6" i="4"/>
  <c r="Q6" i="4"/>
  <c r="Y6" i="4"/>
  <c r="AG6" i="4"/>
  <c r="AO6" i="4"/>
  <c r="AW6" i="4"/>
  <c r="BE6" i="4"/>
  <c r="H7" i="4"/>
  <c r="P7" i="4"/>
  <c r="X7" i="4"/>
  <c r="AF7" i="4"/>
  <c r="AN7" i="4"/>
  <c r="AV7" i="4"/>
  <c r="BD7" i="4"/>
  <c r="D9" i="4"/>
  <c r="L9" i="4"/>
  <c r="T9" i="4"/>
  <c r="AB9" i="4"/>
  <c r="AJ9" i="4"/>
  <c r="AR9" i="4"/>
  <c r="AZ9" i="4"/>
  <c r="C10" i="4"/>
  <c r="K10" i="4"/>
  <c r="S10" i="4"/>
  <c r="AA10" i="4"/>
  <c r="AI10" i="4"/>
  <c r="AQ10" i="4"/>
  <c r="AY10" i="4"/>
  <c r="BG10" i="4"/>
  <c r="B11" i="4"/>
  <c r="J11" i="4"/>
  <c r="R11" i="4"/>
  <c r="Z11" i="4"/>
  <c r="AH11" i="4"/>
  <c r="AP11" i="4"/>
  <c r="AX11" i="4"/>
  <c r="BF11" i="4"/>
  <c r="I12" i="4"/>
  <c r="Q12" i="4"/>
  <c r="Y12" i="4"/>
  <c r="AG12" i="4"/>
  <c r="AO12" i="4"/>
  <c r="AW12" i="4"/>
  <c r="BE12" i="4"/>
  <c r="X13" i="4"/>
  <c r="AV13" i="4"/>
  <c r="J14" i="4"/>
  <c r="AH14" i="4"/>
  <c r="BF14" i="4"/>
  <c r="AG15" i="4"/>
  <c r="BE15" i="4"/>
  <c r="P16" i="4"/>
  <c r="AV16" i="4"/>
  <c r="O17" i="4"/>
  <c r="W17" i="4"/>
  <c r="AU17" i="4"/>
  <c r="AD18" i="4"/>
  <c r="BB18" i="4"/>
  <c r="U19" i="4"/>
  <c r="AS19" i="4"/>
  <c r="AJ20" i="4"/>
  <c r="AZ20" i="4"/>
  <c r="C21" i="4"/>
  <c r="S21" i="4"/>
  <c r="AI21" i="4"/>
  <c r="BG21" i="4"/>
  <c r="B22" i="4"/>
  <c r="Z22" i="4"/>
  <c r="AP22" i="4"/>
  <c r="BF22" i="4"/>
  <c r="I23" i="4"/>
  <c r="Y23" i="4"/>
  <c r="AG23" i="4"/>
  <c r="AW23" i="4"/>
  <c r="G25" i="4"/>
  <c r="W25" i="4"/>
  <c r="AM25" i="4"/>
  <c r="BC25" i="4"/>
  <c r="F26" i="4"/>
  <c r="AD26" i="4"/>
  <c r="AL26" i="4"/>
  <c r="BB26" i="4"/>
  <c r="E27" i="4"/>
  <c r="M27" i="4"/>
  <c r="U27" i="4"/>
  <c r="AC27" i="4"/>
  <c r="AK27" i="4"/>
  <c r="AS27" i="4"/>
  <c r="BA27" i="4"/>
  <c r="D28" i="4"/>
  <c r="L28" i="4"/>
  <c r="T28" i="4"/>
  <c r="AB28" i="4"/>
  <c r="AJ28" i="4"/>
  <c r="AR28" i="4"/>
  <c r="AZ28" i="4"/>
  <c r="C29" i="4"/>
  <c r="K29" i="4"/>
  <c r="S29" i="4"/>
  <c r="AA29" i="4"/>
  <c r="AI29" i="4"/>
  <c r="AQ29" i="4"/>
  <c r="AY29" i="4"/>
  <c r="BG29" i="4"/>
  <c r="B30" i="4"/>
  <c r="J30" i="4"/>
  <c r="R30" i="4"/>
  <c r="Z30" i="4"/>
  <c r="AH30" i="4"/>
  <c r="AP30" i="4"/>
  <c r="AX30" i="4"/>
  <c r="BF30" i="4"/>
  <c r="I31" i="4"/>
  <c r="Q31" i="4"/>
  <c r="Y31" i="4"/>
  <c r="AG31" i="4"/>
  <c r="AO31" i="4"/>
  <c r="AW31" i="4"/>
  <c r="BE31" i="4"/>
  <c r="H32" i="4"/>
  <c r="P32" i="4"/>
  <c r="X32" i="4"/>
  <c r="AF32" i="4"/>
  <c r="AN32" i="4"/>
  <c r="AV32" i="4"/>
  <c r="BD32" i="4"/>
  <c r="B14" i="4"/>
  <c r="Z14" i="4"/>
  <c r="AP14" i="4"/>
  <c r="I15" i="4"/>
  <c r="Y15" i="4"/>
  <c r="AW15" i="4"/>
  <c r="X16" i="4"/>
  <c r="AN16" i="4"/>
  <c r="G17" i="4"/>
  <c r="AE17" i="4"/>
  <c r="BC17" i="4"/>
  <c r="F18" i="4"/>
  <c r="V18" i="4"/>
  <c r="AT18" i="4"/>
  <c r="E19" i="4"/>
  <c r="AC19" i="4"/>
  <c r="BA19" i="4"/>
  <c r="L20" i="4"/>
  <c r="T20" i="4"/>
  <c r="AR20" i="4"/>
  <c r="AA21" i="4"/>
  <c r="AQ21" i="4"/>
  <c r="AY21" i="4"/>
  <c r="J22" i="4"/>
  <c r="R22" i="4"/>
  <c r="AH22" i="4"/>
  <c r="AX22" i="4"/>
  <c r="Q23" i="4"/>
  <c r="AO23" i="4"/>
  <c r="BE23" i="4"/>
  <c r="O25" i="4"/>
  <c r="AE25" i="4"/>
  <c r="AU25" i="4"/>
  <c r="N26" i="4"/>
  <c r="V26" i="4"/>
  <c r="AT26" i="4"/>
  <c r="Q2" i="4"/>
  <c r="Y2" i="4"/>
  <c r="AG2" i="4"/>
  <c r="AO2" i="4"/>
  <c r="BE2" i="4"/>
  <c r="H3" i="4"/>
  <c r="P3" i="4"/>
  <c r="X3" i="4"/>
  <c r="AN3" i="4"/>
  <c r="AV3" i="4"/>
  <c r="G4" i="4"/>
  <c r="O4" i="4"/>
  <c r="W4" i="4"/>
  <c r="AE4" i="4"/>
  <c r="AM4" i="4"/>
  <c r="AU4" i="4"/>
  <c r="BC4" i="4"/>
  <c r="F5" i="4"/>
  <c r="N5" i="4"/>
  <c r="AD5" i="4"/>
  <c r="AL5" i="4"/>
  <c r="BB5" i="4"/>
  <c r="E6" i="4"/>
  <c r="M6" i="4"/>
  <c r="U6" i="4"/>
  <c r="AC6" i="4"/>
  <c r="AK6" i="4"/>
  <c r="AS6" i="4"/>
  <c r="D7" i="4"/>
  <c r="L7" i="4"/>
  <c r="T7" i="4"/>
  <c r="AB7" i="4"/>
  <c r="AJ7" i="4"/>
  <c r="AR7" i="4"/>
  <c r="U12" i="4"/>
  <c r="AS20" i="4"/>
  <c r="AB29" i="4"/>
  <c r="R14" i="4"/>
  <c r="AX14" i="4"/>
  <c r="Q15" i="4"/>
  <c r="AO15" i="4"/>
  <c r="H16" i="4"/>
  <c r="BD16" i="4"/>
  <c r="AM17" i="4"/>
  <c r="N18" i="4"/>
  <c r="AL18" i="4"/>
  <c r="M19" i="4"/>
  <c r="AK19" i="4"/>
  <c r="D20" i="4"/>
  <c r="AB20" i="4"/>
  <c r="K21" i="4"/>
  <c r="B2" i="4"/>
  <c r="J2" i="4"/>
  <c r="R2" i="4"/>
  <c r="AH2" i="4"/>
  <c r="AP2" i="4"/>
  <c r="BF2" i="4"/>
  <c r="I3" i="4"/>
  <c r="Q3" i="4"/>
  <c r="Y3" i="4"/>
  <c r="AG3" i="4"/>
  <c r="AO3" i="4"/>
  <c r="AW3" i="4"/>
  <c r="BE3" i="4"/>
  <c r="H4" i="4"/>
  <c r="X4" i="4"/>
  <c r="AF4" i="4"/>
  <c r="AV4" i="4"/>
  <c r="BD4" i="4"/>
  <c r="G5" i="4"/>
  <c r="O5" i="4"/>
  <c r="W5" i="4"/>
  <c r="AE5" i="4"/>
  <c r="AM5" i="4"/>
  <c r="AU5" i="4"/>
  <c r="BC5" i="4"/>
  <c r="F6" i="4"/>
  <c r="N6" i="4"/>
  <c r="V6" i="4"/>
  <c r="AD6" i="4"/>
  <c r="AL6" i="4"/>
  <c r="AT6" i="4"/>
  <c r="U7" i="4"/>
  <c r="AK7" i="4"/>
  <c r="BA7" i="4"/>
  <c r="Q9" i="4"/>
  <c r="AG9" i="4"/>
  <c r="O11" i="4"/>
  <c r="BC11" i="4"/>
  <c r="S15" i="4"/>
  <c r="AX16" i="4"/>
  <c r="Y25" i="4"/>
  <c r="AF16" i="4"/>
  <c r="K2" i="4"/>
  <c r="AA2" i="4"/>
  <c r="AQ2" i="4"/>
  <c r="AY2" i="4"/>
  <c r="BG2" i="4"/>
  <c r="B3" i="4"/>
  <c r="R3" i="4"/>
  <c r="Z3" i="4"/>
  <c r="AP3" i="4"/>
  <c r="AX3" i="4"/>
  <c r="BF3" i="4"/>
  <c r="I4" i="4"/>
  <c r="Q4" i="4"/>
  <c r="Y4" i="4"/>
  <c r="AG4" i="4"/>
  <c r="AO4" i="4"/>
  <c r="AW4" i="4"/>
  <c r="BE4" i="4"/>
  <c r="H5" i="4"/>
  <c r="P5" i="4"/>
  <c r="X5" i="4"/>
  <c r="AF5" i="4"/>
  <c r="AN5" i="4"/>
  <c r="AV5" i="4"/>
  <c r="BD5" i="4"/>
  <c r="G6" i="4"/>
  <c r="W6" i="4"/>
  <c r="AE6" i="4"/>
  <c r="AM6" i="4"/>
  <c r="AU6" i="4"/>
  <c r="BC6" i="4"/>
  <c r="F7" i="4"/>
  <c r="N7" i="4"/>
  <c r="V7" i="4"/>
  <c r="AD7" i="4"/>
  <c r="AL7" i="4"/>
  <c r="AT7" i="4"/>
  <c r="BB7" i="4"/>
  <c r="B9" i="4"/>
  <c r="J9" i="4"/>
  <c r="R9" i="4"/>
  <c r="Z9" i="4"/>
  <c r="AH9" i="4"/>
  <c r="AP9" i="4"/>
  <c r="AX9" i="4"/>
  <c r="BF9" i="4"/>
  <c r="I10" i="4"/>
  <c r="Q10" i="4"/>
  <c r="Y10" i="4"/>
  <c r="AG10" i="4"/>
  <c r="AO10" i="4"/>
  <c r="BE10" i="4"/>
  <c r="H11" i="4"/>
  <c r="P11" i="4"/>
  <c r="X11" i="4"/>
  <c r="AF11" i="4"/>
  <c r="AN11" i="4"/>
  <c r="AV11" i="4"/>
  <c r="BD11" i="4"/>
  <c r="G12" i="4"/>
  <c r="O12" i="4"/>
  <c r="W12" i="4"/>
  <c r="AE12" i="4"/>
  <c r="M14" i="4"/>
  <c r="BA14" i="4"/>
  <c r="AY16" i="4"/>
  <c r="C2" i="4"/>
  <c r="S2" i="4"/>
  <c r="AI2" i="4"/>
  <c r="L2" i="4"/>
  <c r="T2" i="4"/>
  <c r="AJ2" i="4"/>
  <c r="AR2" i="4"/>
  <c r="AZ2" i="4"/>
  <c r="C3" i="4"/>
  <c r="K3" i="4"/>
  <c r="S3" i="4"/>
  <c r="AA3" i="4"/>
  <c r="AI3" i="4"/>
  <c r="AQ3" i="4"/>
  <c r="AY3" i="4"/>
  <c r="BG3" i="4"/>
  <c r="B4" i="4"/>
  <c r="J4" i="4"/>
  <c r="R4" i="4"/>
  <c r="Z4" i="4"/>
  <c r="AH4" i="4"/>
  <c r="AP4" i="4"/>
  <c r="AX4" i="4"/>
  <c r="BF4" i="4"/>
  <c r="I5" i="4"/>
  <c r="Q5" i="4"/>
  <c r="Y5" i="4"/>
  <c r="AG5" i="4"/>
  <c r="AO5" i="4"/>
  <c r="AW5" i="4"/>
  <c r="BE5" i="4"/>
  <c r="H6" i="4"/>
  <c r="P6" i="4"/>
  <c r="X6" i="4"/>
  <c r="AF6" i="4"/>
  <c r="AN6" i="4"/>
  <c r="AV6" i="4"/>
  <c r="BD6" i="4"/>
  <c r="G7" i="4"/>
  <c r="O7" i="4"/>
  <c r="W7" i="4"/>
  <c r="AE7" i="4"/>
  <c r="AM7" i="4"/>
  <c r="AU7" i="4"/>
  <c r="BC7" i="4"/>
  <c r="C9" i="4"/>
  <c r="K9" i="4"/>
  <c r="S9" i="4"/>
  <c r="AI9" i="4"/>
  <c r="AQ9" i="4"/>
  <c r="AY9" i="4"/>
  <c r="BG9" i="4"/>
  <c r="B10" i="4"/>
  <c r="J10" i="4"/>
  <c r="R10" i="4"/>
  <c r="Z10" i="4"/>
  <c r="AH10" i="4"/>
  <c r="AP10" i="4"/>
  <c r="AX10" i="4"/>
  <c r="BF10" i="4"/>
  <c r="I11" i="4"/>
  <c r="Q11" i="4"/>
  <c r="Y11" i="4"/>
  <c r="AG11" i="4"/>
  <c r="AO11" i="4"/>
  <c r="AW11" i="4"/>
  <c r="BE11" i="4"/>
  <c r="G13" i="4"/>
  <c r="AD14" i="4"/>
  <c r="AS15" i="4"/>
  <c r="BA15" i="4"/>
  <c r="H13" i="4"/>
  <c r="P13" i="4"/>
  <c r="AF13" i="4"/>
  <c r="AN13" i="4"/>
  <c r="BD13" i="4"/>
  <c r="G14" i="4"/>
  <c r="O14" i="4"/>
  <c r="W14" i="4"/>
  <c r="AE14" i="4"/>
  <c r="AM14" i="4"/>
  <c r="AU14" i="4"/>
  <c r="BC14" i="4"/>
  <c r="F15" i="4"/>
  <c r="N15" i="4"/>
  <c r="V15" i="4"/>
  <c r="AD15" i="4"/>
  <c r="AL15" i="4"/>
  <c r="AT15" i="4"/>
  <c r="BB15" i="4"/>
  <c r="E16" i="4"/>
  <c r="M16" i="4"/>
  <c r="U16" i="4"/>
  <c r="AC16" i="4"/>
  <c r="AK16" i="4"/>
  <c r="AS16" i="4"/>
  <c r="BA16" i="4"/>
  <c r="D17" i="4"/>
  <c r="L17" i="4"/>
  <c r="T17" i="4"/>
  <c r="AB17" i="4"/>
  <c r="AJ17" i="4"/>
  <c r="AR17" i="4"/>
  <c r="AZ17" i="4"/>
  <c r="C18" i="4"/>
  <c r="K18" i="4"/>
  <c r="S18" i="4"/>
  <c r="AA18" i="4"/>
  <c r="AI18" i="4"/>
  <c r="AQ18" i="4"/>
  <c r="AY18" i="4"/>
  <c r="BG18" i="4"/>
  <c r="B19" i="4"/>
  <c r="J19" i="4"/>
  <c r="R19" i="4"/>
  <c r="Z19" i="4"/>
  <c r="AH19" i="4"/>
  <c r="AP19" i="4"/>
  <c r="AX19" i="4"/>
  <c r="BF19" i="4"/>
  <c r="I20" i="4"/>
  <c r="Q20" i="4"/>
  <c r="Y20" i="4"/>
  <c r="AG20" i="4"/>
  <c r="AO20" i="4"/>
  <c r="AW20" i="4"/>
  <c r="BE20" i="4"/>
  <c r="H21" i="4"/>
  <c r="P21" i="4"/>
  <c r="X21" i="4"/>
  <c r="AF21" i="4"/>
  <c r="AN21" i="4"/>
  <c r="AV21" i="4"/>
  <c r="BD21" i="4"/>
  <c r="G22" i="4"/>
  <c r="O22" i="4"/>
  <c r="W22" i="4"/>
  <c r="AE22" i="4"/>
  <c r="AM22" i="4"/>
  <c r="AU22" i="4"/>
  <c r="BC22" i="4"/>
  <c r="F23" i="4"/>
  <c r="N23" i="4"/>
  <c r="V23" i="4"/>
  <c r="AD23" i="4"/>
  <c r="AL23" i="4"/>
  <c r="AT23" i="4"/>
  <c r="BB23" i="4"/>
  <c r="L25" i="4"/>
  <c r="T25" i="4"/>
  <c r="AB25" i="4"/>
  <c r="AJ25" i="4"/>
  <c r="AR25" i="4"/>
  <c r="AZ25" i="4"/>
  <c r="C26" i="4"/>
  <c r="K26" i="4"/>
  <c r="S26" i="4"/>
  <c r="AA26" i="4"/>
  <c r="AI26" i="4"/>
  <c r="AQ26" i="4"/>
  <c r="AY26" i="4"/>
  <c r="BG26" i="4"/>
  <c r="B27" i="4"/>
  <c r="J27" i="4"/>
  <c r="R27" i="4"/>
  <c r="Z27" i="4"/>
  <c r="AH27" i="4"/>
  <c r="AP27" i="4"/>
  <c r="AX27" i="4"/>
  <c r="BF27" i="4"/>
  <c r="I28" i="4"/>
  <c r="Q28" i="4"/>
  <c r="Y28" i="4"/>
  <c r="AG28" i="4"/>
  <c r="AO28" i="4"/>
  <c r="AW28" i="4"/>
  <c r="BE28" i="4"/>
  <c r="H29" i="4"/>
  <c r="P29" i="4"/>
  <c r="X29" i="4"/>
  <c r="AF29" i="4"/>
  <c r="AN29" i="4"/>
  <c r="AV29" i="4"/>
  <c r="BD29" i="4"/>
  <c r="G30" i="4"/>
  <c r="O30" i="4"/>
  <c r="W30" i="4"/>
  <c r="AE30" i="4"/>
  <c r="AM30" i="4"/>
  <c r="AU30" i="4"/>
  <c r="BC30" i="4"/>
  <c r="F31" i="4"/>
  <c r="N31" i="4"/>
  <c r="V31" i="4"/>
  <c r="AD31" i="4"/>
  <c r="AL31" i="4"/>
  <c r="AT31" i="4"/>
  <c r="BB31" i="4"/>
  <c r="E32" i="4"/>
  <c r="M32" i="4"/>
  <c r="U32" i="4"/>
  <c r="AC32" i="4"/>
  <c r="AK32" i="4"/>
  <c r="AS32" i="4"/>
  <c r="BA32" i="4"/>
  <c r="AZ7" i="4"/>
  <c r="H9" i="4"/>
  <c r="P9" i="4"/>
  <c r="X9" i="4"/>
  <c r="AF9" i="4"/>
  <c r="AN9" i="4"/>
  <c r="AV9" i="4"/>
  <c r="BD9" i="4"/>
  <c r="G10" i="4"/>
  <c r="O10" i="4"/>
  <c r="W10" i="4"/>
  <c r="AE10" i="4"/>
  <c r="AM10" i="4"/>
  <c r="AU10" i="4"/>
  <c r="BC10" i="4"/>
  <c r="F11" i="4"/>
  <c r="N11" i="4"/>
  <c r="V11" i="4"/>
  <c r="AD11" i="4"/>
  <c r="AL11" i="4"/>
  <c r="AT11" i="4"/>
  <c r="BB11" i="4"/>
  <c r="E12" i="4"/>
  <c r="M12" i="4"/>
  <c r="AC12" i="4"/>
  <c r="AK12" i="4"/>
  <c r="AS12" i="4"/>
  <c r="BA12" i="4"/>
  <c r="D13" i="4"/>
  <c r="L13" i="4"/>
  <c r="T13" i="4"/>
  <c r="AB13" i="4"/>
  <c r="AJ13" i="4"/>
  <c r="AR13" i="4"/>
  <c r="AZ13" i="4"/>
  <c r="C14" i="4"/>
  <c r="K14" i="4"/>
  <c r="S14" i="4"/>
  <c r="AA14" i="4"/>
  <c r="AI14" i="4"/>
  <c r="AQ14" i="4"/>
  <c r="AY14" i="4"/>
  <c r="BG14" i="4"/>
  <c r="B15" i="4"/>
  <c r="J15" i="4"/>
  <c r="R15" i="4"/>
  <c r="Z15" i="4"/>
  <c r="AH15" i="4"/>
  <c r="AP15" i="4"/>
  <c r="AX15" i="4"/>
  <c r="BF15" i="4"/>
  <c r="I16" i="4"/>
  <c r="Q16" i="4"/>
  <c r="Y16" i="4"/>
  <c r="AG16" i="4"/>
  <c r="AO16" i="4"/>
  <c r="AW16" i="4"/>
  <c r="BE16" i="4"/>
  <c r="H17" i="4"/>
  <c r="P17" i="4"/>
  <c r="X17" i="4"/>
  <c r="AF17" i="4"/>
  <c r="AN17" i="4"/>
  <c r="AV17" i="4"/>
  <c r="BD17" i="4"/>
  <c r="G18" i="4"/>
  <c r="O18" i="4"/>
  <c r="W18" i="4"/>
  <c r="AE18" i="4"/>
  <c r="AM18" i="4"/>
  <c r="AU18" i="4"/>
  <c r="BC18" i="4"/>
  <c r="F19" i="4"/>
  <c r="N19" i="4"/>
  <c r="V19" i="4"/>
  <c r="AD19" i="4"/>
  <c r="AL19" i="4"/>
  <c r="AT19" i="4"/>
  <c r="BB19" i="4"/>
  <c r="E20" i="4"/>
  <c r="M20" i="4"/>
  <c r="U20" i="4"/>
  <c r="AC20" i="4"/>
  <c r="AK20" i="4"/>
  <c r="BA20" i="4"/>
  <c r="D21" i="4"/>
  <c r="L21" i="4"/>
  <c r="T21" i="4"/>
  <c r="AB21" i="4"/>
  <c r="AJ21" i="4"/>
  <c r="AR21" i="4"/>
  <c r="AZ21" i="4"/>
  <c r="C22" i="4"/>
  <c r="K22" i="4"/>
  <c r="S22" i="4"/>
  <c r="AA22" i="4"/>
  <c r="AI22" i="4"/>
  <c r="AQ22" i="4"/>
  <c r="AY22" i="4"/>
  <c r="BG22" i="4"/>
  <c r="B23" i="4"/>
  <c r="J23" i="4"/>
  <c r="R23" i="4"/>
  <c r="Z23" i="4"/>
  <c r="AH23" i="4"/>
  <c r="AP23" i="4"/>
  <c r="AX23" i="4"/>
  <c r="BF23" i="4"/>
  <c r="H25" i="4"/>
  <c r="P25" i="4"/>
  <c r="X25" i="4"/>
  <c r="AF25" i="4"/>
  <c r="AN25" i="4"/>
  <c r="AV25" i="4"/>
  <c r="BD25" i="4"/>
  <c r="G26" i="4"/>
  <c r="O26" i="4"/>
  <c r="W26" i="4"/>
  <c r="AE26" i="4"/>
  <c r="AM26" i="4"/>
  <c r="AU26" i="4"/>
  <c r="BC26" i="4"/>
  <c r="F27" i="4"/>
  <c r="N27" i="4"/>
  <c r="V27" i="4"/>
  <c r="AD27" i="4"/>
  <c r="AL27" i="4"/>
  <c r="AT27" i="4"/>
  <c r="BB27" i="4"/>
  <c r="E28" i="4"/>
  <c r="M28" i="4"/>
  <c r="U28" i="4"/>
  <c r="AC28" i="4"/>
  <c r="AK28" i="4"/>
  <c r="AS28" i="4"/>
  <c r="BA28" i="4"/>
  <c r="D29" i="4"/>
  <c r="L29" i="4"/>
  <c r="T29" i="4"/>
  <c r="AJ29" i="4"/>
  <c r="AR29" i="4"/>
  <c r="AZ29" i="4"/>
  <c r="C30" i="4"/>
  <c r="K30" i="4"/>
  <c r="S30" i="4"/>
  <c r="AA30" i="4"/>
  <c r="AI30" i="4"/>
  <c r="AQ30" i="4"/>
  <c r="AY30" i="4"/>
  <c r="BG30" i="4"/>
  <c r="BB6" i="4"/>
  <c r="M7" i="4"/>
  <c r="AC7" i="4"/>
  <c r="AS7" i="4"/>
  <c r="I9" i="4"/>
  <c r="Y9" i="4"/>
  <c r="AO9" i="4"/>
  <c r="AW9" i="4"/>
  <c r="BE9" i="4"/>
  <c r="H10" i="4"/>
  <c r="P10" i="4"/>
  <c r="X10" i="4"/>
  <c r="AF10" i="4"/>
  <c r="AN10" i="4"/>
  <c r="AV10" i="4"/>
  <c r="BD10" i="4"/>
  <c r="G11" i="4"/>
  <c r="W11" i="4"/>
  <c r="AE11" i="4"/>
  <c r="AM11" i="4"/>
  <c r="AU11" i="4"/>
  <c r="F12" i="4"/>
  <c r="N12" i="4"/>
  <c r="V12" i="4"/>
  <c r="AD12" i="4"/>
  <c r="AL12" i="4"/>
  <c r="AT12" i="4"/>
  <c r="BB12" i="4"/>
  <c r="E13" i="4"/>
  <c r="M13" i="4"/>
  <c r="U13" i="4"/>
  <c r="AC13" i="4"/>
  <c r="AK13" i="4"/>
  <c r="AS13" i="4"/>
  <c r="BA13" i="4"/>
  <c r="D14" i="4"/>
  <c r="L14" i="4"/>
  <c r="T14" i="4"/>
  <c r="AB14" i="4"/>
  <c r="AJ14" i="4"/>
  <c r="AR14" i="4"/>
  <c r="AZ14" i="4"/>
  <c r="C15" i="4"/>
  <c r="K15" i="4"/>
  <c r="AA15" i="4"/>
  <c r="AI15" i="4"/>
  <c r="AQ15" i="4"/>
  <c r="AY15" i="4"/>
  <c r="BG15" i="4"/>
  <c r="B16" i="4"/>
  <c r="J16" i="4"/>
  <c r="R16" i="4"/>
  <c r="Z16" i="4"/>
  <c r="AH16" i="4"/>
  <c r="AP16" i="4"/>
  <c r="BF16" i="4"/>
  <c r="I17" i="4"/>
  <c r="Q17" i="4"/>
  <c r="Y17" i="4"/>
  <c r="AG17" i="4"/>
  <c r="AO17" i="4"/>
  <c r="AW17" i="4"/>
  <c r="BE17" i="4"/>
  <c r="H18" i="4"/>
  <c r="P18" i="4"/>
  <c r="X18" i="4"/>
  <c r="AF18" i="4"/>
  <c r="AN18" i="4"/>
  <c r="AV18" i="4"/>
  <c r="BD18" i="4"/>
  <c r="G19" i="4"/>
  <c r="O19" i="4"/>
  <c r="W19" i="4"/>
  <c r="AE19" i="4"/>
  <c r="AM19" i="4"/>
  <c r="AU19" i="4"/>
  <c r="BC19" i="4"/>
  <c r="F20" i="4"/>
  <c r="N20" i="4"/>
  <c r="V20" i="4"/>
  <c r="AD20" i="4"/>
  <c r="AL20" i="4"/>
  <c r="AT20" i="4"/>
  <c r="BB20" i="4"/>
  <c r="E21" i="4"/>
  <c r="M21" i="4"/>
  <c r="U21" i="4"/>
  <c r="AC21" i="4"/>
  <c r="AK21" i="4"/>
  <c r="AS21" i="4"/>
  <c r="BA21" i="4"/>
  <c r="D22" i="4"/>
  <c r="L22" i="4"/>
  <c r="T22" i="4"/>
  <c r="AB22" i="4"/>
  <c r="AJ22" i="4"/>
  <c r="AR22" i="4"/>
  <c r="AZ22" i="4"/>
  <c r="C23" i="4"/>
  <c r="K23" i="4"/>
  <c r="S23" i="4"/>
  <c r="AA23" i="4"/>
  <c r="AI23" i="4"/>
  <c r="AQ23" i="4"/>
  <c r="AY23" i="4"/>
  <c r="BG23" i="4"/>
  <c r="I25" i="4"/>
  <c r="Q25" i="4"/>
  <c r="AG25" i="4"/>
  <c r="AO25" i="4"/>
  <c r="AW25" i="4"/>
  <c r="BE25" i="4"/>
  <c r="H26" i="4"/>
  <c r="P26" i="4"/>
  <c r="X26" i="4"/>
  <c r="AF26" i="4"/>
  <c r="AN26" i="4"/>
  <c r="AV26" i="4"/>
  <c r="BD26" i="4"/>
  <c r="G27" i="4"/>
  <c r="O27" i="4"/>
  <c r="W27" i="4"/>
  <c r="AE27" i="4"/>
  <c r="AM27" i="4"/>
  <c r="AU27" i="4"/>
  <c r="BC27" i="4"/>
  <c r="F28" i="4"/>
  <c r="N28" i="4"/>
  <c r="V28" i="4"/>
  <c r="AD28" i="4"/>
  <c r="AL28" i="4"/>
  <c r="AT28" i="4"/>
  <c r="BB28" i="4"/>
  <c r="E29" i="4"/>
  <c r="M29" i="4"/>
  <c r="U29" i="4"/>
  <c r="AC29" i="4"/>
  <c r="AK29" i="4"/>
  <c r="AS29" i="4"/>
  <c r="BA29" i="4"/>
  <c r="D30" i="4"/>
  <c r="L30" i="4"/>
  <c r="T30" i="4"/>
  <c r="AB30" i="4"/>
  <c r="AJ30" i="4"/>
  <c r="AR30" i="4"/>
  <c r="AZ30" i="4"/>
  <c r="I33" i="4"/>
  <c r="AM12" i="4"/>
  <c r="AU12" i="4"/>
  <c r="BC12" i="4"/>
  <c r="F13" i="4"/>
  <c r="N13" i="4"/>
  <c r="V13" i="4"/>
  <c r="AD13" i="4"/>
  <c r="AL13" i="4"/>
  <c r="AT13" i="4"/>
  <c r="BB13" i="4"/>
  <c r="E14" i="4"/>
  <c r="U14" i="4"/>
  <c r="AC14" i="4"/>
  <c r="AK14" i="4"/>
  <c r="AS14" i="4"/>
  <c r="D15" i="4"/>
  <c r="L15" i="4"/>
  <c r="T15" i="4"/>
  <c r="AB15" i="4"/>
  <c r="AJ15" i="4"/>
  <c r="AR15" i="4"/>
  <c r="AZ15" i="4"/>
  <c r="C16" i="4"/>
  <c r="K16" i="4"/>
  <c r="S16" i="4"/>
  <c r="AA16" i="4"/>
  <c r="AI16" i="4"/>
  <c r="AQ16" i="4"/>
  <c r="BG16" i="4"/>
  <c r="B17" i="4"/>
  <c r="J17" i="4"/>
  <c r="R17" i="4"/>
  <c r="Z17" i="4"/>
  <c r="AH17" i="4"/>
  <c r="AP17" i="4"/>
  <c r="AX17" i="4"/>
  <c r="BF17" i="4"/>
  <c r="I18" i="4"/>
  <c r="Q18" i="4"/>
  <c r="Y18" i="4"/>
  <c r="AO18" i="4"/>
  <c r="AW18" i="4"/>
  <c r="BE18" i="4"/>
  <c r="H19" i="4"/>
  <c r="P19" i="4"/>
  <c r="X19" i="4"/>
  <c r="AF19" i="4"/>
  <c r="AN19" i="4"/>
  <c r="AV19" i="4"/>
  <c r="BD19" i="4"/>
  <c r="G20" i="4"/>
  <c r="O20" i="4"/>
  <c r="W20" i="4"/>
  <c r="AE20" i="4"/>
  <c r="AM20" i="4"/>
  <c r="AU20" i="4"/>
  <c r="BC20" i="4"/>
  <c r="F21" i="4"/>
  <c r="N21" i="4"/>
  <c r="V21" i="4"/>
  <c r="AD21" i="4"/>
  <c r="AL21" i="4"/>
  <c r="AT21" i="4"/>
  <c r="BB21" i="4"/>
  <c r="E22" i="4"/>
  <c r="M22" i="4"/>
  <c r="U22" i="4"/>
  <c r="AC22" i="4"/>
  <c r="AK22" i="4"/>
  <c r="AS22" i="4"/>
  <c r="BA22" i="4"/>
  <c r="D23" i="4"/>
  <c r="L23" i="4"/>
  <c r="T23" i="4"/>
  <c r="AB23" i="4"/>
  <c r="AJ23" i="4"/>
  <c r="AR23" i="4"/>
  <c r="AZ23" i="4"/>
  <c r="B25" i="4"/>
  <c r="J25" i="4"/>
  <c r="R25" i="4"/>
  <c r="Z25" i="4"/>
  <c r="AH25" i="4"/>
  <c r="AP25" i="4"/>
  <c r="AX25" i="4"/>
  <c r="BF25" i="4"/>
  <c r="I26" i="4"/>
  <c r="Q26" i="4"/>
  <c r="Y26" i="4"/>
  <c r="AG26" i="4"/>
  <c r="AO26" i="4"/>
  <c r="AW26" i="4"/>
  <c r="BE26" i="4"/>
  <c r="H27" i="4"/>
  <c r="P27" i="4"/>
  <c r="X27" i="4"/>
  <c r="AF27" i="4"/>
  <c r="AN27" i="4"/>
  <c r="AV27" i="4"/>
  <c r="BD27" i="4"/>
  <c r="G28" i="4"/>
  <c r="O28" i="4"/>
  <c r="W28" i="4"/>
  <c r="AE28" i="4"/>
  <c r="AM28" i="4"/>
  <c r="AU28" i="4"/>
  <c r="BC28" i="4"/>
  <c r="F29" i="4"/>
  <c r="N29" i="4"/>
  <c r="V29" i="4"/>
  <c r="AD29" i="4"/>
  <c r="AL29" i="4"/>
  <c r="AT29" i="4"/>
  <c r="BB29" i="4"/>
  <c r="E30" i="4"/>
  <c r="M30" i="4"/>
  <c r="U30" i="4"/>
  <c r="AC30" i="4"/>
  <c r="AK30" i="4"/>
  <c r="C32" i="4"/>
  <c r="H12" i="4"/>
  <c r="P12" i="4"/>
  <c r="X12" i="4"/>
  <c r="AF12" i="4"/>
  <c r="AN12" i="4"/>
  <c r="AV12" i="4"/>
  <c r="BD12" i="4"/>
  <c r="O13" i="4"/>
  <c r="W13" i="4"/>
  <c r="AE13" i="4"/>
  <c r="AM13" i="4"/>
  <c r="BC13" i="4"/>
  <c r="F14" i="4"/>
  <c r="N14" i="4"/>
  <c r="V14" i="4"/>
  <c r="AL14" i="4"/>
  <c r="AT14" i="4"/>
  <c r="E15" i="4"/>
  <c r="M15" i="4"/>
  <c r="U15" i="4"/>
  <c r="AC15" i="4"/>
  <c r="AK15" i="4"/>
  <c r="D16" i="4"/>
  <c r="L16" i="4"/>
  <c r="T16" i="4"/>
  <c r="AB16" i="4"/>
  <c r="AJ16" i="4"/>
  <c r="AR16" i="4"/>
  <c r="AZ16" i="4"/>
  <c r="C17" i="4"/>
  <c r="K17" i="4"/>
  <c r="S17" i="4"/>
  <c r="AA17" i="4"/>
  <c r="AI17" i="4"/>
  <c r="AQ17" i="4"/>
  <c r="AY17" i="4"/>
  <c r="BG17" i="4"/>
  <c r="B18" i="4"/>
  <c r="J18" i="4"/>
  <c r="R18" i="4"/>
  <c r="Z18" i="4"/>
  <c r="AH18" i="4"/>
  <c r="AP18" i="4"/>
  <c r="AX18" i="4"/>
  <c r="BF18" i="4"/>
  <c r="I19" i="4"/>
  <c r="Q19" i="4"/>
  <c r="Y19" i="4"/>
  <c r="AG19" i="4"/>
  <c r="AO19" i="4"/>
  <c r="AW19" i="4"/>
  <c r="BE19" i="4"/>
  <c r="H20" i="4"/>
  <c r="P20" i="4"/>
  <c r="X20" i="4"/>
  <c r="AF20" i="4"/>
  <c r="AN20" i="4"/>
  <c r="AV20" i="4"/>
  <c r="BD20" i="4"/>
  <c r="G21" i="4"/>
  <c r="O21" i="4"/>
  <c r="W21" i="4"/>
  <c r="AE21" i="4"/>
  <c r="AM21" i="4"/>
  <c r="AU21" i="4"/>
  <c r="BC21" i="4"/>
  <c r="F22" i="4"/>
  <c r="N22" i="4"/>
  <c r="V22" i="4"/>
  <c r="AD22" i="4"/>
  <c r="AL22" i="4"/>
  <c r="AT22" i="4"/>
  <c r="BB22" i="4"/>
  <c r="E23" i="4"/>
  <c r="M23" i="4"/>
  <c r="U23" i="4"/>
  <c r="AC23" i="4"/>
  <c r="AK23" i="4"/>
  <c r="AS23" i="4"/>
  <c r="BA23" i="4"/>
  <c r="C25" i="4"/>
  <c r="K25" i="4"/>
  <c r="S25" i="4"/>
  <c r="AA25" i="4"/>
  <c r="AI25" i="4"/>
  <c r="AQ25" i="4"/>
  <c r="AY25" i="4"/>
  <c r="BG25" i="4"/>
  <c r="B26" i="4"/>
  <c r="J26" i="4"/>
  <c r="R26" i="4"/>
  <c r="Z26" i="4"/>
  <c r="AH26" i="4"/>
  <c r="AP26" i="4"/>
  <c r="AX26" i="4"/>
  <c r="BF26" i="4"/>
  <c r="I27" i="4"/>
  <c r="Q27" i="4"/>
  <c r="Y27" i="4"/>
  <c r="AG27" i="4"/>
  <c r="AO27" i="4"/>
  <c r="AW27" i="4"/>
  <c r="BE27" i="4"/>
  <c r="H28" i="4"/>
  <c r="P28" i="4"/>
  <c r="X28" i="4"/>
  <c r="AF28" i="4"/>
  <c r="AN28" i="4"/>
  <c r="AV28" i="4"/>
  <c r="BD28" i="4"/>
  <c r="G29" i="4"/>
  <c r="O29" i="4"/>
  <c r="W29" i="4"/>
  <c r="AE29" i="4"/>
  <c r="AM29" i="4"/>
  <c r="AU29" i="4"/>
  <c r="BC29" i="4"/>
  <c r="F30" i="4"/>
  <c r="N30" i="4"/>
  <c r="V30" i="4"/>
  <c r="AD30" i="4"/>
  <c r="AL30" i="4"/>
  <c r="AT30" i="4"/>
  <c r="BB30" i="4"/>
  <c r="E31" i="4"/>
  <c r="M31" i="4"/>
  <c r="U31" i="4"/>
  <c r="AC31" i="4"/>
  <c r="AK31" i="4"/>
  <c r="AS31" i="4"/>
  <c r="BA31" i="4"/>
  <c r="D32" i="4"/>
  <c r="L32" i="4"/>
  <c r="T32" i="4"/>
  <c r="AB32" i="4"/>
  <c r="AJ32" i="4"/>
  <c r="AR32" i="4"/>
  <c r="AZ32" i="4"/>
  <c r="C33" i="4"/>
  <c r="K33" i="4"/>
  <c r="S33" i="4"/>
  <c r="AA33" i="4"/>
  <c r="AI33" i="4"/>
  <c r="AQ33" i="4"/>
  <c r="AY33" i="4"/>
  <c r="BG33" i="4"/>
  <c r="AS33" i="4"/>
  <c r="BA33" i="4"/>
  <c r="B31" i="4"/>
  <c r="J31" i="4"/>
  <c r="R31" i="4"/>
  <c r="Z31" i="4"/>
  <c r="AH31" i="4"/>
  <c r="AP31" i="4"/>
  <c r="AX31" i="4"/>
  <c r="BF31" i="4"/>
  <c r="I32" i="4"/>
  <c r="Q32" i="4"/>
  <c r="Y32" i="4"/>
  <c r="AG32" i="4"/>
  <c r="AO32" i="4"/>
  <c r="AW32" i="4"/>
  <c r="BE32" i="4"/>
  <c r="H33" i="4"/>
  <c r="P33" i="4"/>
  <c r="X33" i="4"/>
  <c r="AF33" i="4"/>
  <c r="AN33" i="4"/>
  <c r="AV33" i="4"/>
  <c r="BD33" i="4"/>
  <c r="C31" i="4"/>
  <c r="K31" i="4"/>
  <c r="S31" i="4"/>
  <c r="AA31" i="4"/>
  <c r="AI31" i="4"/>
  <c r="AQ31" i="4"/>
  <c r="AY31" i="4"/>
  <c r="BG31" i="4"/>
  <c r="B32" i="4"/>
  <c r="J32" i="4"/>
  <c r="R32" i="4"/>
  <c r="Z32" i="4"/>
  <c r="AH32" i="4"/>
  <c r="AP32" i="4"/>
  <c r="AX32" i="4"/>
  <c r="BF32" i="4"/>
  <c r="Q33" i="4"/>
  <c r="Y33" i="4"/>
  <c r="AG33" i="4"/>
  <c r="AO33" i="4"/>
  <c r="AW33" i="4"/>
  <c r="BE33" i="4"/>
  <c r="AS30" i="4"/>
  <c r="BA30" i="4"/>
  <c r="D31" i="4"/>
  <c r="L31" i="4"/>
  <c r="T31" i="4"/>
  <c r="AB31" i="4"/>
  <c r="AJ31" i="4"/>
  <c r="AR31" i="4"/>
  <c r="AZ31" i="4"/>
  <c r="K32" i="4"/>
  <c r="S32" i="4"/>
  <c r="AA32" i="4"/>
  <c r="AI32" i="4"/>
  <c r="AQ32" i="4"/>
  <c r="AY32" i="4"/>
  <c r="BG32" i="4"/>
  <c r="B33" i="4"/>
  <c r="J33" i="4"/>
  <c r="R33" i="4"/>
  <c r="Z33" i="4"/>
  <c r="AH33" i="4"/>
  <c r="AP33" i="4"/>
  <c r="AX33" i="4"/>
  <c r="BF33" i="4"/>
  <c r="N3" i="6"/>
</calcChain>
</file>

<file path=xl/sharedStrings.xml><?xml version="1.0" encoding="utf-8"?>
<sst xmlns="http://schemas.openxmlformats.org/spreadsheetml/2006/main" count="967" uniqueCount="547">
  <si>
    <t>TAG</t>
  </si>
  <si>
    <t>Coleta</t>
  </si>
  <si>
    <t>Data</t>
  </si>
  <si>
    <t>Rio</t>
  </si>
  <si>
    <t>Habitat=Pote</t>
  </si>
  <si>
    <t>PONTO1</t>
  </si>
  <si>
    <t>PONTO2</t>
  </si>
  <si>
    <t>PONTO3</t>
  </si>
  <si>
    <t>PONTO4</t>
  </si>
  <si>
    <t>PONTO5</t>
  </si>
  <si>
    <t>P05-C1-H1</t>
  </si>
  <si>
    <t>Barro Branco</t>
  </si>
  <si>
    <t>P05-C1-H2</t>
  </si>
  <si>
    <t>P05-C1-H3</t>
  </si>
  <si>
    <t>PONTO6</t>
  </si>
  <si>
    <t>P06-C1-H1</t>
  </si>
  <si>
    <t>P06-C1-H2</t>
  </si>
  <si>
    <t>P06-C1-H3</t>
  </si>
  <si>
    <t>PONTO7</t>
  </si>
  <si>
    <t>P07-C1-H1</t>
  </si>
  <si>
    <t>P07-C1-H2</t>
  </si>
  <si>
    <t>P07-C1-H3</t>
  </si>
  <si>
    <t>PONTO8</t>
  </si>
  <si>
    <t>P08-C1-H1</t>
  </si>
  <si>
    <t>P08-C1-H2</t>
  </si>
  <si>
    <t>P08-C1-H3</t>
  </si>
  <si>
    <t>PONTO9</t>
  </si>
  <si>
    <t>P09-C1-H1</t>
  </si>
  <si>
    <t>P09-C1-H2</t>
  </si>
  <si>
    <t>P09-C1-H3</t>
  </si>
  <si>
    <t>PONTO10</t>
  </si>
  <si>
    <t>P010-C1-H1</t>
  </si>
  <si>
    <t>P010-C1-H2</t>
  </si>
  <si>
    <t>P010-C1-H3</t>
  </si>
  <si>
    <t>PONTO11</t>
  </si>
  <si>
    <t>P011-C1-H1</t>
  </si>
  <si>
    <t>Caiana</t>
  </si>
  <si>
    <t>P011-C1-H2</t>
  </si>
  <si>
    <t>P011-C1-H3</t>
  </si>
  <si>
    <t>PONTO12</t>
  </si>
  <si>
    <t>P012-C1-H1</t>
  </si>
  <si>
    <t>P012-C1-H2</t>
  </si>
  <si>
    <t>P012-C1-H3</t>
  </si>
  <si>
    <t>PONTO13</t>
  </si>
  <si>
    <t>P013-C1-H1</t>
  </si>
  <si>
    <t>P013-C1-H2</t>
  </si>
  <si>
    <t>P013-C1-H3</t>
  </si>
  <si>
    <t>PONTO14</t>
  </si>
  <si>
    <t>P014-C1-H1</t>
  </si>
  <si>
    <t>P014-C1-H2</t>
  </si>
  <si>
    <t>P014-C1-H3</t>
  </si>
  <si>
    <t>PONTO15</t>
  </si>
  <si>
    <t>P015-C1-H1</t>
  </si>
  <si>
    <t>P015-C1-H2</t>
  </si>
  <si>
    <t>P015-C1-H3</t>
  </si>
  <si>
    <t>PONTO16</t>
  </si>
  <si>
    <t>P016-C1-H1</t>
  </si>
  <si>
    <t>P016-C1-H2</t>
  </si>
  <si>
    <t>P016-C1-H3</t>
  </si>
  <si>
    <t>PONTO17</t>
  </si>
  <si>
    <t>P017-C1-H1</t>
  </si>
  <si>
    <t>P017-C1-H2</t>
  </si>
  <si>
    <t>P017-C1-H3</t>
  </si>
  <si>
    <t>PONTO18</t>
  </si>
  <si>
    <t>P018-C1-H1</t>
  </si>
  <si>
    <t>P018-C1-H2</t>
  </si>
  <si>
    <t>P018-C1-H3</t>
  </si>
  <si>
    <t>PONTO19</t>
  </si>
  <si>
    <t>P019-C1-H1</t>
  </si>
  <si>
    <t>P019-C1-H2</t>
  </si>
  <si>
    <t>P019-C1-H3</t>
  </si>
  <si>
    <t>PONTO20</t>
  </si>
  <si>
    <t>P020-C1-H1</t>
  </si>
  <si>
    <t>P020-C1-H2</t>
  </si>
  <si>
    <t>P020-C1-H3</t>
  </si>
  <si>
    <t>PONTO21</t>
  </si>
  <si>
    <t>PONTO22</t>
  </si>
  <si>
    <t>PONTO23</t>
  </si>
  <si>
    <t>PONTO24</t>
  </si>
  <si>
    <t>PONTO25</t>
  </si>
  <si>
    <t>PONTO26</t>
  </si>
  <si>
    <t>PONTO27</t>
  </si>
  <si>
    <t>PONTO28</t>
  </si>
  <si>
    <t>PONTO29</t>
  </si>
  <si>
    <t>PONTO30</t>
  </si>
  <si>
    <t>PONTO31</t>
  </si>
  <si>
    <t>PONTO32</t>
  </si>
  <si>
    <t>PONTO33</t>
  </si>
  <si>
    <t>PONTO34</t>
  </si>
  <si>
    <t>PONTO35</t>
  </si>
  <si>
    <t>PONTO36</t>
  </si>
  <si>
    <t>PONTO37</t>
  </si>
  <si>
    <t>PONTO38</t>
  </si>
  <si>
    <t>PONTO39</t>
  </si>
  <si>
    <t>PONTO40</t>
  </si>
  <si>
    <t>Alonella dadayi Birge, 1910</t>
  </si>
  <si>
    <t>Alonella hamulata (Birge, 1910)</t>
  </si>
  <si>
    <t>Alonella sp.</t>
  </si>
  <si>
    <t>Bdelloidea</t>
  </si>
  <si>
    <t>Brachionus patulus Müller, 1786</t>
  </si>
  <si>
    <t>Cephalodella sp.</t>
  </si>
  <si>
    <t>Colurella adriatica Ehrenberg, 1831</t>
  </si>
  <si>
    <t>Copepodite</t>
  </si>
  <si>
    <t>Chydorus sp.</t>
  </si>
  <si>
    <t>Dicranophoroides sp.</t>
  </si>
  <si>
    <t>Diaphanosoma birgei Korínek, 1981</t>
  </si>
  <si>
    <t>Diaphanosoma spinulosum Herbst, 1975</t>
  </si>
  <si>
    <t>Dissotrocha aculeata (Ehrenberg, 1832)</t>
  </si>
  <si>
    <t>Euchlanis dilatata Ehrenberg, 1832</t>
  </si>
  <si>
    <t>Filinia longiseta (Ehrenberg, 1834)</t>
  </si>
  <si>
    <t>Ilyocryptus spinifer Herrick, 1882</t>
  </si>
  <si>
    <t>Lecane aculeata (Jakubski, 1912)</t>
  </si>
  <si>
    <t>Lecane bulla (Gosse, 1851)</t>
  </si>
  <si>
    <t>Lecane cornuta (Müller, 1786)</t>
  </si>
  <si>
    <t>Lecane crepida Murray, 1913</t>
  </si>
  <si>
    <t>Lecane curvicornis (Murray, 1913)</t>
  </si>
  <si>
    <t>Lecane furcata (Murray, 1913)</t>
  </si>
  <si>
    <t>Lecane haliclysta Harring &amp; Myers, 1926</t>
  </si>
  <si>
    <t>Lecane leontina (Turner, 1892)</t>
  </si>
  <si>
    <t>Lecane lunaris (Ehrenberg, 1832)</t>
  </si>
  <si>
    <t>Lecane luna (Müller, 1776)</t>
  </si>
  <si>
    <t>Lecane monostyla (Daday, 1897)</t>
  </si>
  <si>
    <t>Lecane obtusa (Murray, 1913)</t>
  </si>
  <si>
    <t>Lecane papuana (Murray, 1913)</t>
  </si>
  <si>
    <t>Lecane quadridentata (Ehrenberg, 1832)</t>
  </si>
  <si>
    <t>Lecane signifera (Jennings, 1896)</t>
  </si>
  <si>
    <t>Leydigia sp.</t>
  </si>
  <si>
    <t xml:space="preserve">Lepadella benjamini Harring, 1916 </t>
  </si>
  <si>
    <t>Lepadella imbricata Harring, 1914</t>
  </si>
  <si>
    <t>Lepadella ovalis (Müller, 1786)</t>
  </si>
  <si>
    <t>Lepadella patella (Müller, 1773)</t>
  </si>
  <si>
    <t>Mesocyclops sp.</t>
  </si>
  <si>
    <t>Macrocyclops sp.</t>
  </si>
  <si>
    <t>Macrochaetus sp.</t>
  </si>
  <si>
    <t>Macrothrix sp.</t>
  </si>
  <si>
    <t>Macrothrix mira (Smirnov, 1992)</t>
  </si>
  <si>
    <t>Macrothrix laticornis (Jurine, 1820)</t>
  </si>
  <si>
    <t>Moina minuta Hansen, 1899</t>
  </si>
  <si>
    <t>Mytilina crassipes Wulfert, 1939</t>
  </si>
  <si>
    <t>Mytilina sp.</t>
  </si>
  <si>
    <t>Mytilina bisulcata (Lucks, 1912)</t>
  </si>
  <si>
    <t>Nauplii</t>
  </si>
  <si>
    <t>Notodiaptomus sp.</t>
  </si>
  <si>
    <t>Paracyclops sp.</t>
  </si>
  <si>
    <t>Platyias quadricornis (Ehrenberg, 1832)</t>
  </si>
  <si>
    <t>Polyarthra sp.</t>
  </si>
  <si>
    <t>Polyarthra bicerca Wulfert, 1956</t>
  </si>
  <si>
    <t>Polyarthra dolichoptera Idelson, 1925</t>
  </si>
  <si>
    <t>Polyarthra vulgaris Carlin, 1943</t>
  </si>
  <si>
    <t>Testudinella patina (Hermann, 1783)</t>
  </si>
  <si>
    <t xml:space="preserve">Testudinella mucronata (Gosse, 1886) </t>
  </si>
  <si>
    <t>Trichocerca sp.</t>
  </si>
  <si>
    <t>Trichotria tetractis (Ehrenberg, 1830)</t>
  </si>
  <si>
    <t>Alo.dadayi</t>
  </si>
  <si>
    <t>Alo.hamulata</t>
  </si>
  <si>
    <t>Alonella.sp</t>
  </si>
  <si>
    <t>Bra.patulus</t>
  </si>
  <si>
    <t>Cephalodella.sp</t>
  </si>
  <si>
    <t>Colurella.sp</t>
  </si>
  <si>
    <t>Chydorus.sp</t>
  </si>
  <si>
    <t>Dicranophoroides.sp</t>
  </si>
  <si>
    <t>Dia.birgei</t>
  </si>
  <si>
    <t>Dia.spinulosum</t>
  </si>
  <si>
    <t>Dis.aculeata</t>
  </si>
  <si>
    <t>Euc.dilatata</t>
  </si>
  <si>
    <t>Fil.longiseta</t>
  </si>
  <si>
    <t>Ily.spinifer</t>
  </si>
  <si>
    <t>Lec.aculeata</t>
  </si>
  <si>
    <t>Lec.bulla</t>
  </si>
  <si>
    <t>Lec.cornuta</t>
  </si>
  <si>
    <t>Lec.crepida</t>
  </si>
  <si>
    <t>Lec.curvicornis</t>
  </si>
  <si>
    <t>Lec.furcata</t>
  </si>
  <si>
    <t>Lecane.sp1</t>
  </si>
  <si>
    <t>Lec.leontina</t>
  </si>
  <si>
    <t>Lec.lunaris</t>
  </si>
  <si>
    <t>Lec.luna</t>
  </si>
  <si>
    <t>Lec.monostyla</t>
  </si>
  <si>
    <t>Lecane.sp2</t>
  </si>
  <si>
    <t>Lec.papuana</t>
  </si>
  <si>
    <t>Lec.quadridentata</t>
  </si>
  <si>
    <t>Lecane.sp3</t>
  </si>
  <si>
    <t>Leydigia.sp</t>
  </si>
  <si>
    <t>Lepadella.sp1</t>
  </si>
  <si>
    <t>Lepadella.sp2</t>
  </si>
  <si>
    <t>Lep.ovalis</t>
  </si>
  <si>
    <t>Lep.patella</t>
  </si>
  <si>
    <t>Mesocyclops.sp</t>
  </si>
  <si>
    <t>Macrocyclops.sp</t>
  </si>
  <si>
    <t>Macrochaetus.sp</t>
  </si>
  <si>
    <t>Macrothrix.sp</t>
  </si>
  <si>
    <t>Mac.mira</t>
  </si>
  <si>
    <t>Mac.laticornis</t>
  </si>
  <si>
    <t>Moi.minuta</t>
  </si>
  <si>
    <t>Myt.crassipes</t>
  </si>
  <si>
    <t>Mytilina.sp</t>
  </si>
  <si>
    <t>Myt.bisulcata</t>
  </si>
  <si>
    <t>Notodiaptomus.sp</t>
  </si>
  <si>
    <t>Paracyclops.sp</t>
  </si>
  <si>
    <t>Pla.quadricornis</t>
  </si>
  <si>
    <t>Polyarthra.sp</t>
  </si>
  <si>
    <t>Pol.bicerca</t>
  </si>
  <si>
    <t>Pol.dolichoptera</t>
  </si>
  <si>
    <t>Pol.vulgaris</t>
  </si>
  <si>
    <t>Tes.patina</t>
  </si>
  <si>
    <t>Tes.mucronata</t>
  </si>
  <si>
    <t>Trichocerca.sp</t>
  </si>
  <si>
    <t>Tri.tetractis</t>
  </si>
  <si>
    <t>S-B-P05-H1</t>
  </si>
  <si>
    <t>S-B-P05-H2</t>
  </si>
  <si>
    <t>S-B-P05-H3</t>
  </si>
  <si>
    <t>S-B-P06-H1</t>
  </si>
  <si>
    <t>S-B-P06-H2</t>
  </si>
  <si>
    <t>S-B-P06-H3</t>
  </si>
  <si>
    <t>S-B-P07-H1</t>
  </si>
  <si>
    <t>S-B-P07-H2</t>
  </si>
  <si>
    <t>S-B-P07-H3</t>
  </si>
  <si>
    <t>S-B-P08-H1</t>
  </si>
  <si>
    <t>S-B-P08-H2</t>
  </si>
  <si>
    <t>S-B-P08-H3</t>
  </si>
  <si>
    <t>S-B-P09-H1</t>
  </si>
  <si>
    <t>S-B-P09-H2</t>
  </si>
  <si>
    <t>S-B-P09-H3</t>
  </si>
  <si>
    <t>S-B-P10-H1</t>
  </si>
  <si>
    <t>S-B-P10-H2</t>
  </si>
  <si>
    <t>S-B-P10-H3</t>
  </si>
  <si>
    <t>S-C-P11-H1</t>
  </si>
  <si>
    <t>S-C-P11-H2</t>
  </si>
  <si>
    <t>S-C-P11-H3</t>
  </si>
  <si>
    <t>S-C-P12-H1</t>
  </si>
  <si>
    <t>S-C-P12-H2</t>
  </si>
  <si>
    <t>S-C-P12-H3</t>
  </si>
  <si>
    <t>S-C-P13-H1</t>
  </si>
  <si>
    <t>S-C-P13-H2</t>
  </si>
  <si>
    <t>S-C-P13-H3</t>
  </si>
  <si>
    <t>S-C-P14-H1</t>
  </si>
  <si>
    <t>S-C-P14-H2</t>
  </si>
  <si>
    <t>S-C-P14-H3</t>
  </si>
  <si>
    <t>S-C-P15-H1</t>
  </si>
  <si>
    <t>S-C-P15-H2</t>
  </si>
  <si>
    <t>S-C-P15-H3</t>
  </si>
  <si>
    <t>S-C-P16-H1</t>
  </si>
  <si>
    <t>S-C-P16-H2</t>
  </si>
  <si>
    <t>S-C-P16-H3</t>
  </si>
  <si>
    <t>S-C-P17-H1</t>
  </si>
  <si>
    <t>S-C-P17-H2</t>
  </si>
  <si>
    <t>S-C-P17-H3</t>
  </si>
  <si>
    <t>S-C-P18-H1</t>
  </si>
  <si>
    <t>S-C-P18-H2</t>
  </si>
  <si>
    <t>S-C-P18-H3</t>
  </si>
  <si>
    <t>S-C-P19-H1</t>
  </si>
  <si>
    <t>S-C-P19-H2</t>
  </si>
  <si>
    <t>S-C-P19-H3</t>
  </si>
  <si>
    <t>S-C-P20-H1</t>
  </si>
  <si>
    <t>S-C-P20-H2</t>
  </si>
  <si>
    <t>S-C-P20-H3</t>
  </si>
  <si>
    <t>C-B-P05-H1</t>
  </si>
  <si>
    <t>C-B-P05-H2</t>
  </si>
  <si>
    <t>C-B-P05-H3</t>
  </si>
  <si>
    <t>C-B-P06-H1</t>
  </si>
  <si>
    <t>C-B-P06-H2</t>
  </si>
  <si>
    <t>C-B-P06-H3</t>
  </si>
  <si>
    <t>C-B-P07-H1</t>
  </si>
  <si>
    <t>C-B-P07-H2</t>
  </si>
  <si>
    <t>C-B-P07-H3</t>
  </si>
  <si>
    <t>C-B-P08-H1</t>
  </si>
  <si>
    <t>C-B-P08-H2</t>
  </si>
  <si>
    <t>C-B-P08-H3</t>
  </si>
  <si>
    <t>C-B-P09-H1</t>
  </si>
  <si>
    <t>C-B-P09-H2</t>
  </si>
  <si>
    <t>C-B-P09-H3</t>
  </si>
  <si>
    <t>C-B-P10-H1</t>
  </si>
  <si>
    <t>C-B-P10-H2</t>
  </si>
  <si>
    <t>C-B-P10-H3</t>
  </si>
  <si>
    <t>C-C-P11-H1</t>
  </si>
  <si>
    <t>C-C-P11-H2</t>
  </si>
  <si>
    <t>C-C-P11-H3</t>
  </si>
  <si>
    <t>C-C-P12-H1</t>
  </si>
  <si>
    <t>C-C-P12-H2</t>
  </si>
  <si>
    <t>C-C-P12-H3</t>
  </si>
  <si>
    <t>C-C-P13-H1</t>
  </si>
  <si>
    <t>C-C-P13-H2</t>
  </si>
  <si>
    <t>C-C-P13-H3</t>
  </si>
  <si>
    <t>C-C-P14-H1</t>
  </si>
  <si>
    <t>C-C-P14-H2</t>
  </si>
  <si>
    <t>C-C-P14-H3</t>
  </si>
  <si>
    <t>C-C-P15-H1</t>
  </si>
  <si>
    <t>C-C-P15-H2</t>
  </si>
  <si>
    <t>C-C-P15-H3</t>
  </si>
  <si>
    <t>C-C-P16-H1</t>
  </si>
  <si>
    <t>C-C-P16-H2</t>
  </si>
  <si>
    <t>C-C-P16-H3</t>
  </si>
  <si>
    <t>C-C-P17-H1</t>
  </si>
  <si>
    <t>C-C-P17-H2</t>
  </si>
  <si>
    <t>C-C-P17-H3</t>
  </si>
  <si>
    <t>C-C-P18-H1</t>
  </si>
  <si>
    <t>C-C-P18-H2</t>
  </si>
  <si>
    <t>C-C-P18-H3</t>
  </si>
  <si>
    <t>C-C-P19-H1</t>
  </si>
  <si>
    <t>C-C-P19-H2</t>
  </si>
  <si>
    <t>C-C-P19-H3</t>
  </si>
  <si>
    <t>C-C-P20-H1</t>
  </si>
  <si>
    <t>C-C-P20-H2</t>
  </si>
  <si>
    <t>C-C-P20-H3</t>
  </si>
  <si>
    <t>n/a</t>
  </si>
  <si>
    <t>S-BB-P05</t>
  </si>
  <si>
    <t>S-BB-P06</t>
  </si>
  <si>
    <t>S-BB-P07</t>
  </si>
  <si>
    <t>S-BB-P08</t>
  </si>
  <si>
    <t>S-BB-P09</t>
  </si>
  <si>
    <t>S-BB-P10</t>
  </si>
  <si>
    <t>S-CA-P11</t>
  </si>
  <si>
    <t>S-CA-P12</t>
  </si>
  <si>
    <t>S-CA-P13</t>
  </si>
  <si>
    <t>S-CA-P14</t>
  </si>
  <si>
    <t>S-CA-P15</t>
  </si>
  <si>
    <t>S-CA-P16</t>
  </si>
  <si>
    <t>S-CA-P17</t>
  </si>
  <si>
    <t>S-CA-P18</t>
  </si>
  <si>
    <t>S-CA-P19</t>
  </si>
  <si>
    <t>S-CA-P20</t>
  </si>
  <si>
    <t>C-BB-P05</t>
  </si>
  <si>
    <t>C-BB-P06</t>
  </si>
  <si>
    <t>C-BB-P07</t>
  </si>
  <si>
    <t>C-BB-P08</t>
  </si>
  <si>
    <t>C-BB-P09</t>
  </si>
  <si>
    <t>C-BB-P10</t>
  </si>
  <si>
    <t>C-CA-P11</t>
  </si>
  <si>
    <t>C-CA-P12</t>
  </si>
  <si>
    <t>C-CA-P13</t>
  </si>
  <si>
    <t>C-CA-P14</t>
  </si>
  <si>
    <t>C-CA-P15</t>
  </si>
  <si>
    <t>C-CA-P16</t>
  </si>
  <si>
    <t>C-CA-P17</t>
  </si>
  <si>
    <t>C-CA-P18</t>
  </si>
  <si>
    <t>C-CA-P19</t>
  </si>
  <si>
    <t>C-CA-P20</t>
  </si>
  <si>
    <t>P01C1-H1-I</t>
  </si>
  <si>
    <t>Amostra (50L/80mL)</t>
  </si>
  <si>
    <t>Alíquota (1mL)</t>
  </si>
  <si>
    <t>Ponto</t>
  </si>
  <si>
    <t>Datas</t>
  </si>
  <si>
    <t>Lâmina</t>
  </si>
  <si>
    <t>P01</t>
  </si>
  <si>
    <t>C1</t>
  </si>
  <si>
    <t>x</t>
  </si>
  <si>
    <t>-H1</t>
  </si>
  <si>
    <t>-I</t>
  </si>
  <si>
    <t>P02</t>
  </si>
  <si>
    <t>-H2</t>
  </si>
  <si>
    <t>-II</t>
  </si>
  <si>
    <t>P03</t>
  </si>
  <si>
    <t>-H3</t>
  </si>
  <si>
    <t>-III</t>
  </si>
  <si>
    <t>P04</t>
  </si>
  <si>
    <t>P05</t>
  </si>
  <si>
    <t>Em vermelho</t>
  </si>
  <si>
    <t>conferir ou alterado</t>
  </si>
  <si>
    <t>Em azul</t>
  </si>
  <si>
    <t>errado</t>
  </si>
  <si>
    <t>Em verde</t>
  </si>
  <si>
    <t>não foram nós que identificamos</t>
  </si>
  <si>
    <t>Em rosa</t>
  </si>
  <si>
    <t>corrigir</t>
  </si>
  <si>
    <t>Em preto</t>
  </si>
  <si>
    <t>conferido por Elvio</t>
  </si>
  <si>
    <t>TOTAL REBIO 2012</t>
  </si>
  <si>
    <t>TOTAL REBIO 2023</t>
  </si>
  <si>
    <t>Lista de acordo com:</t>
  </si>
  <si>
    <t>ROTIFERA</t>
  </si>
  <si>
    <t>https://www.gbif.org/</t>
  </si>
  <si>
    <t xml:space="preserve">  DIGONONTA</t>
  </si>
  <si>
    <t>Entorno</t>
  </si>
  <si>
    <t>REBio</t>
  </si>
  <si>
    <t>https://www.nies.go.jp/chiiki1/protoz/index.html</t>
  </si>
  <si>
    <r>
      <rPr>
        <sz val="10"/>
        <color rgb="FF000000"/>
        <rFont val="Calibri"/>
        <charset val="1"/>
      </rPr>
      <t xml:space="preserve">     </t>
    </r>
    <r>
      <rPr>
        <b/>
        <sz val="10"/>
        <color rgb="FF000000"/>
        <rFont val="Calibri"/>
        <charset val="1"/>
      </rPr>
      <t>BDELLOIDEA</t>
    </r>
  </si>
  <si>
    <t>https://www.nies.go.jp/chiiki1/protoz/identi-r.htm</t>
  </si>
  <si>
    <t>Philodinidae</t>
  </si>
  <si>
    <t>Rotaria neptunia (Ehrenberg, 1830)</t>
  </si>
  <si>
    <t>Rot.neptunia</t>
  </si>
  <si>
    <t>Dicranophoridae</t>
  </si>
  <si>
    <t>Rotaria sp.</t>
  </si>
  <si>
    <t>Rotaria.sp</t>
  </si>
  <si>
    <t>Dicranop.sp</t>
  </si>
  <si>
    <t xml:space="preserve">  MONOGONONTA</t>
  </si>
  <si>
    <t>Notommatidae</t>
  </si>
  <si>
    <r>
      <rPr>
        <sz val="10"/>
        <color rgb="FF000000"/>
        <rFont val="Calibri"/>
        <charset val="1"/>
      </rPr>
      <t xml:space="preserve">     </t>
    </r>
    <r>
      <rPr>
        <b/>
        <sz val="10"/>
        <color rgb="FF000000"/>
        <rFont val="Calibri"/>
        <charset val="1"/>
      </rPr>
      <t>PLOIMA</t>
    </r>
  </si>
  <si>
    <t xml:space="preserve">     FLOSCULARIACEA</t>
  </si>
  <si>
    <t xml:space="preserve">Lecanidae </t>
  </si>
  <si>
    <t>Lecane aculeata (Jakubski, 1912)</t>
  </si>
  <si>
    <t>Lecane cornuta (Müller, 1786)</t>
  </si>
  <si>
    <t>Lecane crepida Harring, 1914</t>
  </si>
  <si>
    <t>Lecane curvicornis (Murray, 1913)</t>
  </si>
  <si>
    <t>Lecane elasma Harring &amp; Myers, 1926</t>
  </si>
  <si>
    <t>Lec.elasma</t>
  </si>
  <si>
    <t>Lecane furcata (Murray, 1913)</t>
  </si>
  <si>
    <t>Lecane leontina (Turner, 1892)</t>
  </si>
  <si>
    <t>Lecane hastata (Murray, 1913)</t>
  </si>
  <si>
    <t>Lec.hastata</t>
  </si>
  <si>
    <t>Lecane hornemanni (Ehrenberg, 1834)</t>
  </si>
  <si>
    <t>Lec.hornemanni</t>
  </si>
  <si>
    <t>Lecane luna (Müller, 1776)</t>
  </si>
  <si>
    <t>Lecane kluchor Tarnogradski, 1930</t>
  </si>
  <si>
    <t>Lec.kluchor</t>
  </si>
  <si>
    <t>Lecane monostyla (Daday, 1897):</t>
  </si>
  <si>
    <t>Lecane ligona (Dunlop, 1901)</t>
  </si>
  <si>
    <t>Lec.ligona</t>
  </si>
  <si>
    <t>Lecane quadridentata (Ehrenberg, 1830)</t>
  </si>
  <si>
    <t>Lecane sp.1</t>
  </si>
  <si>
    <t>Lecane sp.2</t>
  </si>
  <si>
    <t>Lecane sp.3</t>
  </si>
  <si>
    <t>Lecane ovalis (Jakubski, 1914)</t>
  </si>
  <si>
    <t>Lec.ovalis</t>
  </si>
  <si>
    <t>Brachionidae</t>
  </si>
  <si>
    <t>Lecane sp.</t>
  </si>
  <si>
    <t>Lecane.sp</t>
  </si>
  <si>
    <t>Brachionus urceolaris Müller, 1773</t>
  </si>
  <si>
    <t>Bra.urceolaris</t>
  </si>
  <si>
    <t>Lepadellidae</t>
  </si>
  <si>
    <t>Brachionus calyciflorus Pallas, 1766</t>
  </si>
  <si>
    <t>Bra.calyciflorus</t>
  </si>
  <si>
    <t>Lepadella ovalis (Müller, 1786)</t>
  </si>
  <si>
    <t>Brachionus caudatus Barrois &amp; Daday, 1894</t>
  </si>
  <si>
    <t>Bra.caudatus</t>
  </si>
  <si>
    <t>Brachionus angularis Gosse, 1851</t>
  </si>
  <si>
    <t>Bra.angularis</t>
  </si>
  <si>
    <t>Lep.imbricata</t>
  </si>
  <si>
    <t>Brachionus havanaensis Rousselet, 1911</t>
  </si>
  <si>
    <t>Bra.havanaensis</t>
  </si>
  <si>
    <t>Lepadella sp.</t>
  </si>
  <si>
    <t>Lepadella.sp</t>
  </si>
  <si>
    <t>Brachionus falcatus Zacharias, 1898</t>
  </si>
  <si>
    <t>Bra.falcatus</t>
  </si>
  <si>
    <t>Euchlanidae</t>
  </si>
  <si>
    <t>Brachionus quadridentatus Hermann, 1783</t>
  </si>
  <si>
    <t>Bra.quadridentatus</t>
  </si>
  <si>
    <t>Synchaetidae</t>
  </si>
  <si>
    <t>Keratella tropica (Apstein, 1907)</t>
  </si>
  <si>
    <t>Ker.tropica</t>
  </si>
  <si>
    <t>Polyarthra bicerca</t>
  </si>
  <si>
    <t>Keratella serrulata (Ehrenberg, 1838)</t>
  </si>
  <si>
    <t>Ker.serrulata</t>
  </si>
  <si>
    <t>Keratella Ienzi Hauer, 1987</t>
  </si>
  <si>
    <t>Ker.lenzi</t>
  </si>
  <si>
    <t>Polyarthra vulgaris</t>
  </si>
  <si>
    <t>Macrochaetus collinsi Gosse, 1867</t>
  </si>
  <si>
    <t>Mac.collinsi</t>
  </si>
  <si>
    <t>Plationus patulus (Müller,1786)</t>
  </si>
  <si>
    <t>Pla.patulus</t>
  </si>
  <si>
    <t xml:space="preserve">Colurellidae </t>
  </si>
  <si>
    <t>Notholca sp.</t>
  </si>
  <si>
    <t>Notholca.sp</t>
  </si>
  <si>
    <t>Colurella sp.</t>
  </si>
  <si>
    <t xml:space="preserve">Mytilinidae </t>
  </si>
  <si>
    <t>Mytilina crassipes (Lucks, 1912)</t>
  </si>
  <si>
    <t>Lepadella dactyliseta (Stenroos, 1898)</t>
  </si>
  <si>
    <t>Lep.dactyliseta</t>
  </si>
  <si>
    <t>Trichotriidae</t>
  </si>
  <si>
    <t>Trichotria tetractis (Ehrenberg, 1830)</t>
  </si>
  <si>
    <t>Filiniidae</t>
  </si>
  <si>
    <t>Beauchampiella eudactylota (Gosse, 1886)</t>
  </si>
  <si>
    <t>Bea.eudactylota</t>
  </si>
  <si>
    <t>Euchlanis sp.</t>
  </si>
  <si>
    <t>Euchlanis.sp</t>
  </si>
  <si>
    <t>Testudinellidae</t>
  </si>
  <si>
    <t>Gastropodidae</t>
  </si>
  <si>
    <t>Ascomorpha ecaudis Perty, 1850</t>
  </si>
  <si>
    <t>Asc.ecaudis</t>
  </si>
  <si>
    <t>Ascomorpha saltans Bartsch, 1870</t>
  </si>
  <si>
    <t>Asc.saltans</t>
  </si>
  <si>
    <t xml:space="preserve">Trichocercidae </t>
  </si>
  <si>
    <t>Ascomorpha sp.</t>
  </si>
  <si>
    <t>Ascomorpha.sp</t>
  </si>
  <si>
    <t>CRUSTACEA</t>
  </si>
  <si>
    <t xml:space="preserve">  CLADOCERA</t>
  </si>
  <si>
    <t xml:space="preserve">     ANOMOPODA</t>
  </si>
  <si>
    <t>Chydoridae</t>
  </si>
  <si>
    <t>Colurella geophila Donner, 1951</t>
  </si>
  <si>
    <t>Col.geophila</t>
  </si>
  <si>
    <t>Macrothricidae</t>
  </si>
  <si>
    <t>Macrothrix laticornis (Jurine, 1820)</t>
  </si>
  <si>
    <t>Macrochaetus subquadratus Perty, 1850</t>
  </si>
  <si>
    <t>Mac.subquadratus</t>
  </si>
  <si>
    <t>Macrothrix mira Smirnov 1982</t>
  </si>
  <si>
    <t>Sididae</t>
  </si>
  <si>
    <t>Aspelta sp.</t>
  </si>
  <si>
    <t>Aspelta.sp</t>
  </si>
  <si>
    <t>Diaphanosoma birgei</t>
  </si>
  <si>
    <t>Epiphanidae</t>
  </si>
  <si>
    <t>Diaphanosoma spinulosum</t>
  </si>
  <si>
    <t>Epiphanes senta (Müller, 1773)</t>
  </si>
  <si>
    <t>Epi.senta</t>
  </si>
  <si>
    <t>Ilyocryptidae</t>
  </si>
  <si>
    <t>Proalidae</t>
  </si>
  <si>
    <t>Ilyocryptus spinifer Herrick, 1882</t>
  </si>
  <si>
    <t>Proales similis de Beauchamp, 1907</t>
  </si>
  <si>
    <t>Pro.similis</t>
  </si>
  <si>
    <t>Moinidae</t>
  </si>
  <si>
    <t>COPEPODA</t>
  </si>
  <si>
    <r>
      <rPr>
        <sz val="10"/>
        <color rgb="FF000000"/>
        <rFont val="Calibri"/>
        <charset val="1"/>
      </rPr>
      <t xml:space="preserve">     </t>
    </r>
    <r>
      <rPr>
        <b/>
        <sz val="10"/>
        <color rgb="FF000000"/>
        <rFont val="Calibri"/>
        <charset val="1"/>
      </rPr>
      <t>FLOSCULARIACEAE</t>
    </r>
  </si>
  <si>
    <t>Conochilidae</t>
  </si>
  <si>
    <t>Conochilus unicornis Rousselet, 1892</t>
  </si>
  <si>
    <t>Con.unicornis</t>
  </si>
  <si>
    <t xml:space="preserve">  CYCLOPOIDA</t>
  </si>
  <si>
    <t>Cyclopidae</t>
  </si>
  <si>
    <t>Hexarthridae</t>
  </si>
  <si>
    <t>Hexarthra sp.</t>
  </si>
  <si>
    <t>Hexarthra.sp</t>
  </si>
  <si>
    <t xml:space="preserve">  CALANOIDA</t>
  </si>
  <si>
    <t>Pompholyx sulcata Hudson, 1885</t>
  </si>
  <si>
    <t>Pom.sulcata</t>
  </si>
  <si>
    <t>Diaptomidae</t>
  </si>
  <si>
    <t xml:space="preserve">  HARPACTICOIDA</t>
  </si>
  <si>
    <t>Alona pulchella King, 1853</t>
  </si>
  <si>
    <t>Alo.pulchella</t>
  </si>
  <si>
    <t>Chydorus eurynotus Sars, 1901</t>
  </si>
  <si>
    <t>Chy.eurynotus</t>
  </si>
  <si>
    <t>Chydorus sphaericus (O.F.Müller, 1776)</t>
  </si>
  <si>
    <t>Chy.sphaericus</t>
  </si>
  <si>
    <t>Dunhevedia odontoplax Sars, 1901</t>
  </si>
  <si>
    <t>Dun.odontoplax</t>
  </si>
  <si>
    <t>Nauplius</t>
  </si>
  <si>
    <t>Cyclopoida</t>
  </si>
  <si>
    <t>Harpacticoida</t>
  </si>
  <si>
    <t>caiana</t>
  </si>
  <si>
    <t>Daqui para o lado esquerdo está correto e atualizado</t>
  </si>
  <si>
    <t>partição total</t>
  </si>
  <si>
    <t>chuvoso</t>
  </si>
  <si>
    <t>seco</t>
  </si>
  <si>
    <t>barro branco</t>
  </si>
  <si>
    <t>pt.periodo</t>
  </si>
  <si>
    <t>pt.rio</t>
  </si>
  <si>
    <t>pt.rebio</t>
  </si>
  <si>
    <t>s.habitat</t>
  </si>
  <si>
    <t>s.ponto</t>
  </si>
  <si>
    <t>s.rio</t>
  </si>
  <si>
    <t>s.rebio</t>
  </si>
  <si>
    <t>c.habitat</t>
  </si>
  <si>
    <t>c.ponto</t>
  </si>
  <si>
    <t>c.rio</t>
  </si>
  <si>
    <t>c.rebio</t>
  </si>
  <si>
    <t>bb.habitat</t>
  </si>
  <si>
    <t>bb.ponto</t>
  </si>
  <si>
    <t>bb.rio</t>
  </si>
  <si>
    <t>ca.habitat</t>
  </si>
  <si>
    <t>ca.ponto</t>
  </si>
  <si>
    <t>ca.rio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</si>
</sst>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/yyyy"/>
    <numFmt numFmtId="165" formatCode="0.000"/>
  </numFmts>
  <fonts count="17" x14ac:knownFonts="1">
    <font>
      <sz val="11"/>
      <color rgb="FF000000"/>
      <name val="Calibri"/>
      <family val="2"/>
      <charset val="1"/>
    </font>
    <font>
      <b/>
      <sz val="10"/>
      <color rgb="FF000000"/>
      <name val="Calibri"/>
      <charset val="1"/>
    </font>
    <font>
      <sz val="10"/>
      <color rgb="FF000000"/>
      <name val="Calibri"/>
      <charset val="1"/>
    </font>
    <font>
      <sz val="10"/>
      <color rgb="FF000000"/>
      <name val="Calibri"/>
      <family val="2"/>
      <charset val="1"/>
    </font>
    <font>
      <sz val="10"/>
      <color rgb="FFC9211E"/>
      <name val="Calibri"/>
      <charset val="1"/>
    </font>
    <font>
      <sz val="10"/>
      <color rgb="FF008000"/>
      <name val="Calibri"/>
      <charset val="1"/>
    </font>
    <font>
      <sz val="10"/>
      <color rgb="FFFF4000"/>
      <name val="Calibri"/>
      <charset val="1"/>
    </font>
    <font>
      <sz val="10"/>
      <color rgb="FFFF0000"/>
      <name val="Calibri"/>
      <charset val="1"/>
    </font>
    <font>
      <sz val="10"/>
      <color rgb="FF0000FF"/>
      <name val="Calibri"/>
      <charset val="1"/>
    </font>
    <font>
      <sz val="11"/>
      <color rgb="FFFF00FF"/>
      <name val="Calibri"/>
      <charset val="1"/>
    </font>
    <font>
      <sz val="11"/>
      <color rgb="FF000000"/>
      <name val="Calibri"/>
      <charset val="1"/>
    </font>
    <font>
      <u/>
      <sz val="10"/>
      <color rgb="FF0000EE"/>
      <name val="Calibri"/>
      <charset val="1"/>
    </font>
    <font>
      <b/>
      <sz val="10"/>
      <color rgb="FF000000"/>
      <name val="Calibri"/>
      <family val="2"/>
      <charset val="1"/>
    </font>
    <font>
      <sz val="10"/>
      <color rgb="FF00AE00"/>
      <name val="Calibri"/>
      <charset val="1"/>
    </font>
    <font>
      <sz val="10"/>
      <color rgb="FF00AE00"/>
      <name val="Calibri"/>
      <family val="2"/>
      <charset val="1"/>
    </font>
    <font>
      <sz val="11"/>
      <color rgb="FF000000"/>
      <name val="Calibri"/>
      <family val="2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right"/>
    </xf>
    <xf numFmtId="164" fontId="2" fillId="0" borderId="0" xfId="0" applyNumberFormat="1" applyFont="1"/>
    <xf numFmtId="0" fontId="3" fillId="0" borderId="0" xfId="0" applyFont="1"/>
    <xf numFmtId="0" fontId="2" fillId="0" borderId="0" xfId="0" applyFont="1" applyAlignment="1">
      <alignment horizontal="left" vertical="center" readingOrder="1"/>
    </xf>
    <xf numFmtId="0" fontId="2" fillId="0" borderId="0" xfId="0" applyFont="1" applyAlignment="1">
      <alignment horizontal="left" vertical="center" wrapText="1" readingOrder="1"/>
    </xf>
    <xf numFmtId="0" fontId="4" fillId="0" borderId="0" xfId="0" applyFont="1" applyAlignment="1">
      <alignment horizontal="left" vertical="center" wrapText="1" readingOrder="1"/>
    </xf>
    <xf numFmtId="0" fontId="4" fillId="0" borderId="0" xfId="0" applyFont="1" applyAlignment="1">
      <alignment vertical="center" wrapText="1" readingOrder="1"/>
    </xf>
    <xf numFmtId="0" fontId="5" fillId="0" borderId="0" xfId="0" applyFont="1" applyAlignment="1">
      <alignment horizontal="left" vertical="center" wrapText="1" readingOrder="1"/>
    </xf>
    <xf numFmtId="0" fontId="3" fillId="0" borderId="0" xfId="0" applyFont="1" applyAlignment="1">
      <alignment readingOrder="1"/>
    </xf>
    <xf numFmtId="0" fontId="2" fillId="0" borderId="0" xfId="0" applyFont="1" applyAlignment="1">
      <alignment readingOrder="1"/>
    </xf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1" fontId="2" fillId="0" borderId="0" xfId="0" applyNumberFormat="1" applyFont="1" applyAlignment="1">
      <alignment horizontal="left" vertical="center"/>
    </xf>
    <xf numFmtId="1" fontId="2" fillId="0" borderId="0" xfId="0" applyNumberFormat="1" applyFont="1" applyAlignment="1">
      <alignment horizontal="right"/>
    </xf>
    <xf numFmtId="0" fontId="3" fillId="0" borderId="0" xfId="0" applyFont="1" applyAlignment="1">
      <alignment horizontal="left"/>
    </xf>
    <xf numFmtId="0" fontId="0" fillId="0" borderId="0" xfId="0" applyAlignment="1">
      <alignment horizontal="left"/>
    </xf>
    <xf numFmtId="0" fontId="6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5" fontId="2" fillId="0" borderId="0" xfId="0" applyNumberFormat="1" applyFont="1"/>
    <xf numFmtId="4" fontId="2" fillId="0" borderId="0" xfId="0" applyNumberFormat="1" applyFont="1"/>
    <xf numFmtId="4" fontId="0" fillId="0" borderId="0" xfId="0" applyNumberFormat="1"/>
    <xf numFmtId="0" fontId="7" fillId="0" borderId="0" xfId="0" applyFont="1"/>
    <xf numFmtId="0" fontId="8" fillId="0" borderId="0" xfId="0" applyFont="1"/>
    <xf numFmtId="0" fontId="5" fillId="0" borderId="0" xfId="0" applyFont="1"/>
    <xf numFmtId="0" fontId="9" fillId="0" borderId="0" xfId="0" applyFont="1"/>
    <xf numFmtId="0" fontId="10" fillId="0" borderId="0" xfId="0" applyFont="1"/>
    <xf numFmtId="0" fontId="3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2" fontId="2" fillId="0" borderId="0" xfId="0" applyNumberFormat="1" applyFont="1" applyAlignment="1">
      <alignment vertical="center"/>
    </xf>
    <xf numFmtId="2" fontId="2" fillId="0" borderId="0" xfId="0" applyNumberFormat="1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0" xfId="0" applyFont="1" applyAlignment="1">
      <alignment horizontal="left" vertical="center"/>
    </xf>
    <xf numFmtId="2" fontId="13" fillId="0" borderId="0" xfId="0" applyNumberFormat="1" applyFont="1" applyAlignment="1">
      <alignment horizontal="left" vertical="center"/>
    </xf>
    <xf numFmtId="2" fontId="14" fillId="0" borderId="0" xfId="0" applyNumberFormat="1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/>
    </xf>
    <xf numFmtId="165" fontId="2" fillId="2" borderId="0" xfId="0" applyNumberFormat="1" applyFont="1" applyFill="1"/>
    <xf numFmtId="0" fontId="15" fillId="0" borderId="0" xfId="0" applyFont="1" applyAlignment="1">
      <alignment horizontal="left" vertical="center"/>
    </xf>
    <xf numFmtId="0" fontId="15" fillId="0" borderId="0" xfId="0" applyFont="1"/>
    <xf numFmtId="0" fontId="15" fillId="3" borderId="0" xfId="0" applyFont="1" applyFill="1" applyAlignment="1">
      <alignment horizontal="left" vertical="center"/>
    </xf>
    <xf numFmtId="0" fontId="15" fillId="3" borderId="0" xfId="0" applyFont="1" applyFill="1"/>
    <xf numFmtId="0" fontId="15" fillId="4" borderId="0" xfId="0" applyFont="1" applyFill="1" applyAlignment="1">
      <alignment horizontal="left" vertical="center"/>
    </xf>
    <xf numFmtId="0" fontId="15" fillId="4" borderId="0" xfId="0" applyFont="1" applyFill="1"/>
    <xf numFmtId="0" fontId="1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EE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66"/>
      <rgbColor rgb="FF99CC00"/>
      <rgbColor rgb="FFFFCC00"/>
      <rgbColor rgb="FFFF9900"/>
      <rgbColor rgb="FFFF4000"/>
      <rgbColor rgb="FF666699"/>
      <rgbColor rgb="FF969696"/>
      <rgbColor rgb="FF003366"/>
      <rgbColor rgb="FF00AE00"/>
      <rgbColor rgb="FF003300"/>
      <rgbColor rgb="FF333300"/>
      <rgbColor rgb="FFC9211E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ies.go.jp/chiiki1/protoz/identi-r.htm" TargetMode="External"/><Relationship Id="rId2" Type="http://schemas.openxmlformats.org/officeDocument/2006/relationships/hyperlink" Target="https://www.nies.go.jp/chiiki1/protoz/index.html" TargetMode="External"/><Relationship Id="rId1" Type="http://schemas.openxmlformats.org/officeDocument/2006/relationships/hyperlink" Target="https://www.gbif.org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="60" zoomScaleNormal="60" workbookViewId="0"/>
  </sheetViews>
  <sheetFormatPr defaultColWidth="11.5703125" defaultRowHeight="15" customHeight="1" x14ac:dyDescent="0.25"/>
  <cols>
    <col min="1" max="8" width="19.140625" customWidth="1"/>
    <col min="9" max="26" width="8.7109375" customWidth="1"/>
    <col min="27" max="1024" width="14.42578125" customWidth="1"/>
  </cols>
  <sheetData>
    <row r="1" spans="1:26" ht="15.75" customHeight="1" x14ac:dyDescent="0.25">
      <c r="A1" s="1" t="str">
        <f>"n = "&amp;(COUNTA(A6:A1024))</f>
        <v>n = 68</v>
      </c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1" t="str">
        <f>"Alíquotas = "&amp;SUM(G6:G1024)</f>
        <v>Alíquotas = 54</v>
      </c>
      <c r="H1" s="1" t="str">
        <f>"Amostras = "&amp;SUM(H6:H1024)</f>
        <v>Amostras = 9</v>
      </c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25">
      <c r="A2" s="1" t="s">
        <v>5</v>
      </c>
      <c r="B2" s="2"/>
      <c r="C2" s="2"/>
      <c r="D2" s="2"/>
      <c r="E2" s="2"/>
      <c r="F2" s="2"/>
      <c r="G2" s="1"/>
      <c r="H2" s="1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5.75" customHeight="1" x14ac:dyDescent="0.25">
      <c r="A3" s="1" t="s">
        <v>6</v>
      </c>
      <c r="B3" s="2"/>
      <c r="C3" s="2"/>
      <c r="D3" s="2"/>
      <c r="E3" s="2"/>
      <c r="F3" s="2"/>
      <c r="G3" s="1"/>
      <c r="H3" s="1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5.75" customHeight="1" x14ac:dyDescent="0.25">
      <c r="A4" s="1" t="s">
        <v>7</v>
      </c>
      <c r="B4" s="2"/>
      <c r="C4" s="2"/>
      <c r="D4" s="2"/>
      <c r="E4" s="2"/>
      <c r="F4" s="2"/>
      <c r="G4" s="1"/>
      <c r="H4" s="1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5.75" customHeight="1" x14ac:dyDescent="0.25">
      <c r="A5" s="1" t="s">
        <v>8</v>
      </c>
      <c r="B5" s="2"/>
      <c r="C5" s="2"/>
      <c r="D5" s="2"/>
      <c r="E5" s="2"/>
      <c r="F5" s="2"/>
      <c r="G5" s="1"/>
      <c r="H5" s="1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5.75" customHeight="1" x14ac:dyDescent="0.25">
      <c r="A6" s="1" t="s">
        <v>9</v>
      </c>
      <c r="B6" s="4" t="s">
        <v>10</v>
      </c>
      <c r="C6" s="3">
        <v>2</v>
      </c>
      <c r="D6" s="5">
        <v>45210</v>
      </c>
      <c r="E6" s="4" t="s">
        <v>11</v>
      </c>
      <c r="F6" s="3">
        <v>1</v>
      </c>
      <c r="G6" s="3">
        <v>3</v>
      </c>
      <c r="H6" s="3">
        <v>0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5.75" customHeight="1" x14ac:dyDescent="0.25">
      <c r="A7" s="1" t="s">
        <v>9</v>
      </c>
      <c r="B7" s="4" t="s">
        <v>12</v>
      </c>
      <c r="C7" s="3">
        <v>2</v>
      </c>
      <c r="D7" s="5">
        <v>45210</v>
      </c>
      <c r="E7" s="4" t="s">
        <v>11</v>
      </c>
      <c r="F7" s="3">
        <v>2</v>
      </c>
      <c r="G7" s="3">
        <v>3</v>
      </c>
      <c r="H7" s="3">
        <v>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5.75" customHeight="1" x14ac:dyDescent="0.25">
      <c r="A8" s="1" t="s">
        <v>9</v>
      </c>
      <c r="B8" s="4" t="s">
        <v>13</v>
      </c>
      <c r="C8" s="3">
        <v>2</v>
      </c>
      <c r="D8" s="5">
        <v>45210</v>
      </c>
      <c r="E8" s="4" t="s">
        <v>11</v>
      </c>
      <c r="F8" s="3">
        <v>3</v>
      </c>
      <c r="G8" s="3">
        <v>3</v>
      </c>
      <c r="H8" s="3">
        <v>0</v>
      </c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5.75" customHeight="1" x14ac:dyDescent="0.25">
      <c r="A9" s="1" t="s">
        <v>14</v>
      </c>
      <c r="B9" s="4" t="s">
        <v>15</v>
      </c>
      <c r="C9" s="3">
        <v>2</v>
      </c>
      <c r="D9" s="5">
        <v>45210</v>
      </c>
      <c r="E9" s="4" t="s">
        <v>11</v>
      </c>
      <c r="F9" s="3">
        <v>1</v>
      </c>
      <c r="G9" s="3">
        <v>3</v>
      </c>
      <c r="H9" s="3">
        <v>0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5.75" customHeight="1" x14ac:dyDescent="0.25">
      <c r="A10" s="1" t="s">
        <v>14</v>
      </c>
      <c r="B10" s="4" t="s">
        <v>16</v>
      </c>
      <c r="C10" s="3">
        <v>2</v>
      </c>
      <c r="D10" s="5">
        <v>45210</v>
      </c>
      <c r="E10" s="4" t="s">
        <v>11</v>
      </c>
      <c r="F10" s="3">
        <v>2</v>
      </c>
      <c r="G10" s="3">
        <v>3</v>
      </c>
      <c r="H10" s="3">
        <v>0</v>
      </c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5.75" customHeight="1" x14ac:dyDescent="0.25">
      <c r="A11" s="1" t="s">
        <v>14</v>
      </c>
      <c r="B11" s="4" t="s">
        <v>17</v>
      </c>
      <c r="C11" s="3">
        <v>2</v>
      </c>
      <c r="D11" s="5">
        <v>45210</v>
      </c>
      <c r="E11" s="4" t="s">
        <v>11</v>
      </c>
      <c r="F11" s="3">
        <v>3</v>
      </c>
      <c r="G11" s="3">
        <v>3</v>
      </c>
      <c r="H11" s="3">
        <v>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5.75" customHeight="1" x14ac:dyDescent="0.25">
      <c r="A12" s="1" t="s">
        <v>18</v>
      </c>
      <c r="B12" s="4" t="s">
        <v>19</v>
      </c>
      <c r="C12" s="3">
        <v>2</v>
      </c>
      <c r="D12" s="5">
        <v>45210</v>
      </c>
      <c r="E12" s="4" t="s">
        <v>11</v>
      </c>
      <c r="F12" s="3">
        <v>1</v>
      </c>
      <c r="G12" s="3">
        <v>3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5.75" customHeight="1" x14ac:dyDescent="0.25">
      <c r="A13" s="1" t="s">
        <v>18</v>
      </c>
      <c r="B13" s="4" t="s">
        <v>20</v>
      </c>
      <c r="C13" s="3">
        <v>2</v>
      </c>
      <c r="D13" s="5">
        <v>45210</v>
      </c>
      <c r="E13" s="4" t="s">
        <v>11</v>
      </c>
      <c r="F13" s="3">
        <v>2</v>
      </c>
      <c r="G13" s="3">
        <v>3</v>
      </c>
      <c r="H13" s="3">
        <v>0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5.75" customHeight="1" x14ac:dyDescent="0.25">
      <c r="A14" s="1" t="s">
        <v>18</v>
      </c>
      <c r="B14" s="4" t="s">
        <v>21</v>
      </c>
      <c r="C14" s="3">
        <v>2</v>
      </c>
      <c r="D14" s="5">
        <v>45210</v>
      </c>
      <c r="E14" s="4" t="s">
        <v>11</v>
      </c>
      <c r="F14" s="3">
        <v>3</v>
      </c>
      <c r="G14" s="3">
        <v>3</v>
      </c>
      <c r="H14" s="3">
        <v>0</v>
      </c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5.75" customHeight="1" x14ac:dyDescent="0.25">
      <c r="A15" s="1" t="s">
        <v>22</v>
      </c>
      <c r="B15" s="3" t="s">
        <v>23</v>
      </c>
      <c r="C15" s="3">
        <v>1</v>
      </c>
      <c r="D15" s="6">
        <v>45168</v>
      </c>
      <c r="E15" s="6" t="s">
        <v>11</v>
      </c>
      <c r="F15" s="3">
        <v>1</v>
      </c>
      <c r="G15" s="3">
        <v>3</v>
      </c>
      <c r="H15" s="3">
        <v>0</v>
      </c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5.75" customHeight="1" x14ac:dyDescent="0.25">
      <c r="A16" s="1" t="s">
        <v>22</v>
      </c>
      <c r="B16" s="3" t="s">
        <v>24</v>
      </c>
      <c r="C16" s="3">
        <v>1</v>
      </c>
      <c r="D16" s="6">
        <v>45168</v>
      </c>
      <c r="E16" s="6" t="s">
        <v>11</v>
      </c>
      <c r="F16" s="3">
        <v>2</v>
      </c>
      <c r="G16" s="3">
        <v>3</v>
      </c>
      <c r="H16" s="3">
        <v>0</v>
      </c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5.75" customHeight="1" x14ac:dyDescent="0.25">
      <c r="A17" s="1" t="s">
        <v>22</v>
      </c>
      <c r="B17" s="3" t="s">
        <v>25</v>
      </c>
      <c r="C17" s="3">
        <v>1</v>
      </c>
      <c r="D17" s="6">
        <v>45168</v>
      </c>
      <c r="E17" s="6" t="s">
        <v>11</v>
      </c>
      <c r="F17" s="3">
        <v>3</v>
      </c>
      <c r="G17" s="3">
        <v>3</v>
      </c>
      <c r="H17" s="3">
        <v>0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5.75" customHeight="1" x14ac:dyDescent="0.25">
      <c r="A18" s="1" t="s">
        <v>26</v>
      </c>
      <c r="B18" s="4" t="s">
        <v>27</v>
      </c>
      <c r="C18" s="3">
        <v>1</v>
      </c>
      <c r="D18" s="6">
        <v>45168</v>
      </c>
      <c r="E18" s="6" t="s">
        <v>11</v>
      </c>
      <c r="F18" s="3">
        <v>1</v>
      </c>
      <c r="G18" s="3">
        <v>3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5.75" customHeight="1" x14ac:dyDescent="0.25">
      <c r="A19" s="1" t="s">
        <v>26</v>
      </c>
      <c r="B19" s="4" t="s">
        <v>28</v>
      </c>
      <c r="C19" s="3">
        <v>1</v>
      </c>
      <c r="D19" s="6">
        <v>45168</v>
      </c>
      <c r="E19" s="6" t="s">
        <v>11</v>
      </c>
      <c r="F19" s="3">
        <v>2</v>
      </c>
      <c r="G19" s="3">
        <v>3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5.75" customHeight="1" x14ac:dyDescent="0.25">
      <c r="A20" s="1" t="s">
        <v>26</v>
      </c>
      <c r="B20" s="4" t="s">
        <v>29</v>
      </c>
      <c r="C20" s="3">
        <v>1</v>
      </c>
      <c r="D20" s="6">
        <v>45168</v>
      </c>
      <c r="E20" s="6" t="s">
        <v>11</v>
      </c>
      <c r="F20" s="3">
        <v>3</v>
      </c>
      <c r="G20" s="3">
        <v>3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5.75" customHeight="1" x14ac:dyDescent="0.25">
      <c r="A21" s="1" t="s">
        <v>30</v>
      </c>
      <c r="B21" s="4" t="s">
        <v>31</v>
      </c>
      <c r="C21" s="3">
        <v>1</v>
      </c>
      <c r="D21" s="5">
        <v>45168</v>
      </c>
      <c r="E21" s="4" t="s">
        <v>11</v>
      </c>
      <c r="F21" s="3">
        <v>1</v>
      </c>
      <c r="G21" s="3">
        <v>3</v>
      </c>
      <c r="H21" s="3">
        <v>3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5.75" customHeight="1" x14ac:dyDescent="0.25">
      <c r="A22" s="1" t="s">
        <v>30</v>
      </c>
      <c r="B22" s="4" t="s">
        <v>32</v>
      </c>
      <c r="C22" s="3">
        <v>1</v>
      </c>
      <c r="D22" s="5">
        <v>45168</v>
      </c>
      <c r="E22" s="4" t="s">
        <v>11</v>
      </c>
      <c r="F22" s="3">
        <v>2</v>
      </c>
      <c r="G22" s="3">
        <v>3</v>
      </c>
      <c r="H22" s="3">
        <v>3</v>
      </c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5.75" customHeight="1" x14ac:dyDescent="0.25">
      <c r="A23" s="1" t="s">
        <v>30</v>
      </c>
      <c r="B23" s="4" t="s">
        <v>33</v>
      </c>
      <c r="C23" s="3">
        <v>1</v>
      </c>
      <c r="D23" s="6">
        <v>45168</v>
      </c>
      <c r="E23" s="6" t="s">
        <v>11</v>
      </c>
      <c r="F23" s="3">
        <v>3</v>
      </c>
      <c r="G23" s="3">
        <v>3</v>
      </c>
      <c r="H23" s="3">
        <v>3</v>
      </c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5.75" customHeight="1" x14ac:dyDescent="0.25">
      <c r="A24" s="1" t="s">
        <v>34</v>
      </c>
      <c r="B24" s="4" t="s">
        <v>35</v>
      </c>
      <c r="C24" s="3">
        <v>5</v>
      </c>
      <c r="D24" s="6">
        <v>45322</v>
      </c>
      <c r="E24" s="6" t="s">
        <v>36</v>
      </c>
      <c r="F24" s="3">
        <v>1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5.75" customHeight="1" x14ac:dyDescent="0.25">
      <c r="A25" s="1" t="s">
        <v>34</v>
      </c>
      <c r="B25" s="4" t="s">
        <v>37</v>
      </c>
      <c r="C25" s="3">
        <v>5</v>
      </c>
      <c r="D25" s="6">
        <v>45322</v>
      </c>
      <c r="E25" s="6" t="s">
        <v>36</v>
      </c>
      <c r="F25" s="3">
        <v>2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5.75" customHeight="1" x14ac:dyDescent="0.25">
      <c r="A26" s="1" t="s">
        <v>34</v>
      </c>
      <c r="B26" s="4" t="s">
        <v>38</v>
      </c>
      <c r="C26" s="3">
        <v>5</v>
      </c>
      <c r="D26" s="6">
        <v>45322</v>
      </c>
      <c r="E26" s="6" t="s">
        <v>36</v>
      </c>
      <c r="F26" s="3">
        <v>3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5.75" customHeight="1" x14ac:dyDescent="0.25">
      <c r="A27" s="1" t="s">
        <v>39</v>
      </c>
      <c r="B27" s="4" t="s">
        <v>40</v>
      </c>
      <c r="C27" s="3">
        <v>5</v>
      </c>
      <c r="D27" s="6">
        <v>45322</v>
      </c>
      <c r="E27" s="6" t="s">
        <v>36</v>
      </c>
      <c r="F27" s="3">
        <v>1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5.75" customHeight="1" x14ac:dyDescent="0.25">
      <c r="A28" s="1" t="s">
        <v>39</v>
      </c>
      <c r="B28" s="4" t="s">
        <v>41</v>
      </c>
      <c r="C28" s="3">
        <v>5</v>
      </c>
      <c r="D28" s="6">
        <v>45322</v>
      </c>
      <c r="E28" s="6" t="s">
        <v>36</v>
      </c>
      <c r="F28" s="3">
        <v>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5.75" customHeight="1" x14ac:dyDescent="0.25">
      <c r="A29" s="1" t="s">
        <v>39</v>
      </c>
      <c r="B29" s="4" t="s">
        <v>42</v>
      </c>
      <c r="C29" s="3">
        <v>5</v>
      </c>
      <c r="D29" s="6">
        <v>45322</v>
      </c>
      <c r="E29" s="6" t="s">
        <v>36</v>
      </c>
      <c r="F29" s="3">
        <v>3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5.75" customHeight="1" x14ac:dyDescent="0.25">
      <c r="A30" s="1" t="s">
        <v>43</v>
      </c>
      <c r="B30" s="4" t="s">
        <v>44</v>
      </c>
      <c r="C30" s="3">
        <v>5</v>
      </c>
      <c r="D30" s="6">
        <v>45322</v>
      </c>
      <c r="E30" s="6" t="s">
        <v>36</v>
      </c>
      <c r="F30" s="3">
        <v>1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5.75" customHeight="1" x14ac:dyDescent="0.25">
      <c r="A31" s="1" t="s">
        <v>43</v>
      </c>
      <c r="B31" s="4" t="s">
        <v>45</v>
      </c>
      <c r="C31" s="3">
        <v>5</v>
      </c>
      <c r="D31" s="6">
        <v>45322</v>
      </c>
      <c r="E31" s="6" t="s">
        <v>36</v>
      </c>
      <c r="F31" s="3">
        <v>2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5.75" customHeight="1" x14ac:dyDescent="0.25">
      <c r="A32" s="1" t="s">
        <v>43</v>
      </c>
      <c r="B32" s="4" t="s">
        <v>46</v>
      </c>
      <c r="C32" s="3">
        <v>5</v>
      </c>
      <c r="D32" s="6">
        <v>45322</v>
      </c>
      <c r="E32" s="6" t="s">
        <v>36</v>
      </c>
      <c r="F32" s="3">
        <v>3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5.75" customHeight="1" x14ac:dyDescent="0.25">
      <c r="A33" s="1" t="s">
        <v>47</v>
      </c>
      <c r="B33" s="4" t="s">
        <v>48</v>
      </c>
      <c r="C33" s="3">
        <v>5</v>
      </c>
      <c r="D33" s="6">
        <v>45322</v>
      </c>
      <c r="E33" s="6" t="s">
        <v>36</v>
      </c>
      <c r="F33" s="3">
        <v>1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5.75" customHeight="1" x14ac:dyDescent="0.25">
      <c r="A34" s="1" t="s">
        <v>47</v>
      </c>
      <c r="B34" s="4" t="s">
        <v>49</v>
      </c>
      <c r="C34" s="3">
        <v>5</v>
      </c>
      <c r="D34" s="6">
        <v>45322</v>
      </c>
      <c r="E34" s="6" t="s">
        <v>36</v>
      </c>
      <c r="F34" s="3">
        <v>2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5.75" customHeight="1" x14ac:dyDescent="0.25">
      <c r="A35" s="1" t="s">
        <v>47</v>
      </c>
      <c r="B35" s="4" t="s">
        <v>50</v>
      </c>
      <c r="C35" s="3">
        <v>5</v>
      </c>
      <c r="D35" s="6">
        <v>45322</v>
      </c>
      <c r="E35" s="6" t="s">
        <v>36</v>
      </c>
      <c r="F35" s="3">
        <v>3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25">
      <c r="A36" s="1" t="s">
        <v>51</v>
      </c>
      <c r="B36" s="4" t="s">
        <v>52</v>
      </c>
      <c r="C36" s="3">
        <v>5</v>
      </c>
      <c r="D36" s="6">
        <v>45322</v>
      </c>
      <c r="E36" s="6" t="s">
        <v>36</v>
      </c>
      <c r="F36" s="3">
        <v>1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5.75" customHeight="1" x14ac:dyDescent="0.25">
      <c r="A37" s="1" t="s">
        <v>51</v>
      </c>
      <c r="B37" s="4" t="s">
        <v>53</v>
      </c>
      <c r="C37" s="3">
        <v>5</v>
      </c>
      <c r="D37" s="6">
        <v>45322</v>
      </c>
      <c r="E37" s="6" t="s">
        <v>36</v>
      </c>
      <c r="F37" s="3">
        <v>2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5.75" customHeight="1" x14ac:dyDescent="0.25">
      <c r="A38" s="1" t="s">
        <v>51</v>
      </c>
      <c r="B38" s="4" t="s">
        <v>54</v>
      </c>
      <c r="C38" s="3">
        <v>5</v>
      </c>
      <c r="D38" s="6">
        <v>45322</v>
      </c>
      <c r="E38" s="6" t="s">
        <v>36</v>
      </c>
      <c r="F38" s="3">
        <v>3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5.75" customHeight="1" x14ac:dyDescent="0.25">
      <c r="A39" s="1" t="s">
        <v>55</v>
      </c>
      <c r="B39" s="4" t="s">
        <v>56</v>
      </c>
      <c r="C39" s="3">
        <v>5</v>
      </c>
      <c r="D39" s="6">
        <v>45322</v>
      </c>
      <c r="E39" s="6" t="s">
        <v>36</v>
      </c>
      <c r="F39" s="3">
        <v>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5.75" customHeight="1" x14ac:dyDescent="0.25">
      <c r="A40" s="1" t="s">
        <v>55</v>
      </c>
      <c r="B40" s="4" t="s">
        <v>57</v>
      </c>
      <c r="C40" s="3">
        <v>5</v>
      </c>
      <c r="D40" s="6">
        <v>45322</v>
      </c>
      <c r="E40" s="6" t="s">
        <v>36</v>
      </c>
      <c r="F40" s="3">
        <v>2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5.75" customHeight="1" x14ac:dyDescent="0.25">
      <c r="A41" s="1" t="s">
        <v>55</v>
      </c>
      <c r="B41" s="4" t="s">
        <v>58</v>
      </c>
      <c r="C41" s="3">
        <v>5</v>
      </c>
      <c r="D41" s="6">
        <v>45322</v>
      </c>
      <c r="E41" s="6" t="s">
        <v>36</v>
      </c>
      <c r="F41" s="3">
        <v>3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5.75" customHeight="1" x14ac:dyDescent="0.25">
      <c r="A42" s="1" t="s">
        <v>59</v>
      </c>
      <c r="B42" s="4" t="s">
        <v>60</v>
      </c>
      <c r="C42" s="3">
        <v>6</v>
      </c>
      <c r="D42" s="5">
        <v>45343</v>
      </c>
      <c r="E42" s="3" t="s">
        <v>36</v>
      </c>
      <c r="F42" s="3">
        <v>1</v>
      </c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5.75" customHeight="1" x14ac:dyDescent="0.25">
      <c r="A43" s="1" t="s">
        <v>59</v>
      </c>
      <c r="B43" s="4" t="s">
        <v>61</v>
      </c>
      <c r="C43" s="3">
        <v>6</v>
      </c>
      <c r="D43" s="5">
        <v>45343</v>
      </c>
      <c r="E43" s="3" t="s">
        <v>36</v>
      </c>
      <c r="F43" s="3">
        <v>2</v>
      </c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5.75" customHeight="1" x14ac:dyDescent="0.25">
      <c r="A44" s="1" t="s">
        <v>59</v>
      </c>
      <c r="B44" s="4" t="s">
        <v>62</v>
      </c>
      <c r="C44" s="3">
        <v>6</v>
      </c>
      <c r="D44" s="5">
        <v>45343</v>
      </c>
      <c r="E44" s="3" t="s">
        <v>36</v>
      </c>
      <c r="F44" s="3">
        <v>3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5.75" customHeight="1" x14ac:dyDescent="0.25">
      <c r="A45" s="1" t="s">
        <v>63</v>
      </c>
      <c r="B45" s="4" t="s">
        <v>64</v>
      </c>
      <c r="C45" s="3">
        <v>6</v>
      </c>
      <c r="D45" s="5">
        <v>45343</v>
      </c>
      <c r="E45" s="3" t="s">
        <v>36</v>
      </c>
      <c r="F45" s="3">
        <v>1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5.75" customHeight="1" x14ac:dyDescent="0.25">
      <c r="A46" s="1" t="s">
        <v>63</v>
      </c>
      <c r="B46" s="4" t="s">
        <v>65</v>
      </c>
      <c r="C46" s="3">
        <v>6</v>
      </c>
      <c r="D46" s="5">
        <v>45343</v>
      </c>
      <c r="E46" s="3" t="s">
        <v>36</v>
      </c>
      <c r="F46" s="3">
        <v>2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5.75" customHeight="1" x14ac:dyDescent="0.25">
      <c r="A47" s="1" t="s">
        <v>63</v>
      </c>
      <c r="B47" s="4" t="s">
        <v>66</v>
      </c>
      <c r="C47" s="3">
        <v>6</v>
      </c>
      <c r="D47" s="5">
        <v>45343</v>
      </c>
      <c r="E47" s="3" t="s">
        <v>36</v>
      </c>
      <c r="F47" s="3">
        <v>3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5.75" customHeight="1" x14ac:dyDescent="0.25">
      <c r="A48" s="1" t="s">
        <v>67</v>
      </c>
      <c r="B48" s="4" t="s">
        <v>68</v>
      </c>
      <c r="C48" s="3">
        <v>6</v>
      </c>
      <c r="D48" s="5">
        <v>45343</v>
      </c>
      <c r="E48" s="3" t="s">
        <v>36</v>
      </c>
      <c r="F48" s="3">
        <v>1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5.75" customHeight="1" x14ac:dyDescent="0.25">
      <c r="A49" s="1" t="s">
        <v>67</v>
      </c>
      <c r="B49" s="4" t="s">
        <v>69</v>
      </c>
      <c r="C49" s="3">
        <v>6</v>
      </c>
      <c r="D49" s="5">
        <v>45343</v>
      </c>
      <c r="E49" s="3" t="s">
        <v>36</v>
      </c>
      <c r="F49" s="3">
        <v>2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5.75" customHeight="1" x14ac:dyDescent="0.25">
      <c r="A50" s="1" t="s">
        <v>67</v>
      </c>
      <c r="B50" s="4" t="s">
        <v>70</v>
      </c>
      <c r="C50" s="3">
        <v>6</v>
      </c>
      <c r="D50" s="5">
        <v>45343</v>
      </c>
      <c r="E50" s="3" t="s">
        <v>36</v>
      </c>
      <c r="F50" s="3">
        <v>3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5.75" customHeight="1" x14ac:dyDescent="0.25">
      <c r="A51" s="1" t="s">
        <v>71</v>
      </c>
      <c r="B51" s="4" t="s">
        <v>72</v>
      </c>
      <c r="C51" s="3">
        <v>6</v>
      </c>
      <c r="D51" s="5">
        <v>45343</v>
      </c>
      <c r="E51" s="3" t="s">
        <v>36</v>
      </c>
      <c r="F51" s="3">
        <v>1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5.75" customHeight="1" x14ac:dyDescent="0.25">
      <c r="A52" s="1" t="s">
        <v>71</v>
      </c>
      <c r="B52" s="4" t="s">
        <v>73</v>
      </c>
      <c r="C52" s="3">
        <v>6</v>
      </c>
      <c r="D52" s="5">
        <v>45343</v>
      </c>
      <c r="E52" s="3" t="s">
        <v>36</v>
      </c>
      <c r="F52" s="3">
        <v>2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5.75" customHeight="1" x14ac:dyDescent="0.25">
      <c r="A53" s="1" t="s">
        <v>71</v>
      </c>
      <c r="B53" s="4" t="s">
        <v>74</v>
      </c>
      <c r="C53" s="3">
        <v>6</v>
      </c>
      <c r="D53" s="5">
        <v>45343</v>
      </c>
      <c r="E53" s="3" t="s">
        <v>36</v>
      </c>
      <c r="F53" s="3">
        <v>3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5.75" customHeight="1" x14ac:dyDescent="0.25">
      <c r="A54" s="1" t="s">
        <v>75</v>
      </c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5.75" customHeight="1" x14ac:dyDescent="0.25">
      <c r="A55" s="1" t="s">
        <v>76</v>
      </c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25">
      <c r="A56" s="1" t="s">
        <v>77</v>
      </c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5.75" customHeight="1" x14ac:dyDescent="0.25">
      <c r="A57" s="1" t="s">
        <v>78</v>
      </c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5.75" customHeight="1" x14ac:dyDescent="0.25">
      <c r="A58" s="1" t="s">
        <v>79</v>
      </c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5.75" customHeight="1" x14ac:dyDescent="0.25">
      <c r="A59" s="1" t="s">
        <v>80</v>
      </c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5.75" customHeight="1" x14ac:dyDescent="0.25">
      <c r="A60" s="1" t="s">
        <v>81</v>
      </c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5.75" customHeight="1" x14ac:dyDescent="0.25">
      <c r="A61" s="1" t="s">
        <v>82</v>
      </c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5.75" customHeight="1" x14ac:dyDescent="0.25">
      <c r="A62" s="1" t="s">
        <v>83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5.75" customHeight="1" x14ac:dyDescent="0.25">
      <c r="A63" s="1" t="s">
        <v>84</v>
      </c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5.75" customHeight="1" x14ac:dyDescent="0.25">
      <c r="A64" s="1" t="s">
        <v>85</v>
      </c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5.75" customHeight="1" x14ac:dyDescent="0.25">
      <c r="A65" s="1" t="s">
        <v>86</v>
      </c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5.75" customHeight="1" x14ac:dyDescent="0.25">
      <c r="A66" s="1" t="s">
        <v>87</v>
      </c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5.75" customHeight="1" x14ac:dyDescent="0.25">
      <c r="A67" s="1" t="s">
        <v>88</v>
      </c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5.75" customHeight="1" x14ac:dyDescent="0.25">
      <c r="A68" s="1" t="s">
        <v>89</v>
      </c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5.75" customHeight="1" x14ac:dyDescent="0.25">
      <c r="A69" s="1" t="s">
        <v>90</v>
      </c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5.75" customHeight="1" x14ac:dyDescent="0.25">
      <c r="A70" s="1" t="s">
        <v>91</v>
      </c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5.75" customHeight="1" x14ac:dyDescent="0.25">
      <c r="A71" s="1" t="s">
        <v>92</v>
      </c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5.75" customHeight="1" x14ac:dyDescent="0.25">
      <c r="A72" s="1" t="s">
        <v>93</v>
      </c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5.75" customHeight="1" x14ac:dyDescent="0.25">
      <c r="A73" s="1" t="s">
        <v>94</v>
      </c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5.7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5.7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5.7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5.7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5.7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5.7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5.7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5.7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5.7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5.7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5.7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5.7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5.7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5.7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5.7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5.7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5.7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5.7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5.7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5.7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5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5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5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5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5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5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5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5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5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5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5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5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5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5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5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5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5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5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5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5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5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5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5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5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5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5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5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5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5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5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5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5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5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5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5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5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5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5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5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5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5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5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5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5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5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5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5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5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5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5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5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5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5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5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5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5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5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5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5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5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5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5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5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5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5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5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5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5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5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5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5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5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5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5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5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5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5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5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5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5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5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5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5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5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5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5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5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5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5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5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5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5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5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5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5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5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5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5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5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5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5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5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5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5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5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5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5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5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5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5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5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5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5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5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5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5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5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5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5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5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5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5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5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5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5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5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5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5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5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5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5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5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5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5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5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5.7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5.7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5.7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5.7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5.7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5.7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5.7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5.7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5.7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5.7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5.7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5.7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5.7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5.7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5.7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5.7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5.7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5.7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5.7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5.7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5.7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5.7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5.7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5.7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5.7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5.7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5.7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5.7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5.7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5.7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5.7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5.7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5.7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5.7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5.7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5.7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5.7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5.7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5.7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5.7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5.7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5.7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5.7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5.7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5.7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5.7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5.7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5.7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5.7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5.7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5.7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5.7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5.7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5.7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5.7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5.7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5.7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5.7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5.7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5.7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5.7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5.7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5.7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5.7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5.7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5.7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5.7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5.7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5.7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5.7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5.7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5.7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5.7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5.7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5.7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5.7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5.7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5.7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5.7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5.7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5.7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5.7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5.7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5.7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5.7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5.7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5.7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5.7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5.7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5.7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5.7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5.7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5.7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5.7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5.7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5.7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5.7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5.7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5.7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5.7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5.7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5.7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5.7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5.7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5.7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5.7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5.7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5.7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5.7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5.7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5.7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5.7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5.7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5.7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5.7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5.7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5.7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5.7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5.7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5.7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5.7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5.7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5.7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5.7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5.7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5.7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5.7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5.7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5.7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5.7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5.7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5.7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5.7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5.7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5.7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5.7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5.7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5.7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5.7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5.7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5.7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5.7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5.7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5.7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5.7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5.7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5.7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5.7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5.7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5.7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5.7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5.7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5.7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5.7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5.7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5.7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5.7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5.7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5.7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5.7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5.7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5.7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5.7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5.7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5.7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5.7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5.7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5.7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5.7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5.7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5.7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5.7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5.7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5.7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5.7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5.7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5.7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5.7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5.7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5.7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5.7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5.7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5.7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5.7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5.7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5.7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5.7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5.7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5.7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5.7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5.7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5.7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5.7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5.7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5.7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5.7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5.7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5.7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5.7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5.7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5.7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5.7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5.7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5.7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5.7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5.7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5.7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5.7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5.7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5.7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5.7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5.7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5.7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5.7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5.7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5.7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5.7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5.7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5.7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5.7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5.7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5.7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5.7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5.7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5.7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5.7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5.7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5.7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5.7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5.7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5.7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5.7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5.7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5.7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5.7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5.7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5.7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5.7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5.7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5.7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5.7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5.7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5.7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5.7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5.7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5.7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5.7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5.7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5.7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5.7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5.7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5.7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5.7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5.7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5.7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5.7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5.7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5.7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5.7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5.7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5.7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5.7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5.7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5.7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5.7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5.7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5.7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5.7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5.7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5.7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5.7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5.7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5.7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5.7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5.7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5.7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5.7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5.7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5.7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5.7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5.7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5.7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5.7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5.7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5.7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5.7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5.7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5.7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5.7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5.7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5.7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5.7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5.7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5.7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5.7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5.7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5.7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5.7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5.7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5.7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5.7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5.7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5.7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5.7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5.7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5.7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5.7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5.7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5.7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5.7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5.7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5.7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5.7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5.7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5.7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5.7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5.7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5.7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5.7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5.7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5.7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5.7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5.7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5.7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5.7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5.7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5.7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5.7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5.7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5.7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5.7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5.7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5.7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5.7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5.7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5.7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5.7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5.7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5.7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5.7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5.7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5.7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5.7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5.7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5.7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5.7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5.7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5.7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5.7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5.7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5.7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5.7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5.7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5.7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5.7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5.7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5.7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5.7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5.7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5.7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5.7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5.7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5.7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5.7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5.7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5.7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5.7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5.7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5.7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5.7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5.7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5.7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5.7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5.7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5.7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5.7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5.7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5.7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5.7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5.7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5.7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5.7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5.7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5.7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5.7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5.7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5.7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5.7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5.7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5.7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5.7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5.7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5.7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5.7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5.7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5.7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5.7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5.7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5.7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5.7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5.7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5.7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5.7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5.7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5.7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5.7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5.7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5.7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5.7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5.7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5.7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5.7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5.7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5.7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5.7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5.7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5.7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5.7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5.7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5.7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5.7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5.7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5.7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5.7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5.7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5.7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5.7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5.7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5.7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5.7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5.7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5.7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5.7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5.7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5.7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5.7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5.7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5.7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5.7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5.7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5.7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5.7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5.7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5.7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5.7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5.7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5.7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5.7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5.7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5.7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5.7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5.7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5.7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5.7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5.7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5.7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5.7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5.7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5.7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5.7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5.7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5.7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5.7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5.7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5.7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5.7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5.7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5.7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5.7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5.7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5.7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5.7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5.7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5.7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5.7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5.7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5.7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5.7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5.7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5.7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5.7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5.7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5.7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5.7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5.7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5.7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5.7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5.7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5.7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5.7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5.7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5.7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5.7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5.7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5.7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5.7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5.7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5.7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5.7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5.7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5.7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5.7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5.7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5.7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5.7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5.7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5.7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5.7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5.7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5.7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5.7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5.7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5.7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5.7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5.7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5.7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5.7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5.7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5.7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5.7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5.7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5.7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5.7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5.7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5.7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5.7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5.7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5.7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5.7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5.7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5.7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5.7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5.7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5.7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5.7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5.7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5.7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5.7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5.7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5.7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5.7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5.7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5.7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5.7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5.7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5.7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5.7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5.7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5.7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5.7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5.7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5.7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5.7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5.7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5.7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5.7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5.7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5.7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5.7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5.7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5.7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5.7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5.7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5.7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5.7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5.7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5.7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5.7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5.7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5.7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5.7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5.7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5.7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5.7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5.7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5.7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5.7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5.7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5.7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5.7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5.7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5.7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5.7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5.7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5.7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5.7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5.7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5.7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5.7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5.7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5.7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5.7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5.7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5.7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5.7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5.7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5.7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5.7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5.7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5.7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5.7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5.7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5.7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5.7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5.7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5.7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5.7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5.7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5.7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5.7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5.7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5.7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5.7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5.7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5.7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5.7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5.7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5.7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5.7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5.7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5.7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5.7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5.7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5.7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5.7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5.7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5.7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5.7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5.7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5.7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5.7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5.7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5.7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5.7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5.7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5.7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5.7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5.7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5.7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5.7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5.7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5.7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5.7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5.7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5.7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5.7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5.7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5.7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5.7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5.7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5.7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5.7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5.7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5.7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5.7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5.7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5.7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5.7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5.7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5.7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5.7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5.7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5.7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5.7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5.7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5.7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5.7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5.7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5.7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5.7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5.7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5.7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5.7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5.7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5.7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5.7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5.7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5.7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5.7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5.7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5.7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5.7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5.7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5.7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5.7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5.7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5.7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5.7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5.7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5.7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5.7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5.7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5.7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5.7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5.7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5.7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5.7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5.7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5.7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5.7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5.7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5.7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5.7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5.7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5.7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5.7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5.7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5.7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5.7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5.7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5.7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5.7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5.7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5.7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5.7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5.7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5.7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5.7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5.7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5.7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5.7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5.7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5.7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5.7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5.7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5.7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5.7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5.7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5.7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5.7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5.7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5.7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5.7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5.7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5.7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5.7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5.7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5.7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5.7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5.7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5.7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5.7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5.7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5.7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5.7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5.7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5.7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5.7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5.7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5.7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5.7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5.7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5.7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5.7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5.7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5.7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5.7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5.7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5.7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5.7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5.7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5.7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5.7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5.7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5.75" customHeight="1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5.75" customHeight="1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5.75" customHeight="1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51180555555555596" right="0.51180555555555596" top="1.575" bottom="1.5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3CC66"/>
  </sheetPr>
  <dimension ref="A1:AMH1000"/>
  <sheetViews>
    <sheetView zoomScale="60" zoomScaleNormal="60" workbookViewId="0">
      <selection activeCell="A2" sqref="A2"/>
    </sheetView>
  </sheetViews>
  <sheetFormatPr defaultColWidth="11.5703125" defaultRowHeight="16.5" customHeight="1" x14ac:dyDescent="0.2"/>
  <cols>
    <col min="1" max="1" width="12.140625" style="7" customWidth="1"/>
    <col min="2" max="1022" width="23.85546875" style="7" customWidth="1"/>
    <col min="1023" max="16384" width="11.5703125" style="7"/>
  </cols>
  <sheetData>
    <row r="1" spans="1:1022" ht="16.5" customHeight="1" x14ac:dyDescent="0.2">
      <c r="A1" s="8" t="str">
        <f>"sum= "&amp;SUM(B3:BG50)</f>
        <v>sum= 4420</v>
      </c>
      <c r="B1" s="9" t="s">
        <v>95</v>
      </c>
      <c r="C1" s="9" t="s">
        <v>96</v>
      </c>
      <c r="D1" s="9" t="s">
        <v>97</v>
      </c>
      <c r="E1" s="9" t="s">
        <v>98</v>
      </c>
      <c r="F1" s="9" t="s">
        <v>99</v>
      </c>
      <c r="G1" s="9" t="s">
        <v>100</v>
      </c>
      <c r="H1" s="10" t="s">
        <v>101</v>
      </c>
      <c r="I1" s="9" t="s">
        <v>102</v>
      </c>
      <c r="J1" s="9" t="s">
        <v>103</v>
      </c>
      <c r="K1" s="9" t="s">
        <v>104</v>
      </c>
      <c r="L1" s="9" t="s">
        <v>105</v>
      </c>
      <c r="M1" s="9" t="s">
        <v>106</v>
      </c>
      <c r="N1" s="9" t="s">
        <v>107</v>
      </c>
      <c r="O1" s="9" t="s">
        <v>108</v>
      </c>
      <c r="P1" s="11" t="s">
        <v>109</v>
      </c>
      <c r="Q1" s="9" t="s">
        <v>110</v>
      </c>
      <c r="R1" s="9" t="s">
        <v>111</v>
      </c>
      <c r="S1" s="9" t="s">
        <v>112</v>
      </c>
      <c r="T1" s="9" t="s">
        <v>113</v>
      </c>
      <c r="U1" s="9" t="s">
        <v>114</v>
      </c>
      <c r="V1" s="9" t="s">
        <v>115</v>
      </c>
      <c r="W1" s="9" t="s">
        <v>116</v>
      </c>
      <c r="X1" s="12" t="s">
        <v>117</v>
      </c>
      <c r="Y1" s="9" t="s">
        <v>118</v>
      </c>
      <c r="Z1" s="9" t="s">
        <v>119</v>
      </c>
      <c r="AA1" s="9" t="s">
        <v>120</v>
      </c>
      <c r="AB1" s="9" t="s">
        <v>121</v>
      </c>
      <c r="AC1" s="12" t="s">
        <v>122</v>
      </c>
      <c r="AD1" s="9" t="s">
        <v>123</v>
      </c>
      <c r="AE1" s="9" t="s">
        <v>124</v>
      </c>
      <c r="AF1" s="12" t="s">
        <v>125</v>
      </c>
      <c r="AG1" s="9" t="s">
        <v>126</v>
      </c>
      <c r="AH1" s="12" t="s">
        <v>127</v>
      </c>
      <c r="AI1" s="12" t="s">
        <v>128</v>
      </c>
      <c r="AJ1" s="9" t="s">
        <v>129</v>
      </c>
      <c r="AK1" s="9" t="s">
        <v>130</v>
      </c>
      <c r="AL1" s="9" t="s">
        <v>131</v>
      </c>
      <c r="AM1" s="9" t="s">
        <v>132</v>
      </c>
      <c r="AN1" s="9" t="s">
        <v>133</v>
      </c>
      <c r="AO1" s="9" t="s">
        <v>134</v>
      </c>
      <c r="AP1" s="9" t="s">
        <v>135</v>
      </c>
      <c r="AQ1" s="9" t="s">
        <v>136</v>
      </c>
      <c r="AR1" s="9" t="s">
        <v>137</v>
      </c>
      <c r="AS1" s="9" t="s">
        <v>138</v>
      </c>
      <c r="AT1" s="9" t="s">
        <v>139</v>
      </c>
      <c r="AU1" s="12" t="s">
        <v>140</v>
      </c>
      <c r="AV1" s="9" t="s">
        <v>141</v>
      </c>
      <c r="AW1" s="9" t="s">
        <v>142</v>
      </c>
      <c r="AX1" s="9" t="s">
        <v>143</v>
      </c>
      <c r="AY1" s="9" t="s">
        <v>144</v>
      </c>
      <c r="AZ1" s="9" t="s">
        <v>145</v>
      </c>
      <c r="BA1" s="9" t="s">
        <v>146</v>
      </c>
      <c r="BB1" s="12" t="s">
        <v>147</v>
      </c>
      <c r="BC1" s="9" t="s">
        <v>148</v>
      </c>
      <c r="BD1" s="9" t="s">
        <v>149</v>
      </c>
      <c r="BE1" s="9" t="s">
        <v>150</v>
      </c>
      <c r="BF1" s="9" t="s">
        <v>151</v>
      </c>
      <c r="BG1" s="9" t="s">
        <v>152</v>
      </c>
      <c r="BH1" s="13"/>
      <c r="BI1" s="14"/>
      <c r="BJ1" s="14"/>
      <c r="BK1" s="14"/>
      <c r="BL1" s="14"/>
      <c r="BM1" s="14"/>
      <c r="BN1" s="14"/>
      <c r="BO1" s="14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  <c r="EK1" s="13"/>
      <c r="EL1" s="13"/>
      <c r="EM1" s="13"/>
      <c r="EN1" s="13"/>
      <c r="EO1" s="13"/>
      <c r="EP1" s="13"/>
      <c r="EQ1" s="13"/>
      <c r="ER1" s="13"/>
      <c r="ES1" s="13"/>
      <c r="ET1" s="13"/>
      <c r="EU1" s="13"/>
      <c r="EV1" s="13"/>
      <c r="EW1" s="13"/>
      <c r="EX1" s="13"/>
      <c r="EY1" s="13"/>
      <c r="EZ1" s="13"/>
      <c r="FA1" s="13"/>
      <c r="FB1" s="13"/>
      <c r="FC1" s="13"/>
      <c r="FD1" s="13"/>
      <c r="FE1" s="13"/>
      <c r="FF1" s="13"/>
      <c r="FG1" s="13"/>
      <c r="FH1" s="13"/>
      <c r="FI1" s="13"/>
      <c r="FJ1" s="13"/>
      <c r="FK1" s="13"/>
      <c r="FL1" s="13"/>
      <c r="FM1" s="13"/>
      <c r="FN1" s="13"/>
      <c r="FO1" s="13"/>
      <c r="FP1" s="13"/>
      <c r="FQ1" s="13"/>
      <c r="FR1" s="13"/>
      <c r="FS1" s="13"/>
      <c r="FT1" s="13"/>
      <c r="FU1" s="13"/>
      <c r="FV1" s="13"/>
      <c r="FW1" s="13"/>
      <c r="FX1" s="13"/>
      <c r="FY1" s="13"/>
      <c r="FZ1" s="13"/>
      <c r="GA1" s="13"/>
      <c r="GB1" s="13"/>
      <c r="GC1" s="13"/>
      <c r="GD1" s="13"/>
      <c r="GE1" s="13"/>
      <c r="GF1" s="13"/>
      <c r="GG1" s="13"/>
      <c r="GH1" s="13"/>
      <c r="GI1" s="13"/>
      <c r="GJ1" s="13"/>
      <c r="GK1" s="13"/>
      <c r="GL1" s="13"/>
      <c r="GM1" s="13"/>
      <c r="GN1" s="13"/>
      <c r="GO1" s="13"/>
      <c r="GP1" s="13"/>
      <c r="GQ1" s="13"/>
      <c r="GR1" s="13"/>
      <c r="GS1" s="13"/>
      <c r="GT1" s="13"/>
      <c r="GU1" s="13"/>
      <c r="GV1" s="13"/>
      <c r="GW1" s="13"/>
      <c r="GX1" s="13"/>
      <c r="GY1" s="13"/>
      <c r="GZ1" s="13"/>
      <c r="HA1" s="13"/>
      <c r="HB1" s="13"/>
      <c r="HC1" s="13"/>
      <c r="HD1" s="13"/>
      <c r="HE1" s="13"/>
      <c r="HF1" s="13"/>
      <c r="HG1" s="13"/>
      <c r="HH1" s="13"/>
      <c r="HI1" s="13"/>
      <c r="HJ1" s="13"/>
      <c r="HK1" s="13"/>
      <c r="HL1" s="13"/>
      <c r="HM1" s="13"/>
      <c r="HN1" s="13"/>
      <c r="HO1" s="13"/>
      <c r="HP1" s="13"/>
      <c r="HQ1" s="13"/>
      <c r="HR1" s="13"/>
      <c r="HS1" s="13"/>
      <c r="HT1" s="13"/>
      <c r="HU1" s="13"/>
      <c r="HV1" s="13"/>
      <c r="HW1" s="13"/>
      <c r="HX1" s="13"/>
      <c r="HY1" s="13"/>
      <c r="HZ1" s="13"/>
      <c r="IA1" s="13"/>
      <c r="IB1" s="13"/>
      <c r="IC1" s="13"/>
      <c r="ID1" s="13"/>
      <c r="IE1" s="13"/>
      <c r="IF1" s="13"/>
      <c r="IG1" s="13"/>
      <c r="IH1" s="13"/>
      <c r="II1" s="13"/>
      <c r="IJ1" s="13"/>
      <c r="IK1" s="13"/>
      <c r="IL1" s="13"/>
      <c r="IM1" s="13"/>
      <c r="IN1" s="13"/>
      <c r="IO1" s="13"/>
      <c r="IP1" s="13"/>
      <c r="IQ1" s="13"/>
      <c r="IR1" s="13"/>
      <c r="IS1" s="13"/>
      <c r="IT1" s="13"/>
      <c r="IU1" s="13"/>
      <c r="IV1" s="13"/>
      <c r="IW1" s="13"/>
      <c r="IX1" s="13"/>
      <c r="IY1" s="13"/>
      <c r="IZ1" s="13"/>
      <c r="JA1" s="13"/>
      <c r="JB1" s="13"/>
      <c r="JC1" s="13"/>
      <c r="JD1" s="13"/>
      <c r="JE1" s="13"/>
      <c r="JF1" s="13"/>
      <c r="JG1" s="13"/>
      <c r="JH1" s="13"/>
      <c r="JI1" s="13"/>
      <c r="JJ1" s="13"/>
      <c r="JK1" s="13"/>
      <c r="JL1" s="13"/>
      <c r="JM1" s="13"/>
      <c r="JN1" s="13"/>
      <c r="JO1" s="13"/>
      <c r="JP1" s="13"/>
      <c r="JQ1" s="13"/>
      <c r="JR1" s="13"/>
      <c r="JS1" s="13"/>
      <c r="JT1" s="13"/>
      <c r="JU1" s="13"/>
      <c r="JV1" s="13"/>
      <c r="JW1" s="13"/>
      <c r="JX1" s="13"/>
      <c r="JY1" s="13"/>
      <c r="JZ1" s="13"/>
      <c r="KA1" s="13"/>
      <c r="KB1" s="13"/>
      <c r="KC1" s="13"/>
      <c r="KD1" s="13"/>
      <c r="KE1" s="13"/>
      <c r="KF1" s="13"/>
      <c r="KG1" s="13"/>
      <c r="KH1" s="13"/>
      <c r="KI1" s="13"/>
      <c r="KJ1" s="13"/>
      <c r="KK1" s="13"/>
      <c r="KL1" s="13"/>
      <c r="KM1" s="13"/>
      <c r="KN1" s="13"/>
      <c r="KO1" s="13"/>
      <c r="KP1" s="13"/>
      <c r="KQ1" s="13"/>
      <c r="KR1" s="13"/>
      <c r="KS1" s="13"/>
      <c r="KT1" s="13"/>
      <c r="KU1" s="13"/>
      <c r="KV1" s="13"/>
      <c r="KW1" s="13"/>
      <c r="KX1" s="13"/>
      <c r="KY1" s="13"/>
      <c r="KZ1" s="13"/>
      <c r="LA1" s="13"/>
      <c r="LB1" s="13"/>
      <c r="LC1" s="13"/>
      <c r="LD1" s="13"/>
      <c r="LE1" s="13"/>
      <c r="LF1" s="13"/>
      <c r="LG1" s="13"/>
      <c r="LH1" s="13"/>
      <c r="LI1" s="13"/>
      <c r="LJ1" s="13"/>
      <c r="LK1" s="13"/>
      <c r="LL1" s="13"/>
      <c r="LM1" s="13"/>
      <c r="LN1" s="13"/>
      <c r="LO1" s="13"/>
      <c r="LP1" s="13"/>
      <c r="LQ1" s="13"/>
      <c r="LR1" s="13"/>
      <c r="LS1" s="13"/>
      <c r="LT1" s="13"/>
      <c r="LU1" s="13"/>
      <c r="LV1" s="13"/>
      <c r="LW1" s="13"/>
      <c r="LX1" s="13"/>
      <c r="LY1" s="13"/>
      <c r="LZ1" s="13"/>
      <c r="MA1" s="13"/>
      <c r="MB1" s="13"/>
      <c r="MC1" s="13"/>
      <c r="MD1" s="13"/>
      <c r="ME1" s="13"/>
      <c r="MF1" s="13"/>
      <c r="MG1" s="13"/>
      <c r="MH1" s="13"/>
      <c r="MI1" s="13"/>
      <c r="MJ1" s="13"/>
      <c r="MK1" s="13"/>
      <c r="ML1" s="13"/>
      <c r="MM1" s="13"/>
      <c r="MN1" s="13"/>
      <c r="MO1" s="13"/>
      <c r="MP1" s="13"/>
      <c r="MQ1" s="13"/>
      <c r="MR1" s="13"/>
      <c r="MS1" s="13"/>
      <c r="MT1" s="13"/>
      <c r="MU1" s="13"/>
      <c r="MV1" s="13"/>
      <c r="MW1" s="13"/>
      <c r="MX1" s="13"/>
      <c r="MY1" s="13"/>
      <c r="MZ1" s="13"/>
      <c r="NA1" s="13"/>
      <c r="NB1" s="13"/>
      <c r="NC1" s="13"/>
      <c r="ND1" s="13"/>
      <c r="NE1" s="13"/>
      <c r="NF1" s="13"/>
      <c r="NG1" s="13"/>
      <c r="NH1" s="13"/>
      <c r="NI1" s="13"/>
      <c r="NJ1" s="13"/>
      <c r="NK1" s="13"/>
      <c r="NL1" s="13"/>
      <c r="NM1" s="13"/>
      <c r="NN1" s="13"/>
      <c r="NO1" s="13"/>
      <c r="NP1" s="13"/>
      <c r="NQ1" s="13"/>
      <c r="NR1" s="13"/>
      <c r="NS1" s="13"/>
      <c r="NT1" s="13"/>
      <c r="NU1" s="13"/>
      <c r="NV1" s="13"/>
      <c r="NW1" s="13"/>
      <c r="NX1" s="13"/>
      <c r="NY1" s="13"/>
      <c r="NZ1" s="13"/>
      <c r="OA1" s="13"/>
      <c r="OB1" s="13"/>
      <c r="OC1" s="13"/>
      <c r="OD1" s="13"/>
      <c r="OE1" s="13"/>
      <c r="OF1" s="13"/>
      <c r="OG1" s="13"/>
      <c r="OH1" s="13"/>
      <c r="OI1" s="13"/>
      <c r="OJ1" s="13"/>
      <c r="OK1" s="13"/>
      <c r="OL1" s="13"/>
      <c r="OM1" s="13"/>
      <c r="ON1" s="13"/>
      <c r="OO1" s="13"/>
      <c r="OP1" s="13"/>
      <c r="OQ1" s="13"/>
      <c r="OR1" s="13"/>
      <c r="OS1" s="13"/>
      <c r="OT1" s="13"/>
      <c r="OU1" s="13"/>
      <c r="OV1" s="13"/>
      <c r="OW1" s="13"/>
      <c r="OX1" s="13"/>
      <c r="OY1" s="13"/>
      <c r="OZ1" s="13"/>
      <c r="PA1" s="13"/>
      <c r="PB1" s="13"/>
      <c r="PC1" s="13"/>
      <c r="PD1" s="13"/>
      <c r="PE1" s="13"/>
      <c r="PF1" s="13"/>
      <c r="PG1" s="13"/>
      <c r="PH1" s="13"/>
      <c r="PI1" s="13"/>
      <c r="PJ1" s="13"/>
      <c r="PK1" s="13"/>
      <c r="PL1" s="13"/>
      <c r="PM1" s="13"/>
      <c r="PN1" s="13"/>
      <c r="PO1" s="13"/>
      <c r="PP1" s="13"/>
      <c r="PQ1" s="13"/>
      <c r="PR1" s="13"/>
      <c r="PS1" s="13"/>
      <c r="PT1" s="13"/>
      <c r="PU1" s="13"/>
      <c r="PV1" s="13"/>
      <c r="PW1" s="13"/>
      <c r="PX1" s="13"/>
      <c r="PY1" s="13"/>
      <c r="PZ1" s="13"/>
      <c r="QA1" s="13"/>
      <c r="QB1" s="13"/>
      <c r="QC1" s="13"/>
      <c r="QD1" s="13"/>
      <c r="QE1" s="13"/>
      <c r="QF1" s="13"/>
      <c r="QG1" s="13"/>
      <c r="QH1" s="13"/>
      <c r="QI1" s="13"/>
      <c r="QJ1" s="13"/>
      <c r="QK1" s="13"/>
      <c r="QL1" s="13"/>
      <c r="QM1" s="13"/>
      <c r="QN1" s="13"/>
      <c r="QO1" s="13"/>
      <c r="QP1" s="13"/>
      <c r="QQ1" s="13"/>
      <c r="QR1" s="13"/>
      <c r="QS1" s="13"/>
      <c r="QT1" s="13"/>
      <c r="QU1" s="13"/>
      <c r="QV1" s="13"/>
      <c r="QW1" s="13"/>
      <c r="QX1" s="13"/>
      <c r="QY1" s="13"/>
      <c r="QZ1" s="13"/>
      <c r="RA1" s="13"/>
      <c r="RB1" s="13"/>
      <c r="RC1" s="13"/>
      <c r="RD1" s="13"/>
      <c r="RE1" s="13"/>
      <c r="RF1" s="13"/>
      <c r="RG1" s="13"/>
      <c r="RH1" s="13"/>
      <c r="RI1" s="13"/>
      <c r="RJ1" s="13"/>
      <c r="RK1" s="13"/>
      <c r="RL1" s="13"/>
      <c r="RM1" s="13"/>
      <c r="RN1" s="13"/>
      <c r="RO1" s="13"/>
      <c r="RP1" s="13"/>
      <c r="RQ1" s="13"/>
      <c r="RR1" s="13"/>
      <c r="RS1" s="13"/>
      <c r="RT1" s="13"/>
      <c r="RU1" s="13"/>
      <c r="RV1" s="13"/>
      <c r="RW1" s="13"/>
      <c r="RX1" s="13"/>
      <c r="RY1" s="13"/>
      <c r="RZ1" s="13"/>
      <c r="SA1" s="13"/>
      <c r="SB1" s="13"/>
      <c r="SC1" s="13"/>
      <c r="SD1" s="13"/>
      <c r="SE1" s="13"/>
      <c r="SF1" s="13"/>
      <c r="SG1" s="13"/>
      <c r="SH1" s="13"/>
      <c r="SI1" s="13"/>
      <c r="SJ1" s="13"/>
      <c r="SK1" s="13"/>
      <c r="SL1" s="13"/>
      <c r="SM1" s="13"/>
      <c r="SN1" s="13"/>
      <c r="SO1" s="13"/>
      <c r="SP1" s="13"/>
      <c r="SQ1" s="13"/>
      <c r="SR1" s="13"/>
      <c r="SS1" s="13"/>
      <c r="ST1" s="13"/>
      <c r="SU1" s="13"/>
      <c r="SV1" s="13"/>
      <c r="SW1" s="13"/>
      <c r="SX1" s="13"/>
      <c r="SY1" s="13"/>
      <c r="SZ1" s="13"/>
      <c r="TA1" s="13"/>
      <c r="TB1" s="13"/>
      <c r="TC1" s="13"/>
      <c r="TD1" s="13"/>
      <c r="TE1" s="13"/>
      <c r="TF1" s="13"/>
      <c r="TG1" s="13"/>
      <c r="TH1" s="13"/>
      <c r="TI1" s="13"/>
      <c r="TJ1" s="13"/>
      <c r="TK1" s="13"/>
      <c r="TL1" s="13"/>
      <c r="TM1" s="13"/>
      <c r="TN1" s="13"/>
      <c r="TO1" s="13"/>
      <c r="TP1" s="13"/>
      <c r="TQ1" s="13"/>
      <c r="TR1" s="13"/>
      <c r="TS1" s="13"/>
      <c r="TT1" s="13"/>
      <c r="TU1" s="13"/>
      <c r="TV1" s="13"/>
      <c r="TW1" s="13"/>
      <c r="TX1" s="13"/>
      <c r="TY1" s="13"/>
      <c r="TZ1" s="13"/>
      <c r="UA1" s="13"/>
      <c r="UB1" s="13"/>
      <c r="UC1" s="13"/>
      <c r="UD1" s="13"/>
      <c r="UE1" s="13"/>
      <c r="UF1" s="13"/>
      <c r="UG1" s="13"/>
      <c r="UH1" s="13"/>
      <c r="UI1" s="13"/>
      <c r="UJ1" s="13"/>
      <c r="UK1" s="13"/>
      <c r="UL1" s="13"/>
      <c r="UM1" s="13"/>
      <c r="UN1" s="13"/>
      <c r="UO1" s="13"/>
      <c r="UP1" s="13"/>
      <c r="UQ1" s="13"/>
      <c r="UR1" s="13"/>
      <c r="US1" s="13"/>
      <c r="UT1" s="13"/>
      <c r="UU1" s="13"/>
      <c r="UV1" s="13"/>
      <c r="UW1" s="13"/>
      <c r="UX1" s="13"/>
      <c r="UY1" s="13"/>
      <c r="UZ1" s="13"/>
      <c r="VA1" s="13"/>
      <c r="VB1" s="13"/>
      <c r="VC1" s="13"/>
      <c r="VD1" s="13"/>
      <c r="VE1" s="13"/>
      <c r="VF1" s="13"/>
      <c r="VG1" s="13"/>
      <c r="VH1" s="13"/>
      <c r="VI1" s="13"/>
      <c r="VJ1" s="13"/>
      <c r="VK1" s="13"/>
      <c r="VL1" s="13"/>
      <c r="VM1" s="13"/>
      <c r="VN1" s="13"/>
      <c r="VO1" s="13"/>
      <c r="VP1" s="13"/>
      <c r="VQ1" s="13"/>
      <c r="VR1" s="13"/>
      <c r="VS1" s="13"/>
      <c r="VT1" s="13"/>
      <c r="VU1" s="13"/>
      <c r="VV1" s="13"/>
      <c r="VW1" s="13"/>
      <c r="VX1" s="13"/>
      <c r="VY1" s="13"/>
      <c r="VZ1" s="13"/>
      <c r="WA1" s="13"/>
      <c r="WB1" s="13"/>
      <c r="WC1" s="13"/>
      <c r="WD1" s="13"/>
      <c r="WE1" s="13"/>
      <c r="WF1" s="13"/>
      <c r="WG1" s="13"/>
      <c r="WH1" s="13"/>
      <c r="WI1" s="13"/>
      <c r="WJ1" s="13"/>
      <c r="WK1" s="13"/>
      <c r="WL1" s="13"/>
      <c r="WM1" s="13"/>
      <c r="WN1" s="13"/>
      <c r="WO1" s="13"/>
      <c r="WP1" s="13"/>
      <c r="WQ1" s="13"/>
      <c r="WR1" s="13"/>
      <c r="WS1" s="13"/>
      <c r="WT1" s="13"/>
      <c r="WU1" s="13"/>
      <c r="WV1" s="13"/>
      <c r="WW1" s="13"/>
      <c r="WX1" s="13"/>
      <c r="WY1" s="13"/>
      <c r="WZ1" s="13"/>
      <c r="XA1" s="13"/>
      <c r="XB1" s="13"/>
      <c r="XC1" s="13"/>
      <c r="XD1" s="13"/>
      <c r="XE1" s="13"/>
      <c r="XF1" s="13"/>
      <c r="XG1" s="13"/>
      <c r="XH1" s="13"/>
      <c r="XI1" s="13"/>
      <c r="XJ1" s="13"/>
      <c r="XK1" s="13"/>
      <c r="XL1" s="13"/>
      <c r="XM1" s="13"/>
      <c r="XN1" s="13"/>
      <c r="XO1" s="13"/>
      <c r="XP1" s="13"/>
      <c r="XQ1" s="13"/>
      <c r="XR1" s="13"/>
      <c r="XS1" s="13"/>
      <c r="XT1" s="13"/>
      <c r="XU1" s="13"/>
      <c r="XV1" s="13"/>
      <c r="XW1" s="13"/>
      <c r="XX1" s="13"/>
      <c r="XY1" s="13"/>
      <c r="XZ1" s="13"/>
      <c r="YA1" s="13"/>
      <c r="YB1" s="13"/>
      <c r="YC1" s="13"/>
      <c r="YD1" s="13"/>
      <c r="YE1" s="13"/>
      <c r="YF1" s="13"/>
      <c r="YG1" s="13"/>
      <c r="YH1" s="13"/>
      <c r="YI1" s="13"/>
      <c r="YJ1" s="13"/>
      <c r="YK1" s="13"/>
      <c r="YL1" s="13"/>
      <c r="YM1" s="13"/>
      <c r="YN1" s="13"/>
      <c r="YO1" s="13"/>
      <c r="YP1" s="13"/>
      <c r="YQ1" s="13"/>
      <c r="YR1" s="13"/>
      <c r="YS1" s="13"/>
      <c r="YT1" s="13"/>
      <c r="YU1" s="13"/>
      <c r="YV1" s="13"/>
      <c r="YW1" s="13"/>
      <c r="YX1" s="13"/>
      <c r="YY1" s="13"/>
      <c r="YZ1" s="13"/>
      <c r="ZA1" s="13"/>
      <c r="ZB1" s="13"/>
      <c r="ZC1" s="13"/>
      <c r="ZD1" s="13"/>
      <c r="ZE1" s="13"/>
      <c r="ZF1" s="13"/>
      <c r="ZG1" s="13"/>
      <c r="ZH1" s="13"/>
      <c r="ZI1" s="13"/>
      <c r="ZJ1" s="13"/>
      <c r="ZK1" s="13"/>
      <c r="ZL1" s="13"/>
      <c r="ZM1" s="13"/>
      <c r="ZN1" s="13"/>
      <c r="ZO1" s="13"/>
      <c r="ZP1" s="13"/>
      <c r="ZQ1" s="13"/>
      <c r="ZR1" s="13"/>
      <c r="ZS1" s="13"/>
      <c r="ZT1" s="13"/>
      <c r="ZU1" s="13"/>
      <c r="ZV1" s="13"/>
      <c r="ZW1" s="13"/>
      <c r="ZX1" s="13"/>
      <c r="ZY1" s="13"/>
      <c r="ZZ1" s="13"/>
      <c r="AAA1" s="13"/>
      <c r="AAB1" s="13"/>
      <c r="AAC1" s="13"/>
      <c r="AAD1" s="13"/>
      <c r="AAE1" s="13"/>
      <c r="AAF1" s="13"/>
      <c r="AAG1" s="13"/>
      <c r="AAH1" s="13"/>
      <c r="AAI1" s="13"/>
      <c r="AAJ1" s="13"/>
      <c r="AAK1" s="13"/>
      <c r="AAL1" s="13"/>
      <c r="AAM1" s="13"/>
      <c r="AAN1" s="13"/>
      <c r="AAO1" s="13"/>
      <c r="AAP1" s="13"/>
      <c r="AAQ1" s="13"/>
      <c r="AAR1" s="13"/>
      <c r="AAS1" s="13"/>
      <c r="AAT1" s="13"/>
      <c r="AAU1" s="13"/>
      <c r="AAV1" s="13"/>
      <c r="AAW1" s="13"/>
      <c r="AAX1" s="13"/>
      <c r="AAY1" s="13"/>
      <c r="AAZ1" s="13"/>
      <c r="ABA1" s="13"/>
      <c r="ABB1" s="13"/>
      <c r="ABC1" s="13"/>
      <c r="ABD1" s="13"/>
      <c r="ABE1" s="13"/>
      <c r="ABF1" s="13"/>
      <c r="ABG1" s="13"/>
      <c r="ABH1" s="13"/>
      <c r="ABI1" s="13"/>
      <c r="ABJ1" s="13"/>
      <c r="ABK1" s="13"/>
      <c r="ABL1" s="13"/>
      <c r="ABM1" s="13"/>
      <c r="ABN1" s="13"/>
      <c r="ABO1" s="13"/>
      <c r="ABP1" s="13"/>
      <c r="ABQ1" s="13"/>
      <c r="ABR1" s="13"/>
      <c r="ABS1" s="13"/>
      <c r="ABT1" s="13"/>
      <c r="ABU1" s="13"/>
      <c r="ABV1" s="13"/>
      <c r="ABW1" s="13"/>
      <c r="ABX1" s="13"/>
      <c r="ABY1" s="13"/>
      <c r="ABZ1" s="13"/>
      <c r="ACA1" s="13"/>
      <c r="ACB1" s="13"/>
      <c r="ACC1" s="13"/>
      <c r="ACD1" s="13"/>
      <c r="ACE1" s="13"/>
      <c r="ACF1" s="13"/>
      <c r="ACG1" s="13"/>
      <c r="ACH1" s="13"/>
      <c r="ACI1" s="13"/>
      <c r="ACJ1" s="13"/>
      <c r="ACK1" s="13"/>
      <c r="ACL1" s="13"/>
      <c r="ACM1" s="13"/>
      <c r="ACN1" s="13"/>
      <c r="ACO1" s="13"/>
      <c r="ACP1" s="13"/>
      <c r="ACQ1" s="13"/>
      <c r="ACR1" s="13"/>
      <c r="ACS1" s="13"/>
      <c r="ACT1" s="13"/>
      <c r="ACU1" s="13"/>
      <c r="ACV1" s="13"/>
      <c r="ACW1" s="13"/>
      <c r="ACX1" s="13"/>
      <c r="ACY1" s="13"/>
      <c r="ACZ1" s="13"/>
      <c r="ADA1" s="13"/>
      <c r="ADB1" s="13"/>
      <c r="ADC1" s="13"/>
      <c r="ADD1" s="13"/>
      <c r="ADE1" s="13"/>
      <c r="ADF1" s="13"/>
      <c r="ADG1" s="13"/>
      <c r="ADH1" s="13"/>
      <c r="ADI1" s="13"/>
      <c r="ADJ1" s="13"/>
      <c r="ADK1" s="13"/>
      <c r="ADL1" s="13"/>
      <c r="ADM1" s="13"/>
      <c r="ADN1" s="13"/>
      <c r="ADO1" s="13"/>
      <c r="ADP1" s="13"/>
      <c r="ADQ1" s="13"/>
      <c r="ADR1" s="13"/>
      <c r="ADS1" s="13"/>
      <c r="ADT1" s="13"/>
      <c r="ADU1" s="13"/>
      <c r="ADV1" s="13"/>
      <c r="ADW1" s="13"/>
      <c r="ADX1" s="13"/>
      <c r="ADY1" s="13"/>
      <c r="ADZ1" s="13"/>
      <c r="AEA1" s="13"/>
      <c r="AEB1" s="13"/>
      <c r="AEC1" s="13"/>
      <c r="AED1" s="13"/>
      <c r="AEE1" s="13"/>
      <c r="AEF1" s="13"/>
      <c r="AEG1" s="13"/>
      <c r="AEH1" s="13"/>
      <c r="AEI1" s="13"/>
      <c r="AEJ1" s="13"/>
      <c r="AEK1" s="13"/>
      <c r="AEL1" s="13"/>
      <c r="AEM1" s="13"/>
      <c r="AEN1" s="13"/>
      <c r="AEO1" s="13"/>
      <c r="AEP1" s="13"/>
      <c r="AEQ1" s="13"/>
      <c r="AER1" s="13"/>
      <c r="AES1" s="13"/>
      <c r="AET1" s="13"/>
      <c r="AEU1" s="13"/>
      <c r="AEV1" s="13"/>
      <c r="AEW1" s="13"/>
      <c r="AEX1" s="13"/>
      <c r="AEY1" s="13"/>
      <c r="AEZ1" s="13"/>
      <c r="AFA1" s="13"/>
      <c r="AFB1" s="13"/>
      <c r="AFC1" s="13"/>
      <c r="AFD1" s="13"/>
      <c r="AFE1" s="13"/>
      <c r="AFF1" s="13"/>
      <c r="AFG1" s="13"/>
      <c r="AFH1" s="13"/>
      <c r="AFI1" s="13"/>
      <c r="AFJ1" s="13"/>
      <c r="AFK1" s="13"/>
      <c r="AFL1" s="13"/>
      <c r="AFM1" s="13"/>
      <c r="AFN1" s="13"/>
      <c r="AFO1" s="13"/>
      <c r="AFP1" s="13"/>
      <c r="AFQ1" s="13"/>
      <c r="AFR1" s="13"/>
      <c r="AFS1" s="13"/>
      <c r="AFT1" s="13"/>
      <c r="AFU1" s="13"/>
      <c r="AFV1" s="13"/>
      <c r="AFW1" s="13"/>
      <c r="AFX1" s="13"/>
      <c r="AFY1" s="13"/>
      <c r="AFZ1" s="13"/>
      <c r="AGA1" s="13"/>
      <c r="AGB1" s="13"/>
      <c r="AGC1" s="13"/>
      <c r="AGD1" s="13"/>
      <c r="AGE1" s="13"/>
      <c r="AGF1" s="13"/>
      <c r="AGG1" s="13"/>
      <c r="AGH1" s="13"/>
      <c r="AGI1" s="13"/>
      <c r="AGJ1" s="13"/>
      <c r="AGK1" s="13"/>
      <c r="AGL1" s="13"/>
      <c r="AGM1" s="13"/>
      <c r="AGN1" s="13"/>
      <c r="AGO1" s="13"/>
      <c r="AGP1" s="13"/>
      <c r="AGQ1" s="13"/>
      <c r="AGR1" s="13"/>
      <c r="AGS1" s="13"/>
      <c r="AGT1" s="13"/>
      <c r="AGU1" s="13"/>
      <c r="AGV1" s="13"/>
      <c r="AGW1" s="13"/>
      <c r="AGX1" s="13"/>
      <c r="AGY1" s="13"/>
      <c r="AGZ1" s="13"/>
      <c r="AHA1" s="13"/>
      <c r="AHB1" s="13"/>
      <c r="AHC1" s="13"/>
      <c r="AHD1" s="13"/>
      <c r="AHE1" s="13"/>
      <c r="AHF1" s="13"/>
      <c r="AHG1" s="13"/>
      <c r="AHH1" s="13"/>
      <c r="AHI1" s="13"/>
      <c r="AHJ1" s="13"/>
      <c r="AHK1" s="13"/>
      <c r="AHL1" s="13"/>
      <c r="AHM1" s="13"/>
      <c r="AHN1" s="13"/>
      <c r="AHO1" s="13"/>
      <c r="AHP1" s="13"/>
      <c r="AHQ1" s="13"/>
      <c r="AHR1" s="13"/>
      <c r="AHS1" s="13"/>
      <c r="AHT1" s="13"/>
      <c r="AHU1" s="13"/>
      <c r="AHV1" s="13"/>
      <c r="AHW1" s="13"/>
      <c r="AHX1" s="13"/>
      <c r="AHY1" s="13"/>
      <c r="AHZ1" s="13"/>
      <c r="AIA1" s="13"/>
      <c r="AIB1" s="13"/>
      <c r="AIC1" s="13"/>
      <c r="AID1" s="13"/>
      <c r="AIE1" s="13"/>
      <c r="AIF1" s="13"/>
      <c r="AIG1" s="13"/>
      <c r="AIH1" s="13"/>
      <c r="AII1" s="13"/>
      <c r="AIJ1" s="13"/>
      <c r="AIK1" s="13"/>
      <c r="AIL1" s="13"/>
      <c r="AIM1" s="13"/>
      <c r="AIN1" s="13"/>
      <c r="AIO1" s="13"/>
      <c r="AIP1" s="13"/>
      <c r="AIQ1" s="13"/>
      <c r="AIR1" s="13"/>
      <c r="AIS1" s="13"/>
      <c r="AIT1" s="13"/>
      <c r="AIU1" s="13"/>
      <c r="AIV1" s="13"/>
      <c r="AIW1" s="13"/>
      <c r="AIX1" s="13"/>
      <c r="AIY1" s="13"/>
      <c r="AIZ1" s="13"/>
      <c r="AJA1" s="13"/>
      <c r="AJB1" s="13"/>
      <c r="AJC1" s="13"/>
      <c r="AJD1" s="13"/>
      <c r="AJE1" s="13"/>
      <c r="AJF1" s="13"/>
      <c r="AJG1" s="13"/>
      <c r="AJH1" s="13"/>
      <c r="AJI1" s="13"/>
      <c r="AJJ1" s="13"/>
      <c r="AJK1" s="13"/>
      <c r="AJL1" s="13"/>
      <c r="AJM1" s="13"/>
      <c r="AJN1" s="13"/>
      <c r="AJO1" s="13"/>
      <c r="AJP1" s="13"/>
      <c r="AJQ1" s="13"/>
      <c r="AJR1" s="13"/>
      <c r="AJS1" s="13"/>
      <c r="AJT1" s="13"/>
      <c r="AJU1" s="13"/>
      <c r="AJV1" s="13"/>
      <c r="AJW1" s="13"/>
      <c r="AJX1" s="13"/>
      <c r="AJY1" s="13"/>
      <c r="AJZ1" s="13"/>
      <c r="AKA1" s="13"/>
      <c r="AKB1" s="13"/>
      <c r="AKC1" s="13"/>
      <c r="AKD1" s="13"/>
      <c r="AKE1" s="13"/>
      <c r="AKF1" s="13"/>
      <c r="AKG1" s="13"/>
      <c r="AKH1" s="13"/>
      <c r="AKI1" s="13"/>
      <c r="AKJ1" s="13"/>
      <c r="AKK1" s="13"/>
      <c r="AKL1" s="13"/>
      <c r="AKM1" s="13"/>
      <c r="AKN1" s="13"/>
      <c r="AKO1" s="13"/>
      <c r="AKP1" s="13"/>
      <c r="AKQ1" s="13"/>
      <c r="AKR1" s="13"/>
      <c r="AKS1" s="13"/>
      <c r="AKT1" s="13"/>
      <c r="AKU1" s="13"/>
      <c r="AKV1" s="13"/>
      <c r="AKW1" s="13"/>
      <c r="AKX1" s="13"/>
      <c r="AKY1" s="13"/>
      <c r="AKZ1" s="13"/>
      <c r="ALA1" s="13"/>
      <c r="ALB1" s="13"/>
      <c r="ALC1" s="13"/>
      <c r="ALD1" s="13"/>
      <c r="ALE1" s="13"/>
      <c r="ALF1" s="13"/>
      <c r="ALG1" s="13"/>
      <c r="ALH1" s="13"/>
      <c r="ALI1" s="13"/>
      <c r="ALJ1" s="13"/>
      <c r="ALK1" s="13"/>
      <c r="ALL1" s="13"/>
      <c r="ALM1" s="13"/>
      <c r="ALN1" s="13"/>
      <c r="ALO1" s="13"/>
      <c r="ALP1" s="13"/>
      <c r="ALQ1" s="13"/>
      <c r="ALR1" s="13"/>
      <c r="ALS1" s="13"/>
      <c r="ALT1" s="13"/>
      <c r="ALU1" s="13"/>
      <c r="ALV1" s="13"/>
      <c r="ALW1" s="13"/>
      <c r="ALX1" s="13"/>
      <c r="ALY1" s="13"/>
      <c r="ALZ1" s="13"/>
      <c r="AMA1" s="13"/>
      <c r="AMB1" s="13"/>
      <c r="AMC1" s="13"/>
      <c r="AMD1" s="13"/>
      <c r="AME1" s="13"/>
      <c r="AMF1" s="13"/>
      <c r="AMG1" s="13"/>
      <c r="AMH1" s="13"/>
    </row>
    <row r="2" spans="1:1022" ht="16.5" customHeight="1" x14ac:dyDescent="0.2">
      <c r="A2" s="15" t="str">
        <f>"n = "&amp;COUNTA(A3:A1014)</f>
        <v>n = 96</v>
      </c>
      <c r="B2" s="15" t="s">
        <v>153</v>
      </c>
      <c r="C2" s="15" t="s">
        <v>154</v>
      </c>
      <c r="D2" s="15" t="s">
        <v>155</v>
      </c>
      <c r="E2" s="15" t="s">
        <v>98</v>
      </c>
      <c r="F2" s="15" t="s">
        <v>156</v>
      </c>
      <c r="G2" s="15" t="s">
        <v>157</v>
      </c>
      <c r="H2" s="16" t="s">
        <v>158</v>
      </c>
      <c r="I2" s="15" t="s">
        <v>102</v>
      </c>
      <c r="J2" s="15" t="s">
        <v>159</v>
      </c>
      <c r="K2" s="15" t="s">
        <v>160</v>
      </c>
      <c r="L2" s="15" t="s">
        <v>161</v>
      </c>
      <c r="M2" s="15" t="s">
        <v>162</v>
      </c>
      <c r="N2" s="15" t="s">
        <v>163</v>
      </c>
      <c r="O2" s="15" t="s">
        <v>164</v>
      </c>
      <c r="P2" s="17" t="s">
        <v>165</v>
      </c>
      <c r="Q2" s="15" t="s">
        <v>166</v>
      </c>
      <c r="R2" s="15" t="s">
        <v>167</v>
      </c>
      <c r="S2" s="15" t="s">
        <v>168</v>
      </c>
      <c r="T2" s="15" t="s">
        <v>169</v>
      </c>
      <c r="U2" s="15" t="s">
        <v>170</v>
      </c>
      <c r="V2" s="15" t="s">
        <v>171</v>
      </c>
      <c r="W2" s="15" t="s">
        <v>172</v>
      </c>
      <c r="X2" s="18" t="s">
        <v>173</v>
      </c>
      <c r="Y2" s="15" t="s">
        <v>174</v>
      </c>
      <c r="Z2" s="15" t="s">
        <v>175</v>
      </c>
      <c r="AA2" s="15" t="s">
        <v>176</v>
      </c>
      <c r="AB2" s="15" t="s">
        <v>177</v>
      </c>
      <c r="AC2" s="18" t="s">
        <v>178</v>
      </c>
      <c r="AD2" s="15" t="s">
        <v>179</v>
      </c>
      <c r="AE2" s="15" t="s">
        <v>180</v>
      </c>
      <c r="AF2" s="18" t="s">
        <v>181</v>
      </c>
      <c r="AG2" s="15" t="s">
        <v>182</v>
      </c>
      <c r="AH2" s="19" t="s">
        <v>183</v>
      </c>
      <c r="AI2" s="19" t="s">
        <v>184</v>
      </c>
      <c r="AJ2" s="15" t="s">
        <v>185</v>
      </c>
      <c r="AK2" s="15" t="s">
        <v>186</v>
      </c>
      <c r="AL2" s="15" t="s">
        <v>187</v>
      </c>
      <c r="AM2" s="15" t="s">
        <v>188</v>
      </c>
      <c r="AN2" s="15" t="s">
        <v>189</v>
      </c>
      <c r="AO2" s="15" t="s">
        <v>190</v>
      </c>
      <c r="AP2" s="15" t="s">
        <v>191</v>
      </c>
      <c r="AQ2" s="20" t="s">
        <v>192</v>
      </c>
      <c r="AR2" s="20" t="s">
        <v>193</v>
      </c>
      <c r="AS2" s="20" t="s">
        <v>194</v>
      </c>
      <c r="AT2" s="15" t="s">
        <v>195</v>
      </c>
      <c r="AU2" s="19" t="s">
        <v>196</v>
      </c>
      <c r="AV2" s="15" t="s">
        <v>141</v>
      </c>
      <c r="AW2" s="15" t="s">
        <v>197</v>
      </c>
      <c r="AX2" s="15" t="s">
        <v>198</v>
      </c>
      <c r="AY2" s="15" t="s">
        <v>199</v>
      </c>
      <c r="AZ2" s="15" t="s">
        <v>200</v>
      </c>
      <c r="BA2" s="15" t="s">
        <v>201</v>
      </c>
      <c r="BB2" s="18" t="s">
        <v>202</v>
      </c>
      <c r="BC2" s="15" t="s">
        <v>203</v>
      </c>
      <c r="BD2" s="15" t="s">
        <v>204</v>
      </c>
      <c r="BE2" s="15" t="s">
        <v>205</v>
      </c>
      <c r="BF2" s="15" t="s">
        <v>206</v>
      </c>
      <c r="BG2" s="15" t="s">
        <v>207</v>
      </c>
      <c r="BI2" s="3"/>
      <c r="BJ2" s="3"/>
      <c r="BK2" s="3"/>
      <c r="BL2" s="3"/>
      <c r="BM2" s="3"/>
      <c r="BN2" s="3"/>
      <c r="BO2" s="3"/>
    </row>
    <row r="3" spans="1:1022" ht="16.5" customHeight="1" x14ac:dyDescent="0.2">
      <c r="A3" s="15" t="s">
        <v>208</v>
      </c>
      <c r="B3" s="21">
        <v>0</v>
      </c>
      <c r="C3" s="21">
        <v>0</v>
      </c>
      <c r="D3" s="21">
        <v>0</v>
      </c>
      <c r="E3" s="21">
        <v>37</v>
      </c>
      <c r="F3" s="21">
        <v>0</v>
      </c>
      <c r="G3" s="21">
        <v>0</v>
      </c>
      <c r="H3" s="21">
        <v>0</v>
      </c>
      <c r="I3" s="21">
        <v>0</v>
      </c>
      <c r="J3" s="21">
        <v>0</v>
      </c>
      <c r="K3" s="21">
        <v>0</v>
      </c>
      <c r="L3" s="21">
        <v>0</v>
      </c>
      <c r="M3" s="21">
        <v>0</v>
      </c>
      <c r="N3" s="21">
        <v>0</v>
      </c>
      <c r="O3" s="21">
        <v>0</v>
      </c>
      <c r="P3" s="21">
        <v>0</v>
      </c>
      <c r="Q3" s="21">
        <v>0</v>
      </c>
      <c r="R3" s="21">
        <v>0</v>
      </c>
      <c r="S3" s="21">
        <v>1</v>
      </c>
      <c r="T3" s="21">
        <v>0</v>
      </c>
      <c r="U3" s="21">
        <v>0</v>
      </c>
      <c r="V3" s="21">
        <v>0</v>
      </c>
      <c r="W3" s="21">
        <v>0</v>
      </c>
      <c r="X3" s="21">
        <v>0</v>
      </c>
      <c r="Y3" s="21">
        <v>0</v>
      </c>
      <c r="Z3" s="21">
        <v>0</v>
      </c>
      <c r="AA3" s="21">
        <v>0</v>
      </c>
      <c r="AB3" s="21">
        <v>0</v>
      </c>
      <c r="AC3" s="21">
        <v>0</v>
      </c>
      <c r="AD3" s="21">
        <v>0</v>
      </c>
      <c r="AE3" s="21">
        <v>0</v>
      </c>
      <c r="AF3" s="21">
        <v>0</v>
      </c>
      <c r="AG3" s="21">
        <v>0</v>
      </c>
      <c r="AH3" s="21">
        <v>0</v>
      </c>
      <c r="AI3" s="21">
        <v>0</v>
      </c>
      <c r="AJ3" s="21">
        <v>0</v>
      </c>
      <c r="AK3" s="21">
        <v>0</v>
      </c>
      <c r="AL3" s="21">
        <v>0</v>
      </c>
      <c r="AM3" s="21">
        <v>0</v>
      </c>
      <c r="AN3" s="21">
        <v>0</v>
      </c>
      <c r="AO3" s="21">
        <v>0</v>
      </c>
      <c r="AP3" s="21">
        <v>0</v>
      </c>
      <c r="AQ3" s="21">
        <v>0</v>
      </c>
      <c r="AR3" s="21">
        <v>0</v>
      </c>
      <c r="AS3" s="21">
        <v>0</v>
      </c>
      <c r="AT3" s="21">
        <v>0</v>
      </c>
      <c r="AU3" s="21">
        <v>0</v>
      </c>
      <c r="AV3" s="21">
        <v>3</v>
      </c>
      <c r="AW3" s="21">
        <v>0</v>
      </c>
      <c r="AX3" s="21">
        <v>1</v>
      </c>
      <c r="AY3" s="21">
        <v>0</v>
      </c>
      <c r="AZ3" s="21">
        <v>1</v>
      </c>
      <c r="BA3" s="21">
        <v>0</v>
      </c>
      <c r="BB3" s="21">
        <v>1</v>
      </c>
      <c r="BC3" s="21">
        <v>0</v>
      </c>
      <c r="BD3" s="21">
        <v>0</v>
      </c>
      <c r="BE3" s="21">
        <v>0</v>
      </c>
      <c r="BF3" s="21">
        <v>0</v>
      </c>
      <c r="BG3" s="21">
        <v>0</v>
      </c>
      <c r="BI3" s="3"/>
      <c r="BJ3" s="3"/>
      <c r="BK3" s="3"/>
      <c r="BL3" s="3"/>
      <c r="BM3" s="3"/>
      <c r="BN3" s="3"/>
      <c r="BO3" s="3"/>
    </row>
    <row r="4" spans="1:1022" ht="16.5" customHeight="1" x14ac:dyDescent="0.2">
      <c r="A4" s="15" t="s">
        <v>209</v>
      </c>
      <c r="B4" s="21">
        <v>0</v>
      </c>
      <c r="C4" s="21">
        <v>0</v>
      </c>
      <c r="D4" s="21">
        <v>0</v>
      </c>
      <c r="E4" s="21">
        <v>23</v>
      </c>
      <c r="F4" s="21">
        <v>0</v>
      </c>
      <c r="G4" s="21">
        <v>0</v>
      </c>
      <c r="H4" s="21">
        <v>0</v>
      </c>
      <c r="I4" s="21">
        <v>4</v>
      </c>
      <c r="J4" s="21">
        <v>0</v>
      </c>
      <c r="K4" s="21">
        <v>0</v>
      </c>
      <c r="L4" s="21">
        <v>0</v>
      </c>
      <c r="M4" s="21">
        <v>0</v>
      </c>
      <c r="N4" s="21">
        <v>0</v>
      </c>
      <c r="O4" s="21">
        <v>0</v>
      </c>
      <c r="P4" s="21">
        <v>0</v>
      </c>
      <c r="Q4" s="21">
        <v>0</v>
      </c>
      <c r="R4" s="21">
        <v>0</v>
      </c>
      <c r="S4" s="21">
        <v>0</v>
      </c>
      <c r="T4" s="21">
        <v>0</v>
      </c>
      <c r="U4" s="21">
        <v>0</v>
      </c>
      <c r="V4" s="21">
        <v>0</v>
      </c>
      <c r="W4" s="21">
        <v>0</v>
      </c>
      <c r="X4" s="21">
        <v>0</v>
      </c>
      <c r="Y4" s="21">
        <v>0</v>
      </c>
      <c r="Z4" s="21">
        <v>0</v>
      </c>
      <c r="AA4" s="21">
        <v>0</v>
      </c>
      <c r="AB4" s="21">
        <v>0</v>
      </c>
      <c r="AC4" s="21">
        <v>0</v>
      </c>
      <c r="AD4" s="21">
        <v>0</v>
      </c>
      <c r="AE4" s="21">
        <v>0</v>
      </c>
      <c r="AF4" s="21">
        <v>0</v>
      </c>
      <c r="AG4" s="21">
        <v>0</v>
      </c>
      <c r="AH4" s="21">
        <v>0</v>
      </c>
      <c r="AI4" s="21">
        <v>0</v>
      </c>
      <c r="AJ4" s="21">
        <v>0</v>
      </c>
      <c r="AK4" s="21">
        <v>0</v>
      </c>
      <c r="AL4" s="21">
        <v>0</v>
      </c>
      <c r="AM4" s="21">
        <v>0</v>
      </c>
      <c r="AN4" s="21">
        <v>0</v>
      </c>
      <c r="AO4" s="21">
        <v>1</v>
      </c>
      <c r="AP4" s="21">
        <v>0</v>
      </c>
      <c r="AQ4" s="21">
        <v>0</v>
      </c>
      <c r="AR4" s="21">
        <v>0</v>
      </c>
      <c r="AS4" s="21">
        <v>0</v>
      </c>
      <c r="AT4" s="21">
        <v>0</v>
      </c>
      <c r="AU4" s="21">
        <v>0</v>
      </c>
      <c r="AV4" s="21">
        <v>0</v>
      </c>
      <c r="AW4" s="21">
        <v>0</v>
      </c>
      <c r="AX4" s="21">
        <v>1</v>
      </c>
      <c r="AY4" s="21">
        <v>0</v>
      </c>
      <c r="AZ4" s="21">
        <v>0</v>
      </c>
      <c r="BA4" s="21">
        <v>0</v>
      </c>
      <c r="BB4" s="21">
        <v>0</v>
      </c>
      <c r="BC4" s="21">
        <v>0</v>
      </c>
      <c r="BD4" s="21">
        <v>0</v>
      </c>
      <c r="BE4" s="21">
        <v>0</v>
      </c>
      <c r="BF4" s="21">
        <v>0</v>
      </c>
      <c r="BG4" s="21">
        <v>0</v>
      </c>
      <c r="BI4" s="3"/>
      <c r="BJ4" s="3"/>
      <c r="BK4" s="3"/>
      <c r="BL4" s="3"/>
      <c r="BM4" s="3"/>
      <c r="BN4" s="3"/>
      <c r="BO4" s="3"/>
    </row>
    <row r="5" spans="1:1022" ht="16.5" customHeight="1" x14ac:dyDescent="0.2">
      <c r="A5" s="15" t="s">
        <v>210</v>
      </c>
      <c r="B5" s="21">
        <v>0</v>
      </c>
      <c r="C5" s="21">
        <v>0</v>
      </c>
      <c r="D5" s="21">
        <v>0</v>
      </c>
      <c r="E5" s="21">
        <v>32</v>
      </c>
      <c r="F5" s="21">
        <v>0</v>
      </c>
      <c r="G5" s="21">
        <v>0</v>
      </c>
      <c r="H5" s="21">
        <v>0</v>
      </c>
      <c r="I5" s="21">
        <v>2</v>
      </c>
      <c r="J5" s="21">
        <v>0</v>
      </c>
      <c r="K5" s="21">
        <v>0</v>
      </c>
      <c r="L5" s="21">
        <v>0</v>
      </c>
      <c r="M5" s="21">
        <v>0</v>
      </c>
      <c r="N5" s="21">
        <v>0</v>
      </c>
      <c r="O5" s="21">
        <v>0</v>
      </c>
      <c r="P5" s="21">
        <v>0</v>
      </c>
      <c r="Q5" s="21">
        <v>0</v>
      </c>
      <c r="R5" s="21">
        <v>0</v>
      </c>
      <c r="S5" s="21">
        <v>2</v>
      </c>
      <c r="T5" s="21">
        <v>0</v>
      </c>
      <c r="U5" s="21">
        <v>0</v>
      </c>
      <c r="V5" s="21">
        <v>0</v>
      </c>
      <c r="W5" s="21">
        <v>0</v>
      </c>
      <c r="X5" s="21">
        <v>0</v>
      </c>
      <c r="Y5" s="21">
        <v>0</v>
      </c>
      <c r="Z5" s="21">
        <v>0</v>
      </c>
      <c r="AA5" s="21">
        <v>0</v>
      </c>
      <c r="AB5" s="21">
        <v>0</v>
      </c>
      <c r="AC5" s="21">
        <v>0</v>
      </c>
      <c r="AD5" s="21">
        <v>0</v>
      </c>
      <c r="AE5" s="21">
        <v>0</v>
      </c>
      <c r="AF5" s="21">
        <v>0</v>
      </c>
      <c r="AG5" s="21">
        <v>0</v>
      </c>
      <c r="AH5" s="21">
        <v>0</v>
      </c>
      <c r="AI5" s="21">
        <v>0</v>
      </c>
      <c r="AJ5" s="21">
        <v>0</v>
      </c>
      <c r="AK5" s="21">
        <v>0</v>
      </c>
      <c r="AL5" s="21">
        <v>0</v>
      </c>
      <c r="AM5" s="21">
        <v>0</v>
      </c>
      <c r="AN5" s="21">
        <v>0</v>
      </c>
      <c r="AO5" s="21">
        <v>0</v>
      </c>
      <c r="AP5" s="21">
        <v>0</v>
      </c>
      <c r="AQ5" s="21">
        <v>0</v>
      </c>
      <c r="AR5" s="21">
        <v>0</v>
      </c>
      <c r="AS5" s="21">
        <v>0</v>
      </c>
      <c r="AT5" s="21">
        <v>0</v>
      </c>
      <c r="AU5" s="21">
        <v>0</v>
      </c>
      <c r="AV5" s="21">
        <v>6</v>
      </c>
      <c r="AW5" s="21">
        <v>0</v>
      </c>
      <c r="AX5" s="21">
        <v>0</v>
      </c>
      <c r="AY5" s="21">
        <v>0</v>
      </c>
      <c r="AZ5" s="21">
        <v>0</v>
      </c>
      <c r="BA5" s="21">
        <v>0</v>
      </c>
      <c r="BB5" s="21">
        <v>0</v>
      </c>
      <c r="BC5" s="21">
        <v>0</v>
      </c>
      <c r="BD5" s="21">
        <v>0</v>
      </c>
      <c r="BE5" s="21">
        <v>0</v>
      </c>
      <c r="BF5" s="21">
        <v>0</v>
      </c>
      <c r="BG5" s="21">
        <v>0</v>
      </c>
      <c r="BI5" s="3"/>
      <c r="BJ5" s="3"/>
      <c r="BK5" s="3"/>
      <c r="BL5" s="3"/>
      <c r="BM5" s="3"/>
      <c r="BN5" s="3"/>
      <c r="BO5" s="3"/>
    </row>
    <row r="6" spans="1:1022" ht="16.5" customHeight="1" x14ac:dyDescent="0.2">
      <c r="A6" s="15" t="s">
        <v>211</v>
      </c>
      <c r="B6" s="21">
        <v>0</v>
      </c>
      <c r="C6" s="21">
        <v>0</v>
      </c>
      <c r="D6" s="21">
        <v>0</v>
      </c>
      <c r="E6" s="21">
        <v>32</v>
      </c>
      <c r="F6" s="21">
        <v>0</v>
      </c>
      <c r="G6" s="21">
        <v>0</v>
      </c>
      <c r="H6" s="21">
        <v>0</v>
      </c>
      <c r="I6" s="21">
        <v>0</v>
      </c>
      <c r="J6" s="21">
        <v>0</v>
      </c>
      <c r="K6" s="21">
        <v>0</v>
      </c>
      <c r="L6" s="21">
        <v>0</v>
      </c>
      <c r="M6" s="21">
        <v>0</v>
      </c>
      <c r="N6" s="21">
        <v>0</v>
      </c>
      <c r="O6" s="21">
        <v>0</v>
      </c>
      <c r="P6" s="21">
        <v>0</v>
      </c>
      <c r="Q6" s="21">
        <v>0</v>
      </c>
      <c r="R6" s="21">
        <v>0</v>
      </c>
      <c r="S6" s="21">
        <v>0</v>
      </c>
      <c r="T6" s="21">
        <v>0</v>
      </c>
      <c r="U6" s="21">
        <v>0</v>
      </c>
      <c r="V6" s="21">
        <v>0</v>
      </c>
      <c r="W6" s="21">
        <v>0</v>
      </c>
      <c r="X6" s="21">
        <v>0</v>
      </c>
      <c r="Y6" s="21">
        <v>0</v>
      </c>
      <c r="Z6" s="21">
        <v>0</v>
      </c>
      <c r="AA6" s="21">
        <v>0</v>
      </c>
      <c r="AB6" s="21">
        <v>0</v>
      </c>
      <c r="AC6" s="21">
        <v>0</v>
      </c>
      <c r="AD6" s="21">
        <v>0</v>
      </c>
      <c r="AE6" s="21">
        <v>0</v>
      </c>
      <c r="AF6" s="21">
        <v>0</v>
      </c>
      <c r="AG6" s="21">
        <v>0</v>
      </c>
      <c r="AH6" s="21">
        <v>0</v>
      </c>
      <c r="AI6" s="21">
        <v>0</v>
      </c>
      <c r="AJ6" s="21">
        <v>0</v>
      </c>
      <c r="AK6" s="21">
        <v>0</v>
      </c>
      <c r="AL6" s="21">
        <v>0</v>
      </c>
      <c r="AM6" s="21">
        <v>0</v>
      </c>
      <c r="AN6" s="21">
        <v>0</v>
      </c>
      <c r="AO6" s="21">
        <v>0</v>
      </c>
      <c r="AP6" s="21">
        <v>0</v>
      </c>
      <c r="AQ6" s="21">
        <v>0</v>
      </c>
      <c r="AR6" s="21">
        <v>0</v>
      </c>
      <c r="AS6" s="21">
        <v>0</v>
      </c>
      <c r="AT6" s="21">
        <v>0</v>
      </c>
      <c r="AU6" s="21">
        <v>0</v>
      </c>
      <c r="AV6" s="21">
        <v>0</v>
      </c>
      <c r="AW6" s="21">
        <v>0</v>
      </c>
      <c r="AX6" s="21">
        <v>0</v>
      </c>
      <c r="AY6" s="21">
        <v>0</v>
      </c>
      <c r="AZ6" s="21">
        <v>0</v>
      </c>
      <c r="BA6" s="21">
        <v>0</v>
      </c>
      <c r="BB6" s="21">
        <v>0</v>
      </c>
      <c r="BC6" s="21">
        <v>0</v>
      </c>
      <c r="BD6" s="21">
        <v>0</v>
      </c>
      <c r="BE6" s="21">
        <v>0</v>
      </c>
      <c r="BF6" s="21">
        <v>0</v>
      </c>
      <c r="BG6" s="21">
        <v>0</v>
      </c>
      <c r="BI6" s="3"/>
      <c r="BJ6" s="3"/>
      <c r="BK6" s="3"/>
      <c r="BL6" s="3"/>
      <c r="BM6" s="3"/>
      <c r="BN6" s="3"/>
      <c r="BO6" s="3"/>
    </row>
    <row r="7" spans="1:1022" ht="16.5" customHeight="1" x14ac:dyDescent="0.2">
      <c r="A7" s="15" t="s">
        <v>212</v>
      </c>
      <c r="B7" s="21">
        <v>1</v>
      </c>
      <c r="C7" s="21">
        <v>0</v>
      </c>
      <c r="D7" s="21">
        <v>0</v>
      </c>
      <c r="E7" s="21">
        <v>64</v>
      </c>
      <c r="F7" s="21">
        <v>0</v>
      </c>
      <c r="G7" s="21">
        <v>0</v>
      </c>
      <c r="H7" s="21">
        <v>0</v>
      </c>
      <c r="I7" s="21">
        <v>1</v>
      </c>
      <c r="J7" s="21">
        <v>0</v>
      </c>
      <c r="K7" s="21">
        <v>0</v>
      </c>
      <c r="L7" s="21">
        <v>0</v>
      </c>
      <c r="M7" s="21">
        <v>0</v>
      </c>
      <c r="N7" s="21">
        <v>0</v>
      </c>
      <c r="O7" s="21">
        <v>0</v>
      </c>
      <c r="P7" s="21">
        <v>0</v>
      </c>
      <c r="Q7" s="21">
        <v>0</v>
      </c>
      <c r="R7" s="21">
        <v>0</v>
      </c>
      <c r="S7" s="21">
        <v>0</v>
      </c>
      <c r="T7" s="21">
        <v>0</v>
      </c>
      <c r="U7" s="21">
        <v>0</v>
      </c>
      <c r="V7" s="21">
        <v>0</v>
      </c>
      <c r="W7" s="21">
        <v>0</v>
      </c>
      <c r="X7" s="21">
        <v>0</v>
      </c>
      <c r="Y7" s="21">
        <v>0</v>
      </c>
      <c r="Z7" s="21">
        <v>0</v>
      </c>
      <c r="AA7" s="21">
        <v>0</v>
      </c>
      <c r="AB7" s="21">
        <v>0</v>
      </c>
      <c r="AC7" s="21">
        <v>0</v>
      </c>
      <c r="AD7" s="21">
        <v>0</v>
      </c>
      <c r="AE7" s="21">
        <v>0</v>
      </c>
      <c r="AF7" s="21">
        <v>0</v>
      </c>
      <c r="AG7" s="21">
        <v>0</v>
      </c>
      <c r="AH7" s="21">
        <v>0</v>
      </c>
      <c r="AI7" s="21">
        <v>0</v>
      </c>
      <c r="AJ7" s="21">
        <v>0</v>
      </c>
      <c r="AK7" s="21">
        <v>0</v>
      </c>
      <c r="AL7" s="21">
        <v>0</v>
      </c>
      <c r="AM7" s="21">
        <v>0</v>
      </c>
      <c r="AN7" s="21">
        <v>0</v>
      </c>
      <c r="AO7" s="21">
        <v>0</v>
      </c>
      <c r="AP7" s="21">
        <v>0</v>
      </c>
      <c r="AQ7" s="21">
        <v>0</v>
      </c>
      <c r="AR7" s="21">
        <v>0</v>
      </c>
      <c r="AS7" s="21">
        <v>0</v>
      </c>
      <c r="AT7" s="21">
        <v>0</v>
      </c>
      <c r="AU7" s="21">
        <v>0</v>
      </c>
      <c r="AV7" s="21">
        <v>1</v>
      </c>
      <c r="AW7" s="21">
        <v>0</v>
      </c>
      <c r="AX7" s="21">
        <v>0</v>
      </c>
      <c r="AY7" s="21">
        <v>0</v>
      </c>
      <c r="AZ7" s="21">
        <v>0</v>
      </c>
      <c r="BA7" s="21">
        <v>0</v>
      </c>
      <c r="BB7" s="21">
        <v>0</v>
      </c>
      <c r="BC7" s="21">
        <v>0</v>
      </c>
      <c r="BD7" s="21">
        <v>0</v>
      </c>
      <c r="BE7" s="21">
        <v>0</v>
      </c>
      <c r="BF7" s="21">
        <v>0</v>
      </c>
      <c r="BG7" s="21">
        <v>0</v>
      </c>
      <c r="BI7" s="3"/>
      <c r="BJ7" s="3"/>
      <c r="BK7" s="3"/>
      <c r="BL7" s="3"/>
      <c r="BM7" s="3"/>
      <c r="BN7" s="3"/>
      <c r="BO7" s="3"/>
    </row>
    <row r="8" spans="1:1022" ht="16.5" customHeight="1" x14ac:dyDescent="0.2">
      <c r="A8" s="15" t="s">
        <v>213</v>
      </c>
      <c r="B8" s="21">
        <v>0</v>
      </c>
      <c r="C8" s="21">
        <v>0</v>
      </c>
      <c r="D8" s="21">
        <v>0</v>
      </c>
      <c r="E8" s="21">
        <v>77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>
        <v>0</v>
      </c>
      <c r="O8" s="21">
        <v>0</v>
      </c>
      <c r="P8" s="21">
        <v>0</v>
      </c>
      <c r="Q8" s="21">
        <v>0</v>
      </c>
      <c r="R8" s="21">
        <v>0</v>
      </c>
      <c r="S8" s="21">
        <v>0</v>
      </c>
      <c r="T8" s="21">
        <v>0</v>
      </c>
      <c r="U8" s="21">
        <v>0</v>
      </c>
      <c r="V8" s="21">
        <v>0</v>
      </c>
      <c r="W8" s="21">
        <v>0</v>
      </c>
      <c r="X8" s="21">
        <v>0</v>
      </c>
      <c r="Y8" s="21">
        <v>0</v>
      </c>
      <c r="Z8" s="21">
        <v>0</v>
      </c>
      <c r="AA8" s="21">
        <v>0</v>
      </c>
      <c r="AB8" s="21">
        <v>0</v>
      </c>
      <c r="AC8" s="21">
        <v>0</v>
      </c>
      <c r="AD8" s="21">
        <v>0</v>
      </c>
      <c r="AE8" s="21">
        <v>0</v>
      </c>
      <c r="AF8" s="21">
        <v>0</v>
      </c>
      <c r="AG8" s="21">
        <v>0</v>
      </c>
      <c r="AH8" s="21">
        <v>0</v>
      </c>
      <c r="AI8" s="21">
        <v>0</v>
      </c>
      <c r="AJ8" s="21">
        <v>0</v>
      </c>
      <c r="AK8" s="21">
        <v>0</v>
      </c>
      <c r="AL8" s="21">
        <v>0</v>
      </c>
      <c r="AM8" s="21">
        <v>0</v>
      </c>
      <c r="AN8" s="21">
        <v>0</v>
      </c>
      <c r="AO8" s="21">
        <v>0</v>
      </c>
      <c r="AP8" s="21">
        <v>0</v>
      </c>
      <c r="AQ8" s="21">
        <v>0</v>
      </c>
      <c r="AR8" s="21">
        <v>0</v>
      </c>
      <c r="AS8" s="21">
        <v>0</v>
      </c>
      <c r="AT8" s="21">
        <v>0</v>
      </c>
      <c r="AU8" s="21">
        <v>0</v>
      </c>
      <c r="AV8" s="21">
        <v>3</v>
      </c>
      <c r="AW8" s="21">
        <v>0</v>
      </c>
      <c r="AX8" s="21">
        <v>0</v>
      </c>
      <c r="AY8" s="21">
        <v>0</v>
      </c>
      <c r="AZ8" s="21">
        <v>0</v>
      </c>
      <c r="BA8" s="21">
        <v>0</v>
      </c>
      <c r="BB8" s="21">
        <v>0</v>
      </c>
      <c r="BC8" s="21">
        <v>0</v>
      </c>
      <c r="BD8" s="21">
        <v>0</v>
      </c>
      <c r="BE8" s="21">
        <v>0</v>
      </c>
      <c r="BF8" s="21">
        <v>0</v>
      </c>
      <c r="BG8" s="21">
        <v>0</v>
      </c>
      <c r="BI8" s="3"/>
      <c r="BJ8" s="3"/>
      <c r="BK8" s="3"/>
      <c r="BL8" s="3"/>
      <c r="BM8" s="3"/>
      <c r="BN8" s="3"/>
      <c r="BO8" s="3"/>
    </row>
    <row r="9" spans="1:1022" ht="16.5" customHeight="1" x14ac:dyDescent="0.2">
      <c r="A9" s="15" t="s">
        <v>214</v>
      </c>
      <c r="B9" s="21">
        <v>0</v>
      </c>
      <c r="C9" s="21">
        <v>0</v>
      </c>
      <c r="D9" s="21">
        <v>0</v>
      </c>
      <c r="E9" s="21">
        <v>59</v>
      </c>
      <c r="F9" s="21">
        <v>0</v>
      </c>
      <c r="G9" s="21">
        <v>0</v>
      </c>
      <c r="H9" s="21">
        <v>0</v>
      </c>
      <c r="I9" s="21">
        <v>2</v>
      </c>
      <c r="J9" s="21">
        <v>0</v>
      </c>
      <c r="K9" s="21">
        <v>0</v>
      </c>
      <c r="L9" s="21">
        <v>0</v>
      </c>
      <c r="M9" s="21">
        <v>0</v>
      </c>
      <c r="N9" s="21">
        <v>0</v>
      </c>
      <c r="O9" s="21">
        <v>0</v>
      </c>
      <c r="P9" s="21">
        <v>0</v>
      </c>
      <c r="Q9" s="21">
        <v>0</v>
      </c>
      <c r="R9" s="21">
        <v>0</v>
      </c>
      <c r="S9" s="21">
        <v>0</v>
      </c>
      <c r="T9" s="21">
        <v>0</v>
      </c>
      <c r="U9" s="21">
        <v>0</v>
      </c>
      <c r="V9" s="21">
        <v>0</v>
      </c>
      <c r="W9" s="21">
        <v>0</v>
      </c>
      <c r="X9" s="21">
        <v>0</v>
      </c>
      <c r="Y9" s="21">
        <v>0</v>
      </c>
      <c r="Z9" s="21">
        <v>0</v>
      </c>
      <c r="AA9" s="21">
        <v>0</v>
      </c>
      <c r="AB9" s="21">
        <v>0</v>
      </c>
      <c r="AC9" s="21">
        <v>0</v>
      </c>
      <c r="AD9" s="21">
        <v>0</v>
      </c>
      <c r="AE9" s="21">
        <v>0</v>
      </c>
      <c r="AF9" s="21">
        <v>0</v>
      </c>
      <c r="AG9" s="21">
        <v>0</v>
      </c>
      <c r="AH9" s="21">
        <v>0</v>
      </c>
      <c r="AI9" s="21">
        <v>0</v>
      </c>
      <c r="AJ9" s="21">
        <v>0</v>
      </c>
      <c r="AK9" s="21">
        <v>0</v>
      </c>
      <c r="AL9" s="21">
        <v>0</v>
      </c>
      <c r="AM9" s="21">
        <v>0</v>
      </c>
      <c r="AN9" s="21">
        <v>0</v>
      </c>
      <c r="AO9" s="21">
        <v>0</v>
      </c>
      <c r="AP9" s="21">
        <v>0</v>
      </c>
      <c r="AQ9" s="21">
        <v>0</v>
      </c>
      <c r="AR9" s="21">
        <v>0</v>
      </c>
      <c r="AS9" s="21">
        <v>0</v>
      </c>
      <c r="AT9" s="21">
        <v>0</v>
      </c>
      <c r="AU9" s="21">
        <v>0</v>
      </c>
      <c r="AV9" s="21">
        <v>1</v>
      </c>
      <c r="AW9" s="21">
        <v>0</v>
      </c>
      <c r="AX9" s="21">
        <v>0</v>
      </c>
      <c r="AY9" s="21">
        <v>0</v>
      </c>
      <c r="AZ9" s="21">
        <v>0</v>
      </c>
      <c r="BA9" s="21">
        <v>0</v>
      </c>
      <c r="BB9" s="21">
        <v>0</v>
      </c>
      <c r="BC9" s="21">
        <v>0</v>
      </c>
      <c r="BD9" s="21">
        <v>0</v>
      </c>
      <c r="BE9" s="21">
        <v>0</v>
      </c>
      <c r="BF9" s="21">
        <v>0</v>
      </c>
      <c r="BG9" s="21">
        <v>0</v>
      </c>
      <c r="BI9" s="3"/>
      <c r="BJ9" s="3"/>
      <c r="BK9" s="3"/>
      <c r="BL9" s="3"/>
      <c r="BM9" s="3"/>
      <c r="BN9" s="3"/>
      <c r="BO9" s="3"/>
    </row>
    <row r="10" spans="1:1022" ht="16.5" customHeight="1" x14ac:dyDescent="0.2">
      <c r="A10" s="15" t="s">
        <v>215</v>
      </c>
      <c r="B10" s="21">
        <v>0</v>
      </c>
      <c r="C10" s="21">
        <v>0</v>
      </c>
      <c r="D10" s="21">
        <v>0</v>
      </c>
      <c r="E10" s="21">
        <v>44</v>
      </c>
      <c r="F10" s="21">
        <v>0</v>
      </c>
      <c r="G10" s="21">
        <v>0</v>
      </c>
      <c r="H10" s="21">
        <v>0</v>
      </c>
      <c r="I10" s="21">
        <v>0</v>
      </c>
      <c r="J10" s="21">
        <v>0</v>
      </c>
      <c r="K10" s="21">
        <v>0</v>
      </c>
      <c r="L10" s="21">
        <v>0</v>
      </c>
      <c r="M10" s="21">
        <v>0</v>
      </c>
      <c r="N10" s="21">
        <v>0</v>
      </c>
      <c r="O10" s="21">
        <v>0</v>
      </c>
      <c r="P10" s="21">
        <v>0</v>
      </c>
      <c r="Q10" s="21">
        <v>0</v>
      </c>
      <c r="R10" s="21">
        <v>0</v>
      </c>
      <c r="S10" s="21">
        <v>0</v>
      </c>
      <c r="T10" s="21">
        <v>0</v>
      </c>
      <c r="U10" s="21">
        <v>0</v>
      </c>
      <c r="V10" s="21">
        <v>0</v>
      </c>
      <c r="W10" s="21">
        <v>0</v>
      </c>
      <c r="X10" s="21">
        <v>0</v>
      </c>
      <c r="Y10" s="21">
        <v>0</v>
      </c>
      <c r="Z10" s="21">
        <v>0</v>
      </c>
      <c r="AA10" s="21">
        <v>0</v>
      </c>
      <c r="AB10" s="21">
        <v>0</v>
      </c>
      <c r="AC10" s="21">
        <v>0</v>
      </c>
      <c r="AD10" s="21">
        <v>0</v>
      </c>
      <c r="AE10" s="21">
        <v>0</v>
      </c>
      <c r="AF10" s="21">
        <v>0</v>
      </c>
      <c r="AG10" s="21">
        <v>0</v>
      </c>
      <c r="AH10" s="21">
        <v>0</v>
      </c>
      <c r="AI10" s="21">
        <v>0</v>
      </c>
      <c r="AJ10" s="21">
        <v>0</v>
      </c>
      <c r="AK10" s="21">
        <v>0</v>
      </c>
      <c r="AL10" s="21">
        <v>0</v>
      </c>
      <c r="AM10" s="21">
        <v>0</v>
      </c>
      <c r="AN10" s="21">
        <v>0</v>
      </c>
      <c r="AO10" s="21">
        <v>0</v>
      </c>
      <c r="AP10" s="21">
        <v>0</v>
      </c>
      <c r="AQ10" s="21">
        <v>0</v>
      </c>
      <c r="AR10" s="21">
        <v>0</v>
      </c>
      <c r="AS10" s="21">
        <v>0</v>
      </c>
      <c r="AT10" s="21">
        <v>0</v>
      </c>
      <c r="AU10" s="21">
        <v>0</v>
      </c>
      <c r="AV10" s="21">
        <v>2</v>
      </c>
      <c r="AW10" s="21">
        <v>0</v>
      </c>
      <c r="AX10" s="21">
        <v>1</v>
      </c>
      <c r="AY10" s="21">
        <v>0</v>
      </c>
      <c r="AZ10" s="21">
        <v>1</v>
      </c>
      <c r="BA10" s="21">
        <v>0</v>
      </c>
      <c r="BB10" s="21">
        <v>0</v>
      </c>
      <c r="BC10" s="21">
        <v>0</v>
      </c>
      <c r="BD10" s="21">
        <v>0</v>
      </c>
      <c r="BE10" s="21">
        <v>0</v>
      </c>
      <c r="BF10" s="21">
        <v>0</v>
      </c>
      <c r="BG10" s="21">
        <v>0</v>
      </c>
      <c r="BI10" s="3"/>
      <c r="BJ10" s="3"/>
      <c r="BK10" s="3"/>
      <c r="BL10" s="3"/>
      <c r="BM10" s="3"/>
      <c r="BN10" s="3"/>
      <c r="BO10" s="3"/>
    </row>
    <row r="11" spans="1:1022" ht="16.5" customHeight="1" x14ac:dyDescent="0.2">
      <c r="A11" s="15" t="s">
        <v>216</v>
      </c>
      <c r="B11" s="21">
        <v>0</v>
      </c>
      <c r="C11" s="21">
        <v>0</v>
      </c>
      <c r="D11" s="21">
        <v>0</v>
      </c>
      <c r="E11" s="21">
        <v>43</v>
      </c>
      <c r="F11" s="21">
        <v>0</v>
      </c>
      <c r="G11" s="21">
        <v>0</v>
      </c>
      <c r="H11" s="21">
        <v>0</v>
      </c>
      <c r="I11" s="21">
        <v>0</v>
      </c>
      <c r="J11" s="21">
        <v>0</v>
      </c>
      <c r="K11" s="21">
        <v>0</v>
      </c>
      <c r="L11" s="21">
        <v>0</v>
      </c>
      <c r="M11" s="21">
        <v>0</v>
      </c>
      <c r="N11" s="21">
        <v>0</v>
      </c>
      <c r="O11" s="21">
        <v>0</v>
      </c>
      <c r="P11" s="21">
        <v>0</v>
      </c>
      <c r="Q11" s="21">
        <v>0</v>
      </c>
      <c r="R11" s="21">
        <v>0</v>
      </c>
      <c r="S11" s="21">
        <v>1</v>
      </c>
      <c r="T11" s="21">
        <v>0</v>
      </c>
      <c r="U11" s="21">
        <v>0</v>
      </c>
      <c r="V11" s="21">
        <v>0</v>
      </c>
      <c r="W11" s="21">
        <v>0</v>
      </c>
      <c r="X11" s="21">
        <v>0</v>
      </c>
      <c r="Y11" s="21">
        <v>0</v>
      </c>
      <c r="Z11" s="21">
        <v>0</v>
      </c>
      <c r="AA11" s="21">
        <v>0</v>
      </c>
      <c r="AB11" s="21">
        <v>0</v>
      </c>
      <c r="AC11" s="21">
        <v>0</v>
      </c>
      <c r="AD11" s="21">
        <v>0</v>
      </c>
      <c r="AE11" s="21">
        <v>0</v>
      </c>
      <c r="AF11" s="21">
        <v>1</v>
      </c>
      <c r="AG11" s="21">
        <v>0</v>
      </c>
      <c r="AH11" s="21">
        <v>0</v>
      </c>
      <c r="AI11" s="21">
        <v>0</v>
      </c>
      <c r="AJ11" s="21">
        <v>0</v>
      </c>
      <c r="AK11" s="21">
        <v>0</v>
      </c>
      <c r="AL11" s="21">
        <v>0</v>
      </c>
      <c r="AM11" s="21">
        <v>0</v>
      </c>
      <c r="AN11" s="21">
        <v>0</v>
      </c>
      <c r="AO11" s="21">
        <v>0</v>
      </c>
      <c r="AP11" s="21">
        <v>0</v>
      </c>
      <c r="AQ11" s="21">
        <v>0</v>
      </c>
      <c r="AR11" s="21">
        <v>0</v>
      </c>
      <c r="AS11" s="21">
        <v>0</v>
      </c>
      <c r="AT11" s="21">
        <v>0</v>
      </c>
      <c r="AU11" s="21">
        <v>0</v>
      </c>
      <c r="AV11" s="21">
        <v>4</v>
      </c>
      <c r="AW11" s="21">
        <v>0</v>
      </c>
      <c r="AX11" s="21">
        <v>0</v>
      </c>
      <c r="AY11" s="21">
        <v>0</v>
      </c>
      <c r="AZ11" s="21">
        <v>1</v>
      </c>
      <c r="BA11" s="21">
        <v>0</v>
      </c>
      <c r="BB11" s="21">
        <v>0</v>
      </c>
      <c r="BC11" s="21">
        <v>0</v>
      </c>
      <c r="BD11" s="21">
        <v>0</v>
      </c>
      <c r="BE11" s="21">
        <v>0</v>
      </c>
      <c r="BF11" s="21">
        <v>0</v>
      </c>
      <c r="BG11" s="21">
        <v>0</v>
      </c>
      <c r="BI11" s="3"/>
      <c r="BJ11" s="3"/>
      <c r="BK11" s="3"/>
      <c r="BL11" s="3"/>
      <c r="BM11" s="3"/>
      <c r="BN11" s="3"/>
      <c r="BO11" s="3"/>
    </row>
    <row r="12" spans="1:1022" ht="16.5" customHeight="1" x14ac:dyDescent="0.2">
      <c r="A12" s="15" t="s">
        <v>217</v>
      </c>
      <c r="B12" s="21">
        <v>1</v>
      </c>
      <c r="C12" s="21">
        <v>0</v>
      </c>
      <c r="D12" s="21">
        <v>0</v>
      </c>
      <c r="E12" s="21">
        <v>69</v>
      </c>
      <c r="F12" s="21">
        <v>0</v>
      </c>
      <c r="G12" s="21">
        <v>0</v>
      </c>
      <c r="H12" s="21">
        <v>1</v>
      </c>
      <c r="I12" s="21">
        <v>76</v>
      </c>
      <c r="J12" s="21">
        <v>0</v>
      </c>
      <c r="K12" s="21">
        <v>0</v>
      </c>
      <c r="L12" s="21">
        <v>0</v>
      </c>
      <c r="M12" s="21">
        <v>0</v>
      </c>
      <c r="N12" s="21">
        <v>0</v>
      </c>
      <c r="O12" s="21">
        <v>0</v>
      </c>
      <c r="P12" s="21">
        <v>1</v>
      </c>
      <c r="Q12" s="21">
        <v>1</v>
      </c>
      <c r="R12" s="21">
        <v>0</v>
      </c>
      <c r="S12" s="21">
        <v>0</v>
      </c>
      <c r="T12" s="21">
        <v>0</v>
      </c>
      <c r="U12" s="21">
        <v>0</v>
      </c>
      <c r="V12" s="21">
        <v>0</v>
      </c>
      <c r="W12" s="21">
        <v>0</v>
      </c>
      <c r="X12" s="21">
        <v>1</v>
      </c>
      <c r="Y12" s="21">
        <v>1</v>
      </c>
      <c r="Z12" s="21">
        <v>0</v>
      </c>
      <c r="AA12" s="21">
        <v>4</v>
      </c>
      <c r="AB12" s="21">
        <v>0</v>
      </c>
      <c r="AC12" s="21">
        <v>0</v>
      </c>
      <c r="AD12" s="21">
        <v>0</v>
      </c>
      <c r="AE12" s="21">
        <v>0</v>
      </c>
      <c r="AF12" s="21">
        <v>0</v>
      </c>
      <c r="AG12" s="21">
        <v>0</v>
      </c>
      <c r="AH12" s="21">
        <v>0</v>
      </c>
      <c r="AI12" s="21">
        <v>0</v>
      </c>
      <c r="AJ12" s="21">
        <v>0</v>
      </c>
      <c r="AK12" s="21">
        <v>0</v>
      </c>
      <c r="AL12" s="21">
        <v>3</v>
      </c>
      <c r="AM12" s="21">
        <v>2</v>
      </c>
      <c r="AN12" s="21">
        <v>0</v>
      </c>
      <c r="AO12" s="21">
        <v>0</v>
      </c>
      <c r="AP12" s="21">
        <v>0</v>
      </c>
      <c r="AQ12" s="21">
        <v>0</v>
      </c>
      <c r="AR12" s="21">
        <v>0</v>
      </c>
      <c r="AS12" s="21">
        <v>0</v>
      </c>
      <c r="AT12" s="21">
        <v>0</v>
      </c>
      <c r="AU12" s="21">
        <v>1</v>
      </c>
      <c r="AV12" s="21">
        <v>15</v>
      </c>
      <c r="AW12" s="21">
        <v>0</v>
      </c>
      <c r="AX12" s="21">
        <v>9</v>
      </c>
      <c r="AY12" s="21">
        <v>0</v>
      </c>
      <c r="AZ12" s="21">
        <v>0</v>
      </c>
      <c r="BA12" s="21">
        <v>0</v>
      </c>
      <c r="BB12" s="21">
        <v>1</v>
      </c>
      <c r="BC12" s="21">
        <v>0</v>
      </c>
      <c r="BD12" s="21">
        <v>0</v>
      </c>
      <c r="BE12" s="21">
        <v>0</v>
      </c>
      <c r="BF12" s="21">
        <v>0</v>
      </c>
      <c r="BG12" s="21">
        <v>0</v>
      </c>
      <c r="BI12" s="3"/>
      <c r="BJ12" s="3"/>
      <c r="BK12" s="3"/>
      <c r="BL12" s="3"/>
      <c r="BM12" s="3"/>
      <c r="BN12" s="3"/>
      <c r="BO12" s="3"/>
    </row>
    <row r="13" spans="1:1022" ht="16.5" customHeight="1" x14ac:dyDescent="0.2">
      <c r="A13" s="15" t="s">
        <v>218</v>
      </c>
      <c r="B13" s="21">
        <v>6</v>
      </c>
      <c r="C13" s="21">
        <v>0</v>
      </c>
      <c r="D13" s="21">
        <v>0</v>
      </c>
      <c r="E13" s="21">
        <v>50</v>
      </c>
      <c r="F13" s="21">
        <v>0</v>
      </c>
      <c r="G13" s="21">
        <v>0</v>
      </c>
      <c r="H13" s="21">
        <v>0</v>
      </c>
      <c r="I13" s="21">
        <v>77</v>
      </c>
      <c r="J13" s="21">
        <v>0</v>
      </c>
      <c r="K13" s="21">
        <v>0</v>
      </c>
      <c r="L13" s="21">
        <v>0</v>
      </c>
      <c r="M13" s="21">
        <v>0</v>
      </c>
      <c r="N13" s="21">
        <v>0</v>
      </c>
      <c r="O13" s="21">
        <v>0</v>
      </c>
      <c r="P13" s="21">
        <v>0</v>
      </c>
      <c r="Q13" s="21">
        <v>0</v>
      </c>
      <c r="R13" s="21">
        <v>0</v>
      </c>
      <c r="S13" s="21">
        <v>8</v>
      </c>
      <c r="T13" s="21">
        <v>0</v>
      </c>
      <c r="U13" s="21">
        <v>4</v>
      </c>
      <c r="V13" s="21">
        <v>0</v>
      </c>
      <c r="W13" s="21">
        <v>0</v>
      </c>
      <c r="X13" s="21">
        <v>0</v>
      </c>
      <c r="Y13" s="21">
        <v>0</v>
      </c>
      <c r="Z13" s="21">
        <v>2</v>
      </c>
      <c r="AA13" s="21">
        <v>2</v>
      </c>
      <c r="AB13" s="21">
        <v>0</v>
      </c>
      <c r="AC13" s="21">
        <v>0</v>
      </c>
      <c r="AD13" s="21">
        <v>0</v>
      </c>
      <c r="AE13" s="21">
        <v>1</v>
      </c>
      <c r="AF13" s="21">
        <v>0</v>
      </c>
      <c r="AG13" s="21">
        <v>0</v>
      </c>
      <c r="AH13" s="21">
        <v>0</v>
      </c>
      <c r="AI13" s="21">
        <v>0</v>
      </c>
      <c r="AJ13" s="21">
        <v>2</v>
      </c>
      <c r="AK13" s="21">
        <v>0</v>
      </c>
      <c r="AL13" s="21">
        <v>1</v>
      </c>
      <c r="AM13" s="21">
        <v>0</v>
      </c>
      <c r="AN13" s="21">
        <v>0</v>
      </c>
      <c r="AO13" s="21">
        <v>0</v>
      </c>
      <c r="AP13" s="21">
        <v>0</v>
      </c>
      <c r="AQ13" s="21">
        <v>0</v>
      </c>
      <c r="AR13" s="21">
        <v>0</v>
      </c>
      <c r="AS13" s="21">
        <v>0</v>
      </c>
      <c r="AT13" s="21">
        <v>0</v>
      </c>
      <c r="AU13" s="21">
        <v>0</v>
      </c>
      <c r="AV13" s="21">
        <v>60</v>
      </c>
      <c r="AW13" s="21">
        <v>0</v>
      </c>
      <c r="AX13" s="21">
        <v>4</v>
      </c>
      <c r="AY13" s="21">
        <v>0</v>
      </c>
      <c r="AZ13" s="21">
        <v>0</v>
      </c>
      <c r="BA13" s="21">
        <v>0</v>
      </c>
      <c r="BB13" s="21">
        <v>0</v>
      </c>
      <c r="BC13" s="21">
        <v>0</v>
      </c>
      <c r="BD13" s="21">
        <v>0</v>
      </c>
      <c r="BE13" s="21">
        <v>0</v>
      </c>
      <c r="BF13" s="21">
        <v>0</v>
      </c>
      <c r="BG13" s="21">
        <v>0</v>
      </c>
      <c r="BI13" s="3"/>
      <c r="BJ13" s="3"/>
      <c r="BK13" s="3"/>
      <c r="BL13" s="3"/>
      <c r="BM13" s="3"/>
      <c r="BN13" s="3"/>
      <c r="BO13" s="3"/>
    </row>
    <row r="14" spans="1:1022" ht="16.5" customHeight="1" x14ac:dyDescent="0.2">
      <c r="A14" s="15" t="s">
        <v>219</v>
      </c>
      <c r="B14" s="21">
        <v>1</v>
      </c>
      <c r="C14" s="21">
        <v>0</v>
      </c>
      <c r="D14" s="21">
        <v>0</v>
      </c>
      <c r="E14" s="21">
        <v>51</v>
      </c>
      <c r="F14" s="21">
        <v>0</v>
      </c>
      <c r="G14" s="21">
        <v>0</v>
      </c>
      <c r="H14" s="21">
        <v>0</v>
      </c>
      <c r="I14" s="21">
        <v>3</v>
      </c>
      <c r="J14" s="21">
        <v>0</v>
      </c>
      <c r="K14" s="21">
        <v>0</v>
      </c>
      <c r="L14" s="21">
        <v>0</v>
      </c>
      <c r="M14" s="21">
        <v>0</v>
      </c>
      <c r="N14" s="21">
        <v>0</v>
      </c>
      <c r="O14" s="21">
        <v>0</v>
      </c>
      <c r="P14" s="21">
        <v>0</v>
      </c>
      <c r="Q14" s="21">
        <v>0</v>
      </c>
      <c r="R14" s="21">
        <v>0</v>
      </c>
      <c r="S14" s="21">
        <v>2</v>
      </c>
      <c r="T14" s="21">
        <v>0</v>
      </c>
      <c r="U14" s="21">
        <v>1</v>
      </c>
      <c r="V14" s="21">
        <v>1</v>
      </c>
      <c r="W14" s="21">
        <v>0</v>
      </c>
      <c r="X14" s="21">
        <v>0</v>
      </c>
      <c r="Y14" s="21">
        <v>0</v>
      </c>
      <c r="Z14" s="21">
        <v>0</v>
      </c>
      <c r="AA14" s="21">
        <v>4</v>
      </c>
      <c r="AB14" s="21">
        <v>1</v>
      </c>
      <c r="AC14" s="21">
        <v>0</v>
      </c>
      <c r="AD14" s="21">
        <v>2</v>
      </c>
      <c r="AE14" s="21">
        <v>1</v>
      </c>
      <c r="AF14" s="21">
        <v>0</v>
      </c>
      <c r="AG14" s="21">
        <v>0</v>
      </c>
      <c r="AH14" s="21">
        <v>0</v>
      </c>
      <c r="AI14" s="21">
        <v>0</v>
      </c>
      <c r="AJ14" s="21">
        <v>0</v>
      </c>
      <c r="AK14" s="21">
        <v>0</v>
      </c>
      <c r="AL14" s="21">
        <v>0</v>
      </c>
      <c r="AM14" s="21">
        <v>0</v>
      </c>
      <c r="AN14" s="21">
        <v>0</v>
      </c>
      <c r="AO14" s="21">
        <v>0</v>
      </c>
      <c r="AP14" s="21">
        <v>1</v>
      </c>
      <c r="AQ14" s="21">
        <v>0</v>
      </c>
      <c r="AR14" s="21">
        <v>0</v>
      </c>
      <c r="AS14" s="21">
        <v>0</v>
      </c>
      <c r="AT14" s="21">
        <v>0</v>
      </c>
      <c r="AU14" s="21">
        <v>0</v>
      </c>
      <c r="AV14" s="21">
        <v>15</v>
      </c>
      <c r="AW14" s="21">
        <v>0</v>
      </c>
      <c r="AX14" s="21">
        <v>1</v>
      </c>
      <c r="AY14" s="21">
        <v>0</v>
      </c>
      <c r="AZ14" s="21">
        <v>0</v>
      </c>
      <c r="BA14" s="21">
        <v>0</v>
      </c>
      <c r="BB14" s="21">
        <v>0</v>
      </c>
      <c r="BC14" s="21">
        <v>0</v>
      </c>
      <c r="BD14" s="21">
        <v>0</v>
      </c>
      <c r="BE14" s="21">
        <v>0</v>
      </c>
      <c r="BF14" s="21">
        <v>0</v>
      </c>
      <c r="BG14" s="21">
        <v>0</v>
      </c>
      <c r="BI14" s="3"/>
      <c r="BJ14" s="3"/>
      <c r="BK14" s="3"/>
      <c r="BL14" s="3"/>
      <c r="BM14" s="3"/>
      <c r="BN14" s="3"/>
      <c r="BO14" s="3"/>
    </row>
    <row r="15" spans="1:1022" ht="16.5" customHeight="1" x14ac:dyDescent="0.2">
      <c r="A15" s="15" t="s">
        <v>220</v>
      </c>
      <c r="B15" s="21">
        <v>0</v>
      </c>
      <c r="C15" s="21">
        <v>0</v>
      </c>
      <c r="D15" s="21">
        <v>0</v>
      </c>
      <c r="E15" s="21">
        <v>35</v>
      </c>
      <c r="F15" s="21">
        <v>0</v>
      </c>
      <c r="G15" s="21">
        <v>0</v>
      </c>
      <c r="H15" s="21">
        <v>0</v>
      </c>
      <c r="I15" s="21">
        <v>1</v>
      </c>
      <c r="J15" s="21">
        <v>0</v>
      </c>
      <c r="K15" s="21">
        <v>0</v>
      </c>
      <c r="L15" s="21">
        <v>0</v>
      </c>
      <c r="M15" s="21">
        <v>0</v>
      </c>
      <c r="N15" s="21">
        <v>0</v>
      </c>
      <c r="O15" s="21">
        <v>0</v>
      </c>
      <c r="P15" s="21">
        <v>0</v>
      </c>
      <c r="Q15" s="21">
        <v>0</v>
      </c>
      <c r="R15" s="21">
        <v>0</v>
      </c>
      <c r="S15" s="21">
        <v>0</v>
      </c>
      <c r="T15" s="21">
        <v>0</v>
      </c>
      <c r="U15" s="21">
        <v>1</v>
      </c>
      <c r="V15" s="21">
        <v>0</v>
      </c>
      <c r="W15" s="21">
        <v>0</v>
      </c>
      <c r="X15" s="21">
        <v>0</v>
      </c>
      <c r="Y15" s="21">
        <v>0</v>
      </c>
      <c r="Z15" s="21">
        <v>1</v>
      </c>
      <c r="AA15" s="21">
        <v>0</v>
      </c>
      <c r="AB15" s="21">
        <v>0</v>
      </c>
      <c r="AC15" s="21">
        <v>0</v>
      </c>
      <c r="AD15" s="21">
        <v>0</v>
      </c>
      <c r="AE15" s="21">
        <v>0</v>
      </c>
      <c r="AF15" s="21">
        <v>0</v>
      </c>
      <c r="AG15" s="21">
        <v>0</v>
      </c>
      <c r="AH15" s="21">
        <v>0</v>
      </c>
      <c r="AI15" s="21">
        <v>0</v>
      </c>
      <c r="AJ15" s="21">
        <v>1</v>
      </c>
      <c r="AK15" s="21">
        <v>0</v>
      </c>
      <c r="AL15" s="21">
        <v>0</v>
      </c>
      <c r="AM15" s="21">
        <v>0</v>
      </c>
      <c r="AN15" s="21">
        <v>0</v>
      </c>
      <c r="AO15" s="21">
        <v>0</v>
      </c>
      <c r="AP15" s="21">
        <v>0</v>
      </c>
      <c r="AQ15" s="21">
        <v>0</v>
      </c>
      <c r="AR15" s="21">
        <v>0</v>
      </c>
      <c r="AS15" s="21">
        <v>0</v>
      </c>
      <c r="AT15" s="21">
        <v>0</v>
      </c>
      <c r="AU15" s="21">
        <v>0</v>
      </c>
      <c r="AV15" s="21">
        <v>3</v>
      </c>
      <c r="AW15" s="21">
        <v>0</v>
      </c>
      <c r="AX15" s="21">
        <v>0</v>
      </c>
      <c r="AY15" s="21">
        <v>1</v>
      </c>
      <c r="AZ15" s="21">
        <v>0</v>
      </c>
      <c r="BA15" s="21">
        <v>0</v>
      </c>
      <c r="BB15" s="21">
        <v>0</v>
      </c>
      <c r="BC15" s="21">
        <v>0</v>
      </c>
      <c r="BD15" s="21">
        <v>0</v>
      </c>
      <c r="BE15" s="21">
        <v>0</v>
      </c>
      <c r="BF15" s="21">
        <v>0</v>
      </c>
      <c r="BG15" s="21">
        <v>0</v>
      </c>
      <c r="BI15" s="3"/>
      <c r="BJ15" s="3"/>
      <c r="BK15" s="3"/>
      <c r="BL15" s="3"/>
      <c r="BM15" s="3"/>
      <c r="BN15" s="3"/>
      <c r="BO15" s="3"/>
    </row>
    <row r="16" spans="1:1022" ht="16.5" customHeight="1" x14ac:dyDescent="0.2">
      <c r="A16" s="15" t="s">
        <v>221</v>
      </c>
      <c r="B16" s="21">
        <v>0</v>
      </c>
      <c r="C16" s="21">
        <v>0</v>
      </c>
      <c r="D16" s="21">
        <v>0</v>
      </c>
      <c r="E16" s="21">
        <v>104</v>
      </c>
      <c r="F16" s="21">
        <v>0</v>
      </c>
      <c r="G16" s="21">
        <v>0</v>
      </c>
      <c r="H16" s="21">
        <v>0</v>
      </c>
      <c r="I16" s="21">
        <v>0</v>
      </c>
      <c r="J16" s="21">
        <v>0</v>
      </c>
      <c r="K16" s="21">
        <v>0</v>
      </c>
      <c r="L16" s="21">
        <v>0</v>
      </c>
      <c r="M16" s="21">
        <v>0</v>
      </c>
      <c r="N16" s="21">
        <v>0</v>
      </c>
      <c r="O16" s="21">
        <v>0</v>
      </c>
      <c r="P16" s="21">
        <v>0</v>
      </c>
      <c r="Q16" s="21">
        <v>0</v>
      </c>
      <c r="R16" s="21">
        <v>0</v>
      </c>
      <c r="S16" s="21">
        <v>3</v>
      </c>
      <c r="T16" s="21">
        <v>1</v>
      </c>
      <c r="U16" s="21">
        <v>0</v>
      </c>
      <c r="V16" s="21">
        <v>0</v>
      </c>
      <c r="W16" s="21">
        <v>0</v>
      </c>
      <c r="X16" s="21">
        <v>0</v>
      </c>
      <c r="Y16" s="21">
        <v>0</v>
      </c>
      <c r="Z16" s="21">
        <v>2</v>
      </c>
      <c r="AA16" s="21">
        <v>0</v>
      </c>
      <c r="AB16" s="21">
        <v>0</v>
      </c>
      <c r="AC16" s="21">
        <v>0</v>
      </c>
      <c r="AD16" s="21">
        <v>0</v>
      </c>
      <c r="AE16" s="21">
        <v>0</v>
      </c>
      <c r="AF16" s="21">
        <v>0</v>
      </c>
      <c r="AG16" s="21">
        <v>0</v>
      </c>
      <c r="AH16" s="21">
        <v>0</v>
      </c>
      <c r="AI16" s="21">
        <v>0</v>
      </c>
      <c r="AJ16" s="21">
        <v>2</v>
      </c>
      <c r="AK16" s="21">
        <v>0</v>
      </c>
      <c r="AL16" s="21">
        <v>0</v>
      </c>
      <c r="AM16" s="21">
        <v>0</v>
      </c>
      <c r="AN16" s="21">
        <v>0</v>
      </c>
      <c r="AO16" s="21">
        <v>0</v>
      </c>
      <c r="AP16" s="21">
        <v>0</v>
      </c>
      <c r="AQ16" s="21">
        <v>0</v>
      </c>
      <c r="AR16" s="21">
        <v>0</v>
      </c>
      <c r="AS16" s="21">
        <v>0</v>
      </c>
      <c r="AT16" s="21">
        <v>0</v>
      </c>
      <c r="AU16" s="21">
        <v>0</v>
      </c>
      <c r="AV16" s="21">
        <v>2</v>
      </c>
      <c r="AW16" s="21">
        <v>0</v>
      </c>
      <c r="AX16" s="21">
        <v>0</v>
      </c>
      <c r="AY16" s="21">
        <v>0</v>
      </c>
      <c r="AZ16" s="21">
        <v>5</v>
      </c>
      <c r="BA16" s="21">
        <v>0</v>
      </c>
      <c r="BB16" s="21">
        <v>0</v>
      </c>
      <c r="BC16" s="21">
        <v>0</v>
      </c>
      <c r="BD16" s="21">
        <v>0</v>
      </c>
      <c r="BE16" s="21">
        <v>0</v>
      </c>
      <c r="BF16" s="21">
        <v>0</v>
      </c>
      <c r="BG16" s="21">
        <v>0</v>
      </c>
      <c r="BI16" s="3"/>
      <c r="BJ16" s="3"/>
      <c r="BK16" s="3"/>
      <c r="BL16" s="3"/>
      <c r="BM16" s="3"/>
      <c r="BN16" s="3"/>
      <c r="BO16" s="3"/>
    </row>
    <row r="17" spans="1:67" ht="16.5" customHeight="1" x14ac:dyDescent="0.2">
      <c r="A17" s="15" t="s">
        <v>222</v>
      </c>
      <c r="B17" s="21">
        <v>0</v>
      </c>
      <c r="C17" s="21">
        <v>0</v>
      </c>
      <c r="D17" s="21">
        <v>0</v>
      </c>
      <c r="E17" s="21">
        <v>84</v>
      </c>
      <c r="F17" s="21">
        <v>0</v>
      </c>
      <c r="G17" s="21">
        <v>0</v>
      </c>
      <c r="H17" s="21">
        <v>2</v>
      </c>
      <c r="I17" s="21">
        <v>0</v>
      </c>
      <c r="J17" s="21">
        <v>1</v>
      </c>
      <c r="K17" s="21">
        <v>0</v>
      </c>
      <c r="L17" s="21">
        <v>0</v>
      </c>
      <c r="M17" s="21">
        <v>0</v>
      </c>
      <c r="N17" s="21">
        <v>0</v>
      </c>
      <c r="O17" s="21">
        <v>0</v>
      </c>
      <c r="P17" s="21">
        <v>0</v>
      </c>
      <c r="Q17" s="21">
        <v>0</v>
      </c>
      <c r="R17" s="21">
        <v>0</v>
      </c>
      <c r="S17" s="21">
        <v>4</v>
      </c>
      <c r="T17" s="21">
        <v>1</v>
      </c>
      <c r="U17" s="21">
        <v>0</v>
      </c>
      <c r="V17" s="21">
        <v>0</v>
      </c>
      <c r="W17" s="21">
        <v>0</v>
      </c>
      <c r="X17" s="21">
        <v>0</v>
      </c>
      <c r="Y17" s="21">
        <v>1</v>
      </c>
      <c r="Z17" s="21">
        <v>0</v>
      </c>
      <c r="AA17" s="21">
        <v>0</v>
      </c>
      <c r="AB17" s="21">
        <v>0</v>
      </c>
      <c r="AC17" s="21">
        <v>0</v>
      </c>
      <c r="AD17" s="21">
        <v>0</v>
      </c>
      <c r="AE17" s="21">
        <v>0</v>
      </c>
      <c r="AF17" s="21">
        <v>0</v>
      </c>
      <c r="AG17" s="21">
        <v>0</v>
      </c>
      <c r="AH17" s="21">
        <v>0</v>
      </c>
      <c r="AI17" s="21">
        <v>0</v>
      </c>
      <c r="AJ17" s="21">
        <v>0</v>
      </c>
      <c r="AK17" s="21">
        <v>1</v>
      </c>
      <c r="AL17" s="21">
        <v>0</v>
      </c>
      <c r="AM17" s="21">
        <v>0</v>
      </c>
      <c r="AN17" s="21">
        <v>0</v>
      </c>
      <c r="AO17" s="21">
        <v>0</v>
      </c>
      <c r="AP17" s="21">
        <v>0</v>
      </c>
      <c r="AQ17" s="21">
        <v>0</v>
      </c>
      <c r="AR17" s="21">
        <v>0</v>
      </c>
      <c r="AS17" s="21">
        <v>0</v>
      </c>
      <c r="AT17" s="21">
        <v>0</v>
      </c>
      <c r="AU17" s="21">
        <v>0</v>
      </c>
      <c r="AV17" s="21">
        <v>4</v>
      </c>
      <c r="AW17" s="21">
        <v>0</v>
      </c>
      <c r="AX17" s="21">
        <v>0</v>
      </c>
      <c r="AY17" s="21">
        <v>0</v>
      </c>
      <c r="AZ17" s="21">
        <v>0</v>
      </c>
      <c r="BA17" s="21">
        <v>0</v>
      </c>
      <c r="BB17" s="21">
        <v>0</v>
      </c>
      <c r="BC17" s="21">
        <v>0</v>
      </c>
      <c r="BD17" s="21">
        <v>1</v>
      </c>
      <c r="BE17" s="21">
        <v>0</v>
      </c>
      <c r="BF17" s="21">
        <v>0</v>
      </c>
      <c r="BG17" s="21">
        <v>0</v>
      </c>
      <c r="BI17" s="3"/>
      <c r="BJ17" s="3"/>
      <c r="BK17" s="3"/>
      <c r="BL17" s="3"/>
      <c r="BM17" s="3"/>
      <c r="BN17" s="3"/>
      <c r="BO17" s="3"/>
    </row>
    <row r="18" spans="1:67" ht="16.5" customHeight="1" x14ac:dyDescent="0.2">
      <c r="A18" s="15" t="s">
        <v>223</v>
      </c>
      <c r="B18" s="21">
        <v>1</v>
      </c>
      <c r="C18" s="21">
        <v>0</v>
      </c>
      <c r="D18" s="21">
        <v>0</v>
      </c>
      <c r="E18" s="21">
        <v>59</v>
      </c>
      <c r="F18" s="21">
        <v>2</v>
      </c>
      <c r="G18" s="21">
        <v>0</v>
      </c>
      <c r="H18" s="21">
        <v>1</v>
      </c>
      <c r="I18" s="21">
        <v>1</v>
      </c>
      <c r="J18" s="21">
        <v>0</v>
      </c>
      <c r="K18" s="21">
        <v>0</v>
      </c>
      <c r="L18" s="21">
        <v>0</v>
      </c>
      <c r="M18" s="21">
        <v>0</v>
      </c>
      <c r="N18" s="21">
        <v>0</v>
      </c>
      <c r="O18" s="21">
        <v>0</v>
      </c>
      <c r="P18" s="21">
        <v>0</v>
      </c>
      <c r="Q18" s="21">
        <v>0</v>
      </c>
      <c r="R18" s="21">
        <v>1</v>
      </c>
      <c r="S18" s="21">
        <v>8</v>
      </c>
      <c r="T18" s="21">
        <v>1</v>
      </c>
      <c r="U18" s="21">
        <v>0</v>
      </c>
      <c r="V18" s="21">
        <v>0</v>
      </c>
      <c r="W18" s="21">
        <v>0</v>
      </c>
      <c r="X18" s="21">
        <v>0</v>
      </c>
      <c r="Y18" s="21">
        <v>0</v>
      </c>
      <c r="Z18" s="21">
        <v>1</v>
      </c>
      <c r="AA18" s="21">
        <v>1</v>
      </c>
      <c r="AB18" s="21">
        <v>0</v>
      </c>
      <c r="AC18" s="21">
        <v>0</v>
      </c>
      <c r="AD18" s="21">
        <v>0</v>
      </c>
      <c r="AE18" s="21">
        <v>0</v>
      </c>
      <c r="AF18" s="21">
        <v>0</v>
      </c>
      <c r="AG18" s="21">
        <v>0</v>
      </c>
      <c r="AH18" s="21">
        <v>0</v>
      </c>
      <c r="AI18" s="21">
        <v>0</v>
      </c>
      <c r="AJ18" s="21">
        <v>7</v>
      </c>
      <c r="AK18" s="21">
        <v>0</v>
      </c>
      <c r="AL18" s="21">
        <v>0</v>
      </c>
      <c r="AM18" s="21">
        <v>0</v>
      </c>
      <c r="AN18" s="21">
        <v>1</v>
      </c>
      <c r="AO18" s="21">
        <v>0</v>
      </c>
      <c r="AP18" s="21">
        <v>0</v>
      </c>
      <c r="AQ18" s="21">
        <v>0</v>
      </c>
      <c r="AR18" s="21">
        <v>0</v>
      </c>
      <c r="AS18" s="21">
        <v>0</v>
      </c>
      <c r="AT18" s="21">
        <v>0</v>
      </c>
      <c r="AU18" s="21">
        <v>0</v>
      </c>
      <c r="AV18" s="21">
        <v>21</v>
      </c>
      <c r="AW18" s="21">
        <v>0</v>
      </c>
      <c r="AX18" s="21">
        <v>0</v>
      </c>
      <c r="AY18" s="21">
        <v>2</v>
      </c>
      <c r="AZ18" s="21">
        <v>0</v>
      </c>
      <c r="BA18" s="21">
        <v>0</v>
      </c>
      <c r="BB18" s="21">
        <v>0</v>
      </c>
      <c r="BC18" s="21">
        <v>0</v>
      </c>
      <c r="BD18" s="21">
        <v>2</v>
      </c>
      <c r="BE18" s="21">
        <v>0</v>
      </c>
      <c r="BF18" s="21">
        <v>0</v>
      </c>
      <c r="BG18" s="21">
        <v>1</v>
      </c>
      <c r="BI18" s="22"/>
      <c r="BJ18" s="22"/>
      <c r="BK18" s="22"/>
      <c r="BL18" s="22"/>
      <c r="BM18" s="22"/>
      <c r="BN18" s="22"/>
      <c r="BO18" s="22"/>
    </row>
    <row r="19" spans="1:67" ht="16.5" customHeight="1" x14ac:dyDescent="0.2">
      <c r="A19" s="15" t="s">
        <v>224</v>
      </c>
      <c r="B19" s="21">
        <v>1</v>
      </c>
      <c r="C19" s="21">
        <v>0</v>
      </c>
      <c r="D19" s="21">
        <v>0</v>
      </c>
      <c r="E19" s="21">
        <v>25</v>
      </c>
      <c r="F19" s="21">
        <v>0</v>
      </c>
      <c r="G19" s="21">
        <v>2</v>
      </c>
      <c r="H19" s="21">
        <v>3</v>
      </c>
      <c r="I19" s="21">
        <v>0</v>
      </c>
      <c r="J19" s="21">
        <v>0</v>
      </c>
      <c r="K19" s="21">
        <v>0</v>
      </c>
      <c r="L19" s="21">
        <v>0</v>
      </c>
      <c r="M19" s="21">
        <v>0</v>
      </c>
      <c r="N19" s="21">
        <v>0</v>
      </c>
      <c r="O19" s="21">
        <v>0</v>
      </c>
      <c r="P19" s="21">
        <v>0</v>
      </c>
      <c r="Q19" s="21">
        <v>0</v>
      </c>
      <c r="R19" s="21">
        <v>0</v>
      </c>
      <c r="S19" s="21">
        <v>13</v>
      </c>
      <c r="T19" s="21">
        <v>0</v>
      </c>
      <c r="U19" s="21">
        <v>7</v>
      </c>
      <c r="V19" s="21">
        <v>0</v>
      </c>
      <c r="W19" s="21">
        <v>1</v>
      </c>
      <c r="X19" s="21">
        <v>0</v>
      </c>
      <c r="Y19" s="21">
        <v>1</v>
      </c>
      <c r="Z19" s="21">
        <v>0</v>
      </c>
      <c r="AA19" s="21">
        <v>1</v>
      </c>
      <c r="AB19" s="21">
        <v>0</v>
      </c>
      <c r="AC19" s="21">
        <v>0</v>
      </c>
      <c r="AD19" s="21">
        <v>0</v>
      </c>
      <c r="AE19" s="21">
        <v>0</v>
      </c>
      <c r="AF19" s="21">
        <v>0</v>
      </c>
      <c r="AG19" s="21">
        <v>0</v>
      </c>
      <c r="AH19" s="21">
        <v>0</v>
      </c>
      <c r="AI19" s="21">
        <v>0</v>
      </c>
      <c r="AJ19" s="21">
        <v>2</v>
      </c>
      <c r="AK19" s="21">
        <v>0</v>
      </c>
      <c r="AL19" s="21">
        <v>0</v>
      </c>
      <c r="AM19" s="21">
        <v>0</v>
      </c>
      <c r="AN19" s="21">
        <v>0</v>
      </c>
      <c r="AO19" s="21">
        <v>1</v>
      </c>
      <c r="AP19" s="21">
        <v>0</v>
      </c>
      <c r="AQ19" s="21">
        <v>0</v>
      </c>
      <c r="AR19" s="21">
        <v>0</v>
      </c>
      <c r="AS19" s="21">
        <v>0</v>
      </c>
      <c r="AT19" s="21">
        <v>1</v>
      </c>
      <c r="AU19" s="21">
        <v>0</v>
      </c>
      <c r="AV19" s="21">
        <v>1</v>
      </c>
      <c r="AW19" s="21">
        <v>0</v>
      </c>
      <c r="AX19" s="21">
        <v>0</v>
      </c>
      <c r="AY19" s="21">
        <v>3</v>
      </c>
      <c r="AZ19" s="21">
        <v>0</v>
      </c>
      <c r="BA19" s="21">
        <v>0</v>
      </c>
      <c r="BB19" s="21">
        <v>0</v>
      </c>
      <c r="BC19" s="21">
        <v>0</v>
      </c>
      <c r="BD19" s="21">
        <v>1</v>
      </c>
      <c r="BE19" s="21">
        <v>0</v>
      </c>
      <c r="BF19" s="21">
        <v>0</v>
      </c>
      <c r="BG19" s="21">
        <v>1</v>
      </c>
      <c r="BI19" s="3"/>
      <c r="BJ19" s="3"/>
      <c r="BK19" s="3"/>
      <c r="BL19" s="3"/>
      <c r="BM19" s="3"/>
      <c r="BN19" s="3"/>
      <c r="BO19" s="3"/>
    </row>
    <row r="20" spans="1:67" ht="16.5" customHeight="1" x14ac:dyDescent="0.2">
      <c r="A20" s="15" t="s">
        <v>225</v>
      </c>
      <c r="B20" s="21">
        <v>2</v>
      </c>
      <c r="C20" s="21">
        <v>0</v>
      </c>
      <c r="D20" s="21">
        <v>0</v>
      </c>
      <c r="E20" s="21">
        <v>106</v>
      </c>
      <c r="F20" s="21">
        <v>1</v>
      </c>
      <c r="G20" s="21">
        <v>0</v>
      </c>
      <c r="H20" s="21">
        <v>1</v>
      </c>
      <c r="I20" s="21">
        <v>0</v>
      </c>
      <c r="J20" s="21">
        <v>1</v>
      </c>
      <c r="K20" s="21">
        <v>0</v>
      </c>
      <c r="L20" s="21">
        <v>0</v>
      </c>
      <c r="M20" s="21">
        <v>0</v>
      </c>
      <c r="N20" s="21">
        <v>0</v>
      </c>
      <c r="O20" s="21">
        <v>0</v>
      </c>
      <c r="P20" s="21">
        <v>0</v>
      </c>
      <c r="Q20" s="21">
        <v>0</v>
      </c>
      <c r="R20" s="21">
        <v>0</v>
      </c>
      <c r="S20" s="21">
        <v>18</v>
      </c>
      <c r="T20" s="21">
        <v>1</v>
      </c>
      <c r="U20" s="21">
        <v>0</v>
      </c>
      <c r="V20" s="21">
        <v>0</v>
      </c>
      <c r="W20" s="21">
        <v>0</v>
      </c>
      <c r="X20" s="21">
        <v>0</v>
      </c>
      <c r="Y20" s="21">
        <v>0</v>
      </c>
      <c r="Z20" s="21">
        <v>1</v>
      </c>
      <c r="AA20" s="21">
        <v>1</v>
      </c>
      <c r="AB20" s="21">
        <v>0</v>
      </c>
      <c r="AC20" s="21">
        <v>0</v>
      </c>
      <c r="AD20" s="21">
        <v>0</v>
      </c>
      <c r="AE20" s="21">
        <v>0</v>
      </c>
      <c r="AF20" s="21">
        <v>0</v>
      </c>
      <c r="AG20" s="21">
        <v>0</v>
      </c>
      <c r="AH20" s="21">
        <v>0</v>
      </c>
      <c r="AI20" s="21">
        <v>0</v>
      </c>
      <c r="AJ20" s="21">
        <v>3</v>
      </c>
      <c r="AK20" s="21">
        <v>1</v>
      </c>
      <c r="AL20" s="21">
        <v>0</v>
      </c>
      <c r="AM20" s="21">
        <v>0</v>
      </c>
      <c r="AN20" s="21">
        <v>1</v>
      </c>
      <c r="AO20" s="21">
        <v>1</v>
      </c>
      <c r="AP20" s="21">
        <v>0</v>
      </c>
      <c r="AQ20" s="21">
        <v>0</v>
      </c>
      <c r="AR20" s="21">
        <v>0</v>
      </c>
      <c r="AS20" s="21">
        <v>0</v>
      </c>
      <c r="AT20" s="21">
        <v>0</v>
      </c>
      <c r="AU20" s="21">
        <v>0</v>
      </c>
      <c r="AV20" s="21">
        <v>15</v>
      </c>
      <c r="AW20" s="21">
        <v>0</v>
      </c>
      <c r="AX20" s="21">
        <v>0</v>
      </c>
      <c r="AY20" s="21">
        <v>0</v>
      </c>
      <c r="AZ20" s="21">
        <v>0</v>
      </c>
      <c r="BA20" s="21">
        <v>0</v>
      </c>
      <c r="BB20" s="21">
        <v>0</v>
      </c>
      <c r="BC20" s="21">
        <v>0</v>
      </c>
      <c r="BD20" s="21">
        <v>0</v>
      </c>
      <c r="BE20" s="21">
        <v>0</v>
      </c>
      <c r="BF20" s="21">
        <v>0</v>
      </c>
      <c r="BG20" s="21">
        <v>0</v>
      </c>
      <c r="BI20" s="3"/>
      <c r="BJ20" s="3"/>
      <c r="BK20" s="3"/>
      <c r="BL20" s="3"/>
      <c r="BM20" s="3"/>
      <c r="BN20" s="3"/>
      <c r="BO20" s="3"/>
    </row>
    <row r="21" spans="1:67" ht="16.5" customHeight="1" x14ac:dyDescent="0.2">
      <c r="A21" s="15" t="s">
        <v>226</v>
      </c>
      <c r="B21" s="21">
        <v>0</v>
      </c>
      <c r="C21" s="21">
        <v>0</v>
      </c>
      <c r="D21" s="21">
        <v>0</v>
      </c>
      <c r="E21" s="21">
        <v>0</v>
      </c>
      <c r="F21" s="21">
        <v>0</v>
      </c>
      <c r="G21" s="21">
        <v>0</v>
      </c>
      <c r="H21" s="21">
        <v>0</v>
      </c>
      <c r="I21" s="21">
        <v>0</v>
      </c>
      <c r="J21" s="21">
        <v>0</v>
      </c>
      <c r="K21" s="21">
        <v>0</v>
      </c>
      <c r="L21" s="21">
        <v>0</v>
      </c>
      <c r="M21" s="21">
        <v>0</v>
      </c>
      <c r="N21" s="21">
        <v>0</v>
      </c>
      <c r="O21" s="21">
        <v>0</v>
      </c>
      <c r="P21" s="21">
        <v>0</v>
      </c>
      <c r="Q21" s="21">
        <v>0</v>
      </c>
      <c r="R21" s="21">
        <v>0</v>
      </c>
      <c r="S21" s="21">
        <v>0</v>
      </c>
      <c r="T21" s="21">
        <v>0</v>
      </c>
      <c r="U21" s="21">
        <v>0</v>
      </c>
      <c r="V21" s="21">
        <v>0</v>
      </c>
      <c r="W21" s="21">
        <v>0</v>
      </c>
      <c r="X21" s="21">
        <v>0</v>
      </c>
      <c r="Y21" s="21">
        <v>0</v>
      </c>
      <c r="Z21" s="21">
        <v>0</v>
      </c>
      <c r="AA21" s="21">
        <v>0</v>
      </c>
      <c r="AB21" s="21">
        <v>0</v>
      </c>
      <c r="AC21" s="21">
        <v>0</v>
      </c>
      <c r="AD21" s="21">
        <v>0</v>
      </c>
      <c r="AE21" s="21">
        <v>0</v>
      </c>
      <c r="AF21" s="21">
        <v>0</v>
      </c>
      <c r="AG21" s="21">
        <v>0</v>
      </c>
      <c r="AH21" s="21">
        <v>0</v>
      </c>
      <c r="AI21" s="21">
        <v>0</v>
      </c>
      <c r="AJ21" s="21">
        <v>0</v>
      </c>
      <c r="AK21" s="21">
        <v>0</v>
      </c>
      <c r="AL21" s="21">
        <v>0</v>
      </c>
      <c r="AM21" s="21">
        <v>0</v>
      </c>
      <c r="AN21" s="21">
        <v>0</v>
      </c>
      <c r="AO21" s="21">
        <v>0</v>
      </c>
      <c r="AP21" s="21">
        <v>0</v>
      </c>
      <c r="AQ21" s="21">
        <v>0</v>
      </c>
      <c r="AR21" s="21">
        <v>0</v>
      </c>
      <c r="AS21" s="21">
        <v>0</v>
      </c>
      <c r="AT21" s="21">
        <v>0</v>
      </c>
      <c r="AU21" s="21">
        <v>0</v>
      </c>
      <c r="AV21" s="21">
        <v>0</v>
      </c>
      <c r="AW21" s="21">
        <v>0</v>
      </c>
      <c r="AX21" s="21">
        <v>0</v>
      </c>
      <c r="AY21" s="21">
        <v>0</v>
      </c>
      <c r="AZ21" s="21">
        <v>0</v>
      </c>
      <c r="BA21" s="21">
        <v>0</v>
      </c>
      <c r="BB21" s="21">
        <v>0</v>
      </c>
      <c r="BC21" s="21">
        <v>0</v>
      </c>
      <c r="BD21" s="21">
        <v>0</v>
      </c>
      <c r="BE21" s="21">
        <v>0</v>
      </c>
      <c r="BF21" s="21">
        <v>0</v>
      </c>
      <c r="BG21" s="21">
        <v>0</v>
      </c>
      <c r="BI21" s="3"/>
      <c r="BJ21" s="3"/>
      <c r="BK21" s="3"/>
      <c r="BL21" s="3"/>
      <c r="BM21" s="3"/>
      <c r="BN21" s="3"/>
      <c r="BO21" s="3"/>
    </row>
    <row r="22" spans="1:67" ht="16.5" customHeight="1" x14ac:dyDescent="0.2">
      <c r="A22" s="15" t="s">
        <v>227</v>
      </c>
      <c r="B22" s="21">
        <v>0</v>
      </c>
      <c r="C22" s="21">
        <v>0</v>
      </c>
      <c r="D22" s="21">
        <v>0</v>
      </c>
      <c r="E22" s="21">
        <v>0</v>
      </c>
      <c r="F22" s="21">
        <v>0</v>
      </c>
      <c r="G22" s="21">
        <v>0</v>
      </c>
      <c r="H22" s="21">
        <v>0</v>
      </c>
      <c r="I22" s="21">
        <v>0</v>
      </c>
      <c r="J22" s="21">
        <v>0</v>
      </c>
      <c r="K22" s="21">
        <v>0</v>
      </c>
      <c r="L22" s="21">
        <v>0</v>
      </c>
      <c r="M22" s="21">
        <v>0</v>
      </c>
      <c r="N22" s="21">
        <v>0</v>
      </c>
      <c r="O22" s="21">
        <v>0</v>
      </c>
      <c r="P22" s="21">
        <v>0</v>
      </c>
      <c r="Q22" s="21">
        <v>0</v>
      </c>
      <c r="R22" s="21">
        <v>0</v>
      </c>
      <c r="S22" s="21">
        <v>0</v>
      </c>
      <c r="T22" s="21">
        <v>0</v>
      </c>
      <c r="U22" s="21">
        <v>0</v>
      </c>
      <c r="V22" s="21">
        <v>0</v>
      </c>
      <c r="W22" s="21">
        <v>0</v>
      </c>
      <c r="X22" s="21">
        <v>0</v>
      </c>
      <c r="Y22" s="21">
        <v>0</v>
      </c>
      <c r="Z22" s="21">
        <v>0</v>
      </c>
      <c r="AA22" s="21">
        <v>0</v>
      </c>
      <c r="AB22" s="21">
        <v>0</v>
      </c>
      <c r="AC22" s="21">
        <v>0</v>
      </c>
      <c r="AD22" s="21">
        <v>0</v>
      </c>
      <c r="AE22" s="21">
        <v>0</v>
      </c>
      <c r="AF22" s="21">
        <v>0</v>
      </c>
      <c r="AG22" s="21">
        <v>0</v>
      </c>
      <c r="AH22" s="21">
        <v>0</v>
      </c>
      <c r="AI22" s="21">
        <v>0</v>
      </c>
      <c r="AJ22" s="21">
        <v>0</v>
      </c>
      <c r="AK22" s="21">
        <v>0</v>
      </c>
      <c r="AL22" s="21">
        <v>0</v>
      </c>
      <c r="AM22" s="21">
        <v>0</v>
      </c>
      <c r="AN22" s="21">
        <v>0</v>
      </c>
      <c r="AO22" s="21">
        <v>0</v>
      </c>
      <c r="AP22" s="21">
        <v>0</v>
      </c>
      <c r="AQ22" s="21">
        <v>0</v>
      </c>
      <c r="AR22" s="21">
        <v>0</v>
      </c>
      <c r="AS22" s="21">
        <v>0</v>
      </c>
      <c r="AT22" s="21">
        <v>0</v>
      </c>
      <c r="AU22" s="21">
        <v>0</v>
      </c>
      <c r="AV22" s="21">
        <v>0</v>
      </c>
      <c r="AW22" s="21">
        <v>0</v>
      </c>
      <c r="AX22" s="21">
        <v>0</v>
      </c>
      <c r="AY22" s="21">
        <v>0</v>
      </c>
      <c r="AZ22" s="21">
        <v>0</v>
      </c>
      <c r="BA22" s="21">
        <v>0</v>
      </c>
      <c r="BB22" s="21">
        <v>0</v>
      </c>
      <c r="BC22" s="21">
        <v>0</v>
      </c>
      <c r="BD22" s="21">
        <v>0</v>
      </c>
      <c r="BE22" s="21">
        <v>0</v>
      </c>
      <c r="BF22" s="21">
        <v>0</v>
      </c>
      <c r="BG22" s="21">
        <v>0</v>
      </c>
      <c r="BI22" s="3"/>
      <c r="BJ22" s="3"/>
      <c r="BK22" s="3"/>
      <c r="BL22" s="3"/>
      <c r="BM22" s="3"/>
      <c r="BN22" s="3"/>
      <c r="BO22" s="3"/>
    </row>
    <row r="23" spans="1:67" ht="16.5" customHeight="1" x14ac:dyDescent="0.2">
      <c r="A23" s="15" t="s">
        <v>228</v>
      </c>
      <c r="B23" s="21">
        <v>0</v>
      </c>
      <c r="C23" s="21">
        <v>0</v>
      </c>
      <c r="D23" s="21">
        <v>0</v>
      </c>
      <c r="E23" s="21">
        <v>0</v>
      </c>
      <c r="F23" s="21">
        <v>0</v>
      </c>
      <c r="G23" s="21">
        <v>0</v>
      </c>
      <c r="H23" s="21">
        <v>0</v>
      </c>
      <c r="I23" s="21">
        <v>0</v>
      </c>
      <c r="J23" s="21">
        <v>0</v>
      </c>
      <c r="K23" s="21">
        <v>0</v>
      </c>
      <c r="L23" s="21">
        <v>0</v>
      </c>
      <c r="M23" s="21">
        <v>0</v>
      </c>
      <c r="N23" s="21">
        <v>0</v>
      </c>
      <c r="O23" s="21">
        <v>0</v>
      </c>
      <c r="P23" s="21">
        <v>0</v>
      </c>
      <c r="Q23" s="21">
        <v>0</v>
      </c>
      <c r="R23" s="21">
        <v>0</v>
      </c>
      <c r="S23" s="21">
        <v>0</v>
      </c>
      <c r="T23" s="21">
        <v>0</v>
      </c>
      <c r="U23" s="21">
        <v>0</v>
      </c>
      <c r="V23" s="21">
        <v>0</v>
      </c>
      <c r="W23" s="21">
        <v>0</v>
      </c>
      <c r="X23" s="21">
        <v>0</v>
      </c>
      <c r="Y23" s="21">
        <v>0</v>
      </c>
      <c r="Z23" s="21">
        <v>0</v>
      </c>
      <c r="AA23" s="21">
        <v>0</v>
      </c>
      <c r="AB23" s="21">
        <v>0</v>
      </c>
      <c r="AC23" s="21">
        <v>0</v>
      </c>
      <c r="AD23" s="21">
        <v>0</v>
      </c>
      <c r="AE23" s="21">
        <v>0</v>
      </c>
      <c r="AF23" s="21">
        <v>0</v>
      </c>
      <c r="AG23" s="21">
        <v>0</v>
      </c>
      <c r="AH23" s="21">
        <v>0</v>
      </c>
      <c r="AI23" s="21">
        <v>0</v>
      </c>
      <c r="AJ23" s="21">
        <v>0</v>
      </c>
      <c r="AK23" s="21">
        <v>0</v>
      </c>
      <c r="AL23" s="21">
        <v>0</v>
      </c>
      <c r="AM23" s="21">
        <v>0</v>
      </c>
      <c r="AN23" s="21">
        <v>0</v>
      </c>
      <c r="AO23" s="21">
        <v>0</v>
      </c>
      <c r="AP23" s="21">
        <v>0</v>
      </c>
      <c r="AQ23" s="21">
        <v>0</v>
      </c>
      <c r="AR23" s="21">
        <v>0</v>
      </c>
      <c r="AS23" s="21">
        <v>0</v>
      </c>
      <c r="AT23" s="21">
        <v>0</v>
      </c>
      <c r="AU23" s="21">
        <v>0</v>
      </c>
      <c r="AV23" s="21">
        <v>0</v>
      </c>
      <c r="AW23" s="21">
        <v>0</v>
      </c>
      <c r="AX23" s="21">
        <v>0</v>
      </c>
      <c r="AY23" s="21">
        <v>0</v>
      </c>
      <c r="AZ23" s="21">
        <v>0</v>
      </c>
      <c r="BA23" s="21">
        <v>0</v>
      </c>
      <c r="BB23" s="21">
        <v>0</v>
      </c>
      <c r="BC23" s="21">
        <v>0</v>
      </c>
      <c r="BD23" s="21">
        <v>0</v>
      </c>
      <c r="BE23" s="21">
        <v>0</v>
      </c>
      <c r="BF23" s="21">
        <v>0</v>
      </c>
      <c r="BG23" s="21">
        <v>0</v>
      </c>
      <c r="BI23" s="3"/>
      <c r="BJ23" s="3"/>
      <c r="BK23" s="3"/>
      <c r="BL23" s="3"/>
      <c r="BM23" s="3"/>
      <c r="BN23" s="3"/>
      <c r="BO23" s="3"/>
    </row>
    <row r="24" spans="1:67" ht="16.5" customHeight="1" x14ac:dyDescent="0.2">
      <c r="A24" s="15" t="s">
        <v>229</v>
      </c>
      <c r="B24" s="21">
        <v>1</v>
      </c>
      <c r="C24" s="21">
        <v>0</v>
      </c>
      <c r="D24" s="21">
        <v>0</v>
      </c>
      <c r="E24" s="15">
        <v>25</v>
      </c>
      <c r="F24" s="21">
        <v>0</v>
      </c>
      <c r="G24" s="21">
        <v>0</v>
      </c>
      <c r="H24" s="21">
        <v>0</v>
      </c>
      <c r="I24" s="15">
        <v>2</v>
      </c>
      <c r="J24" s="21">
        <v>0</v>
      </c>
      <c r="K24" s="21">
        <v>0</v>
      </c>
      <c r="L24" s="21">
        <v>0</v>
      </c>
      <c r="M24" s="21">
        <v>0</v>
      </c>
      <c r="N24" s="21">
        <v>0</v>
      </c>
      <c r="O24" s="21">
        <v>0</v>
      </c>
      <c r="P24" s="21">
        <v>0</v>
      </c>
      <c r="Q24" s="21">
        <v>0</v>
      </c>
      <c r="R24" s="21">
        <v>0</v>
      </c>
      <c r="S24" s="15">
        <v>1</v>
      </c>
      <c r="T24" s="21">
        <v>0</v>
      </c>
      <c r="U24" s="15">
        <v>1</v>
      </c>
      <c r="V24" s="21">
        <v>0</v>
      </c>
      <c r="W24" s="21">
        <v>0</v>
      </c>
      <c r="X24" s="21">
        <v>0</v>
      </c>
      <c r="Y24" s="21">
        <v>0</v>
      </c>
      <c r="Z24" s="21">
        <v>0</v>
      </c>
      <c r="AA24" s="21">
        <v>0</v>
      </c>
      <c r="AB24" s="21">
        <v>0</v>
      </c>
      <c r="AC24" s="21">
        <v>2</v>
      </c>
      <c r="AD24" s="21">
        <v>1</v>
      </c>
      <c r="AE24" s="21">
        <v>0</v>
      </c>
      <c r="AF24" s="21">
        <v>0</v>
      </c>
      <c r="AG24" s="21">
        <v>0</v>
      </c>
      <c r="AH24" s="21">
        <v>1</v>
      </c>
      <c r="AI24" s="21">
        <v>0</v>
      </c>
      <c r="AJ24" s="21">
        <v>0</v>
      </c>
      <c r="AK24" s="21">
        <v>0</v>
      </c>
      <c r="AL24" s="21">
        <v>0</v>
      </c>
      <c r="AM24" s="21">
        <v>0</v>
      </c>
      <c r="AN24" s="21">
        <v>0</v>
      </c>
      <c r="AO24" s="21">
        <v>0</v>
      </c>
      <c r="AP24" s="21">
        <v>0</v>
      </c>
      <c r="AQ24" s="21">
        <v>0</v>
      </c>
      <c r="AR24" s="21">
        <v>0</v>
      </c>
      <c r="AS24" s="21">
        <v>0</v>
      </c>
      <c r="AT24" s="21">
        <v>0</v>
      </c>
      <c r="AU24" s="21">
        <v>0</v>
      </c>
      <c r="AV24" s="21">
        <v>12</v>
      </c>
      <c r="AW24" s="21">
        <v>0</v>
      </c>
      <c r="AX24" s="21">
        <v>0</v>
      </c>
      <c r="AY24" s="21">
        <v>0</v>
      </c>
      <c r="AZ24" s="21">
        <v>0</v>
      </c>
      <c r="BA24" s="21">
        <v>0</v>
      </c>
      <c r="BB24" s="21">
        <v>0</v>
      </c>
      <c r="BC24" s="21">
        <v>0</v>
      </c>
      <c r="BD24" s="21">
        <v>0</v>
      </c>
      <c r="BE24" s="21">
        <v>0</v>
      </c>
      <c r="BF24" s="21">
        <v>0</v>
      </c>
      <c r="BG24" s="21">
        <v>0</v>
      </c>
      <c r="BI24" s="3"/>
      <c r="BJ24" s="3"/>
      <c r="BK24" s="3"/>
      <c r="BL24" s="3"/>
      <c r="BM24" s="3"/>
      <c r="BN24" s="3"/>
      <c r="BO24" s="3"/>
    </row>
    <row r="25" spans="1:67" ht="16.5" customHeight="1" x14ac:dyDescent="0.2">
      <c r="A25" s="15" t="s">
        <v>230</v>
      </c>
      <c r="B25" s="21">
        <v>1</v>
      </c>
      <c r="C25" s="21">
        <v>0</v>
      </c>
      <c r="D25" s="21">
        <v>0</v>
      </c>
      <c r="E25" s="21">
        <v>19</v>
      </c>
      <c r="F25" s="21">
        <v>0</v>
      </c>
      <c r="G25" s="21">
        <v>0</v>
      </c>
      <c r="H25" s="21">
        <v>0</v>
      </c>
      <c r="I25" s="21">
        <v>7</v>
      </c>
      <c r="J25" s="21">
        <v>0</v>
      </c>
      <c r="K25" s="21">
        <v>0</v>
      </c>
      <c r="L25" s="21">
        <v>0</v>
      </c>
      <c r="M25" s="21">
        <v>0</v>
      </c>
      <c r="N25" s="21">
        <v>0</v>
      </c>
      <c r="O25" s="21">
        <v>0</v>
      </c>
      <c r="P25" s="21">
        <v>0</v>
      </c>
      <c r="Q25" s="21">
        <v>0</v>
      </c>
      <c r="R25" s="21">
        <v>0</v>
      </c>
      <c r="S25" s="21">
        <v>3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</v>
      </c>
      <c r="Z25" s="21">
        <v>0</v>
      </c>
      <c r="AA25" s="15">
        <v>3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15">
        <v>1</v>
      </c>
      <c r="AK25" s="21">
        <v>0</v>
      </c>
      <c r="AL25" s="21">
        <v>0</v>
      </c>
      <c r="AM25" s="21">
        <v>0</v>
      </c>
      <c r="AN25" s="21">
        <v>0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0</v>
      </c>
      <c r="AV25" s="21">
        <v>3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0</v>
      </c>
      <c r="BC25" s="21">
        <v>0</v>
      </c>
      <c r="BD25" s="21">
        <v>0</v>
      </c>
      <c r="BE25" s="21">
        <v>0</v>
      </c>
      <c r="BF25" s="21">
        <v>0</v>
      </c>
      <c r="BG25" s="21">
        <v>0</v>
      </c>
      <c r="BI25" s="3"/>
      <c r="BJ25" s="3"/>
      <c r="BK25" s="3"/>
      <c r="BL25" s="3"/>
      <c r="BM25" s="3"/>
      <c r="BN25" s="3"/>
      <c r="BO25" s="3"/>
    </row>
    <row r="26" spans="1:67" ht="16.5" customHeight="1" x14ac:dyDescent="0.2">
      <c r="A26" s="15" t="s">
        <v>231</v>
      </c>
      <c r="B26" s="21">
        <v>2</v>
      </c>
      <c r="C26" s="21">
        <v>0</v>
      </c>
      <c r="D26" s="21">
        <v>0</v>
      </c>
      <c r="E26" s="15">
        <v>23</v>
      </c>
      <c r="F26" s="21">
        <v>0</v>
      </c>
      <c r="G26" s="21">
        <v>0</v>
      </c>
      <c r="H26" s="21">
        <v>0</v>
      </c>
      <c r="I26" s="15">
        <v>1</v>
      </c>
      <c r="J26" s="21">
        <v>0</v>
      </c>
      <c r="K26" s="21">
        <v>0</v>
      </c>
      <c r="L26" s="21">
        <v>0</v>
      </c>
      <c r="M26" s="21">
        <v>0</v>
      </c>
      <c r="N26" s="21">
        <v>0</v>
      </c>
      <c r="O26" s="21">
        <v>0</v>
      </c>
      <c r="P26" s="21">
        <v>0</v>
      </c>
      <c r="Q26" s="21">
        <v>0</v>
      </c>
      <c r="R26" s="21">
        <v>0</v>
      </c>
      <c r="S26" s="21">
        <v>4</v>
      </c>
      <c r="T26" s="21">
        <v>2</v>
      </c>
      <c r="U26" s="21">
        <v>0</v>
      </c>
      <c r="V26" s="21">
        <v>0</v>
      </c>
      <c r="W26" s="21">
        <v>0</v>
      </c>
      <c r="X26" s="21">
        <v>1</v>
      </c>
      <c r="Y26" s="21">
        <v>0</v>
      </c>
      <c r="Z26" s="15">
        <v>1</v>
      </c>
      <c r="AA26" s="21">
        <v>0</v>
      </c>
      <c r="AB26" s="21">
        <v>0</v>
      </c>
      <c r="AC26" s="21">
        <v>0</v>
      </c>
      <c r="AD26" s="21">
        <v>0</v>
      </c>
      <c r="AE26" s="21">
        <v>0</v>
      </c>
      <c r="AF26" s="21">
        <v>0</v>
      </c>
      <c r="AG26" s="21">
        <v>0</v>
      </c>
      <c r="AH26" s="21">
        <v>0</v>
      </c>
      <c r="AI26" s="21">
        <v>1</v>
      </c>
      <c r="AJ26" s="21">
        <v>0</v>
      </c>
      <c r="AK26" s="21">
        <v>0</v>
      </c>
      <c r="AL26" s="21">
        <v>1</v>
      </c>
      <c r="AM26" s="21">
        <v>0</v>
      </c>
      <c r="AN26" s="21">
        <v>0</v>
      </c>
      <c r="AO26" s="21">
        <v>0</v>
      </c>
      <c r="AP26" s="21">
        <v>0</v>
      </c>
      <c r="AQ26" s="21">
        <v>0</v>
      </c>
      <c r="AR26" s="21">
        <v>0</v>
      </c>
      <c r="AS26" s="21">
        <v>0</v>
      </c>
      <c r="AT26" s="21">
        <v>0</v>
      </c>
      <c r="AU26" s="21">
        <v>0</v>
      </c>
      <c r="AV26" s="21">
        <v>4</v>
      </c>
      <c r="AW26" s="21">
        <v>0</v>
      </c>
      <c r="AX26" s="21">
        <v>1</v>
      </c>
      <c r="AY26" s="21">
        <v>0</v>
      </c>
      <c r="AZ26" s="21">
        <v>0</v>
      </c>
      <c r="BA26" s="21">
        <v>0</v>
      </c>
      <c r="BB26" s="21">
        <v>0</v>
      </c>
      <c r="BC26" s="21">
        <v>0</v>
      </c>
      <c r="BD26" s="21">
        <v>0</v>
      </c>
      <c r="BE26" s="21">
        <v>0</v>
      </c>
      <c r="BF26" s="21">
        <v>0</v>
      </c>
      <c r="BG26" s="21">
        <v>0</v>
      </c>
      <c r="BI26" s="3"/>
      <c r="BJ26" s="3"/>
      <c r="BK26" s="3"/>
      <c r="BL26" s="3"/>
      <c r="BM26" s="3"/>
      <c r="BN26" s="3"/>
      <c r="BO26" s="3"/>
    </row>
    <row r="27" spans="1:67" ht="16.5" customHeight="1" x14ac:dyDescent="0.2">
      <c r="A27" s="15" t="s">
        <v>232</v>
      </c>
      <c r="B27" s="21">
        <v>0</v>
      </c>
      <c r="C27" s="21">
        <v>0</v>
      </c>
      <c r="D27" s="21">
        <v>0</v>
      </c>
      <c r="E27" s="15">
        <v>7</v>
      </c>
      <c r="F27" s="21">
        <v>0</v>
      </c>
      <c r="G27" s="21">
        <v>0</v>
      </c>
      <c r="H27" s="21">
        <v>0</v>
      </c>
      <c r="I27" s="21">
        <v>0</v>
      </c>
      <c r="J27" s="21">
        <v>0</v>
      </c>
      <c r="K27" s="21">
        <v>0</v>
      </c>
      <c r="L27" s="21">
        <v>0</v>
      </c>
      <c r="M27" s="21">
        <v>0</v>
      </c>
      <c r="N27" s="21">
        <v>0</v>
      </c>
      <c r="O27" s="21">
        <v>0</v>
      </c>
      <c r="P27" s="21">
        <v>0</v>
      </c>
      <c r="Q27" s="21">
        <v>0</v>
      </c>
      <c r="R27" s="21">
        <v>0</v>
      </c>
      <c r="S27" s="21">
        <v>1</v>
      </c>
      <c r="T27" s="21">
        <v>0</v>
      </c>
      <c r="U27" s="21">
        <v>0</v>
      </c>
      <c r="V27" s="21">
        <v>0</v>
      </c>
      <c r="W27" s="21">
        <v>0</v>
      </c>
      <c r="X27" s="21">
        <v>0</v>
      </c>
      <c r="Y27" s="21">
        <v>0</v>
      </c>
      <c r="Z27" s="21">
        <v>0</v>
      </c>
      <c r="AA27" s="21">
        <v>0</v>
      </c>
      <c r="AB27" s="21">
        <v>0</v>
      </c>
      <c r="AC27" s="21">
        <v>0</v>
      </c>
      <c r="AD27" s="21">
        <v>0</v>
      </c>
      <c r="AE27" s="21">
        <v>0</v>
      </c>
      <c r="AF27" s="21">
        <v>0</v>
      </c>
      <c r="AG27" s="21">
        <v>0</v>
      </c>
      <c r="AH27" s="21">
        <v>0</v>
      </c>
      <c r="AI27" s="21">
        <v>0</v>
      </c>
      <c r="AJ27" s="21">
        <v>0</v>
      </c>
      <c r="AK27" s="21">
        <v>0</v>
      </c>
      <c r="AL27" s="21">
        <v>0</v>
      </c>
      <c r="AM27" s="21">
        <v>0</v>
      </c>
      <c r="AN27" s="21">
        <v>0</v>
      </c>
      <c r="AO27" s="21">
        <v>0</v>
      </c>
      <c r="AP27" s="21">
        <v>0</v>
      </c>
      <c r="AQ27" s="21">
        <v>0</v>
      </c>
      <c r="AR27" s="21">
        <v>0</v>
      </c>
      <c r="AS27" s="21">
        <v>0</v>
      </c>
      <c r="AT27" s="21">
        <v>0</v>
      </c>
      <c r="AU27" s="21">
        <v>0</v>
      </c>
      <c r="AV27" s="21">
        <v>0</v>
      </c>
      <c r="AW27" s="21">
        <v>0</v>
      </c>
      <c r="AX27" s="21">
        <v>0</v>
      </c>
      <c r="AY27" s="21">
        <v>0</v>
      </c>
      <c r="AZ27" s="21">
        <v>0</v>
      </c>
      <c r="BA27" s="21">
        <v>0</v>
      </c>
      <c r="BB27" s="21">
        <v>0</v>
      </c>
      <c r="BC27" s="21">
        <v>0</v>
      </c>
      <c r="BD27" s="21">
        <v>0</v>
      </c>
      <c r="BE27" s="21">
        <v>0</v>
      </c>
      <c r="BF27" s="21">
        <v>0</v>
      </c>
      <c r="BG27" s="21">
        <v>0</v>
      </c>
      <c r="BI27" s="3"/>
      <c r="BJ27" s="3"/>
      <c r="BK27" s="3"/>
      <c r="BL27" s="3"/>
      <c r="BM27" s="3"/>
      <c r="BN27" s="3"/>
      <c r="BO27" s="3"/>
    </row>
    <row r="28" spans="1:67" ht="16.5" customHeight="1" x14ac:dyDescent="0.2">
      <c r="A28" s="15" t="s">
        <v>233</v>
      </c>
      <c r="B28" s="21">
        <v>0</v>
      </c>
      <c r="C28" s="21">
        <v>0</v>
      </c>
      <c r="D28" s="21">
        <v>0</v>
      </c>
      <c r="E28" s="15">
        <v>12</v>
      </c>
      <c r="F28" s="21">
        <v>0</v>
      </c>
      <c r="G28" s="21">
        <v>0</v>
      </c>
      <c r="H28" s="21">
        <v>0</v>
      </c>
      <c r="I28" s="21">
        <v>0</v>
      </c>
      <c r="J28" s="21">
        <v>0</v>
      </c>
      <c r="K28" s="21">
        <v>0</v>
      </c>
      <c r="L28" s="21">
        <v>0</v>
      </c>
      <c r="M28" s="21">
        <v>0</v>
      </c>
      <c r="N28" s="21">
        <v>0</v>
      </c>
      <c r="O28" s="21">
        <v>0</v>
      </c>
      <c r="P28" s="21">
        <v>0</v>
      </c>
      <c r="Q28" s="21">
        <v>0</v>
      </c>
      <c r="R28" s="21">
        <v>0</v>
      </c>
      <c r="S28" s="21">
        <v>0</v>
      </c>
      <c r="T28" s="21">
        <v>0</v>
      </c>
      <c r="U28" s="21">
        <v>0</v>
      </c>
      <c r="V28" s="21">
        <v>0</v>
      </c>
      <c r="W28" s="21">
        <v>0</v>
      </c>
      <c r="X28" s="21">
        <v>0</v>
      </c>
      <c r="Y28" s="21">
        <v>0</v>
      </c>
      <c r="Z28" s="21">
        <v>0</v>
      </c>
      <c r="AA28" s="21">
        <v>0</v>
      </c>
      <c r="AB28" s="21">
        <v>0</v>
      </c>
      <c r="AC28" s="21">
        <v>0</v>
      </c>
      <c r="AD28" s="21">
        <v>0</v>
      </c>
      <c r="AE28" s="21">
        <v>0</v>
      </c>
      <c r="AF28" s="21">
        <v>0</v>
      </c>
      <c r="AG28" s="21">
        <v>0</v>
      </c>
      <c r="AH28" s="21">
        <v>0</v>
      </c>
      <c r="AI28" s="21">
        <v>0</v>
      </c>
      <c r="AJ28" s="21">
        <v>0</v>
      </c>
      <c r="AK28" s="21">
        <v>0</v>
      </c>
      <c r="AL28" s="21">
        <v>0</v>
      </c>
      <c r="AM28" s="21">
        <v>0</v>
      </c>
      <c r="AN28" s="21">
        <v>0</v>
      </c>
      <c r="AO28" s="21">
        <v>0</v>
      </c>
      <c r="AP28" s="21">
        <v>0</v>
      </c>
      <c r="AQ28" s="21">
        <v>0</v>
      </c>
      <c r="AR28" s="21">
        <v>0</v>
      </c>
      <c r="AS28" s="21">
        <v>0</v>
      </c>
      <c r="AT28" s="21">
        <v>0</v>
      </c>
      <c r="AU28" s="21">
        <v>0</v>
      </c>
      <c r="AV28" s="21">
        <v>0</v>
      </c>
      <c r="AW28" s="21">
        <v>0</v>
      </c>
      <c r="AX28" s="21">
        <v>0</v>
      </c>
      <c r="AY28" s="21">
        <v>0</v>
      </c>
      <c r="AZ28" s="21">
        <v>0</v>
      </c>
      <c r="BA28" s="21">
        <v>0</v>
      </c>
      <c r="BB28" s="21">
        <v>0</v>
      </c>
      <c r="BC28" s="21">
        <v>0</v>
      </c>
      <c r="BD28" s="21">
        <v>0</v>
      </c>
      <c r="BE28" s="21">
        <v>0</v>
      </c>
      <c r="BF28" s="21">
        <v>0</v>
      </c>
      <c r="BG28" s="21">
        <v>0</v>
      </c>
      <c r="BI28" s="3"/>
      <c r="BJ28" s="3"/>
      <c r="BK28" s="3"/>
      <c r="BL28" s="3"/>
      <c r="BM28" s="3"/>
      <c r="BN28" s="3"/>
      <c r="BO28" s="3"/>
    </row>
    <row r="29" spans="1:67" ht="16.5" customHeight="1" x14ac:dyDescent="0.2">
      <c r="A29" s="15" t="s">
        <v>234</v>
      </c>
      <c r="B29" s="21">
        <v>0</v>
      </c>
      <c r="C29" s="21">
        <v>0</v>
      </c>
      <c r="D29" s="21">
        <v>0</v>
      </c>
      <c r="E29" s="15">
        <v>36</v>
      </c>
      <c r="F29" s="21">
        <v>0</v>
      </c>
      <c r="G29" s="21">
        <v>0</v>
      </c>
      <c r="H29" s="21">
        <v>0</v>
      </c>
      <c r="I29" s="21">
        <v>0</v>
      </c>
      <c r="J29" s="21">
        <v>0</v>
      </c>
      <c r="K29" s="21">
        <v>0</v>
      </c>
      <c r="L29" s="21">
        <v>0</v>
      </c>
      <c r="M29" s="21">
        <v>0</v>
      </c>
      <c r="N29" s="21">
        <v>0</v>
      </c>
      <c r="O29" s="21">
        <v>0</v>
      </c>
      <c r="P29" s="21">
        <v>0</v>
      </c>
      <c r="Q29" s="21">
        <v>0</v>
      </c>
      <c r="R29" s="21">
        <v>0</v>
      </c>
      <c r="S29" s="21">
        <v>1</v>
      </c>
      <c r="T29" s="21">
        <v>0</v>
      </c>
      <c r="U29" s="21">
        <v>0</v>
      </c>
      <c r="V29" s="21">
        <v>0</v>
      </c>
      <c r="W29" s="21">
        <v>0</v>
      </c>
      <c r="X29" s="21">
        <v>0</v>
      </c>
      <c r="Y29" s="21">
        <v>0</v>
      </c>
      <c r="Z29" s="21">
        <v>0</v>
      </c>
      <c r="AA29" s="21">
        <v>0</v>
      </c>
      <c r="AB29" s="21">
        <v>0</v>
      </c>
      <c r="AC29" s="21">
        <v>0</v>
      </c>
      <c r="AD29" s="21">
        <v>0</v>
      </c>
      <c r="AE29" s="21">
        <v>0</v>
      </c>
      <c r="AF29" s="21">
        <v>0</v>
      </c>
      <c r="AG29" s="21">
        <v>0</v>
      </c>
      <c r="AH29" s="21">
        <v>0</v>
      </c>
      <c r="AI29" s="21">
        <v>0</v>
      </c>
      <c r="AJ29" s="21">
        <v>0</v>
      </c>
      <c r="AK29" s="21">
        <v>0</v>
      </c>
      <c r="AL29" s="21">
        <v>0</v>
      </c>
      <c r="AM29" s="21">
        <v>0</v>
      </c>
      <c r="AN29" s="21">
        <v>0</v>
      </c>
      <c r="AO29" s="21">
        <v>0</v>
      </c>
      <c r="AP29" s="21">
        <v>0</v>
      </c>
      <c r="AQ29" s="21">
        <v>0</v>
      </c>
      <c r="AR29" s="21">
        <v>0</v>
      </c>
      <c r="AS29" s="21">
        <v>0</v>
      </c>
      <c r="AT29" s="21">
        <v>0</v>
      </c>
      <c r="AU29" s="21">
        <v>0</v>
      </c>
      <c r="AV29" s="21">
        <v>3</v>
      </c>
      <c r="AW29" s="21">
        <v>0</v>
      </c>
      <c r="AX29" s="21">
        <v>0</v>
      </c>
      <c r="AY29" s="21">
        <v>0</v>
      </c>
      <c r="AZ29" s="21">
        <v>0</v>
      </c>
      <c r="BA29" s="21">
        <v>0</v>
      </c>
      <c r="BB29" s="21">
        <v>0</v>
      </c>
      <c r="BC29" s="21">
        <v>0</v>
      </c>
      <c r="BD29" s="21">
        <v>0</v>
      </c>
      <c r="BE29" s="21">
        <v>0</v>
      </c>
      <c r="BF29" s="21">
        <v>0</v>
      </c>
      <c r="BG29" s="21">
        <v>0</v>
      </c>
      <c r="BI29" s="3"/>
      <c r="BJ29" s="3"/>
      <c r="BK29" s="3"/>
      <c r="BL29" s="3"/>
      <c r="BM29" s="3"/>
      <c r="BN29" s="3"/>
      <c r="BO29" s="3"/>
    </row>
    <row r="30" spans="1:67" ht="16.5" customHeight="1" x14ac:dyDescent="0.2">
      <c r="A30" s="15" t="s">
        <v>235</v>
      </c>
      <c r="B30" s="21">
        <v>0</v>
      </c>
      <c r="C30" s="21">
        <v>0</v>
      </c>
      <c r="D30" s="21">
        <v>0</v>
      </c>
      <c r="E30" s="15">
        <v>13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1</v>
      </c>
      <c r="T30" s="21">
        <v>0</v>
      </c>
      <c r="U30" s="21">
        <v>0</v>
      </c>
      <c r="V30" s="21">
        <v>0</v>
      </c>
      <c r="W30" s="21">
        <v>0</v>
      </c>
      <c r="X30" s="21">
        <v>0</v>
      </c>
      <c r="Y30" s="21">
        <v>0</v>
      </c>
      <c r="Z30" s="21">
        <v>0</v>
      </c>
      <c r="AA30" s="21">
        <v>1</v>
      </c>
      <c r="AB30" s="21">
        <v>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0</v>
      </c>
      <c r="AJ30" s="21">
        <v>1</v>
      </c>
      <c r="AK30" s="21">
        <v>0</v>
      </c>
      <c r="AL30" s="21">
        <v>0</v>
      </c>
      <c r="AM30" s="21">
        <v>0</v>
      </c>
      <c r="AN30" s="21">
        <v>0</v>
      </c>
      <c r="AO30" s="21">
        <v>0</v>
      </c>
      <c r="AP30" s="21">
        <v>0</v>
      </c>
      <c r="AQ30" s="21">
        <v>0</v>
      </c>
      <c r="AR30" s="21">
        <v>0</v>
      </c>
      <c r="AS30" s="21">
        <v>0</v>
      </c>
      <c r="AT30" s="21">
        <v>0</v>
      </c>
      <c r="AU30" s="21">
        <v>0</v>
      </c>
      <c r="AV30" s="21">
        <v>0</v>
      </c>
      <c r="AW30" s="21">
        <v>0</v>
      </c>
      <c r="AX30" s="21">
        <v>0</v>
      </c>
      <c r="AY30" s="21">
        <v>0</v>
      </c>
      <c r="AZ30" s="21">
        <v>0</v>
      </c>
      <c r="BA30" s="21">
        <v>0</v>
      </c>
      <c r="BB30" s="21">
        <v>0</v>
      </c>
      <c r="BC30" s="21">
        <v>0</v>
      </c>
      <c r="BD30" s="21">
        <v>0</v>
      </c>
      <c r="BE30" s="21">
        <v>0</v>
      </c>
      <c r="BF30" s="21">
        <v>0</v>
      </c>
      <c r="BG30" s="21">
        <v>0</v>
      </c>
      <c r="BI30" s="3"/>
      <c r="BJ30" s="3"/>
      <c r="BK30" s="3"/>
      <c r="BL30" s="3"/>
      <c r="BM30" s="3"/>
      <c r="BN30" s="3"/>
      <c r="BO30" s="3"/>
    </row>
    <row r="31" spans="1:67" ht="16.5" customHeight="1" x14ac:dyDescent="0.2">
      <c r="A31" s="15" t="s">
        <v>236</v>
      </c>
      <c r="B31" s="21">
        <v>0</v>
      </c>
      <c r="C31" s="21">
        <v>0</v>
      </c>
      <c r="D31" s="21">
        <v>0</v>
      </c>
      <c r="E31" s="15">
        <v>27</v>
      </c>
      <c r="F31" s="21">
        <v>0</v>
      </c>
      <c r="G31" s="21">
        <v>0</v>
      </c>
      <c r="H31" s="21">
        <v>0</v>
      </c>
      <c r="I31" s="21">
        <v>1</v>
      </c>
      <c r="J31" s="21">
        <v>0</v>
      </c>
      <c r="K31" s="21">
        <v>0</v>
      </c>
      <c r="L31" s="21">
        <v>0</v>
      </c>
      <c r="M31" s="21">
        <v>0</v>
      </c>
      <c r="N31" s="21">
        <v>0</v>
      </c>
      <c r="O31" s="21">
        <v>0</v>
      </c>
      <c r="P31" s="21">
        <v>0</v>
      </c>
      <c r="Q31" s="21">
        <v>0</v>
      </c>
      <c r="R31" s="21">
        <v>0</v>
      </c>
      <c r="S31" s="21">
        <v>0</v>
      </c>
      <c r="T31" s="21">
        <v>0</v>
      </c>
      <c r="U31" s="21">
        <v>0</v>
      </c>
      <c r="V31" s="21">
        <v>0</v>
      </c>
      <c r="W31" s="21">
        <v>0</v>
      </c>
      <c r="X31" s="21">
        <v>0</v>
      </c>
      <c r="Y31" s="21">
        <v>0</v>
      </c>
      <c r="Z31" s="21">
        <v>0</v>
      </c>
      <c r="AA31" s="21">
        <v>0</v>
      </c>
      <c r="AB31" s="21">
        <v>0</v>
      </c>
      <c r="AC31" s="21">
        <v>0</v>
      </c>
      <c r="AD31" s="21">
        <v>0</v>
      </c>
      <c r="AE31" s="21">
        <v>0</v>
      </c>
      <c r="AF31" s="21">
        <v>0</v>
      </c>
      <c r="AG31" s="21">
        <v>0</v>
      </c>
      <c r="AH31" s="21">
        <v>0</v>
      </c>
      <c r="AI31" s="21">
        <v>0</v>
      </c>
      <c r="AJ31" s="21">
        <v>0</v>
      </c>
      <c r="AK31" s="21">
        <v>0</v>
      </c>
      <c r="AL31" s="21">
        <v>0</v>
      </c>
      <c r="AM31" s="21">
        <v>0</v>
      </c>
      <c r="AN31" s="21">
        <v>0</v>
      </c>
      <c r="AO31" s="21">
        <v>0</v>
      </c>
      <c r="AP31" s="21">
        <v>0</v>
      </c>
      <c r="AQ31" s="21">
        <v>0</v>
      </c>
      <c r="AR31" s="21">
        <v>0</v>
      </c>
      <c r="AS31" s="21">
        <v>0</v>
      </c>
      <c r="AT31" s="21">
        <v>0</v>
      </c>
      <c r="AU31" s="21">
        <v>0</v>
      </c>
      <c r="AV31" s="21">
        <v>2</v>
      </c>
      <c r="AW31" s="21">
        <v>0</v>
      </c>
      <c r="AX31" s="21">
        <v>0</v>
      </c>
      <c r="AY31" s="21">
        <v>0</v>
      </c>
      <c r="AZ31" s="21">
        <v>0</v>
      </c>
      <c r="BA31" s="21">
        <v>0</v>
      </c>
      <c r="BB31" s="21">
        <v>0</v>
      </c>
      <c r="BC31" s="21">
        <v>0</v>
      </c>
      <c r="BD31" s="21">
        <v>0</v>
      </c>
      <c r="BE31" s="21">
        <v>0</v>
      </c>
      <c r="BF31" s="21">
        <v>0</v>
      </c>
      <c r="BG31" s="21">
        <v>0</v>
      </c>
      <c r="BI31" s="3"/>
      <c r="BJ31" s="3"/>
      <c r="BK31" s="3"/>
      <c r="BL31" s="3"/>
      <c r="BM31" s="3"/>
      <c r="BN31" s="3"/>
      <c r="BO31" s="3"/>
    </row>
    <row r="32" spans="1:67" ht="16.5" customHeight="1" x14ac:dyDescent="0.2">
      <c r="A32" s="15" t="s">
        <v>237</v>
      </c>
      <c r="B32" s="21">
        <v>0</v>
      </c>
      <c r="C32" s="21">
        <v>0</v>
      </c>
      <c r="D32" s="21">
        <v>0</v>
      </c>
      <c r="E32" s="15">
        <v>50</v>
      </c>
      <c r="F32" s="21">
        <v>0</v>
      </c>
      <c r="G32" s="21">
        <v>0</v>
      </c>
      <c r="H32" s="21">
        <v>0</v>
      </c>
      <c r="I32" s="21">
        <v>1</v>
      </c>
      <c r="J32" s="21">
        <v>0</v>
      </c>
      <c r="K32" s="21">
        <v>0</v>
      </c>
      <c r="L32" s="21">
        <v>0</v>
      </c>
      <c r="M32" s="21">
        <v>0</v>
      </c>
      <c r="N32" s="21">
        <v>0</v>
      </c>
      <c r="O32" s="21">
        <v>0</v>
      </c>
      <c r="P32" s="21">
        <v>0</v>
      </c>
      <c r="Q32" s="21">
        <v>0</v>
      </c>
      <c r="R32" s="21">
        <v>0</v>
      </c>
      <c r="S32" s="21">
        <v>0</v>
      </c>
      <c r="T32" s="21">
        <v>0</v>
      </c>
      <c r="U32" s="21">
        <v>0</v>
      </c>
      <c r="V32" s="21">
        <v>0</v>
      </c>
      <c r="W32" s="21">
        <v>0</v>
      </c>
      <c r="X32" s="21">
        <v>0</v>
      </c>
      <c r="Y32" s="21">
        <v>0</v>
      </c>
      <c r="Z32" s="21">
        <v>1</v>
      </c>
      <c r="AA32" s="21">
        <v>0</v>
      </c>
      <c r="AB32" s="21">
        <v>0</v>
      </c>
      <c r="AC32" s="21">
        <v>0</v>
      </c>
      <c r="AD32" s="21">
        <v>0</v>
      </c>
      <c r="AE32" s="21">
        <v>0</v>
      </c>
      <c r="AF32" s="21">
        <v>0</v>
      </c>
      <c r="AG32" s="21">
        <v>0</v>
      </c>
      <c r="AH32" s="21">
        <v>0</v>
      </c>
      <c r="AI32" s="21">
        <v>0</v>
      </c>
      <c r="AJ32" s="21">
        <v>0</v>
      </c>
      <c r="AK32" s="21">
        <v>0</v>
      </c>
      <c r="AL32" s="21">
        <v>0</v>
      </c>
      <c r="AM32" s="21">
        <v>0</v>
      </c>
      <c r="AN32" s="21">
        <v>0</v>
      </c>
      <c r="AO32" s="21">
        <v>0</v>
      </c>
      <c r="AP32" s="21">
        <v>0</v>
      </c>
      <c r="AQ32" s="21">
        <v>0</v>
      </c>
      <c r="AR32" s="21">
        <v>0</v>
      </c>
      <c r="AS32" s="21">
        <v>0</v>
      </c>
      <c r="AT32" s="21">
        <v>0</v>
      </c>
      <c r="AU32" s="21">
        <v>0</v>
      </c>
      <c r="AV32" s="21">
        <v>8</v>
      </c>
      <c r="AW32" s="21">
        <v>0</v>
      </c>
      <c r="AX32" s="21">
        <v>0</v>
      </c>
      <c r="AY32" s="21">
        <v>0</v>
      </c>
      <c r="AZ32" s="21">
        <v>0</v>
      </c>
      <c r="BA32" s="21">
        <v>0</v>
      </c>
      <c r="BB32" s="21">
        <v>0</v>
      </c>
      <c r="BC32" s="21">
        <v>0</v>
      </c>
      <c r="BD32" s="21">
        <v>0</v>
      </c>
      <c r="BE32" s="21">
        <v>0</v>
      </c>
      <c r="BF32" s="21">
        <v>0</v>
      </c>
      <c r="BG32" s="21">
        <v>0</v>
      </c>
      <c r="BI32" s="3"/>
      <c r="BJ32" s="3"/>
      <c r="BK32" s="3"/>
      <c r="BL32" s="3"/>
      <c r="BM32" s="3"/>
      <c r="BN32" s="3"/>
      <c r="BO32" s="3"/>
    </row>
    <row r="33" spans="1:67" ht="16.5" customHeight="1" x14ac:dyDescent="0.2">
      <c r="A33" s="15" t="s">
        <v>238</v>
      </c>
      <c r="B33" s="21">
        <v>0</v>
      </c>
      <c r="C33" s="21">
        <v>0</v>
      </c>
      <c r="D33" s="21">
        <v>0</v>
      </c>
      <c r="E33" s="21">
        <v>16</v>
      </c>
      <c r="F33" s="21">
        <v>0</v>
      </c>
      <c r="G33" s="21">
        <v>0</v>
      </c>
      <c r="H33" s="21">
        <v>0</v>
      </c>
      <c r="I33" s="15">
        <v>0</v>
      </c>
      <c r="J33" s="21">
        <v>0</v>
      </c>
      <c r="K33" s="21">
        <v>0</v>
      </c>
      <c r="L33" s="21">
        <v>0</v>
      </c>
      <c r="M33" s="21">
        <v>0</v>
      </c>
      <c r="N33" s="21">
        <v>0</v>
      </c>
      <c r="O33" s="21">
        <v>0</v>
      </c>
      <c r="P33" s="21">
        <v>0</v>
      </c>
      <c r="Q33" s="21">
        <v>0</v>
      </c>
      <c r="R33" s="21">
        <v>0</v>
      </c>
      <c r="S33" s="21">
        <v>0</v>
      </c>
      <c r="T33" s="21">
        <v>0</v>
      </c>
      <c r="U33" s="21">
        <v>0</v>
      </c>
      <c r="V33" s="21">
        <v>0</v>
      </c>
      <c r="W33" s="21">
        <v>0</v>
      </c>
      <c r="X33" s="21">
        <v>0</v>
      </c>
      <c r="Y33" s="21">
        <v>0</v>
      </c>
      <c r="Z33" s="21">
        <v>0</v>
      </c>
      <c r="AA33" s="21">
        <v>0</v>
      </c>
      <c r="AB33" s="21">
        <v>0</v>
      </c>
      <c r="AC33" s="21">
        <v>0</v>
      </c>
      <c r="AD33" s="21">
        <v>0</v>
      </c>
      <c r="AE33" s="21">
        <v>0</v>
      </c>
      <c r="AF33" s="21">
        <v>0</v>
      </c>
      <c r="AG33" s="21">
        <v>0</v>
      </c>
      <c r="AH33" s="21">
        <v>0</v>
      </c>
      <c r="AI33" s="21">
        <v>0</v>
      </c>
      <c r="AJ33" s="21">
        <v>0</v>
      </c>
      <c r="AK33" s="21">
        <v>0</v>
      </c>
      <c r="AL33" s="21">
        <v>0</v>
      </c>
      <c r="AM33" s="21">
        <v>0</v>
      </c>
      <c r="AN33" s="21">
        <v>0</v>
      </c>
      <c r="AO33" s="21">
        <v>0</v>
      </c>
      <c r="AP33" s="21">
        <v>0</v>
      </c>
      <c r="AQ33" s="21">
        <v>0</v>
      </c>
      <c r="AR33" s="21">
        <v>0</v>
      </c>
      <c r="AS33" s="21">
        <v>0</v>
      </c>
      <c r="AT33" s="21">
        <v>0</v>
      </c>
      <c r="AU33" s="21">
        <v>0</v>
      </c>
      <c r="AV33" s="21">
        <v>2</v>
      </c>
      <c r="AW33" s="21">
        <v>0</v>
      </c>
      <c r="AX33" s="21">
        <v>0</v>
      </c>
      <c r="AY33" s="21">
        <v>0</v>
      </c>
      <c r="AZ33" s="21">
        <v>0</v>
      </c>
      <c r="BA33" s="21">
        <v>0</v>
      </c>
      <c r="BB33" s="21">
        <v>0</v>
      </c>
      <c r="BC33" s="21">
        <v>0</v>
      </c>
      <c r="BD33" s="21">
        <v>0</v>
      </c>
      <c r="BE33" s="21">
        <v>0</v>
      </c>
      <c r="BF33" s="21">
        <v>0</v>
      </c>
      <c r="BG33" s="21">
        <v>0</v>
      </c>
      <c r="BI33" s="3"/>
      <c r="BJ33" s="3"/>
      <c r="BK33" s="3"/>
      <c r="BL33" s="3"/>
      <c r="BM33" s="3"/>
      <c r="BN33" s="3"/>
      <c r="BO33" s="3"/>
    </row>
    <row r="34" spans="1:67" ht="16.5" customHeight="1" x14ac:dyDescent="0.2">
      <c r="A34" s="15" t="s">
        <v>239</v>
      </c>
      <c r="B34" s="21">
        <v>0</v>
      </c>
      <c r="C34" s="21">
        <v>0</v>
      </c>
      <c r="D34" s="21">
        <v>0</v>
      </c>
      <c r="E34" s="21">
        <v>22</v>
      </c>
      <c r="F34" s="21">
        <v>0</v>
      </c>
      <c r="G34" s="21">
        <v>0</v>
      </c>
      <c r="H34" s="21">
        <v>0</v>
      </c>
      <c r="I34" s="21">
        <v>4</v>
      </c>
      <c r="J34" s="21">
        <v>0</v>
      </c>
      <c r="K34" s="21">
        <v>0</v>
      </c>
      <c r="L34" s="21">
        <v>0</v>
      </c>
      <c r="M34" s="21">
        <v>0</v>
      </c>
      <c r="N34" s="21">
        <v>0</v>
      </c>
      <c r="O34" s="21">
        <v>0</v>
      </c>
      <c r="P34" s="21">
        <v>0</v>
      </c>
      <c r="Q34" s="21">
        <v>0</v>
      </c>
      <c r="R34" s="21">
        <v>0</v>
      </c>
      <c r="S34" s="21">
        <v>0</v>
      </c>
      <c r="T34" s="21">
        <v>0</v>
      </c>
      <c r="U34" s="21">
        <v>0</v>
      </c>
      <c r="V34" s="21">
        <v>0</v>
      </c>
      <c r="W34" s="21">
        <v>0</v>
      </c>
      <c r="X34" s="21">
        <v>0</v>
      </c>
      <c r="Y34" s="21">
        <v>0</v>
      </c>
      <c r="Z34" s="21">
        <v>0</v>
      </c>
      <c r="AA34" s="21">
        <v>0</v>
      </c>
      <c r="AB34" s="21">
        <v>0</v>
      </c>
      <c r="AC34" s="21">
        <v>0</v>
      </c>
      <c r="AD34" s="21">
        <v>0</v>
      </c>
      <c r="AE34" s="21">
        <v>0</v>
      </c>
      <c r="AF34" s="21">
        <v>0</v>
      </c>
      <c r="AG34" s="21">
        <v>0</v>
      </c>
      <c r="AH34" s="21">
        <v>0</v>
      </c>
      <c r="AI34" s="21">
        <v>0</v>
      </c>
      <c r="AJ34" s="21">
        <v>0</v>
      </c>
      <c r="AK34" s="21">
        <v>0</v>
      </c>
      <c r="AL34" s="21">
        <v>0</v>
      </c>
      <c r="AM34" s="21">
        <v>0</v>
      </c>
      <c r="AN34" s="21">
        <v>0</v>
      </c>
      <c r="AO34" s="21">
        <v>0</v>
      </c>
      <c r="AP34" s="21">
        <v>0</v>
      </c>
      <c r="AQ34" s="21">
        <v>1</v>
      </c>
      <c r="AR34" s="21">
        <v>0</v>
      </c>
      <c r="AS34" s="21">
        <v>0</v>
      </c>
      <c r="AT34" s="21">
        <v>0</v>
      </c>
      <c r="AU34" s="21">
        <v>0</v>
      </c>
      <c r="AV34" s="21">
        <v>6</v>
      </c>
      <c r="AW34" s="21">
        <v>0</v>
      </c>
      <c r="AX34" s="21">
        <v>0</v>
      </c>
      <c r="AY34" s="21">
        <v>0</v>
      </c>
      <c r="AZ34" s="21">
        <v>0</v>
      </c>
      <c r="BA34" s="21">
        <v>0</v>
      </c>
      <c r="BB34" s="21">
        <v>0</v>
      </c>
      <c r="BC34" s="21">
        <v>0</v>
      </c>
      <c r="BD34" s="21">
        <v>0</v>
      </c>
      <c r="BE34" s="21">
        <v>0</v>
      </c>
      <c r="BF34" s="21">
        <v>0</v>
      </c>
      <c r="BG34" s="21">
        <v>0</v>
      </c>
      <c r="BI34" s="3"/>
      <c r="BJ34" s="3"/>
      <c r="BK34" s="3"/>
      <c r="BL34" s="3"/>
      <c r="BM34" s="3"/>
      <c r="BN34" s="3"/>
      <c r="BO34" s="3"/>
    </row>
    <row r="35" spans="1:67" ht="16.5" customHeight="1" x14ac:dyDescent="0.2">
      <c r="A35" s="15" t="s">
        <v>240</v>
      </c>
      <c r="B35" s="21">
        <v>0</v>
      </c>
      <c r="C35" s="21">
        <v>0</v>
      </c>
      <c r="D35" s="21">
        <v>0</v>
      </c>
      <c r="E35" s="21">
        <v>17</v>
      </c>
      <c r="F35" s="21">
        <v>0</v>
      </c>
      <c r="G35" s="21">
        <v>0</v>
      </c>
      <c r="H35" s="21">
        <v>0</v>
      </c>
      <c r="I35" s="21">
        <v>16</v>
      </c>
      <c r="J35" s="21">
        <v>0</v>
      </c>
      <c r="K35" s="21">
        <v>0</v>
      </c>
      <c r="L35" s="21">
        <v>0</v>
      </c>
      <c r="M35" s="21">
        <v>0</v>
      </c>
      <c r="N35" s="21">
        <v>0</v>
      </c>
      <c r="O35" s="21">
        <v>0</v>
      </c>
      <c r="P35" s="21">
        <v>0</v>
      </c>
      <c r="Q35" s="21">
        <v>0</v>
      </c>
      <c r="R35" s="21">
        <v>0</v>
      </c>
      <c r="S35" s="21">
        <v>0</v>
      </c>
      <c r="T35" s="21">
        <v>0</v>
      </c>
      <c r="U35" s="21">
        <v>0</v>
      </c>
      <c r="V35" s="21">
        <v>0</v>
      </c>
      <c r="W35" s="21">
        <v>0</v>
      </c>
      <c r="X35" s="21">
        <v>0</v>
      </c>
      <c r="Y35" s="21">
        <v>0</v>
      </c>
      <c r="Z35" s="21">
        <v>0</v>
      </c>
      <c r="AA35" s="21">
        <v>0</v>
      </c>
      <c r="AB35" s="21">
        <v>0</v>
      </c>
      <c r="AC35" s="21">
        <v>0</v>
      </c>
      <c r="AD35" s="21">
        <v>0</v>
      </c>
      <c r="AE35" s="21">
        <v>0</v>
      </c>
      <c r="AF35" s="21">
        <v>0</v>
      </c>
      <c r="AG35" s="21">
        <v>0</v>
      </c>
      <c r="AH35" s="21">
        <v>0</v>
      </c>
      <c r="AI35" s="21">
        <v>0</v>
      </c>
      <c r="AJ35" s="21">
        <v>1</v>
      </c>
      <c r="AK35" s="21">
        <v>0</v>
      </c>
      <c r="AL35" s="21">
        <v>0</v>
      </c>
      <c r="AM35" s="21">
        <v>0</v>
      </c>
      <c r="AN35" s="21">
        <v>0</v>
      </c>
      <c r="AO35" s="21">
        <v>0</v>
      </c>
      <c r="AP35" s="21">
        <v>0</v>
      </c>
      <c r="AQ35" s="21">
        <v>0</v>
      </c>
      <c r="AR35" s="21">
        <v>0</v>
      </c>
      <c r="AS35" s="21">
        <v>0</v>
      </c>
      <c r="AT35" s="21">
        <v>0</v>
      </c>
      <c r="AU35" s="21">
        <v>0</v>
      </c>
      <c r="AV35" s="21">
        <v>9</v>
      </c>
      <c r="AW35" s="21">
        <v>0</v>
      </c>
      <c r="AX35" s="21">
        <v>4</v>
      </c>
      <c r="AY35" s="21">
        <v>0</v>
      </c>
      <c r="AZ35" s="21">
        <v>0</v>
      </c>
      <c r="BA35" s="21">
        <v>0</v>
      </c>
      <c r="BB35" s="21">
        <v>0</v>
      </c>
      <c r="BC35" s="21">
        <v>0</v>
      </c>
      <c r="BD35" s="21">
        <v>0</v>
      </c>
      <c r="BE35" s="21">
        <v>0</v>
      </c>
      <c r="BF35" s="21">
        <v>0</v>
      </c>
      <c r="BG35" s="21">
        <v>0</v>
      </c>
      <c r="BI35" s="3"/>
      <c r="BJ35" s="3"/>
      <c r="BK35" s="3"/>
      <c r="BL35" s="3"/>
      <c r="BM35" s="3"/>
      <c r="BN35" s="3"/>
      <c r="BO35" s="3"/>
    </row>
    <row r="36" spans="1:67" ht="16.5" customHeight="1" x14ac:dyDescent="0.2">
      <c r="A36" s="15" t="s">
        <v>241</v>
      </c>
      <c r="B36" s="21">
        <v>1</v>
      </c>
      <c r="C36" s="21">
        <v>0</v>
      </c>
      <c r="D36" s="21">
        <v>0</v>
      </c>
      <c r="E36" s="21">
        <v>54</v>
      </c>
      <c r="F36" s="21">
        <v>0</v>
      </c>
      <c r="G36" s="21">
        <v>0</v>
      </c>
      <c r="H36" s="21">
        <v>0</v>
      </c>
      <c r="I36" s="21">
        <v>132</v>
      </c>
      <c r="J36" s="21">
        <v>0</v>
      </c>
      <c r="K36" s="21">
        <v>0</v>
      </c>
      <c r="L36" s="21">
        <v>0</v>
      </c>
      <c r="M36" s="21">
        <v>1</v>
      </c>
      <c r="N36" s="21">
        <v>2</v>
      </c>
      <c r="O36" s="21">
        <v>0</v>
      </c>
      <c r="P36" s="21">
        <v>0</v>
      </c>
      <c r="Q36" s="21">
        <v>0</v>
      </c>
      <c r="R36" s="21">
        <v>0</v>
      </c>
      <c r="S36" s="21">
        <v>2</v>
      </c>
      <c r="T36" s="21">
        <v>1</v>
      </c>
      <c r="U36" s="21">
        <v>1</v>
      </c>
      <c r="V36" s="21">
        <v>1</v>
      </c>
      <c r="W36" s="21">
        <v>0</v>
      </c>
      <c r="X36" s="21">
        <v>0</v>
      </c>
      <c r="Y36" s="21">
        <v>1</v>
      </c>
      <c r="Z36" s="21">
        <v>0</v>
      </c>
      <c r="AA36" s="21">
        <v>0</v>
      </c>
      <c r="AB36" s="21">
        <v>1</v>
      </c>
      <c r="AC36" s="21">
        <v>1</v>
      </c>
      <c r="AD36" s="21">
        <v>1</v>
      </c>
      <c r="AE36" s="21">
        <v>0</v>
      </c>
      <c r="AF36" s="21">
        <v>0</v>
      </c>
      <c r="AG36" s="21">
        <v>0</v>
      </c>
      <c r="AH36" s="21">
        <v>0</v>
      </c>
      <c r="AI36" s="21">
        <v>0</v>
      </c>
      <c r="AJ36" s="21">
        <v>0</v>
      </c>
      <c r="AK36" s="21">
        <v>0</v>
      </c>
      <c r="AL36" s="21">
        <v>0</v>
      </c>
      <c r="AM36" s="21">
        <v>0</v>
      </c>
      <c r="AN36" s="21">
        <v>0</v>
      </c>
      <c r="AO36" s="21">
        <v>0</v>
      </c>
      <c r="AP36" s="21">
        <v>0</v>
      </c>
      <c r="AQ36" s="21">
        <v>0</v>
      </c>
      <c r="AR36" s="21">
        <v>0</v>
      </c>
      <c r="AS36" s="21">
        <v>0</v>
      </c>
      <c r="AT36" s="21">
        <v>0</v>
      </c>
      <c r="AU36" s="21">
        <v>0</v>
      </c>
      <c r="AV36" s="21">
        <v>817</v>
      </c>
      <c r="AW36" s="21">
        <v>28</v>
      </c>
      <c r="AX36" s="21">
        <v>4</v>
      </c>
      <c r="AY36" s="21">
        <v>0</v>
      </c>
      <c r="AZ36" s="21">
        <v>0</v>
      </c>
      <c r="BA36" s="21">
        <v>34</v>
      </c>
      <c r="BB36" s="21">
        <v>0</v>
      </c>
      <c r="BC36" s="21">
        <v>141</v>
      </c>
      <c r="BD36" s="21">
        <v>9</v>
      </c>
      <c r="BE36" s="21">
        <v>2</v>
      </c>
      <c r="BF36" s="21">
        <v>0</v>
      </c>
      <c r="BG36" s="21">
        <v>0</v>
      </c>
      <c r="BI36" s="3"/>
      <c r="BJ36" s="3"/>
      <c r="BK36" s="3"/>
      <c r="BL36" s="3"/>
      <c r="BM36" s="3"/>
      <c r="BN36" s="3"/>
      <c r="BO36" s="3"/>
    </row>
    <row r="37" spans="1:67" ht="16.5" customHeight="1" x14ac:dyDescent="0.2">
      <c r="A37" s="15" t="s">
        <v>242</v>
      </c>
      <c r="B37" s="21">
        <v>2</v>
      </c>
      <c r="C37" s="21">
        <v>0</v>
      </c>
      <c r="D37" s="21">
        <v>3</v>
      </c>
      <c r="E37" s="21">
        <v>9</v>
      </c>
      <c r="F37" s="21">
        <v>0</v>
      </c>
      <c r="G37" s="21">
        <v>4</v>
      </c>
      <c r="H37" s="21">
        <v>0</v>
      </c>
      <c r="I37" s="21">
        <v>19</v>
      </c>
      <c r="J37" s="21">
        <v>0</v>
      </c>
      <c r="K37" s="21">
        <v>1</v>
      </c>
      <c r="L37" s="21">
        <v>33</v>
      </c>
      <c r="M37" s="21">
        <v>17</v>
      </c>
      <c r="N37" s="21">
        <v>0</v>
      </c>
      <c r="O37" s="21">
        <v>0</v>
      </c>
      <c r="P37" s="21">
        <v>0</v>
      </c>
      <c r="Q37" s="21">
        <v>0</v>
      </c>
      <c r="R37" s="21">
        <v>0</v>
      </c>
      <c r="S37" s="21">
        <v>6</v>
      </c>
      <c r="T37" s="21">
        <v>2</v>
      </c>
      <c r="U37" s="21">
        <v>0</v>
      </c>
      <c r="V37" s="21">
        <v>3</v>
      </c>
      <c r="W37" s="21">
        <v>0</v>
      </c>
      <c r="X37" s="21">
        <v>0</v>
      </c>
      <c r="Y37" s="21">
        <v>0</v>
      </c>
      <c r="Z37" s="21">
        <v>0</v>
      </c>
      <c r="AA37" s="21">
        <v>1</v>
      </c>
      <c r="AB37" s="21">
        <v>0</v>
      </c>
      <c r="AC37" s="21">
        <v>0</v>
      </c>
      <c r="AD37" s="21">
        <v>0</v>
      </c>
      <c r="AE37" s="21">
        <v>0</v>
      </c>
      <c r="AF37" s="21">
        <v>0</v>
      </c>
      <c r="AG37" s="21">
        <v>0</v>
      </c>
      <c r="AH37" s="21">
        <v>0</v>
      </c>
      <c r="AI37" s="21">
        <v>0</v>
      </c>
      <c r="AJ37" s="21">
        <v>0</v>
      </c>
      <c r="AK37" s="21">
        <v>0</v>
      </c>
      <c r="AL37" s="21">
        <v>0</v>
      </c>
      <c r="AM37" s="21">
        <v>3</v>
      </c>
      <c r="AN37" s="21">
        <v>2</v>
      </c>
      <c r="AO37" s="21">
        <v>4</v>
      </c>
      <c r="AP37" s="21">
        <v>2</v>
      </c>
      <c r="AQ37" s="21">
        <v>4</v>
      </c>
      <c r="AR37" s="21">
        <v>0</v>
      </c>
      <c r="AS37" s="21">
        <v>0</v>
      </c>
      <c r="AT37" s="21">
        <v>0</v>
      </c>
      <c r="AU37" s="21">
        <v>0</v>
      </c>
      <c r="AV37" s="21">
        <v>91</v>
      </c>
      <c r="AW37" s="21">
        <v>8</v>
      </c>
      <c r="AX37" s="21">
        <v>7</v>
      </c>
      <c r="AY37" s="21">
        <v>0</v>
      </c>
      <c r="AZ37" s="21">
        <v>0</v>
      </c>
      <c r="BA37" s="21">
        <v>2</v>
      </c>
      <c r="BB37" s="21">
        <v>0</v>
      </c>
      <c r="BC37" s="21">
        <v>2</v>
      </c>
      <c r="BD37" s="21">
        <v>1</v>
      </c>
      <c r="BE37" s="21">
        <v>1</v>
      </c>
      <c r="BF37" s="21">
        <v>0</v>
      </c>
      <c r="BG37" s="21">
        <v>0</v>
      </c>
      <c r="BI37" s="3"/>
      <c r="BJ37" s="3"/>
      <c r="BK37" s="3"/>
      <c r="BL37" s="3"/>
      <c r="BM37" s="3"/>
      <c r="BN37" s="3"/>
      <c r="BO37" s="3"/>
    </row>
    <row r="38" spans="1:67" ht="16.5" customHeight="1" x14ac:dyDescent="0.2">
      <c r="A38" s="15" t="s">
        <v>243</v>
      </c>
      <c r="B38" s="21">
        <v>0</v>
      </c>
      <c r="C38" s="21">
        <v>0</v>
      </c>
      <c r="D38" s="21">
        <v>0</v>
      </c>
      <c r="E38" s="21">
        <v>16</v>
      </c>
      <c r="F38" s="21">
        <v>0</v>
      </c>
      <c r="G38" s="21">
        <v>0</v>
      </c>
      <c r="H38" s="21">
        <v>0</v>
      </c>
      <c r="I38" s="21">
        <v>16</v>
      </c>
      <c r="J38" s="21">
        <v>0</v>
      </c>
      <c r="K38" s="21">
        <v>0</v>
      </c>
      <c r="L38" s="21">
        <v>0</v>
      </c>
      <c r="M38" s="21">
        <v>0</v>
      </c>
      <c r="N38" s="21">
        <v>0</v>
      </c>
      <c r="O38" s="21">
        <v>0</v>
      </c>
      <c r="P38" s="21">
        <v>0</v>
      </c>
      <c r="Q38" s="21">
        <v>0</v>
      </c>
      <c r="R38" s="21">
        <v>0</v>
      </c>
      <c r="S38" s="21">
        <v>0</v>
      </c>
      <c r="T38" s="21">
        <v>0</v>
      </c>
      <c r="U38" s="21">
        <v>0</v>
      </c>
      <c r="V38" s="21">
        <v>0</v>
      </c>
      <c r="W38" s="21">
        <v>0</v>
      </c>
      <c r="X38" s="21">
        <v>0</v>
      </c>
      <c r="Y38" s="21">
        <v>2</v>
      </c>
      <c r="Z38" s="21">
        <v>0</v>
      </c>
      <c r="AA38" s="21">
        <v>2</v>
      </c>
      <c r="AB38" s="21">
        <v>0</v>
      </c>
      <c r="AC38" s="21">
        <v>0</v>
      </c>
      <c r="AD38" s="21">
        <v>0</v>
      </c>
      <c r="AE38" s="21">
        <v>0</v>
      </c>
      <c r="AF38" s="21">
        <v>0</v>
      </c>
      <c r="AG38" s="21">
        <v>0</v>
      </c>
      <c r="AH38" s="21">
        <v>0</v>
      </c>
      <c r="AI38" s="21">
        <v>0</v>
      </c>
      <c r="AJ38" s="21">
        <v>0</v>
      </c>
      <c r="AK38" s="21">
        <v>0</v>
      </c>
      <c r="AL38" s="21">
        <v>0</v>
      </c>
      <c r="AM38" s="21">
        <v>0</v>
      </c>
      <c r="AN38" s="21">
        <v>0</v>
      </c>
      <c r="AO38" s="21">
        <v>0</v>
      </c>
      <c r="AP38" s="21">
        <v>0</v>
      </c>
      <c r="AQ38" s="21">
        <v>2</v>
      </c>
      <c r="AR38" s="21">
        <v>0</v>
      </c>
      <c r="AS38" s="21">
        <v>0</v>
      </c>
      <c r="AT38" s="21">
        <v>0</v>
      </c>
      <c r="AU38" s="21">
        <v>0</v>
      </c>
      <c r="AV38" s="21">
        <v>45</v>
      </c>
      <c r="AW38" s="21">
        <v>12</v>
      </c>
      <c r="AX38" s="21">
        <v>0</v>
      </c>
      <c r="AY38" s="21">
        <v>0</v>
      </c>
      <c r="AZ38" s="21">
        <v>0</v>
      </c>
      <c r="BA38" s="21">
        <v>0</v>
      </c>
      <c r="BB38" s="21">
        <v>0</v>
      </c>
      <c r="BC38" s="21">
        <v>2</v>
      </c>
      <c r="BD38" s="21">
        <v>1</v>
      </c>
      <c r="BE38" s="21">
        <v>0</v>
      </c>
      <c r="BF38" s="21">
        <v>1</v>
      </c>
      <c r="BG38" s="21">
        <v>0</v>
      </c>
      <c r="BI38" s="3"/>
      <c r="BJ38" s="3"/>
      <c r="BK38" s="3"/>
      <c r="BL38" s="3"/>
      <c r="BM38" s="3"/>
      <c r="BN38" s="3"/>
      <c r="BO38" s="3"/>
    </row>
    <row r="39" spans="1:67" ht="16.5" customHeight="1" x14ac:dyDescent="0.2">
      <c r="A39" s="15" t="s">
        <v>244</v>
      </c>
      <c r="B39" s="21">
        <v>0</v>
      </c>
      <c r="C39" s="21">
        <v>0</v>
      </c>
      <c r="D39" s="21">
        <v>0</v>
      </c>
      <c r="E39" s="15">
        <v>28</v>
      </c>
      <c r="F39" s="21">
        <v>0</v>
      </c>
      <c r="G39" s="21">
        <v>0</v>
      </c>
      <c r="H39" s="21">
        <v>0</v>
      </c>
      <c r="I39" s="21">
        <v>55</v>
      </c>
      <c r="J39" s="21">
        <v>0</v>
      </c>
      <c r="K39" s="21">
        <v>0</v>
      </c>
      <c r="L39" s="21">
        <v>0</v>
      </c>
      <c r="M39" s="21">
        <v>0</v>
      </c>
      <c r="N39" s="21">
        <v>0</v>
      </c>
      <c r="O39" s="21">
        <v>0</v>
      </c>
      <c r="P39" s="21">
        <v>0</v>
      </c>
      <c r="Q39" s="21">
        <v>2</v>
      </c>
      <c r="R39" s="21">
        <v>0</v>
      </c>
      <c r="S39" s="21">
        <v>0</v>
      </c>
      <c r="T39" s="21">
        <v>0</v>
      </c>
      <c r="U39" s="21">
        <v>0</v>
      </c>
      <c r="V39" s="21">
        <v>0</v>
      </c>
      <c r="W39" s="21">
        <v>0</v>
      </c>
      <c r="X39" s="21">
        <v>0</v>
      </c>
      <c r="Y39" s="21">
        <v>1</v>
      </c>
      <c r="Z39" s="21">
        <v>0</v>
      </c>
      <c r="AA39" s="21">
        <v>0</v>
      </c>
      <c r="AB39" s="21">
        <v>0</v>
      </c>
      <c r="AC39" s="21">
        <v>0</v>
      </c>
      <c r="AD39" s="21">
        <v>1</v>
      </c>
      <c r="AE39" s="21">
        <v>0</v>
      </c>
      <c r="AF39" s="21">
        <v>0</v>
      </c>
      <c r="AG39" s="21">
        <v>1</v>
      </c>
      <c r="AH39" s="21">
        <v>0</v>
      </c>
      <c r="AI39" s="21">
        <v>0</v>
      </c>
      <c r="AJ39" s="21">
        <v>0</v>
      </c>
      <c r="AK39" s="21">
        <v>0</v>
      </c>
      <c r="AL39" s="21">
        <v>0</v>
      </c>
      <c r="AM39" s="21">
        <v>0</v>
      </c>
      <c r="AN39" s="21">
        <v>0</v>
      </c>
      <c r="AO39" s="21">
        <v>0</v>
      </c>
      <c r="AP39" s="21">
        <v>0</v>
      </c>
      <c r="AQ39" s="21">
        <v>1</v>
      </c>
      <c r="AR39" s="21">
        <v>0</v>
      </c>
      <c r="AS39" s="21">
        <v>0</v>
      </c>
      <c r="AT39" s="21">
        <v>0</v>
      </c>
      <c r="AU39" s="21">
        <v>0</v>
      </c>
      <c r="AV39" s="21">
        <v>15</v>
      </c>
      <c r="AW39" s="21">
        <v>1</v>
      </c>
      <c r="AX39" s="21">
        <v>0</v>
      </c>
      <c r="AY39" s="21">
        <v>0</v>
      </c>
      <c r="AZ39" s="21">
        <v>0</v>
      </c>
      <c r="BA39" s="21">
        <v>0</v>
      </c>
      <c r="BB39" s="21">
        <v>0</v>
      </c>
      <c r="BC39" s="21">
        <v>0</v>
      </c>
      <c r="BD39" s="21">
        <v>0</v>
      </c>
      <c r="BE39" s="21">
        <v>0</v>
      </c>
      <c r="BF39" s="21">
        <v>0</v>
      </c>
      <c r="BG39" s="21">
        <v>0</v>
      </c>
      <c r="BI39" s="3"/>
      <c r="BJ39" s="3"/>
      <c r="BK39" s="3"/>
      <c r="BL39" s="3"/>
      <c r="BM39" s="3"/>
      <c r="BN39" s="3"/>
      <c r="BO39" s="3"/>
    </row>
    <row r="40" spans="1:67" ht="16.5" customHeight="1" x14ac:dyDescent="0.2">
      <c r="A40" s="15" t="s">
        <v>245</v>
      </c>
      <c r="B40" s="15">
        <v>2</v>
      </c>
      <c r="C40" s="21">
        <v>0</v>
      </c>
      <c r="D40" s="21">
        <v>0</v>
      </c>
      <c r="E40" s="15">
        <v>39</v>
      </c>
      <c r="F40" s="21">
        <v>0</v>
      </c>
      <c r="G40" s="21">
        <v>0</v>
      </c>
      <c r="H40" s="21">
        <v>0</v>
      </c>
      <c r="I40" s="21">
        <v>72</v>
      </c>
      <c r="J40" s="21">
        <v>0</v>
      </c>
      <c r="K40" s="15">
        <v>1</v>
      </c>
      <c r="L40" s="21">
        <v>0</v>
      </c>
      <c r="M40" s="21">
        <v>0</v>
      </c>
      <c r="N40" s="21">
        <v>0</v>
      </c>
      <c r="O40" s="21">
        <v>0</v>
      </c>
      <c r="P40" s="21">
        <v>0</v>
      </c>
      <c r="Q40" s="21">
        <v>0</v>
      </c>
      <c r="R40" s="21">
        <v>0</v>
      </c>
      <c r="S40" s="21">
        <v>1</v>
      </c>
      <c r="T40" s="21">
        <v>0</v>
      </c>
      <c r="U40" s="21">
        <v>0</v>
      </c>
      <c r="V40" s="21">
        <v>0</v>
      </c>
      <c r="W40" s="21">
        <v>0</v>
      </c>
      <c r="X40" s="21">
        <v>0</v>
      </c>
      <c r="Y40" s="21">
        <v>0</v>
      </c>
      <c r="Z40" s="21">
        <v>0</v>
      </c>
      <c r="AA40" s="21">
        <v>0</v>
      </c>
      <c r="AB40" s="21">
        <v>0</v>
      </c>
      <c r="AC40" s="21">
        <v>0</v>
      </c>
      <c r="AD40" s="21">
        <v>0</v>
      </c>
      <c r="AE40" s="21">
        <v>0</v>
      </c>
      <c r="AF40" s="21">
        <v>0</v>
      </c>
      <c r="AG40" s="21">
        <v>0</v>
      </c>
      <c r="AH40" s="21">
        <v>0</v>
      </c>
      <c r="AI40" s="21">
        <v>0</v>
      </c>
      <c r="AJ40" s="21">
        <v>0</v>
      </c>
      <c r="AK40" s="21">
        <v>0</v>
      </c>
      <c r="AL40" s="21">
        <v>0</v>
      </c>
      <c r="AM40" s="21">
        <v>0</v>
      </c>
      <c r="AN40" s="21">
        <v>0</v>
      </c>
      <c r="AO40" s="21">
        <v>3</v>
      </c>
      <c r="AP40" s="21">
        <v>0</v>
      </c>
      <c r="AQ40" s="21">
        <v>0</v>
      </c>
      <c r="AR40" s="21">
        <v>0</v>
      </c>
      <c r="AS40" s="21">
        <v>0</v>
      </c>
      <c r="AT40" s="21">
        <v>0</v>
      </c>
      <c r="AU40" s="21">
        <v>0</v>
      </c>
      <c r="AV40" s="15">
        <v>42</v>
      </c>
      <c r="AW40" s="15">
        <v>20</v>
      </c>
      <c r="AX40" s="15">
        <v>26</v>
      </c>
      <c r="AY40" s="21">
        <v>0</v>
      </c>
      <c r="AZ40" s="21">
        <v>0</v>
      </c>
      <c r="BA40" s="21">
        <v>0</v>
      </c>
      <c r="BB40" s="21">
        <v>0</v>
      </c>
      <c r="BC40" s="21">
        <v>0</v>
      </c>
      <c r="BD40" s="21">
        <v>0</v>
      </c>
      <c r="BE40" s="21">
        <v>0</v>
      </c>
      <c r="BF40" s="21">
        <v>1</v>
      </c>
      <c r="BG40" s="21">
        <v>0</v>
      </c>
      <c r="BI40" s="3"/>
      <c r="BJ40" s="3"/>
      <c r="BK40" s="3"/>
      <c r="BL40" s="3"/>
      <c r="BM40" s="3"/>
      <c r="BN40" s="3"/>
      <c r="BO40" s="3"/>
    </row>
    <row r="41" spans="1:67" ht="16.5" customHeight="1" x14ac:dyDescent="0.2">
      <c r="A41" s="15" t="s">
        <v>246</v>
      </c>
      <c r="B41" s="21">
        <v>1</v>
      </c>
      <c r="C41" s="21">
        <v>0</v>
      </c>
      <c r="D41" s="21">
        <v>0</v>
      </c>
      <c r="E41" s="15">
        <v>50</v>
      </c>
      <c r="F41" s="21">
        <v>0</v>
      </c>
      <c r="G41" s="21">
        <v>0</v>
      </c>
      <c r="H41" s="21">
        <v>0</v>
      </c>
      <c r="I41" s="21">
        <v>70</v>
      </c>
      <c r="J41" s="21">
        <v>0</v>
      </c>
      <c r="K41" s="21">
        <v>0</v>
      </c>
      <c r="L41" s="21">
        <v>0</v>
      </c>
      <c r="M41" s="21">
        <v>0</v>
      </c>
      <c r="N41" s="21">
        <v>0</v>
      </c>
      <c r="O41" s="21">
        <v>1</v>
      </c>
      <c r="P41" s="21">
        <v>1</v>
      </c>
      <c r="Q41" s="21">
        <v>1</v>
      </c>
      <c r="R41" s="21">
        <v>0</v>
      </c>
      <c r="S41" s="21">
        <v>0</v>
      </c>
      <c r="T41" s="21">
        <v>0</v>
      </c>
      <c r="U41" s="21">
        <v>0</v>
      </c>
      <c r="V41" s="21">
        <v>0</v>
      </c>
      <c r="W41" s="21">
        <v>0</v>
      </c>
      <c r="X41" s="21">
        <v>0</v>
      </c>
      <c r="Y41" s="21">
        <v>0</v>
      </c>
      <c r="Z41" s="21">
        <v>0</v>
      </c>
      <c r="AA41" s="21">
        <v>0</v>
      </c>
      <c r="AB41" s="21">
        <v>0</v>
      </c>
      <c r="AC41" s="21">
        <v>0</v>
      </c>
      <c r="AD41" s="21">
        <v>0</v>
      </c>
      <c r="AE41" s="21">
        <v>0</v>
      </c>
      <c r="AF41" s="21">
        <v>0</v>
      </c>
      <c r="AG41" s="21">
        <v>0</v>
      </c>
      <c r="AH41" s="21">
        <v>0</v>
      </c>
      <c r="AI41" s="21">
        <v>0</v>
      </c>
      <c r="AJ41" s="21">
        <v>0</v>
      </c>
      <c r="AK41" s="21">
        <v>0</v>
      </c>
      <c r="AL41" s="21">
        <v>0</v>
      </c>
      <c r="AM41" s="21">
        <v>2</v>
      </c>
      <c r="AN41" s="21">
        <v>0</v>
      </c>
      <c r="AO41" s="21">
        <v>0</v>
      </c>
      <c r="AP41" s="21">
        <v>0</v>
      </c>
      <c r="AQ41" s="21">
        <v>0</v>
      </c>
      <c r="AR41" s="21">
        <v>4</v>
      </c>
      <c r="AS41" s="21">
        <v>1</v>
      </c>
      <c r="AT41" s="21">
        <v>1</v>
      </c>
      <c r="AU41" s="21">
        <v>0</v>
      </c>
      <c r="AV41" s="21">
        <v>28</v>
      </c>
      <c r="AW41" s="21">
        <v>14</v>
      </c>
      <c r="AX41" s="21">
        <v>4</v>
      </c>
      <c r="AY41" s="21">
        <v>0</v>
      </c>
      <c r="AZ41" s="21">
        <v>0</v>
      </c>
      <c r="BA41" s="21">
        <v>0</v>
      </c>
      <c r="BB41" s="21">
        <v>0</v>
      </c>
      <c r="BC41" s="21">
        <v>0</v>
      </c>
      <c r="BD41" s="21">
        <v>0</v>
      </c>
      <c r="BE41" s="21">
        <v>0</v>
      </c>
      <c r="BF41" s="21">
        <v>0</v>
      </c>
      <c r="BG41" s="21">
        <v>0</v>
      </c>
      <c r="BI41" s="3"/>
      <c r="BJ41" s="3"/>
      <c r="BK41" s="3"/>
      <c r="BL41" s="3"/>
      <c r="BM41" s="3"/>
      <c r="BN41" s="3"/>
      <c r="BO41" s="3"/>
    </row>
    <row r="42" spans="1:67" ht="16.5" customHeight="1" x14ac:dyDescent="0.2">
      <c r="A42" s="15" t="s">
        <v>247</v>
      </c>
      <c r="B42" s="21">
        <v>1</v>
      </c>
      <c r="C42" s="21">
        <v>0</v>
      </c>
      <c r="D42" s="21">
        <v>0</v>
      </c>
      <c r="E42" s="15">
        <v>22</v>
      </c>
      <c r="F42" s="21">
        <v>0</v>
      </c>
      <c r="G42" s="21">
        <v>0</v>
      </c>
      <c r="H42" s="21">
        <v>0</v>
      </c>
      <c r="I42" s="21">
        <v>4</v>
      </c>
      <c r="J42" s="21">
        <v>0</v>
      </c>
      <c r="K42" s="21">
        <v>0</v>
      </c>
      <c r="L42" s="21">
        <v>0</v>
      </c>
      <c r="M42" s="21">
        <v>0</v>
      </c>
      <c r="N42" s="21">
        <v>0</v>
      </c>
      <c r="O42" s="21">
        <v>0</v>
      </c>
      <c r="P42" s="21">
        <v>0</v>
      </c>
      <c r="Q42" s="21">
        <v>0</v>
      </c>
      <c r="R42" s="21">
        <v>0</v>
      </c>
      <c r="S42" s="21">
        <v>0</v>
      </c>
      <c r="T42" s="21">
        <v>0</v>
      </c>
      <c r="U42" s="21">
        <v>0</v>
      </c>
      <c r="V42" s="21">
        <v>0</v>
      </c>
      <c r="W42" s="21">
        <v>0</v>
      </c>
      <c r="X42" s="21">
        <v>0</v>
      </c>
      <c r="Y42" s="21">
        <v>0</v>
      </c>
      <c r="Z42" s="21">
        <v>0</v>
      </c>
      <c r="AA42" s="21">
        <v>0</v>
      </c>
      <c r="AB42" s="21">
        <v>0</v>
      </c>
      <c r="AC42" s="21">
        <v>0</v>
      </c>
      <c r="AD42" s="21">
        <v>0</v>
      </c>
      <c r="AE42" s="21">
        <v>0</v>
      </c>
      <c r="AF42" s="21">
        <v>0</v>
      </c>
      <c r="AG42" s="21">
        <v>0</v>
      </c>
      <c r="AH42" s="21">
        <v>0</v>
      </c>
      <c r="AI42" s="21">
        <v>0</v>
      </c>
      <c r="AJ42" s="21">
        <v>0</v>
      </c>
      <c r="AK42" s="21">
        <v>0</v>
      </c>
      <c r="AL42" s="21">
        <v>0</v>
      </c>
      <c r="AM42" s="21">
        <v>0</v>
      </c>
      <c r="AN42" s="21">
        <v>0</v>
      </c>
      <c r="AO42" s="21">
        <v>0</v>
      </c>
      <c r="AP42" s="21">
        <v>0</v>
      </c>
      <c r="AQ42" s="21">
        <v>0</v>
      </c>
      <c r="AR42" s="21">
        <v>0</v>
      </c>
      <c r="AS42" s="21">
        <v>0</v>
      </c>
      <c r="AT42" s="21">
        <v>0</v>
      </c>
      <c r="AU42" s="21">
        <v>0</v>
      </c>
      <c r="AV42" s="21">
        <v>6</v>
      </c>
      <c r="AW42" s="21">
        <v>0</v>
      </c>
      <c r="AX42" s="21">
        <v>2</v>
      </c>
      <c r="AY42" s="21">
        <v>0</v>
      </c>
      <c r="AZ42" s="21">
        <v>0</v>
      </c>
      <c r="BA42" s="21">
        <v>0</v>
      </c>
      <c r="BB42" s="21">
        <v>0</v>
      </c>
      <c r="BC42" s="21">
        <v>0</v>
      </c>
      <c r="BD42" s="21">
        <v>0</v>
      </c>
      <c r="BE42" s="21">
        <v>0</v>
      </c>
      <c r="BF42" s="21">
        <v>0</v>
      </c>
      <c r="BG42" s="21">
        <v>0</v>
      </c>
      <c r="BI42" s="3"/>
      <c r="BJ42" s="3"/>
      <c r="BK42" s="3"/>
      <c r="BL42" s="3"/>
      <c r="BM42" s="3"/>
      <c r="BN42" s="3"/>
      <c r="BO42" s="3"/>
    </row>
    <row r="43" spans="1:67" ht="16.5" customHeight="1" x14ac:dyDescent="0.2">
      <c r="A43" s="15" t="s">
        <v>248</v>
      </c>
      <c r="B43" s="21">
        <v>0</v>
      </c>
      <c r="C43" s="21">
        <v>0</v>
      </c>
      <c r="D43" s="21">
        <v>0</v>
      </c>
      <c r="E43" s="15">
        <v>13</v>
      </c>
      <c r="F43" s="21">
        <v>0</v>
      </c>
      <c r="G43" s="21">
        <v>0</v>
      </c>
      <c r="H43" s="21">
        <v>0</v>
      </c>
      <c r="I43" s="21">
        <v>15</v>
      </c>
      <c r="J43" s="21">
        <v>0</v>
      </c>
      <c r="K43" s="21">
        <v>0</v>
      </c>
      <c r="L43" s="21">
        <v>0</v>
      </c>
      <c r="M43" s="21">
        <v>0</v>
      </c>
      <c r="N43" s="21">
        <v>0</v>
      </c>
      <c r="O43" s="21">
        <v>0</v>
      </c>
      <c r="P43" s="21">
        <v>0</v>
      </c>
      <c r="Q43" s="21">
        <v>1</v>
      </c>
      <c r="R43" s="21">
        <v>0</v>
      </c>
      <c r="S43" s="21">
        <v>0</v>
      </c>
      <c r="T43" s="21">
        <v>0</v>
      </c>
      <c r="U43" s="21">
        <v>0</v>
      </c>
      <c r="V43" s="21">
        <v>0</v>
      </c>
      <c r="W43" s="21">
        <v>0</v>
      </c>
      <c r="X43" s="21">
        <v>0</v>
      </c>
      <c r="Y43" s="21">
        <v>3</v>
      </c>
      <c r="Z43" s="21">
        <v>0</v>
      </c>
      <c r="AA43" s="21">
        <v>0</v>
      </c>
      <c r="AB43" s="21">
        <v>0</v>
      </c>
      <c r="AC43" s="21">
        <v>0</v>
      </c>
      <c r="AD43" s="21">
        <v>0</v>
      </c>
      <c r="AE43" s="21">
        <v>0</v>
      </c>
      <c r="AF43" s="21">
        <v>0</v>
      </c>
      <c r="AG43" s="21">
        <v>0</v>
      </c>
      <c r="AH43" s="21">
        <v>0</v>
      </c>
      <c r="AI43" s="21">
        <v>0</v>
      </c>
      <c r="AJ43" s="21">
        <v>0</v>
      </c>
      <c r="AK43" s="21">
        <v>0</v>
      </c>
      <c r="AL43" s="21">
        <v>0</v>
      </c>
      <c r="AM43" s="21">
        <v>0</v>
      </c>
      <c r="AN43" s="21">
        <v>0</v>
      </c>
      <c r="AO43" s="21">
        <v>0</v>
      </c>
      <c r="AP43" s="21">
        <v>0</v>
      </c>
      <c r="AQ43" s="21">
        <v>0</v>
      </c>
      <c r="AR43" s="21">
        <v>0</v>
      </c>
      <c r="AS43" s="21">
        <v>0</v>
      </c>
      <c r="AT43" s="21">
        <v>0</v>
      </c>
      <c r="AU43" s="21">
        <v>0</v>
      </c>
      <c r="AV43" s="21">
        <v>5</v>
      </c>
      <c r="AW43" s="21">
        <v>0</v>
      </c>
      <c r="AX43" s="21">
        <v>0</v>
      </c>
      <c r="AY43" s="21">
        <v>0</v>
      </c>
      <c r="AZ43" s="21">
        <v>0</v>
      </c>
      <c r="BA43" s="21">
        <v>0</v>
      </c>
      <c r="BB43" s="21">
        <v>0</v>
      </c>
      <c r="BC43" s="21">
        <v>0</v>
      </c>
      <c r="BD43" s="21">
        <v>0</v>
      </c>
      <c r="BE43" s="21">
        <v>0</v>
      </c>
      <c r="BF43" s="21">
        <v>0</v>
      </c>
      <c r="BG43" s="21">
        <v>0</v>
      </c>
      <c r="BI43" s="3"/>
      <c r="BJ43" s="3"/>
      <c r="BK43" s="3"/>
      <c r="BL43" s="3"/>
      <c r="BM43" s="3"/>
      <c r="BN43" s="3"/>
      <c r="BO43" s="3"/>
    </row>
    <row r="44" spans="1:67" ht="16.5" customHeight="1" x14ac:dyDescent="0.2">
      <c r="A44" s="15" t="s">
        <v>249</v>
      </c>
      <c r="B44" s="21">
        <v>2</v>
      </c>
      <c r="C44" s="21">
        <v>0</v>
      </c>
      <c r="D44" s="21">
        <v>0</v>
      </c>
      <c r="E44" s="15">
        <v>12</v>
      </c>
      <c r="F44" s="21">
        <v>0</v>
      </c>
      <c r="G44" s="21">
        <v>3</v>
      </c>
      <c r="H44" s="21">
        <v>0</v>
      </c>
      <c r="I44" s="21">
        <v>4</v>
      </c>
      <c r="J44" s="21">
        <v>0</v>
      </c>
      <c r="K44" s="21">
        <v>0</v>
      </c>
      <c r="L44" s="21">
        <v>0</v>
      </c>
      <c r="M44" s="21">
        <v>0</v>
      </c>
      <c r="N44" s="21">
        <v>0</v>
      </c>
      <c r="O44" s="21">
        <v>0</v>
      </c>
      <c r="P44" s="21">
        <v>0</v>
      </c>
      <c r="Q44" s="21">
        <v>0</v>
      </c>
      <c r="R44" s="21">
        <v>0</v>
      </c>
      <c r="S44" s="21">
        <v>0</v>
      </c>
      <c r="T44" s="21">
        <v>0</v>
      </c>
      <c r="U44" s="21">
        <v>0</v>
      </c>
      <c r="V44" s="21">
        <v>2</v>
      </c>
      <c r="W44" s="21">
        <v>0</v>
      </c>
      <c r="X44" s="21">
        <v>0</v>
      </c>
      <c r="Y44" s="21">
        <v>0</v>
      </c>
      <c r="Z44" s="21">
        <v>0</v>
      </c>
      <c r="AA44" s="21">
        <v>0</v>
      </c>
      <c r="AB44" s="21">
        <v>0</v>
      </c>
      <c r="AC44" s="21">
        <v>0</v>
      </c>
      <c r="AD44" s="21">
        <v>0</v>
      </c>
      <c r="AE44" s="21">
        <v>0</v>
      </c>
      <c r="AF44" s="21">
        <v>0</v>
      </c>
      <c r="AG44" s="21">
        <v>0</v>
      </c>
      <c r="AH44" s="21">
        <v>0</v>
      </c>
      <c r="AI44" s="21">
        <v>0</v>
      </c>
      <c r="AJ44" s="21">
        <v>0</v>
      </c>
      <c r="AK44" s="21">
        <v>0</v>
      </c>
      <c r="AL44" s="21">
        <v>0</v>
      </c>
      <c r="AM44" s="21">
        <v>0</v>
      </c>
      <c r="AN44" s="21">
        <v>0</v>
      </c>
      <c r="AO44" s="21">
        <v>0</v>
      </c>
      <c r="AP44" s="21">
        <v>0</v>
      </c>
      <c r="AQ44" s="21">
        <v>0</v>
      </c>
      <c r="AR44" s="21">
        <v>0</v>
      </c>
      <c r="AS44" s="21">
        <v>0</v>
      </c>
      <c r="AT44" s="21">
        <v>0</v>
      </c>
      <c r="AU44" s="21">
        <v>0</v>
      </c>
      <c r="AV44" s="21">
        <v>2</v>
      </c>
      <c r="AW44" s="21">
        <v>0</v>
      </c>
      <c r="AX44" s="21">
        <v>1</v>
      </c>
      <c r="AY44" s="21">
        <v>0</v>
      </c>
      <c r="AZ44" s="21">
        <v>0</v>
      </c>
      <c r="BA44" s="21">
        <v>0</v>
      </c>
      <c r="BB44" s="21">
        <v>0</v>
      </c>
      <c r="BC44" s="21">
        <v>0</v>
      </c>
      <c r="BD44" s="21">
        <v>0</v>
      </c>
      <c r="BE44" s="21">
        <v>0</v>
      </c>
      <c r="BF44" s="21">
        <v>0</v>
      </c>
      <c r="BG44" s="21">
        <v>0</v>
      </c>
      <c r="BI44" s="3"/>
      <c r="BJ44" s="3"/>
      <c r="BK44" s="3"/>
      <c r="BL44" s="3"/>
      <c r="BM44" s="3"/>
      <c r="BN44" s="3"/>
      <c r="BO44" s="3"/>
    </row>
    <row r="45" spans="1:67" ht="16.5" customHeight="1" x14ac:dyDescent="0.2">
      <c r="A45" s="15" t="s">
        <v>250</v>
      </c>
      <c r="B45" s="21">
        <v>0</v>
      </c>
      <c r="C45" s="21">
        <v>0</v>
      </c>
      <c r="D45" s="21">
        <v>0</v>
      </c>
      <c r="E45" s="15">
        <v>15</v>
      </c>
      <c r="F45" s="21">
        <v>0</v>
      </c>
      <c r="G45" s="21">
        <v>1</v>
      </c>
      <c r="H45" s="21">
        <v>0</v>
      </c>
      <c r="I45" s="21">
        <v>0</v>
      </c>
      <c r="J45" s="21">
        <v>0</v>
      </c>
      <c r="K45" s="21">
        <v>0</v>
      </c>
      <c r="L45" s="21">
        <v>0</v>
      </c>
      <c r="M45" s="21">
        <v>0</v>
      </c>
      <c r="N45" s="21">
        <v>0</v>
      </c>
      <c r="O45" s="21">
        <v>0</v>
      </c>
      <c r="P45" s="21">
        <v>0</v>
      </c>
      <c r="Q45" s="21">
        <v>0</v>
      </c>
      <c r="R45" s="21">
        <v>0</v>
      </c>
      <c r="S45" s="21">
        <v>0</v>
      </c>
      <c r="T45" s="21">
        <v>0</v>
      </c>
      <c r="U45" s="21">
        <v>0</v>
      </c>
      <c r="V45" s="21">
        <v>0</v>
      </c>
      <c r="W45" s="21">
        <v>0</v>
      </c>
      <c r="X45" s="21">
        <v>0</v>
      </c>
      <c r="Y45" s="21">
        <v>0</v>
      </c>
      <c r="Z45" s="21">
        <v>0</v>
      </c>
      <c r="AA45" s="21">
        <v>0</v>
      </c>
      <c r="AB45" s="21">
        <v>0</v>
      </c>
      <c r="AC45" s="21">
        <v>0</v>
      </c>
      <c r="AD45" s="21">
        <v>0</v>
      </c>
      <c r="AE45" s="21">
        <v>0</v>
      </c>
      <c r="AF45" s="21">
        <v>0</v>
      </c>
      <c r="AG45" s="21">
        <v>0</v>
      </c>
      <c r="AH45" s="21">
        <v>0</v>
      </c>
      <c r="AI45" s="21">
        <v>0</v>
      </c>
      <c r="AJ45" s="21">
        <v>0</v>
      </c>
      <c r="AK45" s="21">
        <v>0</v>
      </c>
      <c r="AL45" s="21">
        <v>0</v>
      </c>
      <c r="AM45" s="21">
        <v>0</v>
      </c>
      <c r="AN45" s="21">
        <v>0</v>
      </c>
      <c r="AO45" s="21">
        <v>0</v>
      </c>
      <c r="AP45" s="21">
        <v>0</v>
      </c>
      <c r="AQ45" s="21">
        <v>0</v>
      </c>
      <c r="AR45" s="21">
        <v>0</v>
      </c>
      <c r="AS45" s="21">
        <v>0</v>
      </c>
      <c r="AT45" s="21">
        <v>0</v>
      </c>
      <c r="AU45" s="21">
        <v>0</v>
      </c>
      <c r="AV45" s="21">
        <v>1</v>
      </c>
      <c r="AW45" s="21">
        <v>0</v>
      </c>
      <c r="AX45" s="21">
        <v>0</v>
      </c>
      <c r="AY45" s="21">
        <v>0</v>
      </c>
      <c r="AZ45" s="21">
        <v>0</v>
      </c>
      <c r="BA45" s="21">
        <v>0</v>
      </c>
      <c r="BB45" s="21">
        <v>0</v>
      </c>
      <c r="BC45" s="21">
        <v>0</v>
      </c>
      <c r="BD45" s="21">
        <v>0</v>
      </c>
      <c r="BE45" s="21">
        <v>0</v>
      </c>
      <c r="BF45" s="21">
        <v>0</v>
      </c>
      <c r="BG45" s="21">
        <v>0</v>
      </c>
      <c r="BI45" s="3"/>
      <c r="BJ45" s="3"/>
      <c r="BK45" s="3"/>
      <c r="BL45" s="3"/>
      <c r="BM45" s="3"/>
      <c r="BN45" s="3"/>
      <c r="BO45" s="3"/>
    </row>
    <row r="46" spans="1:67" ht="16.5" customHeight="1" x14ac:dyDescent="0.2">
      <c r="A46" s="15" t="s">
        <v>251</v>
      </c>
      <c r="B46" s="21">
        <v>0</v>
      </c>
      <c r="C46" s="21">
        <v>2</v>
      </c>
      <c r="D46" s="21">
        <v>0</v>
      </c>
      <c r="E46" s="15">
        <v>62</v>
      </c>
      <c r="F46" s="21">
        <v>0</v>
      </c>
      <c r="G46" s="21">
        <v>0</v>
      </c>
      <c r="H46" s="21">
        <v>0</v>
      </c>
      <c r="I46" s="21">
        <v>1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0</v>
      </c>
      <c r="R46" s="21">
        <v>0</v>
      </c>
      <c r="S46" s="21">
        <v>0</v>
      </c>
      <c r="T46" s="21">
        <v>0</v>
      </c>
      <c r="U46" s="21">
        <v>0</v>
      </c>
      <c r="V46" s="21">
        <v>0</v>
      </c>
      <c r="W46" s="21">
        <v>0</v>
      </c>
      <c r="X46" s="21">
        <v>0</v>
      </c>
      <c r="Y46" s="21">
        <v>0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0</v>
      </c>
      <c r="AG46" s="21">
        <v>0</v>
      </c>
      <c r="AH46" s="21">
        <v>0</v>
      </c>
      <c r="AI46" s="21">
        <v>0</v>
      </c>
      <c r="AJ46" s="21">
        <v>0</v>
      </c>
      <c r="AK46" s="21">
        <v>0</v>
      </c>
      <c r="AL46" s="21">
        <v>0</v>
      </c>
      <c r="AM46" s="21">
        <v>0</v>
      </c>
      <c r="AN46" s="21">
        <v>0</v>
      </c>
      <c r="AO46" s="21">
        <v>0</v>
      </c>
      <c r="AP46" s="21">
        <v>0</v>
      </c>
      <c r="AQ46" s="21">
        <v>0</v>
      </c>
      <c r="AR46" s="21">
        <v>0</v>
      </c>
      <c r="AS46" s="21">
        <v>0</v>
      </c>
      <c r="AT46" s="21">
        <v>0</v>
      </c>
      <c r="AU46" s="21">
        <v>0</v>
      </c>
      <c r="AV46" s="21">
        <v>0</v>
      </c>
      <c r="AW46" s="21">
        <v>0</v>
      </c>
      <c r="AX46" s="21">
        <v>0</v>
      </c>
      <c r="AY46" s="21">
        <v>0</v>
      </c>
      <c r="AZ46" s="21">
        <v>0</v>
      </c>
      <c r="BA46" s="21">
        <v>0</v>
      </c>
      <c r="BB46" s="21">
        <v>0</v>
      </c>
      <c r="BC46" s="21">
        <v>0</v>
      </c>
      <c r="BD46" s="21">
        <v>0</v>
      </c>
      <c r="BE46" s="21">
        <v>0</v>
      </c>
      <c r="BF46" s="21">
        <v>0</v>
      </c>
      <c r="BG46" s="21">
        <v>0</v>
      </c>
      <c r="BI46" s="3"/>
      <c r="BJ46" s="3"/>
      <c r="BK46" s="3"/>
      <c r="BL46" s="3"/>
      <c r="BM46" s="3"/>
      <c r="BN46" s="3"/>
      <c r="BO46" s="3"/>
    </row>
    <row r="47" spans="1:67" ht="16.5" customHeight="1" x14ac:dyDescent="0.2">
      <c r="A47" s="15" t="s">
        <v>252</v>
      </c>
      <c r="B47" s="21">
        <v>0</v>
      </c>
      <c r="C47" s="21">
        <v>0</v>
      </c>
      <c r="D47" s="21">
        <v>0</v>
      </c>
      <c r="E47" s="15">
        <v>75</v>
      </c>
      <c r="F47" s="21">
        <v>0</v>
      </c>
      <c r="G47" s="21">
        <v>0</v>
      </c>
      <c r="H47" s="21">
        <v>0</v>
      </c>
      <c r="I47" s="21">
        <v>2</v>
      </c>
      <c r="J47" s="21">
        <v>0</v>
      </c>
      <c r="K47" s="21">
        <v>0</v>
      </c>
      <c r="L47" s="21">
        <v>0</v>
      </c>
      <c r="M47" s="21">
        <v>0</v>
      </c>
      <c r="N47" s="21">
        <v>0</v>
      </c>
      <c r="O47" s="21">
        <v>0</v>
      </c>
      <c r="P47" s="21">
        <v>0</v>
      </c>
      <c r="Q47" s="21">
        <v>1</v>
      </c>
      <c r="R47" s="21">
        <v>0</v>
      </c>
      <c r="S47" s="21">
        <v>0</v>
      </c>
      <c r="T47" s="21">
        <v>0</v>
      </c>
      <c r="U47" s="21">
        <v>0</v>
      </c>
      <c r="V47" s="21">
        <v>0</v>
      </c>
      <c r="W47" s="21">
        <v>0</v>
      </c>
      <c r="X47" s="21">
        <v>0</v>
      </c>
      <c r="Y47" s="21">
        <v>0</v>
      </c>
      <c r="Z47" s="21">
        <v>0</v>
      </c>
      <c r="AA47" s="21">
        <v>0</v>
      </c>
      <c r="AB47" s="21">
        <v>0</v>
      </c>
      <c r="AC47" s="21">
        <v>0</v>
      </c>
      <c r="AD47" s="21">
        <v>0</v>
      </c>
      <c r="AE47" s="21">
        <v>0</v>
      </c>
      <c r="AF47" s="21">
        <v>0</v>
      </c>
      <c r="AG47" s="21">
        <v>0</v>
      </c>
      <c r="AH47" s="21">
        <v>0</v>
      </c>
      <c r="AI47" s="21">
        <v>0</v>
      </c>
      <c r="AJ47" s="21">
        <v>0</v>
      </c>
      <c r="AK47" s="21">
        <v>0</v>
      </c>
      <c r="AL47" s="21">
        <v>0</v>
      </c>
      <c r="AM47" s="21">
        <v>0</v>
      </c>
      <c r="AN47" s="21">
        <v>0</v>
      </c>
      <c r="AO47" s="21">
        <v>0</v>
      </c>
      <c r="AP47" s="21">
        <v>0</v>
      </c>
      <c r="AQ47" s="21">
        <v>0</v>
      </c>
      <c r="AR47" s="21">
        <v>0</v>
      </c>
      <c r="AS47" s="21">
        <v>0</v>
      </c>
      <c r="AT47" s="21">
        <v>0</v>
      </c>
      <c r="AU47" s="21">
        <v>0</v>
      </c>
      <c r="AV47" s="21">
        <v>0</v>
      </c>
      <c r="AW47" s="21">
        <v>0</v>
      </c>
      <c r="AX47" s="21">
        <v>0</v>
      </c>
      <c r="AY47" s="21">
        <v>0</v>
      </c>
      <c r="AZ47" s="21">
        <v>0</v>
      </c>
      <c r="BA47" s="21">
        <v>0</v>
      </c>
      <c r="BB47" s="21">
        <v>0</v>
      </c>
      <c r="BC47" s="21">
        <v>0</v>
      </c>
      <c r="BD47" s="21">
        <v>0</v>
      </c>
      <c r="BE47" s="21">
        <v>0</v>
      </c>
      <c r="BF47" s="21">
        <v>0</v>
      </c>
      <c r="BG47" s="21">
        <v>0</v>
      </c>
      <c r="BI47" s="3"/>
      <c r="BJ47" s="3"/>
      <c r="BK47" s="3"/>
      <c r="BL47" s="3"/>
      <c r="BM47" s="3"/>
      <c r="BN47" s="3"/>
      <c r="BO47" s="3"/>
    </row>
    <row r="48" spans="1:67" ht="16.5" customHeight="1" x14ac:dyDescent="0.2">
      <c r="A48" s="15" t="s">
        <v>253</v>
      </c>
      <c r="B48" s="21">
        <v>0</v>
      </c>
      <c r="C48" s="21">
        <v>0</v>
      </c>
      <c r="D48" s="21">
        <v>0</v>
      </c>
      <c r="E48" s="21">
        <v>103</v>
      </c>
      <c r="F48" s="21">
        <v>0</v>
      </c>
      <c r="G48" s="21">
        <v>0</v>
      </c>
      <c r="H48" s="21">
        <v>0</v>
      </c>
      <c r="I48" s="21">
        <v>0</v>
      </c>
      <c r="J48" s="21">
        <v>0</v>
      </c>
      <c r="K48" s="21">
        <v>0</v>
      </c>
      <c r="L48" s="21">
        <v>0</v>
      </c>
      <c r="M48" s="21">
        <v>0</v>
      </c>
      <c r="N48" s="21">
        <v>0</v>
      </c>
      <c r="O48" s="21">
        <v>0</v>
      </c>
      <c r="P48" s="21">
        <v>0</v>
      </c>
      <c r="Q48" s="21">
        <v>1</v>
      </c>
      <c r="R48" s="21">
        <v>0</v>
      </c>
      <c r="S48" s="21">
        <v>0</v>
      </c>
      <c r="T48" s="21">
        <v>0</v>
      </c>
      <c r="U48" s="21">
        <v>0</v>
      </c>
      <c r="V48" s="21">
        <v>0</v>
      </c>
      <c r="W48" s="21">
        <v>0</v>
      </c>
      <c r="X48" s="21">
        <v>0</v>
      </c>
      <c r="Y48" s="21">
        <v>0</v>
      </c>
      <c r="Z48" s="21">
        <v>0</v>
      </c>
      <c r="AA48" s="21">
        <v>1</v>
      </c>
      <c r="AB48" s="21">
        <v>0</v>
      </c>
      <c r="AC48" s="21">
        <v>0</v>
      </c>
      <c r="AD48" s="21">
        <v>0</v>
      </c>
      <c r="AE48" s="21">
        <v>0</v>
      </c>
      <c r="AF48" s="21">
        <v>0</v>
      </c>
      <c r="AG48" s="21">
        <v>0</v>
      </c>
      <c r="AH48" s="21">
        <v>0</v>
      </c>
      <c r="AI48" s="21">
        <v>0</v>
      </c>
      <c r="AJ48" s="21">
        <v>0</v>
      </c>
      <c r="AK48" s="21">
        <v>0</v>
      </c>
      <c r="AL48" s="21">
        <v>0</v>
      </c>
      <c r="AM48" s="21">
        <v>0</v>
      </c>
      <c r="AN48" s="21">
        <v>0</v>
      </c>
      <c r="AO48" s="21">
        <v>0</v>
      </c>
      <c r="AP48" s="21">
        <v>0</v>
      </c>
      <c r="AQ48" s="21">
        <v>2</v>
      </c>
      <c r="AR48" s="21">
        <v>0</v>
      </c>
      <c r="AS48" s="21">
        <v>0</v>
      </c>
      <c r="AT48" s="21">
        <v>0</v>
      </c>
      <c r="AU48" s="21">
        <v>0</v>
      </c>
      <c r="AV48" s="21">
        <v>0</v>
      </c>
      <c r="AW48" s="21">
        <v>0</v>
      </c>
      <c r="AX48" s="21">
        <v>0</v>
      </c>
      <c r="AY48" s="21">
        <v>0</v>
      </c>
      <c r="AZ48" s="21">
        <v>0</v>
      </c>
      <c r="BA48" s="21">
        <v>0</v>
      </c>
      <c r="BB48" s="21">
        <v>0</v>
      </c>
      <c r="BC48" s="21">
        <v>0</v>
      </c>
      <c r="BD48" s="21">
        <v>0</v>
      </c>
      <c r="BE48" s="21">
        <v>0</v>
      </c>
      <c r="BF48" s="21">
        <v>0</v>
      </c>
      <c r="BG48" s="21">
        <v>0</v>
      </c>
      <c r="BI48" s="3"/>
      <c r="BJ48" s="3"/>
      <c r="BK48" s="3"/>
      <c r="BL48" s="3"/>
      <c r="BM48" s="3"/>
      <c r="BN48" s="3"/>
      <c r="BO48" s="3"/>
    </row>
    <row r="49" spans="1:100" ht="16.5" customHeight="1" x14ac:dyDescent="0.2">
      <c r="A49" s="15" t="s">
        <v>254</v>
      </c>
      <c r="B49" s="21">
        <v>0</v>
      </c>
      <c r="C49" s="21">
        <v>0</v>
      </c>
      <c r="D49" s="21">
        <v>0</v>
      </c>
      <c r="E49" s="21">
        <v>32</v>
      </c>
      <c r="F49" s="21">
        <v>0</v>
      </c>
      <c r="G49" s="21">
        <v>0</v>
      </c>
      <c r="H49" s="21">
        <v>0</v>
      </c>
      <c r="I49" s="21">
        <v>1</v>
      </c>
      <c r="J49" s="21">
        <v>0</v>
      </c>
      <c r="K49" s="21">
        <v>0</v>
      </c>
      <c r="L49" s="21">
        <v>0</v>
      </c>
      <c r="M49" s="21">
        <v>0</v>
      </c>
      <c r="N49" s="21">
        <v>0</v>
      </c>
      <c r="O49" s="21">
        <v>0</v>
      </c>
      <c r="P49" s="21">
        <v>0</v>
      </c>
      <c r="Q49" s="21">
        <v>1</v>
      </c>
      <c r="R49" s="21">
        <v>0</v>
      </c>
      <c r="S49" s="21">
        <v>0</v>
      </c>
      <c r="T49" s="21">
        <v>0</v>
      </c>
      <c r="U49" s="21">
        <v>0</v>
      </c>
      <c r="V49" s="21">
        <v>0</v>
      </c>
      <c r="W49" s="21">
        <v>0</v>
      </c>
      <c r="X49" s="21">
        <v>0</v>
      </c>
      <c r="Y49" s="21">
        <v>0</v>
      </c>
      <c r="Z49" s="21">
        <v>2</v>
      </c>
      <c r="AA49" s="21">
        <v>0</v>
      </c>
      <c r="AB49" s="21">
        <v>0</v>
      </c>
      <c r="AC49" s="21">
        <v>0</v>
      </c>
      <c r="AD49" s="21">
        <v>0</v>
      </c>
      <c r="AE49" s="21">
        <v>0</v>
      </c>
      <c r="AF49" s="21">
        <v>0</v>
      </c>
      <c r="AG49" s="21">
        <v>0</v>
      </c>
      <c r="AH49" s="21">
        <v>0</v>
      </c>
      <c r="AI49" s="21">
        <v>0</v>
      </c>
      <c r="AJ49" s="21">
        <v>0</v>
      </c>
      <c r="AK49" s="21">
        <v>0</v>
      </c>
      <c r="AL49" s="21">
        <v>0</v>
      </c>
      <c r="AM49" s="21">
        <v>0</v>
      </c>
      <c r="AN49" s="21">
        <v>0</v>
      </c>
      <c r="AO49" s="21">
        <v>0</v>
      </c>
      <c r="AP49" s="21">
        <v>0</v>
      </c>
      <c r="AQ49" s="21">
        <v>0</v>
      </c>
      <c r="AR49" s="21">
        <v>0</v>
      </c>
      <c r="AS49" s="21">
        <v>0</v>
      </c>
      <c r="AT49" s="21">
        <v>0</v>
      </c>
      <c r="AU49" s="21">
        <v>0</v>
      </c>
      <c r="AV49" s="21">
        <v>1</v>
      </c>
      <c r="AW49" s="21">
        <v>1</v>
      </c>
      <c r="AX49" s="21">
        <v>0</v>
      </c>
      <c r="AY49" s="21">
        <v>0</v>
      </c>
      <c r="AZ49" s="21">
        <v>0</v>
      </c>
      <c r="BA49" s="21">
        <v>0</v>
      </c>
      <c r="BB49" s="21">
        <v>0</v>
      </c>
      <c r="BC49" s="21">
        <v>0</v>
      </c>
      <c r="BD49" s="21">
        <v>0</v>
      </c>
      <c r="BE49" s="21">
        <v>0</v>
      </c>
      <c r="BF49" s="21">
        <v>0</v>
      </c>
      <c r="BG49" s="21">
        <v>0</v>
      </c>
      <c r="BI49" s="3"/>
      <c r="BJ49" s="3"/>
      <c r="BK49" s="3"/>
      <c r="BL49" s="3"/>
      <c r="BM49" s="3"/>
      <c r="BN49" s="3"/>
      <c r="BO49" s="3"/>
    </row>
    <row r="50" spans="1:100" ht="16.5" customHeight="1" x14ac:dyDescent="0.2">
      <c r="A50" s="15" t="s">
        <v>255</v>
      </c>
      <c r="B50" s="21">
        <v>0</v>
      </c>
      <c r="C50" s="21">
        <v>2</v>
      </c>
      <c r="D50" s="21">
        <v>0</v>
      </c>
      <c r="E50" s="21">
        <v>38</v>
      </c>
      <c r="F50" s="21">
        <v>0</v>
      </c>
      <c r="G50" s="21">
        <v>0</v>
      </c>
      <c r="H50" s="21">
        <v>0</v>
      </c>
      <c r="I50" s="21">
        <v>5</v>
      </c>
      <c r="J50" s="21">
        <v>0</v>
      </c>
      <c r="K50" s="21">
        <v>0</v>
      </c>
      <c r="L50" s="21">
        <v>0</v>
      </c>
      <c r="M50" s="21">
        <v>0</v>
      </c>
      <c r="N50" s="21">
        <v>0</v>
      </c>
      <c r="O50" s="21">
        <v>0</v>
      </c>
      <c r="P50" s="21">
        <v>0</v>
      </c>
      <c r="Q50" s="21">
        <v>0</v>
      </c>
      <c r="R50" s="21">
        <v>0</v>
      </c>
      <c r="S50" s="21">
        <v>0</v>
      </c>
      <c r="T50" s="21">
        <v>0</v>
      </c>
      <c r="U50" s="21">
        <v>0</v>
      </c>
      <c r="V50" s="21">
        <v>0</v>
      </c>
      <c r="W50" s="21">
        <v>0</v>
      </c>
      <c r="X50" s="21">
        <v>0</v>
      </c>
      <c r="Y50" s="21">
        <v>0</v>
      </c>
      <c r="Z50" s="21">
        <v>0</v>
      </c>
      <c r="AA50" s="21">
        <v>0</v>
      </c>
      <c r="AB50" s="21">
        <v>0</v>
      </c>
      <c r="AC50" s="21">
        <v>0</v>
      </c>
      <c r="AD50" s="21">
        <v>0</v>
      </c>
      <c r="AE50" s="21">
        <v>0</v>
      </c>
      <c r="AF50" s="21">
        <v>0</v>
      </c>
      <c r="AG50" s="21">
        <v>0</v>
      </c>
      <c r="AH50" s="21">
        <v>0</v>
      </c>
      <c r="AI50" s="21">
        <v>0</v>
      </c>
      <c r="AJ50" s="21">
        <v>0</v>
      </c>
      <c r="AK50" s="21">
        <v>0</v>
      </c>
      <c r="AL50" s="21">
        <v>0</v>
      </c>
      <c r="AM50" s="21">
        <v>0</v>
      </c>
      <c r="AN50" s="21">
        <v>0</v>
      </c>
      <c r="AO50" s="21">
        <v>0</v>
      </c>
      <c r="AP50" s="21">
        <v>0</v>
      </c>
      <c r="AQ50" s="21">
        <v>0</v>
      </c>
      <c r="AR50" s="21">
        <v>0</v>
      </c>
      <c r="AS50" s="21">
        <v>0</v>
      </c>
      <c r="AT50" s="21">
        <v>0</v>
      </c>
      <c r="AU50" s="21">
        <v>0</v>
      </c>
      <c r="AV50" s="21">
        <v>2</v>
      </c>
      <c r="AW50" s="21">
        <v>0</v>
      </c>
      <c r="AX50" s="21">
        <v>1</v>
      </c>
      <c r="AY50" s="21">
        <v>2</v>
      </c>
      <c r="AZ50" s="21">
        <v>0</v>
      </c>
      <c r="BA50" s="21">
        <v>0</v>
      </c>
      <c r="BB50" s="21">
        <v>0</v>
      </c>
      <c r="BC50" s="21">
        <v>0</v>
      </c>
      <c r="BD50" s="21">
        <v>0</v>
      </c>
      <c r="BE50" s="21">
        <v>0</v>
      </c>
      <c r="BF50" s="21">
        <v>0</v>
      </c>
      <c r="BG50" s="21">
        <v>0</v>
      </c>
      <c r="BI50" s="3"/>
      <c r="BJ50" s="3"/>
      <c r="BK50" s="3"/>
      <c r="BL50" s="3"/>
      <c r="BM50" s="3"/>
      <c r="BN50" s="3"/>
      <c r="BO50" s="3"/>
    </row>
    <row r="51" spans="1:100" ht="16.5" customHeight="1" x14ac:dyDescent="0.2">
      <c r="A51" s="15" t="s">
        <v>256</v>
      </c>
      <c r="B51" s="21">
        <v>1</v>
      </c>
      <c r="C51" s="4">
        <v>0</v>
      </c>
      <c r="D51" s="4">
        <v>0</v>
      </c>
      <c r="E51" s="21">
        <v>75</v>
      </c>
      <c r="F51" s="4">
        <v>0</v>
      </c>
      <c r="G51" s="4">
        <v>0</v>
      </c>
      <c r="H51" s="4">
        <v>0</v>
      </c>
      <c r="I51" s="21">
        <v>24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0</v>
      </c>
      <c r="T51" s="4">
        <v>0</v>
      </c>
      <c r="U51" s="4">
        <v>0</v>
      </c>
      <c r="V51" s="4">
        <v>0</v>
      </c>
      <c r="W51" s="4">
        <v>0</v>
      </c>
      <c r="X51" s="4">
        <v>0</v>
      </c>
      <c r="Y51" s="4">
        <v>0</v>
      </c>
      <c r="Z51" s="4">
        <v>0</v>
      </c>
      <c r="AA51" s="4">
        <v>0</v>
      </c>
      <c r="AB51" s="4">
        <v>0</v>
      </c>
      <c r="AC51" s="4">
        <v>0</v>
      </c>
      <c r="AD51" s="4">
        <v>0</v>
      </c>
      <c r="AE51" s="4">
        <v>0</v>
      </c>
      <c r="AF51" s="4">
        <v>0</v>
      </c>
      <c r="AG51" s="4">
        <v>0</v>
      </c>
      <c r="AH51" s="4"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 s="4">
        <v>0</v>
      </c>
      <c r="AP51" s="4">
        <v>0</v>
      </c>
      <c r="AQ51" s="4">
        <v>0</v>
      </c>
      <c r="AR51" s="4">
        <v>0</v>
      </c>
      <c r="AS51" s="4">
        <v>0</v>
      </c>
      <c r="AT51" s="4">
        <v>0</v>
      </c>
      <c r="AU51" s="4">
        <v>0</v>
      </c>
      <c r="AV51" s="4">
        <v>0</v>
      </c>
      <c r="AW51" s="4">
        <v>0</v>
      </c>
      <c r="AX51" s="21">
        <v>2</v>
      </c>
      <c r="AY51" s="4">
        <v>0</v>
      </c>
      <c r="AZ51" s="4">
        <v>0</v>
      </c>
      <c r="BA51" s="4">
        <v>0</v>
      </c>
      <c r="BB51" s="4">
        <v>0</v>
      </c>
      <c r="BC51" s="4">
        <v>0</v>
      </c>
      <c r="BD51" s="4">
        <v>0</v>
      </c>
      <c r="BE51" s="4">
        <v>0</v>
      </c>
      <c r="BF51" s="4">
        <v>0</v>
      </c>
      <c r="BG51" s="4">
        <v>0</v>
      </c>
      <c r="BH51" s="23"/>
      <c r="BI51" s="4"/>
      <c r="BJ51" s="4"/>
      <c r="BK51" s="4"/>
      <c r="BL51" s="4"/>
      <c r="BM51" s="4"/>
      <c r="BN51" s="4"/>
      <c r="BO51" s="4"/>
      <c r="BP51" s="23"/>
      <c r="BQ51" s="23"/>
      <c r="BR51" s="23"/>
      <c r="BS51" s="23"/>
      <c r="BT51" s="23"/>
      <c r="BU51" s="23"/>
      <c r="BV51" s="23"/>
      <c r="BW51" s="23"/>
      <c r="BX51" s="23"/>
      <c r="BY51" s="23"/>
      <c r="BZ51" s="23"/>
      <c r="CA51" s="23"/>
      <c r="CB51" s="23"/>
      <c r="CC51" s="23"/>
      <c r="CD51" s="23"/>
      <c r="CE51" s="23"/>
      <c r="CF51" s="23"/>
      <c r="CG51" s="23"/>
      <c r="CH51" s="23"/>
      <c r="CI51" s="23"/>
      <c r="CJ51" s="23"/>
      <c r="CK51" s="23"/>
      <c r="CL51" s="23"/>
      <c r="CM51" s="23"/>
      <c r="CN51" s="23"/>
      <c r="CO51" s="23"/>
      <c r="CP51" s="23"/>
      <c r="CQ51" s="23"/>
      <c r="CR51" s="23"/>
      <c r="CS51" s="23"/>
      <c r="CT51" s="23"/>
      <c r="CU51" s="23"/>
      <c r="CV51" s="23"/>
    </row>
    <row r="52" spans="1:100" ht="16.5" customHeight="1" x14ac:dyDescent="0.2">
      <c r="A52" s="15" t="s">
        <v>257</v>
      </c>
      <c r="B52" s="4">
        <v>0</v>
      </c>
      <c r="C52" s="4">
        <v>0</v>
      </c>
      <c r="D52" s="4">
        <v>0</v>
      </c>
      <c r="E52" s="21">
        <v>65</v>
      </c>
      <c r="F52" s="4">
        <v>0</v>
      </c>
      <c r="G52" s="4">
        <v>0</v>
      </c>
      <c r="H52" s="4">
        <v>0</v>
      </c>
      <c r="I52" s="21">
        <v>8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0</v>
      </c>
      <c r="T52" s="4">
        <v>0</v>
      </c>
      <c r="U52" s="4">
        <v>0</v>
      </c>
      <c r="V52" s="4">
        <v>0</v>
      </c>
      <c r="W52" s="4">
        <v>0</v>
      </c>
      <c r="X52" s="4">
        <v>0</v>
      </c>
      <c r="Y52" s="4">
        <v>0</v>
      </c>
      <c r="Z52" s="4">
        <v>0</v>
      </c>
      <c r="AA52" s="4">
        <v>0</v>
      </c>
      <c r="AB52" s="4">
        <v>0</v>
      </c>
      <c r="AC52" s="4">
        <v>0</v>
      </c>
      <c r="AD52" s="4">
        <v>0</v>
      </c>
      <c r="AE52" s="4">
        <v>0</v>
      </c>
      <c r="AF52" s="4">
        <v>0</v>
      </c>
      <c r="AG52" s="4">
        <v>0</v>
      </c>
      <c r="AH52" s="4"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 s="4">
        <v>0</v>
      </c>
      <c r="AP52" s="4">
        <v>0</v>
      </c>
      <c r="AQ52" s="4">
        <v>0</v>
      </c>
      <c r="AR52" s="4">
        <v>0</v>
      </c>
      <c r="AS52" s="4">
        <v>0</v>
      </c>
      <c r="AT52" s="4">
        <v>0</v>
      </c>
      <c r="AU52" s="4">
        <v>0</v>
      </c>
      <c r="AV52" s="21">
        <v>7</v>
      </c>
      <c r="AW52" s="4">
        <v>0</v>
      </c>
      <c r="AX52" s="4">
        <v>0</v>
      </c>
      <c r="AY52" s="4">
        <v>0</v>
      </c>
      <c r="AZ52" s="4">
        <v>0</v>
      </c>
      <c r="BA52" s="4">
        <v>0</v>
      </c>
      <c r="BB52" s="4">
        <v>0</v>
      </c>
      <c r="BC52" s="4">
        <v>0</v>
      </c>
      <c r="BD52" s="4">
        <v>0</v>
      </c>
      <c r="BE52" s="4">
        <v>0</v>
      </c>
      <c r="BF52" s="4">
        <v>0</v>
      </c>
      <c r="BG52" s="4">
        <v>0</v>
      </c>
      <c r="BH52" s="23"/>
      <c r="BI52" s="4"/>
      <c r="BJ52" s="4"/>
      <c r="BK52" s="4"/>
      <c r="BL52" s="4"/>
      <c r="BM52" s="4"/>
      <c r="BN52" s="4"/>
      <c r="BO52" s="4"/>
      <c r="BP52" s="23"/>
      <c r="BQ52" s="23"/>
      <c r="BR52" s="23"/>
      <c r="BS52" s="23"/>
      <c r="BT52" s="23"/>
      <c r="BU52" s="23"/>
      <c r="BV52" s="23"/>
      <c r="BW52" s="23"/>
      <c r="BX52" s="23"/>
      <c r="BY52" s="23"/>
      <c r="BZ52" s="23"/>
      <c r="CA52" s="23"/>
      <c r="CB52" s="23"/>
      <c r="CC52" s="23"/>
      <c r="CD52" s="23"/>
      <c r="CE52" s="23"/>
      <c r="CF52" s="23"/>
      <c r="CG52" s="23"/>
      <c r="CH52" s="23"/>
      <c r="CI52" s="23"/>
      <c r="CJ52" s="23"/>
      <c r="CK52" s="23"/>
      <c r="CL52" s="23"/>
      <c r="CM52" s="23"/>
      <c r="CN52" s="23"/>
      <c r="CO52" s="23"/>
      <c r="CP52" s="23"/>
      <c r="CQ52" s="23"/>
      <c r="CR52" s="23"/>
      <c r="CS52" s="23"/>
      <c r="CT52" s="23"/>
      <c r="CU52" s="23"/>
      <c r="CV52" s="23"/>
    </row>
    <row r="53" spans="1:100" ht="16.5" customHeight="1" x14ac:dyDescent="0.2">
      <c r="A53" s="15" t="s">
        <v>258</v>
      </c>
      <c r="B53" s="4">
        <v>0</v>
      </c>
      <c r="C53" s="4">
        <v>0</v>
      </c>
      <c r="D53" s="4">
        <v>0</v>
      </c>
      <c r="E53" s="21">
        <v>110</v>
      </c>
      <c r="F53" s="4">
        <v>0</v>
      </c>
      <c r="G53" s="4">
        <v>0</v>
      </c>
      <c r="H53" s="4">
        <v>0</v>
      </c>
      <c r="I53" s="21">
        <v>50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0</v>
      </c>
      <c r="T53" s="4">
        <v>0</v>
      </c>
      <c r="U53" s="4">
        <v>0</v>
      </c>
      <c r="V53" s="4">
        <v>0</v>
      </c>
      <c r="W53" s="4">
        <v>0</v>
      </c>
      <c r="X53" s="4">
        <v>0</v>
      </c>
      <c r="Y53" s="4">
        <v>0</v>
      </c>
      <c r="Z53" s="4">
        <v>0</v>
      </c>
      <c r="AA53" s="4">
        <v>0</v>
      </c>
      <c r="AB53" s="4">
        <v>0</v>
      </c>
      <c r="AC53" s="4">
        <v>0</v>
      </c>
      <c r="AD53" s="4">
        <v>0</v>
      </c>
      <c r="AE53" s="4">
        <v>0</v>
      </c>
      <c r="AF53" s="4">
        <v>0</v>
      </c>
      <c r="AG53" s="4">
        <v>0</v>
      </c>
      <c r="AH53" s="4">
        <v>0</v>
      </c>
      <c r="AI53" s="4">
        <v>0</v>
      </c>
      <c r="AJ53" s="4">
        <v>0</v>
      </c>
      <c r="AK53" s="4">
        <v>0</v>
      </c>
      <c r="AL53" s="21">
        <v>2</v>
      </c>
      <c r="AM53" s="4">
        <v>0</v>
      </c>
      <c r="AN53" s="4">
        <v>0</v>
      </c>
      <c r="AO53" s="4">
        <v>0</v>
      </c>
      <c r="AP53" s="4">
        <v>0</v>
      </c>
      <c r="AQ53" s="4">
        <v>0</v>
      </c>
      <c r="AR53" s="4">
        <v>0</v>
      </c>
      <c r="AS53" s="4">
        <v>0</v>
      </c>
      <c r="AT53" s="4">
        <v>0</v>
      </c>
      <c r="AU53" s="4">
        <v>0</v>
      </c>
      <c r="AV53" s="21">
        <v>18</v>
      </c>
      <c r="AW53" s="4">
        <v>0</v>
      </c>
      <c r="AX53" s="4">
        <v>0</v>
      </c>
      <c r="AY53" s="4">
        <v>0</v>
      </c>
      <c r="AZ53" s="4">
        <v>0</v>
      </c>
      <c r="BA53" s="4">
        <v>0</v>
      </c>
      <c r="BB53" s="4">
        <v>0</v>
      </c>
      <c r="BC53" s="4">
        <v>0</v>
      </c>
      <c r="BD53" s="4">
        <v>0</v>
      </c>
      <c r="BE53" s="4">
        <v>0</v>
      </c>
      <c r="BF53" s="4">
        <v>0</v>
      </c>
      <c r="BG53" s="4">
        <v>0</v>
      </c>
      <c r="BH53" s="23"/>
      <c r="BI53" s="4"/>
      <c r="BJ53" s="4"/>
      <c r="BK53" s="4"/>
      <c r="BL53" s="4"/>
      <c r="BM53" s="4"/>
      <c r="BN53" s="4"/>
      <c r="BO53" s="4"/>
      <c r="BP53" s="23"/>
      <c r="BQ53" s="23"/>
      <c r="BR53" s="23"/>
      <c r="BS53" s="23"/>
      <c r="BT53" s="23"/>
      <c r="BU53" s="23"/>
      <c r="BV53" s="23"/>
      <c r="BW53" s="23"/>
      <c r="BX53" s="23"/>
      <c r="BY53" s="23"/>
      <c r="BZ53" s="23"/>
      <c r="CA53" s="23"/>
      <c r="CB53" s="23"/>
      <c r="CC53" s="23"/>
      <c r="CD53" s="23"/>
      <c r="CE53" s="23"/>
      <c r="CF53" s="23"/>
      <c r="CG53" s="23"/>
      <c r="CH53" s="23"/>
      <c r="CI53" s="23"/>
      <c r="CJ53" s="23"/>
      <c r="CK53" s="23"/>
      <c r="CL53" s="23"/>
      <c r="CM53" s="23"/>
      <c r="CN53" s="23"/>
      <c r="CO53" s="23"/>
      <c r="CP53" s="23"/>
      <c r="CQ53" s="23"/>
      <c r="CR53" s="23"/>
      <c r="CS53" s="23"/>
      <c r="CT53" s="23"/>
      <c r="CU53" s="23"/>
      <c r="CV53" s="23"/>
    </row>
    <row r="54" spans="1:100" ht="16.5" customHeight="1" x14ac:dyDescent="0.2">
      <c r="A54" s="15" t="s">
        <v>259</v>
      </c>
      <c r="B54" s="21">
        <v>3</v>
      </c>
      <c r="C54" s="4">
        <v>0</v>
      </c>
      <c r="D54" s="4">
        <v>0</v>
      </c>
      <c r="E54" s="21">
        <v>67</v>
      </c>
      <c r="F54" s="4">
        <v>0</v>
      </c>
      <c r="G54" s="4">
        <v>0</v>
      </c>
      <c r="H54" s="4">
        <v>0</v>
      </c>
      <c r="I54" s="21">
        <v>2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0</v>
      </c>
      <c r="T54" s="4">
        <v>0</v>
      </c>
      <c r="U54" s="4">
        <v>0</v>
      </c>
      <c r="V54" s="4">
        <v>0</v>
      </c>
      <c r="W54" s="4">
        <v>0</v>
      </c>
      <c r="X54" s="4">
        <v>0</v>
      </c>
      <c r="Y54" s="21">
        <v>1</v>
      </c>
      <c r="Z54" s="4">
        <v>0</v>
      </c>
      <c r="AA54" s="4">
        <v>0</v>
      </c>
      <c r="AB54" s="4">
        <v>0</v>
      </c>
      <c r="AC54" s="4">
        <v>0</v>
      </c>
      <c r="AD54" s="4">
        <v>0</v>
      </c>
      <c r="AE54" s="4">
        <v>0</v>
      </c>
      <c r="AF54" s="4">
        <v>0</v>
      </c>
      <c r="AG54" s="4">
        <v>0</v>
      </c>
      <c r="AH54" s="4"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 s="4">
        <v>0</v>
      </c>
      <c r="AP54" s="4">
        <v>0</v>
      </c>
      <c r="AQ54" s="4">
        <v>0</v>
      </c>
      <c r="AR54" s="4">
        <v>0</v>
      </c>
      <c r="AS54" s="4">
        <v>0</v>
      </c>
      <c r="AT54" s="4">
        <v>0</v>
      </c>
      <c r="AU54" s="4">
        <v>0</v>
      </c>
      <c r="AV54" s="21">
        <v>8</v>
      </c>
      <c r="AW54" s="4">
        <v>0</v>
      </c>
      <c r="AX54" s="21">
        <v>1</v>
      </c>
      <c r="AY54" s="4">
        <v>0</v>
      </c>
      <c r="AZ54" s="4">
        <v>0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G54" s="4">
        <v>0</v>
      </c>
      <c r="BH54" s="23"/>
      <c r="BI54" s="4"/>
      <c r="BJ54" s="4"/>
      <c r="BK54" s="4"/>
      <c r="BL54" s="4"/>
      <c r="BM54" s="4"/>
      <c r="BN54" s="4"/>
      <c r="BO54" s="4"/>
      <c r="BP54" s="23"/>
      <c r="BQ54" s="23"/>
      <c r="BR54" s="23"/>
      <c r="BS54" s="23"/>
      <c r="BT54" s="23"/>
      <c r="BU54" s="23"/>
      <c r="BV54" s="23"/>
      <c r="BW54" s="23"/>
      <c r="BX54" s="23"/>
      <c r="BY54" s="23"/>
      <c r="BZ54" s="23"/>
      <c r="CA54" s="23"/>
      <c r="CB54" s="23"/>
      <c r="CC54" s="23"/>
      <c r="CD54" s="23"/>
      <c r="CE54" s="23"/>
      <c r="CF54" s="23"/>
      <c r="CG54" s="23"/>
      <c r="CH54" s="23"/>
      <c r="CI54" s="23"/>
      <c r="CJ54" s="23"/>
      <c r="CK54" s="23"/>
      <c r="CL54" s="23"/>
      <c r="CM54" s="23"/>
      <c r="CN54" s="23"/>
      <c r="CO54" s="23"/>
      <c r="CP54" s="23"/>
      <c r="CQ54" s="23"/>
      <c r="CR54" s="23"/>
      <c r="CS54" s="23"/>
      <c r="CT54" s="23"/>
      <c r="CU54" s="23"/>
      <c r="CV54" s="23"/>
    </row>
    <row r="55" spans="1:100" ht="16.5" customHeight="1" x14ac:dyDescent="0.2">
      <c r="A55" s="15" t="s">
        <v>260</v>
      </c>
      <c r="B55" s="21">
        <v>1</v>
      </c>
      <c r="C55" s="4">
        <v>0</v>
      </c>
      <c r="D55" s="4">
        <v>0</v>
      </c>
      <c r="E55" s="21">
        <v>65</v>
      </c>
      <c r="F55" s="4">
        <v>0</v>
      </c>
      <c r="G55" s="4">
        <v>0</v>
      </c>
      <c r="H55" s="4">
        <v>0</v>
      </c>
      <c r="I55" s="21">
        <v>5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  <c r="Z55" s="4">
        <v>0</v>
      </c>
      <c r="AA55" s="4">
        <v>0</v>
      </c>
      <c r="AB55" s="4">
        <v>0</v>
      </c>
      <c r="AC55" s="4">
        <v>0</v>
      </c>
      <c r="AD55" s="4">
        <v>0</v>
      </c>
      <c r="AE55" s="4">
        <v>0</v>
      </c>
      <c r="AF55" s="4">
        <v>0</v>
      </c>
      <c r="AG55" s="4">
        <v>0</v>
      </c>
      <c r="AH55" s="4"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 s="4">
        <v>0</v>
      </c>
      <c r="AP55" s="4">
        <v>0</v>
      </c>
      <c r="AQ55" s="4">
        <v>0</v>
      </c>
      <c r="AR55" s="4">
        <v>0</v>
      </c>
      <c r="AS55" s="4">
        <v>0</v>
      </c>
      <c r="AT55" s="4">
        <v>0</v>
      </c>
      <c r="AU55" s="4">
        <v>0</v>
      </c>
      <c r="AV55" s="21">
        <v>1</v>
      </c>
      <c r="AW55" s="4">
        <v>0</v>
      </c>
      <c r="AX55" s="4">
        <v>0</v>
      </c>
      <c r="AY55" s="4">
        <v>0</v>
      </c>
      <c r="AZ55" s="4">
        <v>0</v>
      </c>
      <c r="BA55" s="4">
        <v>0</v>
      </c>
      <c r="BB55" s="4">
        <v>0</v>
      </c>
      <c r="BC55" s="4">
        <v>0</v>
      </c>
      <c r="BD55" s="4">
        <v>0</v>
      </c>
      <c r="BE55" s="4">
        <v>0</v>
      </c>
      <c r="BF55" s="4">
        <v>0</v>
      </c>
      <c r="BG55" s="4">
        <v>0</v>
      </c>
      <c r="BH55" s="23"/>
      <c r="BI55" s="4"/>
      <c r="BJ55" s="4"/>
      <c r="BK55" s="4"/>
      <c r="BL55" s="4"/>
      <c r="BM55" s="4"/>
      <c r="BN55" s="4"/>
      <c r="BO55" s="4"/>
      <c r="BP55" s="23"/>
      <c r="BQ55" s="23"/>
      <c r="BR55" s="23"/>
      <c r="BS55" s="23"/>
      <c r="BT55" s="23"/>
      <c r="BU55" s="23"/>
      <c r="BV55" s="23"/>
      <c r="BW55" s="23"/>
      <c r="BX55" s="23"/>
      <c r="BY55" s="23"/>
      <c r="BZ55" s="23"/>
      <c r="CA55" s="23"/>
      <c r="CB55" s="23"/>
      <c r="CC55" s="23"/>
      <c r="CD55" s="23"/>
      <c r="CE55" s="23"/>
      <c r="CF55" s="23"/>
      <c r="CG55" s="23"/>
      <c r="CH55" s="23"/>
      <c r="CI55" s="23"/>
      <c r="CJ55" s="23"/>
      <c r="CK55" s="23"/>
      <c r="CL55" s="23"/>
      <c r="CM55" s="23"/>
      <c r="CN55" s="23"/>
      <c r="CO55" s="23"/>
      <c r="CP55" s="23"/>
      <c r="CQ55" s="23"/>
      <c r="CR55" s="23"/>
      <c r="CS55" s="23"/>
      <c r="CT55" s="23"/>
      <c r="CU55" s="23"/>
      <c r="CV55" s="23"/>
    </row>
    <row r="56" spans="1:100" ht="16.5" customHeight="1" x14ac:dyDescent="0.2">
      <c r="A56" s="15" t="s">
        <v>261</v>
      </c>
      <c r="B56" s="4">
        <v>0</v>
      </c>
      <c r="C56" s="4">
        <v>0</v>
      </c>
      <c r="D56" s="4">
        <v>0</v>
      </c>
      <c r="E56" s="21">
        <v>67</v>
      </c>
      <c r="F56" s="4">
        <v>0</v>
      </c>
      <c r="G56" s="4">
        <v>0</v>
      </c>
      <c r="H56" s="4">
        <v>0</v>
      </c>
      <c r="I56" s="21">
        <v>2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0</v>
      </c>
      <c r="T56" s="4">
        <v>0</v>
      </c>
      <c r="U56" s="4">
        <v>0</v>
      </c>
      <c r="V56" s="4">
        <v>0</v>
      </c>
      <c r="W56" s="4">
        <v>0</v>
      </c>
      <c r="X56" s="4">
        <v>0</v>
      </c>
      <c r="Y56" s="21">
        <v>1</v>
      </c>
      <c r="Z56" s="4">
        <v>0</v>
      </c>
      <c r="AA56" s="4">
        <v>0</v>
      </c>
      <c r="AB56" s="4">
        <v>0</v>
      </c>
      <c r="AC56" s="4">
        <v>0</v>
      </c>
      <c r="AD56" s="4">
        <v>0</v>
      </c>
      <c r="AE56" s="4">
        <v>0</v>
      </c>
      <c r="AF56" s="4">
        <v>0</v>
      </c>
      <c r="AG56" s="4">
        <v>0</v>
      </c>
      <c r="AH56" s="4"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 s="4">
        <v>0</v>
      </c>
      <c r="AP56" s="4">
        <v>0</v>
      </c>
      <c r="AQ56" s="4">
        <v>0</v>
      </c>
      <c r="AR56" s="4">
        <v>0</v>
      </c>
      <c r="AS56" s="4">
        <v>0</v>
      </c>
      <c r="AT56" s="4">
        <v>0</v>
      </c>
      <c r="AU56" s="4">
        <v>0</v>
      </c>
      <c r="AV56" s="4">
        <v>0</v>
      </c>
      <c r="AW56" s="4">
        <v>0</v>
      </c>
      <c r="AX56" s="4">
        <v>0</v>
      </c>
      <c r="AY56" s="4">
        <v>0</v>
      </c>
      <c r="AZ56" s="4">
        <v>0</v>
      </c>
      <c r="BA56" s="4">
        <v>0</v>
      </c>
      <c r="BB56" s="4">
        <v>0</v>
      </c>
      <c r="BC56" s="4">
        <v>0</v>
      </c>
      <c r="BD56" s="21">
        <v>1</v>
      </c>
      <c r="BE56" s="4">
        <v>0</v>
      </c>
      <c r="BF56" s="4">
        <v>0</v>
      </c>
      <c r="BG56" s="4">
        <v>0</v>
      </c>
      <c r="BH56" s="23"/>
      <c r="BI56" s="4"/>
      <c r="BJ56" s="4"/>
      <c r="BK56" s="4"/>
      <c r="BL56" s="4"/>
      <c r="BM56" s="4"/>
      <c r="BN56" s="4"/>
      <c r="BO56" s="4"/>
      <c r="BP56" s="23"/>
      <c r="BQ56" s="23"/>
      <c r="BR56" s="23"/>
      <c r="BS56" s="23"/>
      <c r="BT56" s="23"/>
      <c r="BU56" s="23"/>
      <c r="BV56" s="23"/>
      <c r="BW56" s="23"/>
      <c r="BX56" s="23"/>
      <c r="BY56" s="23"/>
      <c r="BZ56" s="23"/>
      <c r="CA56" s="23"/>
      <c r="CB56" s="23"/>
      <c r="CC56" s="23"/>
      <c r="CD56" s="23"/>
      <c r="CE56" s="23"/>
      <c r="CF56" s="23"/>
      <c r="CG56" s="23"/>
      <c r="CH56" s="23"/>
      <c r="CI56" s="23"/>
      <c r="CJ56" s="23"/>
      <c r="CK56" s="23"/>
      <c r="CL56" s="23"/>
      <c r="CM56" s="23"/>
      <c r="CN56" s="23"/>
      <c r="CO56" s="23"/>
      <c r="CP56" s="23"/>
      <c r="CQ56" s="23"/>
      <c r="CR56" s="23"/>
      <c r="CS56" s="23"/>
      <c r="CT56" s="23"/>
      <c r="CU56" s="23"/>
      <c r="CV56" s="23"/>
    </row>
    <row r="57" spans="1:100" ht="16.5" customHeight="1" x14ac:dyDescent="0.2">
      <c r="A57" s="15" t="s">
        <v>262</v>
      </c>
      <c r="B57" s="21">
        <v>1</v>
      </c>
      <c r="C57" s="4">
        <v>0</v>
      </c>
      <c r="D57" s="4">
        <v>0</v>
      </c>
      <c r="E57" s="21">
        <v>105</v>
      </c>
      <c r="F57" s="4">
        <v>0</v>
      </c>
      <c r="G57" s="4">
        <v>0</v>
      </c>
      <c r="H57" s="4">
        <v>0</v>
      </c>
      <c r="I57" s="21">
        <v>6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  <c r="W57" s="4">
        <v>0</v>
      </c>
      <c r="X57" s="4">
        <v>0</v>
      </c>
      <c r="Y57" s="4">
        <v>0</v>
      </c>
      <c r="Z57" s="4">
        <v>0</v>
      </c>
      <c r="AA57" s="4">
        <v>0</v>
      </c>
      <c r="AB57" s="4">
        <v>0</v>
      </c>
      <c r="AC57" s="4">
        <v>0</v>
      </c>
      <c r="AD57" s="4">
        <v>0</v>
      </c>
      <c r="AE57" s="4">
        <v>0</v>
      </c>
      <c r="AF57" s="4">
        <v>0</v>
      </c>
      <c r="AG57" s="4">
        <v>0</v>
      </c>
      <c r="AH57" s="4"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 s="4">
        <v>0</v>
      </c>
      <c r="AP57" s="4">
        <v>0</v>
      </c>
      <c r="AQ57" s="4">
        <v>0</v>
      </c>
      <c r="AR57" s="4">
        <v>0</v>
      </c>
      <c r="AS57" s="4">
        <v>0</v>
      </c>
      <c r="AT57" s="4">
        <v>0</v>
      </c>
      <c r="AU57" s="4">
        <v>0</v>
      </c>
      <c r="AV57" s="21">
        <v>7</v>
      </c>
      <c r="AW57" s="4">
        <v>0</v>
      </c>
      <c r="AX57" s="4">
        <v>0</v>
      </c>
      <c r="AY57" s="4">
        <v>0</v>
      </c>
      <c r="AZ57" s="4">
        <v>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4">
        <v>0</v>
      </c>
      <c r="BH57" s="23"/>
      <c r="BI57" s="4"/>
      <c r="BJ57" s="4"/>
      <c r="BK57" s="4"/>
      <c r="BL57" s="4"/>
      <c r="BM57" s="4"/>
      <c r="BN57" s="4"/>
      <c r="BO57" s="4"/>
      <c r="BP57" s="23"/>
      <c r="BQ57" s="23"/>
      <c r="BR57" s="23"/>
      <c r="BS57" s="23"/>
      <c r="BT57" s="23"/>
      <c r="BU57" s="23"/>
      <c r="BV57" s="23"/>
      <c r="BW57" s="23"/>
      <c r="BX57" s="23"/>
      <c r="BY57" s="23"/>
      <c r="BZ57" s="23"/>
      <c r="CA57" s="23"/>
      <c r="CB57" s="23"/>
      <c r="CC57" s="23"/>
      <c r="CD57" s="23"/>
      <c r="CE57" s="23"/>
      <c r="CF57" s="23"/>
      <c r="CG57" s="23"/>
      <c r="CH57" s="23"/>
      <c r="CI57" s="23"/>
      <c r="CJ57" s="23"/>
      <c r="CK57" s="23"/>
      <c r="CL57" s="23"/>
      <c r="CM57" s="23"/>
      <c r="CN57" s="23"/>
      <c r="CO57" s="23"/>
      <c r="CP57" s="23"/>
      <c r="CQ57" s="23"/>
      <c r="CR57" s="23"/>
      <c r="CS57" s="23"/>
      <c r="CT57" s="23"/>
      <c r="CU57" s="23"/>
      <c r="CV57" s="23"/>
    </row>
    <row r="58" spans="1:100" ht="16.5" customHeight="1" x14ac:dyDescent="0.2">
      <c r="A58" s="15" t="s">
        <v>263</v>
      </c>
      <c r="B58" s="21">
        <v>1</v>
      </c>
      <c r="C58" s="4">
        <v>0</v>
      </c>
      <c r="D58" s="4">
        <v>0</v>
      </c>
      <c r="E58" s="21">
        <v>57</v>
      </c>
      <c r="F58" s="4">
        <v>0</v>
      </c>
      <c r="G58" s="4">
        <v>0</v>
      </c>
      <c r="H58" s="4">
        <v>0</v>
      </c>
      <c r="I58" s="21">
        <v>5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0</v>
      </c>
      <c r="T58" s="4">
        <v>0</v>
      </c>
      <c r="U58" s="4">
        <v>0</v>
      </c>
      <c r="V58" s="4">
        <v>0</v>
      </c>
      <c r="W58" s="4">
        <v>0</v>
      </c>
      <c r="X58" s="4">
        <v>0</v>
      </c>
      <c r="Y58" s="4">
        <v>0</v>
      </c>
      <c r="Z58" s="4">
        <v>0</v>
      </c>
      <c r="AA58" s="4">
        <v>0</v>
      </c>
      <c r="AB58" s="4">
        <v>0</v>
      </c>
      <c r="AC58" s="4">
        <v>0</v>
      </c>
      <c r="AD58" s="4">
        <v>0</v>
      </c>
      <c r="AE58" s="4">
        <v>0</v>
      </c>
      <c r="AF58" s="4">
        <v>0</v>
      </c>
      <c r="AG58" s="4">
        <v>0</v>
      </c>
      <c r="AH58" s="4"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 s="4">
        <v>0</v>
      </c>
      <c r="AP58" s="4">
        <v>0</v>
      </c>
      <c r="AQ58" s="4">
        <v>0</v>
      </c>
      <c r="AR58" s="4">
        <v>0</v>
      </c>
      <c r="AS58" s="4">
        <v>0</v>
      </c>
      <c r="AT58" s="4">
        <v>0</v>
      </c>
      <c r="AU58" s="4">
        <v>0</v>
      </c>
      <c r="AV58" s="21">
        <v>6</v>
      </c>
      <c r="AW58" s="4">
        <v>0</v>
      </c>
      <c r="AX58" s="4">
        <v>0</v>
      </c>
      <c r="AY58" s="4">
        <v>0</v>
      </c>
      <c r="AZ58" s="4">
        <v>0</v>
      </c>
      <c r="BA58" s="4">
        <v>0</v>
      </c>
      <c r="BB58" s="4">
        <v>0</v>
      </c>
      <c r="BC58" s="4">
        <v>0</v>
      </c>
      <c r="BD58" s="4">
        <v>0</v>
      </c>
      <c r="BE58" s="4">
        <v>0</v>
      </c>
      <c r="BF58" s="4">
        <v>0</v>
      </c>
      <c r="BG58" s="4">
        <v>0</v>
      </c>
      <c r="BH58" s="23"/>
      <c r="BI58" s="4"/>
      <c r="BJ58" s="4"/>
      <c r="BK58" s="4"/>
      <c r="BL58" s="4"/>
      <c r="BM58" s="4"/>
      <c r="BN58" s="4"/>
      <c r="BO58" s="4"/>
      <c r="BP58" s="23"/>
      <c r="BQ58" s="23"/>
      <c r="BR58" s="23"/>
      <c r="BS58" s="23"/>
      <c r="BT58" s="23"/>
      <c r="BU58" s="23"/>
      <c r="BV58" s="23"/>
      <c r="BW58" s="23"/>
      <c r="BX58" s="23"/>
      <c r="BY58" s="23"/>
      <c r="BZ58" s="23"/>
      <c r="CA58" s="23"/>
      <c r="CB58" s="23"/>
      <c r="CC58" s="23"/>
      <c r="CD58" s="23"/>
      <c r="CE58" s="23"/>
      <c r="CF58" s="23"/>
      <c r="CG58" s="23"/>
      <c r="CH58" s="23"/>
      <c r="CI58" s="23"/>
      <c r="CJ58" s="23"/>
      <c r="CK58" s="23"/>
      <c r="CL58" s="23"/>
      <c r="CM58" s="23"/>
      <c r="CN58" s="23"/>
      <c r="CO58" s="23"/>
      <c r="CP58" s="23"/>
      <c r="CQ58" s="23"/>
      <c r="CR58" s="23"/>
      <c r="CS58" s="23"/>
      <c r="CT58" s="23"/>
      <c r="CU58" s="23"/>
      <c r="CV58" s="23"/>
    </row>
    <row r="59" spans="1:100" ht="16.5" customHeight="1" x14ac:dyDescent="0.2">
      <c r="A59" s="15" t="s">
        <v>264</v>
      </c>
      <c r="B59" s="4">
        <v>0</v>
      </c>
      <c r="C59" s="4">
        <v>0</v>
      </c>
      <c r="D59" s="4">
        <v>0</v>
      </c>
      <c r="E59" s="21">
        <v>67</v>
      </c>
      <c r="F59" s="4">
        <v>0</v>
      </c>
      <c r="G59" s="4">
        <v>0</v>
      </c>
      <c r="H59" s="4">
        <v>0</v>
      </c>
      <c r="I59" s="21">
        <v>3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0</v>
      </c>
      <c r="T59" s="4">
        <v>0</v>
      </c>
      <c r="U59" s="4">
        <v>0</v>
      </c>
      <c r="V59" s="4">
        <v>0</v>
      </c>
      <c r="W59" s="4">
        <v>0</v>
      </c>
      <c r="X59" s="4">
        <v>0</v>
      </c>
      <c r="Y59" s="4">
        <v>0</v>
      </c>
      <c r="Z59" s="4">
        <v>0</v>
      </c>
      <c r="AA59" s="4">
        <v>0</v>
      </c>
      <c r="AB59" s="4">
        <v>0</v>
      </c>
      <c r="AC59" s="4">
        <v>0</v>
      </c>
      <c r="AD59" s="4">
        <v>0</v>
      </c>
      <c r="AE59" s="4">
        <v>0</v>
      </c>
      <c r="AF59" s="4">
        <v>0</v>
      </c>
      <c r="AG59" s="4">
        <v>0</v>
      </c>
      <c r="AH59" s="4"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 s="4">
        <v>0</v>
      </c>
      <c r="AP59" s="4">
        <v>0</v>
      </c>
      <c r="AQ59" s="4">
        <v>0</v>
      </c>
      <c r="AR59" s="4">
        <v>0</v>
      </c>
      <c r="AS59" s="4">
        <v>0</v>
      </c>
      <c r="AT59" s="4">
        <v>0</v>
      </c>
      <c r="AU59" s="4">
        <v>0</v>
      </c>
      <c r="AV59" s="21">
        <v>7</v>
      </c>
      <c r="AW59" s="4">
        <v>0</v>
      </c>
      <c r="AX59" s="4">
        <v>0</v>
      </c>
      <c r="AY59" s="4">
        <v>0</v>
      </c>
      <c r="AZ59" s="4">
        <v>0</v>
      </c>
      <c r="BA59" s="4">
        <v>0</v>
      </c>
      <c r="BB59" s="4">
        <v>0</v>
      </c>
      <c r="BC59" s="4">
        <v>0</v>
      </c>
      <c r="BD59" s="4">
        <v>0</v>
      </c>
      <c r="BE59" s="4">
        <v>0</v>
      </c>
      <c r="BF59" s="4">
        <v>0</v>
      </c>
      <c r="BG59" s="4">
        <v>0</v>
      </c>
      <c r="BH59" s="23"/>
      <c r="BI59" s="4"/>
      <c r="BJ59" s="4"/>
      <c r="BK59" s="4"/>
      <c r="BL59" s="4"/>
      <c r="BM59" s="4"/>
      <c r="BN59" s="4"/>
      <c r="BO59" s="4"/>
      <c r="BP59" s="23"/>
      <c r="BQ59" s="23"/>
      <c r="BR59" s="23"/>
      <c r="BS59" s="23"/>
      <c r="BT59" s="23"/>
      <c r="BU59" s="23"/>
      <c r="BV59" s="23"/>
      <c r="BW59" s="23"/>
      <c r="BX59" s="23"/>
      <c r="BY59" s="23"/>
      <c r="BZ59" s="23"/>
      <c r="CA59" s="23"/>
      <c r="CB59" s="23"/>
      <c r="CC59" s="23"/>
      <c r="CD59" s="23"/>
      <c r="CE59" s="23"/>
      <c r="CF59" s="23"/>
      <c r="CG59" s="23"/>
      <c r="CH59" s="23"/>
      <c r="CI59" s="23"/>
      <c r="CJ59" s="23"/>
      <c r="CK59" s="23"/>
      <c r="CL59" s="23"/>
      <c r="CM59" s="23"/>
      <c r="CN59" s="23"/>
      <c r="CO59" s="23"/>
      <c r="CP59" s="23"/>
      <c r="CQ59" s="23"/>
      <c r="CR59" s="23"/>
      <c r="CS59" s="23"/>
      <c r="CT59" s="23"/>
      <c r="CU59" s="23"/>
      <c r="CV59" s="23"/>
    </row>
    <row r="60" spans="1:100" ht="16.5" customHeight="1" x14ac:dyDescent="0.25">
      <c r="A60" s="15" t="s">
        <v>265</v>
      </c>
      <c r="B60" s="4">
        <v>634</v>
      </c>
      <c r="C60" s="4">
        <v>127</v>
      </c>
      <c r="D60" s="4">
        <v>47</v>
      </c>
      <c r="E60" s="23">
        <v>187</v>
      </c>
      <c r="F60" s="4">
        <v>0</v>
      </c>
      <c r="G60" s="4">
        <v>0</v>
      </c>
      <c r="H60" s="4">
        <v>0</v>
      </c>
      <c r="I60" s="24">
        <v>1410</v>
      </c>
      <c r="J60" s="4">
        <v>343</v>
      </c>
      <c r="K60" s="4">
        <v>0</v>
      </c>
      <c r="L60" s="4">
        <v>10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6</v>
      </c>
      <c r="T60" s="4">
        <v>1</v>
      </c>
      <c r="U60" s="4">
        <v>0</v>
      </c>
      <c r="V60" s="4">
        <v>1</v>
      </c>
      <c r="W60" s="4">
        <v>0</v>
      </c>
      <c r="X60" s="4">
        <v>0</v>
      </c>
      <c r="Y60" s="4">
        <v>52</v>
      </c>
      <c r="Z60" s="4">
        <v>1</v>
      </c>
      <c r="AA60" s="4">
        <v>1</v>
      </c>
      <c r="AB60" s="4">
        <v>0</v>
      </c>
      <c r="AC60" s="4">
        <v>0</v>
      </c>
      <c r="AD60" s="4">
        <v>0</v>
      </c>
      <c r="AE60" s="4">
        <v>0</v>
      </c>
      <c r="AF60" s="4">
        <v>0</v>
      </c>
      <c r="AG60" s="4">
        <v>0</v>
      </c>
      <c r="AH60" s="4">
        <v>0</v>
      </c>
      <c r="AI60" s="4">
        <v>0</v>
      </c>
      <c r="AJ60" s="4">
        <v>1</v>
      </c>
      <c r="AK60" s="4">
        <v>3</v>
      </c>
      <c r="AL60" s="4">
        <v>62</v>
      </c>
      <c r="AM60" s="4">
        <v>20</v>
      </c>
      <c r="AN60" s="4">
        <v>25</v>
      </c>
      <c r="AO60" s="4">
        <v>2</v>
      </c>
      <c r="AP60" s="4">
        <v>30</v>
      </c>
      <c r="AQ60" s="4">
        <v>12</v>
      </c>
      <c r="AR60" s="4">
        <v>1</v>
      </c>
      <c r="AS60" s="4">
        <v>0</v>
      </c>
      <c r="AT60" s="4">
        <v>0</v>
      </c>
      <c r="AU60" s="4">
        <v>0</v>
      </c>
      <c r="AV60" s="4">
        <v>249</v>
      </c>
      <c r="AW60" s="4">
        <v>0</v>
      </c>
      <c r="AX60" s="4">
        <v>110</v>
      </c>
      <c r="AY60" s="4">
        <v>0</v>
      </c>
      <c r="AZ60" s="4">
        <v>0</v>
      </c>
      <c r="BA60" s="4">
        <v>1</v>
      </c>
      <c r="BB60" s="4">
        <v>0</v>
      </c>
      <c r="BC60" s="4">
        <v>1</v>
      </c>
      <c r="BD60" s="4">
        <v>0</v>
      </c>
      <c r="BE60" s="4">
        <v>0</v>
      </c>
      <c r="BF60" s="4">
        <v>0</v>
      </c>
      <c r="BG60" s="4">
        <v>0</v>
      </c>
      <c r="BH60" s="4"/>
      <c r="BI60" s="4"/>
      <c r="BJ60" s="4"/>
      <c r="BK60" s="4"/>
      <c r="BL60" s="4"/>
      <c r="BM60" s="4"/>
      <c r="BN60" s="4"/>
      <c r="BO60" s="4"/>
      <c r="BP60" s="23"/>
      <c r="BQ60" s="23"/>
      <c r="BR60" s="23"/>
      <c r="BS60" s="23"/>
      <c r="BT60" s="23"/>
      <c r="BU60" s="23"/>
      <c r="BV60" s="23"/>
      <c r="BW60" s="23"/>
      <c r="BX60" s="23"/>
      <c r="BY60" s="23"/>
      <c r="BZ60" s="23"/>
      <c r="CA60" s="23"/>
      <c r="CB60" s="23"/>
      <c r="CC60" s="23"/>
      <c r="CD60" s="23"/>
      <c r="CE60" s="23"/>
      <c r="CF60" s="23"/>
      <c r="CG60" s="23"/>
      <c r="CH60" s="23"/>
      <c r="CI60" s="23"/>
      <c r="CJ60" s="23"/>
      <c r="CK60" s="23"/>
      <c r="CL60" s="23"/>
      <c r="CM60" s="23"/>
      <c r="CN60" s="23"/>
      <c r="CO60" s="23"/>
      <c r="CP60" s="23"/>
      <c r="CQ60" s="23"/>
      <c r="CR60" s="23"/>
      <c r="CS60" s="23"/>
      <c r="CT60" s="23"/>
      <c r="CU60" s="23"/>
      <c r="CV60" s="23"/>
    </row>
    <row r="61" spans="1:100" ht="16.5" customHeight="1" x14ac:dyDescent="0.2">
      <c r="A61" s="15" t="s">
        <v>266</v>
      </c>
      <c r="B61" s="4">
        <v>158</v>
      </c>
      <c r="C61" s="4">
        <v>31</v>
      </c>
      <c r="D61" s="4">
        <v>10</v>
      </c>
      <c r="E61" s="23">
        <v>197</v>
      </c>
      <c r="F61" s="4">
        <v>1</v>
      </c>
      <c r="G61" s="4">
        <v>0</v>
      </c>
      <c r="H61" s="4">
        <v>0</v>
      </c>
      <c r="I61" s="4">
        <v>407</v>
      </c>
      <c r="J61" s="4">
        <v>136</v>
      </c>
      <c r="K61" s="4">
        <v>0</v>
      </c>
      <c r="L61" s="4">
        <v>3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1</v>
      </c>
      <c r="T61" s="4">
        <v>1</v>
      </c>
      <c r="U61" s="4">
        <v>0</v>
      </c>
      <c r="V61" s="4">
        <v>0</v>
      </c>
      <c r="W61" s="4">
        <v>0</v>
      </c>
      <c r="X61" s="4">
        <v>0</v>
      </c>
      <c r="Y61" s="4">
        <v>20</v>
      </c>
      <c r="Z61" s="4">
        <v>1</v>
      </c>
      <c r="AA61" s="4">
        <v>1</v>
      </c>
      <c r="AB61" s="4">
        <v>0</v>
      </c>
      <c r="AC61" s="4">
        <v>0</v>
      </c>
      <c r="AD61" s="4">
        <v>0</v>
      </c>
      <c r="AE61" s="4">
        <v>0</v>
      </c>
      <c r="AF61" s="4">
        <v>0</v>
      </c>
      <c r="AG61" s="4">
        <v>0</v>
      </c>
      <c r="AH61" s="4">
        <v>0</v>
      </c>
      <c r="AI61" s="4">
        <v>0</v>
      </c>
      <c r="AJ61" s="4">
        <v>4</v>
      </c>
      <c r="AK61" s="4">
        <v>0</v>
      </c>
      <c r="AL61" s="4">
        <v>24</v>
      </c>
      <c r="AM61" s="4">
        <v>3</v>
      </c>
      <c r="AN61" s="25">
        <v>0</v>
      </c>
      <c r="AO61" s="4">
        <v>1</v>
      </c>
      <c r="AP61" s="4">
        <v>4</v>
      </c>
      <c r="AQ61" s="25">
        <v>0</v>
      </c>
      <c r="AR61" s="4">
        <v>3</v>
      </c>
      <c r="AS61" s="4">
        <v>0</v>
      </c>
      <c r="AT61" s="4">
        <v>0</v>
      </c>
      <c r="AU61" s="4">
        <v>0</v>
      </c>
      <c r="AV61" s="4">
        <v>218</v>
      </c>
      <c r="AW61" s="4">
        <v>0</v>
      </c>
      <c r="AX61" s="4">
        <v>2</v>
      </c>
      <c r="AY61" s="4">
        <v>0</v>
      </c>
      <c r="AZ61" s="4">
        <v>0</v>
      </c>
      <c r="BA61" s="4">
        <v>0</v>
      </c>
      <c r="BB61" s="4">
        <v>0</v>
      </c>
      <c r="BC61" s="4">
        <v>0</v>
      </c>
      <c r="BD61" s="4">
        <v>0</v>
      </c>
      <c r="BE61" s="4">
        <v>0</v>
      </c>
      <c r="BF61" s="4">
        <v>0</v>
      </c>
      <c r="BG61" s="4">
        <v>0</v>
      </c>
      <c r="BH61" s="4"/>
      <c r="BI61" s="4"/>
      <c r="BJ61" s="4"/>
      <c r="BK61" s="4"/>
      <c r="BL61" s="4"/>
      <c r="BM61" s="4"/>
      <c r="BN61" s="4"/>
      <c r="BO61" s="4"/>
      <c r="BP61" s="23"/>
      <c r="BQ61" s="23"/>
      <c r="BR61" s="23"/>
      <c r="BS61" s="23"/>
      <c r="BT61" s="23"/>
      <c r="BU61" s="23"/>
      <c r="BV61" s="23"/>
      <c r="BW61" s="23"/>
      <c r="BX61" s="23"/>
      <c r="BY61" s="23"/>
      <c r="BZ61" s="23"/>
      <c r="CA61" s="23"/>
      <c r="CB61" s="23"/>
      <c r="CC61" s="23"/>
      <c r="CD61" s="23"/>
      <c r="CE61" s="23"/>
      <c r="CF61" s="23"/>
      <c r="CG61" s="23"/>
      <c r="CH61" s="23"/>
      <c r="CI61" s="23"/>
      <c r="CJ61" s="23"/>
      <c r="CK61" s="23"/>
      <c r="CL61" s="23"/>
      <c r="CM61" s="23"/>
      <c r="CN61" s="23"/>
      <c r="CO61" s="23"/>
      <c r="CP61" s="23"/>
      <c r="CQ61" s="23"/>
      <c r="CR61" s="23"/>
      <c r="CS61" s="23"/>
      <c r="CT61" s="23"/>
      <c r="CU61" s="23"/>
      <c r="CV61" s="23"/>
    </row>
    <row r="62" spans="1:100" ht="16.5" customHeight="1" x14ac:dyDescent="0.2">
      <c r="A62" s="15" t="s">
        <v>267</v>
      </c>
      <c r="B62" s="4">
        <v>1</v>
      </c>
      <c r="C62" s="4">
        <v>0</v>
      </c>
      <c r="D62" s="4">
        <v>0</v>
      </c>
      <c r="E62" s="23">
        <v>126</v>
      </c>
      <c r="F62" s="4">
        <v>0</v>
      </c>
      <c r="G62" s="4">
        <v>0</v>
      </c>
      <c r="H62" s="4">
        <v>0</v>
      </c>
      <c r="I62" s="4">
        <v>5</v>
      </c>
      <c r="J62" s="4">
        <v>0</v>
      </c>
      <c r="K62" s="4">
        <v>0</v>
      </c>
      <c r="L62" s="4">
        <v>1</v>
      </c>
      <c r="M62" s="4">
        <v>0</v>
      </c>
      <c r="N62" s="4">
        <v>0</v>
      </c>
      <c r="O62" s="4">
        <v>0</v>
      </c>
      <c r="P62" s="4">
        <v>0</v>
      </c>
      <c r="Q62" s="4">
        <v>1</v>
      </c>
      <c r="R62" s="4">
        <v>0</v>
      </c>
      <c r="S62" s="4">
        <v>0</v>
      </c>
      <c r="T62" s="4">
        <v>2</v>
      </c>
      <c r="U62" s="4">
        <v>0</v>
      </c>
      <c r="V62" s="4">
        <v>0</v>
      </c>
      <c r="W62" s="4">
        <v>0</v>
      </c>
      <c r="X62" s="4">
        <v>0</v>
      </c>
      <c r="Y62" s="4">
        <v>2</v>
      </c>
      <c r="Z62" s="4">
        <v>0</v>
      </c>
      <c r="AA62" s="4">
        <v>0</v>
      </c>
      <c r="AB62" s="4">
        <v>0</v>
      </c>
      <c r="AC62" s="4">
        <v>0</v>
      </c>
      <c r="AD62" s="4">
        <v>0</v>
      </c>
      <c r="AE62" s="4">
        <v>0</v>
      </c>
      <c r="AF62" s="4">
        <v>0</v>
      </c>
      <c r="AG62" s="4">
        <v>0</v>
      </c>
      <c r="AH62" s="4">
        <v>0</v>
      </c>
      <c r="AI62" s="4">
        <v>0</v>
      </c>
      <c r="AJ62" s="4">
        <v>0</v>
      </c>
      <c r="AK62" s="4">
        <v>0</v>
      </c>
      <c r="AL62" s="4">
        <v>1</v>
      </c>
      <c r="AM62" s="4">
        <v>0</v>
      </c>
      <c r="AN62" s="4">
        <v>0</v>
      </c>
      <c r="AO62" s="4">
        <v>0</v>
      </c>
      <c r="AP62" s="4">
        <v>0</v>
      </c>
      <c r="AQ62" s="4">
        <v>0</v>
      </c>
      <c r="AR62" s="4">
        <v>0</v>
      </c>
      <c r="AS62" s="4">
        <v>0</v>
      </c>
      <c r="AT62" s="4">
        <v>0</v>
      </c>
      <c r="AU62" s="4">
        <v>0</v>
      </c>
      <c r="AV62" s="4">
        <v>8</v>
      </c>
      <c r="AW62" s="4">
        <v>0</v>
      </c>
      <c r="AX62" s="4">
        <v>0</v>
      </c>
      <c r="AY62" s="4">
        <v>0</v>
      </c>
      <c r="AZ62" s="4">
        <v>0</v>
      </c>
      <c r="BA62" s="4">
        <v>0</v>
      </c>
      <c r="BB62" s="4">
        <v>0</v>
      </c>
      <c r="BC62" s="4">
        <v>0</v>
      </c>
      <c r="BD62" s="4">
        <v>0</v>
      </c>
      <c r="BE62" s="4">
        <v>0</v>
      </c>
      <c r="BF62" s="4">
        <v>0</v>
      </c>
      <c r="BG62" s="4">
        <v>0</v>
      </c>
      <c r="BH62" s="4"/>
      <c r="BI62" s="4"/>
      <c r="BJ62" s="4"/>
      <c r="BK62" s="4"/>
      <c r="BL62" s="4"/>
      <c r="BM62" s="4"/>
      <c r="BN62" s="4"/>
      <c r="BO62" s="4"/>
      <c r="BP62" s="23"/>
      <c r="BQ62" s="23"/>
      <c r="BR62" s="23"/>
      <c r="BS62" s="23"/>
      <c r="BT62" s="23"/>
      <c r="BU62" s="23"/>
      <c r="BV62" s="23"/>
      <c r="BW62" s="23"/>
      <c r="BX62" s="23"/>
      <c r="BY62" s="23"/>
      <c r="BZ62" s="23"/>
      <c r="CA62" s="23"/>
      <c r="CB62" s="23"/>
      <c r="CC62" s="23"/>
      <c r="CD62" s="23"/>
      <c r="CE62" s="23"/>
      <c r="CF62" s="23"/>
      <c r="CG62" s="23"/>
      <c r="CH62" s="23"/>
      <c r="CI62" s="23"/>
      <c r="CJ62" s="23"/>
      <c r="CK62" s="23"/>
      <c r="CL62" s="23"/>
      <c r="CM62" s="23"/>
      <c r="CN62" s="23"/>
      <c r="CO62" s="23"/>
      <c r="CP62" s="23"/>
      <c r="CQ62" s="23"/>
      <c r="CR62" s="23"/>
      <c r="CS62" s="23"/>
      <c r="CT62" s="23"/>
      <c r="CU62" s="23"/>
      <c r="CV62" s="23"/>
    </row>
    <row r="63" spans="1:100" ht="16.5" customHeight="1" x14ac:dyDescent="0.2">
      <c r="A63" s="15" t="s">
        <v>268</v>
      </c>
      <c r="B63" s="4">
        <v>0</v>
      </c>
      <c r="C63" s="4">
        <v>0</v>
      </c>
      <c r="D63" s="4">
        <v>0</v>
      </c>
      <c r="E63" s="23">
        <v>74</v>
      </c>
      <c r="F63" s="4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  <c r="W63" s="4">
        <v>0</v>
      </c>
      <c r="X63" s="4">
        <v>0</v>
      </c>
      <c r="Y63" s="4">
        <v>0</v>
      </c>
      <c r="Z63" s="4">
        <v>0</v>
      </c>
      <c r="AA63" s="4">
        <v>0</v>
      </c>
      <c r="AB63" s="4">
        <v>0</v>
      </c>
      <c r="AC63" s="4">
        <v>0</v>
      </c>
      <c r="AD63" s="4">
        <v>0</v>
      </c>
      <c r="AE63" s="4">
        <v>0</v>
      </c>
      <c r="AF63" s="4">
        <v>0</v>
      </c>
      <c r="AG63" s="4">
        <v>0</v>
      </c>
      <c r="AH63" s="4"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 s="4">
        <v>0</v>
      </c>
      <c r="AP63" s="4">
        <v>0</v>
      </c>
      <c r="AQ63" s="4">
        <v>0</v>
      </c>
      <c r="AR63" s="4">
        <v>0</v>
      </c>
      <c r="AS63" s="4">
        <v>0</v>
      </c>
      <c r="AT63" s="4">
        <v>0</v>
      </c>
      <c r="AU63" s="4">
        <v>0</v>
      </c>
      <c r="AV63" s="4">
        <v>0</v>
      </c>
      <c r="AW63" s="4">
        <v>0</v>
      </c>
      <c r="AX63" s="4">
        <v>0</v>
      </c>
      <c r="AY63" s="4">
        <v>1</v>
      </c>
      <c r="AZ63" s="4">
        <v>0</v>
      </c>
      <c r="BA63" s="4">
        <v>0</v>
      </c>
      <c r="BB63" s="4">
        <v>0</v>
      </c>
      <c r="BC63" s="4">
        <v>0</v>
      </c>
      <c r="BD63" s="4">
        <v>1</v>
      </c>
      <c r="BE63" s="4">
        <v>0</v>
      </c>
      <c r="BF63" s="4">
        <v>0</v>
      </c>
      <c r="BG63" s="4">
        <v>0</v>
      </c>
      <c r="BH63" s="4"/>
      <c r="BI63" s="4"/>
      <c r="BJ63" s="4"/>
      <c r="BK63" s="4"/>
      <c r="BL63" s="4"/>
      <c r="BM63" s="4"/>
      <c r="BN63" s="4"/>
      <c r="BO63" s="4"/>
      <c r="BP63" s="23"/>
      <c r="BQ63" s="23"/>
      <c r="BR63" s="23"/>
      <c r="BS63" s="23"/>
      <c r="BT63" s="23"/>
      <c r="BU63" s="23"/>
      <c r="BV63" s="23"/>
      <c r="BW63" s="23"/>
      <c r="BX63" s="23"/>
      <c r="BY63" s="23"/>
      <c r="BZ63" s="23"/>
      <c r="CA63" s="23"/>
      <c r="CB63" s="23"/>
      <c r="CC63" s="23"/>
      <c r="CD63" s="23"/>
      <c r="CE63" s="23"/>
      <c r="CF63" s="23"/>
      <c r="CG63" s="23"/>
      <c r="CH63" s="23"/>
      <c r="CI63" s="23"/>
      <c r="CJ63" s="23"/>
      <c r="CK63" s="23"/>
      <c r="CL63" s="23"/>
      <c r="CM63" s="23"/>
      <c r="CN63" s="23"/>
      <c r="CO63" s="23"/>
      <c r="CP63" s="23"/>
      <c r="CQ63" s="23"/>
      <c r="CR63" s="23"/>
      <c r="CS63" s="23"/>
      <c r="CT63" s="23"/>
      <c r="CU63" s="23"/>
      <c r="CV63" s="23"/>
    </row>
    <row r="64" spans="1:100" ht="16.5" customHeight="1" x14ac:dyDescent="0.2">
      <c r="A64" s="15" t="s">
        <v>269</v>
      </c>
      <c r="B64" s="4">
        <v>1</v>
      </c>
      <c r="C64" s="4">
        <v>0</v>
      </c>
      <c r="D64" s="4">
        <v>0</v>
      </c>
      <c r="E64" s="23">
        <v>78</v>
      </c>
      <c r="F64" s="4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2</v>
      </c>
      <c r="T64" s="4">
        <v>0</v>
      </c>
      <c r="U64" s="4">
        <v>0</v>
      </c>
      <c r="V64" s="4">
        <v>0</v>
      </c>
      <c r="W64" s="4">
        <v>0</v>
      </c>
      <c r="X64" s="4">
        <v>0</v>
      </c>
      <c r="Y64" s="4">
        <v>1</v>
      </c>
      <c r="Z64" s="4">
        <v>0</v>
      </c>
      <c r="AA64" s="4">
        <v>0</v>
      </c>
      <c r="AB64" s="4">
        <v>0</v>
      </c>
      <c r="AC64" s="4">
        <v>0</v>
      </c>
      <c r="AD64" s="4">
        <v>0</v>
      </c>
      <c r="AE64" s="4">
        <v>0</v>
      </c>
      <c r="AF64" s="4">
        <v>0</v>
      </c>
      <c r="AG64" s="4">
        <v>0</v>
      </c>
      <c r="AH64" s="4"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 s="4">
        <v>0</v>
      </c>
      <c r="AP64" s="4">
        <v>0</v>
      </c>
      <c r="AQ64" s="4">
        <v>0</v>
      </c>
      <c r="AR64" s="4">
        <v>0</v>
      </c>
      <c r="AS64" s="4">
        <v>0</v>
      </c>
      <c r="AT64" s="4">
        <v>0</v>
      </c>
      <c r="AU64" s="4">
        <v>0</v>
      </c>
      <c r="AV64" s="4">
        <v>0</v>
      </c>
      <c r="AW64" s="4">
        <v>0</v>
      </c>
      <c r="AX64" s="4">
        <v>0</v>
      </c>
      <c r="AY64" s="4">
        <v>1</v>
      </c>
      <c r="AZ64" s="4">
        <v>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G64" s="4">
        <v>0</v>
      </c>
      <c r="BH64" s="4"/>
      <c r="BI64" s="4"/>
      <c r="BJ64" s="4"/>
      <c r="BK64" s="4"/>
      <c r="BL64" s="4"/>
      <c r="BM64" s="4"/>
      <c r="BN64" s="4"/>
      <c r="BO64" s="4"/>
      <c r="BP64" s="23"/>
      <c r="BQ64" s="23"/>
      <c r="BR64" s="23"/>
      <c r="BS64" s="23"/>
      <c r="BT64" s="23"/>
      <c r="BU64" s="23"/>
      <c r="BV64" s="23"/>
      <c r="BW64" s="23"/>
      <c r="BX64" s="23"/>
      <c r="BY64" s="23"/>
      <c r="BZ64" s="23"/>
      <c r="CA64" s="23"/>
      <c r="CB64" s="23"/>
      <c r="CC64" s="23"/>
      <c r="CD64" s="23"/>
      <c r="CE64" s="23"/>
      <c r="CF64" s="23"/>
      <c r="CG64" s="23"/>
      <c r="CH64" s="23"/>
      <c r="CI64" s="23"/>
      <c r="CJ64" s="23"/>
      <c r="CK64" s="23"/>
      <c r="CL64" s="23"/>
      <c r="CM64" s="23"/>
      <c r="CN64" s="23"/>
      <c r="CO64" s="23"/>
      <c r="CP64" s="23"/>
      <c r="CQ64" s="23"/>
      <c r="CR64" s="23"/>
      <c r="CS64" s="23"/>
      <c r="CT64" s="23"/>
      <c r="CU64" s="23"/>
      <c r="CV64" s="23"/>
    </row>
    <row r="65" spans="1:100" ht="16.5" customHeight="1" x14ac:dyDescent="0.2">
      <c r="A65" s="15" t="s">
        <v>270</v>
      </c>
      <c r="B65" s="4">
        <v>1</v>
      </c>
      <c r="C65" s="4">
        <v>2</v>
      </c>
      <c r="D65" s="4">
        <v>0</v>
      </c>
      <c r="E65" s="23">
        <v>149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  <c r="Z65" s="4">
        <v>0</v>
      </c>
      <c r="AA65" s="4">
        <v>0</v>
      </c>
      <c r="AB65" s="4">
        <v>0</v>
      </c>
      <c r="AC65" s="4">
        <v>0</v>
      </c>
      <c r="AD65" s="4">
        <v>0</v>
      </c>
      <c r="AE65" s="4">
        <v>0</v>
      </c>
      <c r="AF65" s="4">
        <v>0</v>
      </c>
      <c r="AG65" s="4">
        <v>0</v>
      </c>
      <c r="AH65" s="4"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 s="4">
        <v>0</v>
      </c>
      <c r="AP65" s="4">
        <v>0</v>
      </c>
      <c r="AQ65" s="4">
        <v>0</v>
      </c>
      <c r="AR65" s="4">
        <v>0</v>
      </c>
      <c r="AS65" s="4">
        <v>0</v>
      </c>
      <c r="AT65" s="4">
        <v>0</v>
      </c>
      <c r="AU65" s="4">
        <v>0</v>
      </c>
      <c r="AV65" s="4">
        <v>5</v>
      </c>
      <c r="AW65" s="4">
        <v>0</v>
      </c>
      <c r="AX65" s="4">
        <v>0</v>
      </c>
      <c r="AY65" s="4">
        <v>1</v>
      </c>
      <c r="AZ65" s="4">
        <v>0</v>
      </c>
      <c r="BA65" s="4">
        <v>0</v>
      </c>
      <c r="BB65" s="4">
        <v>0</v>
      </c>
      <c r="BC65" s="4">
        <v>0</v>
      </c>
      <c r="BD65" s="4">
        <v>0</v>
      </c>
      <c r="BE65" s="4">
        <v>0</v>
      </c>
      <c r="BF65" s="4">
        <v>0</v>
      </c>
      <c r="BG65" s="4">
        <v>0</v>
      </c>
      <c r="BH65" s="4"/>
      <c r="BI65" s="4"/>
      <c r="BJ65" s="4"/>
      <c r="BK65" s="4"/>
      <c r="BL65" s="4"/>
      <c r="BM65" s="4"/>
      <c r="BN65" s="4"/>
      <c r="BO65" s="4"/>
      <c r="BP65" s="23"/>
      <c r="BQ65" s="23"/>
      <c r="BR65" s="23"/>
      <c r="BS65" s="23"/>
      <c r="BT65" s="23"/>
      <c r="BU65" s="23"/>
      <c r="BV65" s="23"/>
      <c r="BW65" s="23"/>
      <c r="BX65" s="23"/>
      <c r="BY65" s="23"/>
      <c r="BZ65" s="23"/>
      <c r="CA65" s="23"/>
      <c r="CB65" s="23"/>
      <c r="CC65" s="23"/>
      <c r="CD65" s="23"/>
      <c r="CE65" s="23"/>
      <c r="CF65" s="23"/>
      <c r="CG65" s="23"/>
      <c r="CH65" s="23"/>
      <c r="CI65" s="23"/>
      <c r="CJ65" s="23"/>
      <c r="CK65" s="23"/>
      <c r="CL65" s="23"/>
      <c r="CM65" s="23"/>
      <c r="CN65" s="23"/>
      <c r="CO65" s="23"/>
      <c r="CP65" s="23"/>
      <c r="CQ65" s="23"/>
      <c r="CR65" s="23"/>
      <c r="CS65" s="23"/>
      <c r="CT65" s="23"/>
      <c r="CU65" s="23"/>
      <c r="CV65" s="23"/>
    </row>
    <row r="66" spans="1:100" ht="16.5" customHeight="1" x14ac:dyDescent="0.2">
      <c r="A66" s="15" t="s">
        <v>271</v>
      </c>
      <c r="B66" s="4">
        <v>7</v>
      </c>
      <c r="C66" s="4">
        <v>0</v>
      </c>
      <c r="D66" s="4">
        <v>0</v>
      </c>
      <c r="E66" s="23">
        <v>105</v>
      </c>
      <c r="F66" s="4">
        <v>0</v>
      </c>
      <c r="G66" s="4">
        <v>0</v>
      </c>
      <c r="H66" s="4">
        <v>0</v>
      </c>
      <c r="I66" s="4">
        <v>2</v>
      </c>
      <c r="J66" s="4">
        <v>1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0</v>
      </c>
      <c r="V66" s="4">
        <v>1</v>
      </c>
      <c r="W66" s="4">
        <v>0</v>
      </c>
      <c r="X66" s="4">
        <v>0</v>
      </c>
      <c r="Y66" s="4">
        <v>0</v>
      </c>
      <c r="Z66" s="4">
        <v>1</v>
      </c>
      <c r="AA66" s="4">
        <v>0</v>
      </c>
      <c r="AB66" s="4">
        <v>0</v>
      </c>
      <c r="AC66" s="4">
        <v>0</v>
      </c>
      <c r="AD66" s="4">
        <v>0</v>
      </c>
      <c r="AE66" s="4">
        <v>0</v>
      </c>
      <c r="AF66" s="4">
        <v>0</v>
      </c>
      <c r="AG66" s="4">
        <v>0</v>
      </c>
      <c r="AH66" s="4"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 s="4">
        <v>0</v>
      </c>
      <c r="AP66" s="4">
        <v>0</v>
      </c>
      <c r="AQ66" s="4">
        <v>0</v>
      </c>
      <c r="AR66" s="4">
        <v>0</v>
      </c>
      <c r="AS66" s="4">
        <v>0</v>
      </c>
      <c r="AT66" s="4">
        <v>0</v>
      </c>
      <c r="AU66" s="4">
        <v>0</v>
      </c>
      <c r="AV66" s="4">
        <v>0</v>
      </c>
      <c r="AW66" s="4">
        <v>0</v>
      </c>
      <c r="AX66" s="4">
        <v>0</v>
      </c>
      <c r="AY66" s="4">
        <v>9</v>
      </c>
      <c r="AZ66" s="4">
        <v>0</v>
      </c>
      <c r="BA66" s="4">
        <v>0</v>
      </c>
      <c r="BB66" s="4">
        <v>0</v>
      </c>
      <c r="BC66" s="4">
        <v>0</v>
      </c>
      <c r="BD66" s="4">
        <v>0</v>
      </c>
      <c r="BE66" s="4">
        <v>0</v>
      </c>
      <c r="BF66" s="4">
        <v>0</v>
      </c>
      <c r="BG66" s="4">
        <v>0</v>
      </c>
      <c r="BH66" s="4"/>
      <c r="BI66" s="4"/>
      <c r="BJ66" s="4"/>
      <c r="BK66" s="4"/>
      <c r="BL66" s="4"/>
      <c r="BM66" s="4"/>
      <c r="BN66" s="4"/>
      <c r="BO66" s="4"/>
      <c r="BP66" s="23"/>
      <c r="BQ66" s="23"/>
      <c r="BR66" s="23"/>
      <c r="BS66" s="23"/>
      <c r="BT66" s="23"/>
      <c r="BU66" s="23"/>
      <c r="BV66" s="23"/>
      <c r="BW66" s="23"/>
      <c r="BX66" s="23"/>
      <c r="BY66" s="23"/>
      <c r="BZ66" s="23"/>
      <c r="CA66" s="23"/>
      <c r="CB66" s="23"/>
      <c r="CC66" s="23"/>
      <c r="CD66" s="23"/>
      <c r="CE66" s="23"/>
      <c r="CF66" s="23"/>
      <c r="CG66" s="23"/>
      <c r="CH66" s="23"/>
      <c r="CI66" s="23"/>
      <c r="CJ66" s="23"/>
      <c r="CK66" s="23"/>
      <c r="CL66" s="23"/>
      <c r="CM66" s="23"/>
      <c r="CN66" s="23"/>
      <c r="CO66" s="23"/>
      <c r="CP66" s="23"/>
      <c r="CQ66" s="23"/>
      <c r="CR66" s="23"/>
      <c r="CS66" s="23"/>
      <c r="CT66" s="23"/>
      <c r="CU66" s="23"/>
      <c r="CV66" s="23"/>
    </row>
    <row r="67" spans="1:100" ht="16.5" customHeight="1" x14ac:dyDescent="0.2">
      <c r="A67" s="15" t="s">
        <v>272</v>
      </c>
      <c r="B67" s="4">
        <v>11</v>
      </c>
      <c r="C67" s="4">
        <v>1</v>
      </c>
      <c r="D67" s="4">
        <v>2</v>
      </c>
      <c r="E67" s="23">
        <v>116</v>
      </c>
      <c r="F67" s="4">
        <v>0</v>
      </c>
      <c r="G67" s="4">
        <v>1</v>
      </c>
      <c r="H67" s="4">
        <v>0</v>
      </c>
      <c r="I67" s="4">
        <v>8</v>
      </c>
      <c r="J67" s="4">
        <v>10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5</v>
      </c>
      <c r="R67" s="4">
        <v>0</v>
      </c>
      <c r="S67" s="4">
        <v>0</v>
      </c>
      <c r="T67" s="4">
        <v>0</v>
      </c>
      <c r="U67" s="4">
        <v>1</v>
      </c>
      <c r="V67" s="4">
        <v>3</v>
      </c>
      <c r="W67" s="4">
        <v>0</v>
      </c>
      <c r="X67" s="4">
        <v>0</v>
      </c>
      <c r="Y67" s="4">
        <v>0</v>
      </c>
      <c r="Z67" s="4">
        <v>0</v>
      </c>
      <c r="AA67" s="4">
        <v>0</v>
      </c>
      <c r="AB67" s="4">
        <v>0</v>
      </c>
      <c r="AC67" s="4">
        <v>0</v>
      </c>
      <c r="AD67" s="4">
        <v>0</v>
      </c>
      <c r="AE67" s="4">
        <v>0</v>
      </c>
      <c r="AF67" s="4">
        <v>0</v>
      </c>
      <c r="AG67" s="4">
        <v>0</v>
      </c>
      <c r="AH67" s="4">
        <v>0</v>
      </c>
      <c r="AI67" s="4">
        <v>0</v>
      </c>
      <c r="AJ67" s="4">
        <v>0</v>
      </c>
      <c r="AK67" s="4">
        <v>0</v>
      </c>
      <c r="AL67" s="4">
        <v>1</v>
      </c>
      <c r="AM67" s="4">
        <v>0</v>
      </c>
      <c r="AN67" s="4">
        <v>0</v>
      </c>
      <c r="AO67" s="4">
        <v>0</v>
      </c>
      <c r="AP67" s="4">
        <v>0</v>
      </c>
      <c r="AQ67" s="4">
        <v>0</v>
      </c>
      <c r="AR67" s="4">
        <v>0</v>
      </c>
      <c r="AS67" s="4">
        <v>0</v>
      </c>
      <c r="AT67" s="4">
        <v>0</v>
      </c>
      <c r="AU67" s="4">
        <v>0</v>
      </c>
      <c r="AV67" s="4">
        <v>7</v>
      </c>
      <c r="AW67" s="4">
        <v>0</v>
      </c>
      <c r="AX67" s="4">
        <v>0</v>
      </c>
      <c r="AY67" s="4">
        <v>35</v>
      </c>
      <c r="AZ67" s="4">
        <v>0</v>
      </c>
      <c r="BA67" s="4">
        <v>0</v>
      </c>
      <c r="BB67" s="4">
        <v>0</v>
      </c>
      <c r="BC67" s="4">
        <v>0</v>
      </c>
      <c r="BD67" s="4">
        <v>1</v>
      </c>
      <c r="BE67" s="4">
        <v>0</v>
      </c>
      <c r="BF67" s="4">
        <v>0</v>
      </c>
      <c r="BG67" s="4">
        <v>0</v>
      </c>
      <c r="BH67" s="4"/>
      <c r="BI67" s="4"/>
      <c r="BJ67" s="4"/>
      <c r="BK67" s="4"/>
      <c r="BL67" s="4"/>
      <c r="BM67" s="4"/>
      <c r="BN67" s="4"/>
      <c r="BO67" s="4"/>
      <c r="BP67" s="23"/>
      <c r="BQ67" s="23"/>
      <c r="BR67" s="23"/>
      <c r="BS67" s="23"/>
      <c r="BT67" s="23"/>
      <c r="BU67" s="23"/>
      <c r="BV67" s="23"/>
      <c r="BW67" s="23"/>
      <c r="BX67" s="23"/>
      <c r="BY67" s="23"/>
      <c r="BZ67" s="23"/>
      <c r="CA67" s="23"/>
      <c r="CB67" s="23"/>
      <c r="CC67" s="23"/>
      <c r="CD67" s="23"/>
      <c r="CE67" s="23"/>
      <c r="CF67" s="23"/>
      <c r="CG67" s="23"/>
      <c r="CH67" s="23"/>
      <c r="CI67" s="23"/>
      <c r="CJ67" s="23"/>
      <c r="CK67" s="23"/>
      <c r="CL67" s="23"/>
      <c r="CM67" s="23"/>
      <c r="CN67" s="23"/>
      <c r="CO67" s="23"/>
      <c r="CP67" s="23"/>
      <c r="CQ67" s="23"/>
      <c r="CR67" s="23"/>
      <c r="CS67" s="23"/>
      <c r="CT67" s="23"/>
      <c r="CU67" s="23"/>
      <c r="CV67" s="23"/>
    </row>
    <row r="68" spans="1:100" ht="16.5" customHeight="1" x14ac:dyDescent="0.2">
      <c r="A68" s="15" t="s">
        <v>273</v>
      </c>
      <c r="B68" s="4">
        <v>36</v>
      </c>
      <c r="C68" s="4">
        <v>8</v>
      </c>
      <c r="D68" s="4">
        <v>5</v>
      </c>
      <c r="E68" s="23">
        <v>220</v>
      </c>
      <c r="F68" s="4">
        <v>2</v>
      </c>
      <c r="G68" s="4">
        <v>7</v>
      </c>
      <c r="H68" s="4">
        <v>0</v>
      </c>
      <c r="I68" s="4">
        <v>70</v>
      </c>
      <c r="J68" s="4">
        <v>13</v>
      </c>
      <c r="K68" s="4">
        <v>0</v>
      </c>
      <c r="L68" s="4">
        <v>10</v>
      </c>
      <c r="M68" s="4">
        <v>0</v>
      </c>
      <c r="N68" s="4">
        <v>0</v>
      </c>
      <c r="O68" s="4">
        <v>0</v>
      </c>
      <c r="P68" s="4">
        <v>0</v>
      </c>
      <c r="Q68" s="4">
        <v>10</v>
      </c>
      <c r="R68" s="4">
        <v>0</v>
      </c>
      <c r="S68" s="4">
        <v>0</v>
      </c>
      <c r="T68" s="4">
        <v>0</v>
      </c>
      <c r="U68" s="4">
        <v>0</v>
      </c>
      <c r="V68" s="4">
        <v>0</v>
      </c>
      <c r="W68" s="4">
        <v>0</v>
      </c>
      <c r="X68" s="4">
        <v>0</v>
      </c>
      <c r="Y68" s="4">
        <v>6</v>
      </c>
      <c r="Z68" s="4">
        <v>2</v>
      </c>
      <c r="AA68" s="4">
        <v>2</v>
      </c>
      <c r="AB68" s="4">
        <v>0</v>
      </c>
      <c r="AC68" s="4">
        <v>0</v>
      </c>
      <c r="AD68" s="4">
        <v>0</v>
      </c>
      <c r="AE68" s="4">
        <v>0</v>
      </c>
      <c r="AF68" s="4">
        <v>0</v>
      </c>
      <c r="AG68" s="4">
        <v>0</v>
      </c>
      <c r="AH68" s="4">
        <v>0</v>
      </c>
      <c r="AI68" s="4">
        <v>0</v>
      </c>
      <c r="AJ68" s="4">
        <v>0</v>
      </c>
      <c r="AK68" s="4">
        <v>0</v>
      </c>
      <c r="AL68" s="4">
        <v>4</v>
      </c>
      <c r="AM68" s="4">
        <v>0</v>
      </c>
      <c r="AN68" s="4">
        <v>0</v>
      </c>
      <c r="AO68" s="4">
        <v>0</v>
      </c>
      <c r="AP68" s="4">
        <v>0</v>
      </c>
      <c r="AQ68" s="4">
        <v>0</v>
      </c>
      <c r="AR68" s="4">
        <v>0</v>
      </c>
      <c r="AS68" s="4">
        <v>0</v>
      </c>
      <c r="AT68" s="4">
        <v>0</v>
      </c>
      <c r="AU68" s="4">
        <v>0</v>
      </c>
      <c r="AV68" s="4">
        <v>107</v>
      </c>
      <c r="AW68" s="4">
        <v>0</v>
      </c>
      <c r="AX68" s="4">
        <v>1</v>
      </c>
      <c r="AY68" s="4">
        <v>129</v>
      </c>
      <c r="AZ68" s="4">
        <v>0</v>
      </c>
      <c r="BA68" s="4">
        <v>0</v>
      </c>
      <c r="BB68" s="4">
        <v>0</v>
      </c>
      <c r="BC68" s="4">
        <v>0</v>
      </c>
      <c r="BD68" s="4">
        <v>0</v>
      </c>
      <c r="BE68" s="4">
        <v>0</v>
      </c>
      <c r="BF68" s="4">
        <v>1</v>
      </c>
      <c r="BG68" s="4">
        <v>0</v>
      </c>
      <c r="BH68" s="4"/>
      <c r="BI68" s="4"/>
      <c r="BJ68" s="4"/>
      <c r="BK68" s="4"/>
      <c r="BL68" s="4"/>
      <c r="BM68" s="4"/>
      <c r="BN68" s="4"/>
      <c r="BO68" s="4"/>
      <c r="BP68" s="23"/>
      <c r="BQ68" s="23"/>
      <c r="BR68" s="23"/>
      <c r="BS68" s="23"/>
      <c r="BT68" s="23"/>
      <c r="BU68" s="23"/>
      <c r="BV68" s="23"/>
      <c r="BW68" s="23"/>
      <c r="BX68" s="23"/>
      <c r="BY68" s="23"/>
      <c r="BZ68" s="23"/>
      <c r="CA68" s="23"/>
      <c r="CB68" s="23"/>
      <c r="CC68" s="23"/>
      <c r="CD68" s="23"/>
      <c r="CE68" s="23"/>
      <c r="CF68" s="23"/>
      <c r="CG68" s="23"/>
      <c r="CH68" s="23"/>
      <c r="CI68" s="23"/>
      <c r="CJ68" s="23"/>
      <c r="CK68" s="23"/>
      <c r="CL68" s="23"/>
      <c r="CM68" s="23"/>
      <c r="CN68" s="23"/>
      <c r="CO68" s="23"/>
      <c r="CP68" s="23"/>
      <c r="CQ68" s="23"/>
      <c r="CR68" s="23"/>
      <c r="CS68" s="23"/>
      <c r="CT68" s="23"/>
      <c r="CU68" s="23"/>
      <c r="CV68" s="23"/>
    </row>
    <row r="69" spans="1:100" ht="16.5" customHeight="1" x14ac:dyDescent="0.2">
      <c r="A69" s="15" t="s">
        <v>274</v>
      </c>
      <c r="B69" s="4">
        <v>0</v>
      </c>
      <c r="C69" s="4">
        <v>0</v>
      </c>
      <c r="D69" s="4">
        <v>0</v>
      </c>
      <c r="E69" s="4">
        <v>0</v>
      </c>
      <c r="F69" s="4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0</v>
      </c>
      <c r="T69" s="4">
        <v>0</v>
      </c>
      <c r="U69" s="4">
        <v>0</v>
      </c>
      <c r="V69" s="4">
        <v>0</v>
      </c>
      <c r="W69" s="4">
        <v>0</v>
      </c>
      <c r="X69" s="4">
        <v>0</v>
      </c>
      <c r="Y69" s="4">
        <v>0</v>
      </c>
      <c r="Z69" s="4">
        <v>0</v>
      </c>
      <c r="AA69" s="4">
        <v>0</v>
      </c>
      <c r="AB69" s="4">
        <v>0</v>
      </c>
      <c r="AC69" s="4">
        <v>0</v>
      </c>
      <c r="AD69" s="4">
        <v>0</v>
      </c>
      <c r="AE69" s="4">
        <v>0</v>
      </c>
      <c r="AF69" s="4">
        <v>0</v>
      </c>
      <c r="AG69" s="4">
        <v>0</v>
      </c>
      <c r="AH69" s="4"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 s="4">
        <v>0</v>
      </c>
      <c r="AP69" s="4">
        <v>0</v>
      </c>
      <c r="AQ69" s="4">
        <v>0</v>
      </c>
      <c r="AR69" s="4">
        <v>0</v>
      </c>
      <c r="AS69" s="4">
        <v>0</v>
      </c>
      <c r="AT69" s="4">
        <v>0</v>
      </c>
      <c r="AU69" s="4">
        <v>0</v>
      </c>
      <c r="AV69" s="4">
        <v>0</v>
      </c>
      <c r="AW69" s="4">
        <v>0</v>
      </c>
      <c r="AX69" s="4">
        <v>0</v>
      </c>
      <c r="AY69" s="4">
        <v>0</v>
      </c>
      <c r="AZ69" s="4">
        <v>0</v>
      </c>
      <c r="BA69" s="4">
        <v>0</v>
      </c>
      <c r="BB69" s="4">
        <v>0</v>
      </c>
      <c r="BC69" s="4">
        <v>0</v>
      </c>
      <c r="BD69" s="4">
        <v>0</v>
      </c>
      <c r="BE69" s="4">
        <v>0</v>
      </c>
      <c r="BF69" s="4">
        <v>0</v>
      </c>
      <c r="BG69" s="4">
        <v>0</v>
      </c>
      <c r="BH69" s="4"/>
      <c r="BI69" s="4"/>
      <c r="BJ69" s="4"/>
      <c r="BK69" s="4"/>
      <c r="BL69" s="4"/>
      <c r="BM69" s="4"/>
      <c r="BN69" s="4"/>
      <c r="BO69" s="4"/>
      <c r="BP69" s="23"/>
      <c r="BQ69" s="23"/>
      <c r="BR69" s="23"/>
      <c r="BS69" s="23"/>
      <c r="BT69" s="23"/>
      <c r="BU69" s="23"/>
      <c r="BV69" s="23"/>
      <c r="BW69" s="23"/>
      <c r="BX69" s="23"/>
      <c r="BY69" s="23"/>
      <c r="BZ69" s="23"/>
      <c r="CA69" s="23"/>
      <c r="CB69" s="23"/>
      <c r="CC69" s="23"/>
      <c r="CD69" s="23"/>
      <c r="CE69" s="23"/>
      <c r="CF69" s="23"/>
      <c r="CG69" s="23"/>
      <c r="CH69" s="23"/>
      <c r="CI69" s="23"/>
      <c r="CJ69" s="23"/>
      <c r="CK69" s="23"/>
      <c r="CL69" s="23"/>
      <c r="CM69" s="23"/>
      <c r="CN69" s="23"/>
      <c r="CO69" s="23"/>
      <c r="CP69" s="23"/>
      <c r="CQ69" s="23"/>
      <c r="CR69" s="23"/>
      <c r="CS69" s="23"/>
      <c r="CT69" s="23"/>
      <c r="CU69" s="23"/>
      <c r="CV69" s="23"/>
    </row>
    <row r="70" spans="1:100" ht="16.5" customHeight="1" x14ac:dyDescent="0.2">
      <c r="A70" s="15" t="s">
        <v>275</v>
      </c>
      <c r="B70" s="4">
        <v>0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  <c r="Z70" s="4">
        <v>0</v>
      </c>
      <c r="AA70" s="4">
        <v>0</v>
      </c>
      <c r="AB70" s="4">
        <v>0</v>
      </c>
      <c r="AC70" s="4">
        <v>0</v>
      </c>
      <c r="AD70" s="4">
        <v>0</v>
      </c>
      <c r="AE70" s="4">
        <v>0</v>
      </c>
      <c r="AF70" s="4">
        <v>0</v>
      </c>
      <c r="AG70" s="4">
        <v>0</v>
      </c>
      <c r="AH70" s="4"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 s="4">
        <v>0</v>
      </c>
      <c r="AP70" s="4">
        <v>0</v>
      </c>
      <c r="AQ70" s="4">
        <v>0</v>
      </c>
      <c r="AR70" s="4">
        <v>0</v>
      </c>
      <c r="AS70" s="4">
        <v>0</v>
      </c>
      <c r="AT70" s="4">
        <v>0</v>
      </c>
      <c r="AU70" s="4">
        <v>0</v>
      </c>
      <c r="AV70" s="4">
        <v>0</v>
      </c>
      <c r="AW70" s="4">
        <v>0</v>
      </c>
      <c r="AX70" s="4">
        <v>0</v>
      </c>
      <c r="AY70" s="4">
        <v>0</v>
      </c>
      <c r="AZ70" s="4">
        <v>0</v>
      </c>
      <c r="BA70" s="4">
        <v>0</v>
      </c>
      <c r="BB70" s="4">
        <v>0</v>
      </c>
      <c r="BC70" s="4">
        <v>0</v>
      </c>
      <c r="BD70" s="4">
        <v>0</v>
      </c>
      <c r="BE70" s="4">
        <v>0</v>
      </c>
      <c r="BF70" s="4">
        <v>0</v>
      </c>
      <c r="BG70" s="4">
        <v>0</v>
      </c>
      <c r="BH70" s="4"/>
      <c r="BI70" s="4"/>
      <c r="BJ70" s="4"/>
      <c r="BK70" s="4"/>
      <c r="BL70" s="4"/>
      <c r="BM70" s="4"/>
      <c r="BN70" s="4"/>
      <c r="BO70" s="4"/>
      <c r="BP70" s="23"/>
      <c r="BQ70" s="23"/>
      <c r="BR70" s="23"/>
      <c r="BS70" s="23"/>
      <c r="BT70" s="23"/>
      <c r="BU70" s="23"/>
      <c r="BV70" s="23"/>
      <c r="BW70" s="23"/>
      <c r="BX70" s="23"/>
      <c r="BY70" s="23"/>
      <c r="BZ70" s="23"/>
      <c r="CA70" s="23"/>
      <c r="CB70" s="23"/>
      <c r="CC70" s="23"/>
      <c r="CD70" s="23"/>
      <c r="CE70" s="23"/>
      <c r="CF70" s="23"/>
      <c r="CG70" s="23"/>
      <c r="CH70" s="23"/>
      <c r="CI70" s="23"/>
      <c r="CJ70" s="23"/>
      <c r="CK70" s="23"/>
      <c r="CL70" s="23"/>
      <c r="CM70" s="23"/>
      <c r="CN70" s="23"/>
      <c r="CO70" s="23"/>
      <c r="CP70" s="23"/>
      <c r="CQ70" s="23"/>
      <c r="CR70" s="23"/>
      <c r="CS70" s="23"/>
      <c r="CT70" s="23"/>
      <c r="CU70" s="23"/>
      <c r="CV70" s="23"/>
    </row>
    <row r="71" spans="1:100" ht="16.5" customHeight="1" x14ac:dyDescent="0.2">
      <c r="A71" s="15" t="s">
        <v>276</v>
      </c>
      <c r="B71" s="4">
        <v>0</v>
      </c>
      <c r="C71" s="4">
        <v>0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0</v>
      </c>
      <c r="W71" s="4">
        <v>0</v>
      </c>
      <c r="X71" s="4">
        <v>0</v>
      </c>
      <c r="Y71" s="4">
        <v>0</v>
      </c>
      <c r="Z71" s="4">
        <v>0</v>
      </c>
      <c r="AA71" s="4">
        <v>0</v>
      </c>
      <c r="AB71" s="4">
        <v>0</v>
      </c>
      <c r="AC71" s="4">
        <v>0</v>
      </c>
      <c r="AD71" s="4">
        <v>0</v>
      </c>
      <c r="AE71" s="4">
        <v>0</v>
      </c>
      <c r="AF71" s="4">
        <v>0</v>
      </c>
      <c r="AG71" s="4">
        <v>0</v>
      </c>
      <c r="AH71" s="4"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 s="4">
        <v>0</v>
      </c>
      <c r="AP71" s="4">
        <v>0</v>
      </c>
      <c r="AQ71" s="4">
        <v>0</v>
      </c>
      <c r="AR71" s="4">
        <v>0</v>
      </c>
      <c r="AS71" s="4">
        <v>0</v>
      </c>
      <c r="AT71" s="4">
        <v>0</v>
      </c>
      <c r="AU71" s="4">
        <v>0</v>
      </c>
      <c r="AV71" s="4">
        <v>0</v>
      </c>
      <c r="AW71" s="4">
        <v>0</v>
      </c>
      <c r="AX71" s="4">
        <v>0</v>
      </c>
      <c r="AY71" s="4">
        <v>0</v>
      </c>
      <c r="AZ71" s="4">
        <v>0</v>
      </c>
      <c r="BA71" s="4">
        <v>0</v>
      </c>
      <c r="BB71" s="4">
        <v>0</v>
      </c>
      <c r="BC71" s="4">
        <v>0</v>
      </c>
      <c r="BD71" s="4">
        <v>0</v>
      </c>
      <c r="BE71" s="4">
        <v>0</v>
      </c>
      <c r="BF71" s="4">
        <v>0</v>
      </c>
      <c r="BG71" s="4">
        <v>0</v>
      </c>
      <c r="BH71" s="4"/>
      <c r="BI71" s="4"/>
      <c r="BJ71" s="4"/>
      <c r="BK71" s="4"/>
      <c r="BL71" s="4"/>
      <c r="BM71" s="4"/>
      <c r="BN71" s="4"/>
      <c r="BO71" s="4"/>
      <c r="BP71" s="23"/>
      <c r="BQ71" s="23"/>
      <c r="BR71" s="23"/>
      <c r="BS71" s="23"/>
      <c r="BT71" s="23"/>
      <c r="BU71" s="23"/>
      <c r="BV71" s="23"/>
      <c r="BW71" s="23"/>
      <c r="BX71" s="23"/>
      <c r="BY71" s="23"/>
      <c r="BZ71" s="23"/>
      <c r="CA71" s="23"/>
      <c r="CB71" s="23"/>
      <c r="CC71" s="23"/>
      <c r="CD71" s="23"/>
      <c r="CE71" s="23"/>
      <c r="CF71" s="23"/>
      <c r="CG71" s="23"/>
      <c r="CH71" s="23"/>
      <c r="CI71" s="23"/>
      <c r="CJ71" s="23"/>
      <c r="CK71" s="23"/>
      <c r="CL71" s="23"/>
      <c r="CM71" s="23"/>
      <c r="CN71" s="23"/>
      <c r="CO71" s="23"/>
      <c r="CP71" s="23"/>
      <c r="CQ71" s="23"/>
      <c r="CR71" s="23"/>
      <c r="CS71" s="23"/>
      <c r="CT71" s="23"/>
      <c r="CU71" s="23"/>
      <c r="CV71" s="23"/>
    </row>
    <row r="72" spans="1:100" ht="16.5" customHeight="1" x14ac:dyDescent="0.2">
      <c r="A72" s="15" t="s">
        <v>277</v>
      </c>
      <c r="B72" s="4">
        <v>3</v>
      </c>
      <c r="C72" s="4">
        <v>0</v>
      </c>
      <c r="D72" s="4">
        <v>0</v>
      </c>
      <c r="E72" s="23">
        <v>131</v>
      </c>
      <c r="F72" s="4">
        <v>0</v>
      </c>
      <c r="G72" s="4">
        <v>0</v>
      </c>
      <c r="H72" s="4">
        <v>0</v>
      </c>
      <c r="I72" s="4">
        <v>10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  <c r="Z72" s="4">
        <v>2</v>
      </c>
      <c r="AA72" s="4">
        <v>3</v>
      </c>
      <c r="AB72" s="4">
        <v>0</v>
      </c>
      <c r="AC72" s="4">
        <v>0</v>
      </c>
      <c r="AD72" s="4">
        <v>0</v>
      </c>
      <c r="AE72" s="4">
        <v>0</v>
      </c>
      <c r="AF72" s="4">
        <v>0</v>
      </c>
      <c r="AG72" s="4">
        <v>0</v>
      </c>
      <c r="AH72" s="4"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 s="4">
        <v>0</v>
      </c>
      <c r="AP72" s="4">
        <v>0</v>
      </c>
      <c r="AQ72" s="4">
        <v>0</v>
      </c>
      <c r="AR72" s="4">
        <v>0</v>
      </c>
      <c r="AS72" s="4">
        <v>0</v>
      </c>
      <c r="AT72" s="4">
        <v>0</v>
      </c>
      <c r="AU72" s="4">
        <v>0</v>
      </c>
      <c r="AV72" s="4">
        <v>4</v>
      </c>
      <c r="AW72" s="4">
        <v>0</v>
      </c>
      <c r="AX72" s="4">
        <v>0</v>
      </c>
      <c r="AY72" s="4">
        <v>1</v>
      </c>
      <c r="AZ72" s="4">
        <v>0</v>
      </c>
      <c r="BA72" s="4">
        <v>0</v>
      </c>
      <c r="BB72" s="4">
        <v>0</v>
      </c>
      <c r="BC72" s="4">
        <v>0</v>
      </c>
      <c r="BD72" s="4">
        <v>0</v>
      </c>
      <c r="BE72" s="4">
        <v>0</v>
      </c>
      <c r="BF72" s="4">
        <v>0</v>
      </c>
      <c r="BG72" s="4">
        <v>0</v>
      </c>
      <c r="BH72" s="4"/>
      <c r="BI72" s="4"/>
      <c r="BJ72" s="4"/>
      <c r="BK72" s="4"/>
      <c r="BL72" s="4"/>
      <c r="BM72" s="4"/>
      <c r="BN72" s="4"/>
      <c r="BO72" s="4"/>
      <c r="BP72" s="23"/>
      <c r="BQ72" s="23"/>
      <c r="BR72" s="23"/>
      <c r="BS72" s="23"/>
      <c r="BT72" s="23"/>
      <c r="BU72" s="23"/>
      <c r="BV72" s="23"/>
      <c r="BW72" s="23"/>
      <c r="BX72" s="23"/>
      <c r="BY72" s="23"/>
      <c r="BZ72" s="23"/>
      <c r="CA72" s="23"/>
      <c r="CB72" s="23"/>
      <c r="CC72" s="23"/>
      <c r="CD72" s="23"/>
      <c r="CE72" s="23"/>
      <c r="CF72" s="23"/>
      <c r="CG72" s="23"/>
      <c r="CH72" s="23"/>
      <c r="CI72" s="23"/>
      <c r="CJ72" s="23"/>
      <c r="CK72" s="23"/>
      <c r="CL72" s="23"/>
      <c r="CM72" s="23"/>
      <c r="CN72" s="23"/>
      <c r="CO72" s="23"/>
      <c r="CP72" s="23"/>
      <c r="CQ72" s="23"/>
      <c r="CR72" s="23"/>
      <c r="CS72" s="23"/>
      <c r="CT72" s="23"/>
      <c r="CU72" s="23"/>
      <c r="CV72" s="23"/>
    </row>
    <row r="73" spans="1:100" ht="16.5" customHeight="1" x14ac:dyDescent="0.2">
      <c r="A73" s="15" t="s">
        <v>278</v>
      </c>
      <c r="B73" s="4">
        <v>2</v>
      </c>
      <c r="C73" s="4">
        <v>0</v>
      </c>
      <c r="D73" s="4">
        <v>0</v>
      </c>
      <c r="E73" s="23">
        <v>209</v>
      </c>
      <c r="F73" s="4">
        <v>0</v>
      </c>
      <c r="G73" s="4">
        <v>0</v>
      </c>
      <c r="H73" s="4">
        <v>0</v>
      </c>
      <c r="I73" s="4">
        <v>3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1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  <c r="Z73" s="4">
        <v>1</v>
      </c>
      <c r="AA73" s="4">
        <v>0</v>
      </c>
      <c r="AB73" s="4">
        <v>0</v>
      </c>
      <c r="AC73" s="4">
        <v>0</v>
      </c>
      <c r="AD73" s="4">
        <v>0</v>
      </c>
      <c r="AE73" s="4">
        <v>0</v>
      </c>
      <c r="AF73" s="4">
        <v>0</v>
      </c>
      <c r="AG73" s="4">
        <v>0</v>
      </c>
      <c r="AH73" s="4"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 s="4">
        <v>0</v>
      </c>
      <c r="AP73" s="4">
        <v>0</v>
      </c>
      <c r="AQ73" s="4">
        <v>0</v>
      </c>
      <c r="AR73" s="4">
        <v>0</v>
      </c>
      <c r="AS73" s="4">
        <v>0</v>
      </c>
      <c r="AT73" s="4">
        <v>0</v>
      </c>
      <c r="AU73" s="4">
        <v>0</v>
      </c>
      <c r="AV73" s="4">
        <v>7</v>
      </c>
      <c r="AW73" s="4">
        <v>0</v>
      </c>
      <c r="AX73" s="4">
        <v>0</v>
      </c>
      <c r="AY73" s="4">
        <v>1</v>
      </c>
      <c r="AZ73" s="4">
        <v>0</v>
      </c>
      <c r="BA73" s="4">
        <v>0</v>
      </c>
      <c r="BB73" s="4">
        <v>0</v>
      </c>
      <c r="BC73" s="4">
        <v>0</v>
      </c>
      <c r="BD73" s="4">
        <v>0</v>
      </c>
      <c r="BE73" s="4">
        <v>0</v>
      </c>
      <c r="BF73" s="4">
        <v>0</v>
      </c>
      <c r="BG73" s="4">
        <v>0</v>
      </c>
      <c r="BH73" s="4"/>
      <c r="BI73" s="4"/>
      <c r="BJ73" s="4"/>
      <c r="BK73" s="4"/>
      <c r="BL73" s="4"/>
      <c r="BM73" s="4"/>
      <c r="BN73" s="4"/>
      <c r="BO73" s="4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</row>
    <row r="74" spans="1:100" ht="16.5" customHeight="1" x14ac:dyDescent="0.2">
      <c r="A74" s="15" t="s">
        <v>279</v>
      </c>
      <c r="B74" s="4">
        <v>5</v>
      </c>
      <c r="C74" s="4">
        <v>0</v>
      </c>
      <c r="D74" s="4">
        <v>0</v>
      </c>
      <c r="E74" s="23">
        <v>158</v>
      </c>
      <c r="F74" s="4">
        <v>0</v>
      </c>
      <c r="G74" s="4">
        <v>0</v>
      </c>
      <c r="H74" s="4">
        <v>0</v>
      </c>
      <c r="I74" s="4">
        <v>4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  <c r="W74" s="4">
        <v>0</v>
      </c>
      <c r="X74" s="4">
        <v>0</v>
      </c>
      <c r="Y74" s="4">
        <v>0</v>
      </c>
      <c r="Z74" s="4">
        <v>0</v>
      </c>
      <c r="AA74" s="4">
        <v>1</v>
      </c>
      <c r="AB74" s="4">
        <v>0</v>
      </c>
      <c r="AC74" s="4">
        <v>0</v>
      </c>
      <c r="AD74" s="4">
        <v>0</v>
      </c>
      <c r="AE74" s="4">
        <v>0</v>
      </c>
      <c r="AF74" s="4">
        <v>0</v>
      </c>
      <c r="AG74" s="4">
        <v>0</v>
      </c>
      <c r="AH74" s="4"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 s="4">
        <v>0</v>
      </c>
      <c r="AP74" s="4">
        <v>0</v>
      </c>
      <c r="AQ74" s="4">
        <v>0</v>
      </c>
      <c r="AR74" s="4">
        <v>0</v>
      </c>
      <c r="AS74" s="4">
        <v>0</v>
      </c>
      <c r="AT74" s="4">
        <v>0</v>
      </c>
      <c r="AU74" s="4">
        <v>0</v>
      </c>
      <c r="AV74" s="4">
        <v>12</v>
      </c>
      <c r="AW74" s="4">
        <v>0</v>
      </c>
      <c r="AX74" s="4">
        <v>0</v>
      </c>
      <c r="AY74" s="4">
        <v>0</v>
      </c>
      <c r="AZ74" s="4">
        <v>0</v>
      </c>
      <c r="BA74" s="4">
        <v>0</v>
      </c>
      <c r="BB74" s="4">
        <v>0</v>
      </c>
      <c r="BC74" s="4">
        <v>0</v>
      </c>
      <c r="BD74" s="4">
        <v>0</v>
      </c>
      <c r="BE74" s="4">
        <v>0</v>
      </c>
      <c r="BF74" s="4">
        <v>0</v>
      </c>
      <c r="BG74" s="4">
        <v>0</v>
      </c>
      <c r="BH74" s="4"/>
      <c r="BI74" s="4"/>
      <c r="BJ74" s="4"/>
      <c r="BK74" s="4"/>
      <c r="BL74" s="4"/>
      <c r="BM74" s="4"/>
      <c r="BN74" s="4"/>
      <c r="BO74" s="4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</row>
    <row r="75" spans="1:100" ht="16.5" customHeight="1" x14ac:dyDescent="0.2">
      <c r="A75" s="15" t="s">
        <v>280</v>
      </c>
      <c r="B75" s="4">
        <v>5</v>
      </c>
      <c r="C75" s="4">
        <v>0</v>
      </c>
      <c r="D75" s="4">
        <v>0</v>
      </c>
      <c r="E75" s="23">
        <v>107</v>
      </c>
      <c r="F75" s="4">
        <v>1</v>
      </c>
      <c r="G75" s="4">
        <v>0</v>
      </c>
      <c r="H75" s="4">
        <v>0</v>
      </c>
      <c r="I75" s="4">
        <v>14</v>
      </c>
      <c r="J75" s="4">
        <v>1</v>
      </c>
      <c r="K75" s="4">
        <v>0</v>
      </c>
      <c r="L75" s="4">
        <v>1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0</v>
      </c>
      <c r="T75" s="4">
        <v>1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  <c r="Z75" s="4">
        <v>0</v>
      </c>
      <c r="AA75" s="4">
        <v>1</v>
      </c>
      <c r="AB75" s="4">
        <v>0</v>
      </c>
      <c r="AC75" s="4">
        <v>0</v>
      </c>
      <c r="AD75" s="4">
        <v>0</v>
      </c>
      <c r="AE75" s="4">
        <v>0</v>
      </c>
      <c r="AF75" s="4">
        <v>0</v>
      </c>
      <c r="AG75" s="4">
        <v>0</v>
      </c>
      <c r="AH75" s="4"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 s="4">
        <v>0</v>
      </c>
      <c r="AP75" s="4">
        <v>0</v>
      </c>
      <c r="AQ75" s="4">
        <v>0</v>
      </c>
      <c r="AR75" s="4">
        <v>0</v>
      </c>
      <c r="AS75" s="4">
        <v>0</v>
      </c>
      <c r="AT75" s="4">
        <v>0</v>
      </c>
      <c r="AU75" s="4">
        <v>0</v>
      </c>
      <c r="AV75" s="4">
        <v>5</v>
      </c>
      <c r="AW75" s="4">
        <v>0</v>
      </c>
      <c r="AX75" s="4">
        <v>1</v>
      </c>
      <c r="AY75" s="4">
        <v>0</v>
      </c>
      <c r="AZ75" s="4">
        <v>0</v>
      </c>
      <c r="BA75" s="4">
        <v>0</v>
      </c>
      <c r="BB75" s="4">
        <v>0</v>
      </c>
      <c r="BC75" s="4">
        <v>0</v>
      </c>
      <c r="BD75" s="4">
        <v>0</v>
      </c>
      <c r="BE75" s="4">
        <v>0</v>
      </c>
      <c r="BF75" s="4">
        <v>0</v>
      </c>
      <c r="BG75" s="4">
        <v>0</v>
      </c>
      <c r="BH75" s="4"/>
      <c r="BI75" s="4"/>
      <c r="BJ75" s="4"/>
      <c r="BK75" s="4"/>
      <c r="BL75" s="4"/>
      <c r="BM75" s="4"/>
      <c r="BN75" s="4"/>
      <c r="BO75" s="4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</row>
    <row r="76" spans="1:100" ht="16.5" customHeight="1" x14ac:dyDescent="0.2">
      <c r="A76" s="15" t="s">
        <v>281</v>
      </c>
      <c r="B76" s="4">
        <v>4</v>
      </c>
      <c r="C76" s="4">
        <v>0</v>
      </c>
      <c r="D76" s="4">
        <v>0</v>
      </c>
      <c r="E76" s="23">
        <v>105</v>
      </c>
      <c r="F76" s="4">
        <v>0</v>
      </c>
      <c r="G76" s="4">
        <v>0</v>
      </c>
      <c r="H76" s="4">
        <v>0</v>
      </c>
      <c r="I76" s="4">
        <v>11</v>
      </c>
      <c r="J76" s="4">
        <v>0</v>
      </c>
      <c r="K76" s="4">
        <v>0</v>
      </c>
      <c r="L76" s="4">
        <v>1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0</v>
      </c>
      <c r="T76" s="4">
        <v>1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  <c r="Z76" s="4">
        <v>1</v>
      </c>
      <c r="AA76" s="4">
        <v>0</v>
      </c>
      <c r="AB76" s="4">
        <v>0</v>
      </c>
      <c r="AC76" s="4">
        <v>0</v>
      </c>
      <c r="AD76" s="4">
        <v>0</v>
      </c>
      <c r="AE76" s="4">
        <v>0</v>
      </c>
      <c r="AF76" s="4">
        <v>0</v>
      </c>
      <c r="AG76" s="4">
        <v>0</v>
      </c>
      <c r="AH76" s="4">
        <v>0</v>
      </c>
      <c r="AI76" s="4">
        <v>0</v>
      </c>
      <c r="AJ76" s="4">
        <v>0</v>
      </c>
      <c r="AK76" s="4">
        <v>0</v>
      </c>
      <c r="AL76" s="4">
        <v>2</v>
      </c>
      <c r="AM76" s="4">
        <v>0</v>
      </c>
      <c r="AN76" s="4">
        <v>0</v>
      </c>
      <c r="AO76" s="4">
        <v>0</v>
      </c>
      <c r="AP76" s="4">
        <v>0</v>
      </c>
      <c r="AQ76" s="4">
        <v>0</v>
      </c>
      <c r="AR76" s="4">
        <v>0</v>
      </c>
      <c r="AS76" s="4">
        <v>0</v>
      </c>
      <c r="AT76" s="4">
        <v>0</v>
      </c>
      <c r="AU76" s="4">
        <v>0</v>
      </c>
      <c r="AV76" s="4">
        <v>16</v>
      </c>
      <c r="AW76" s="4">
        <v>0</v>
      </c>
      <c r="AX76" s="4">
        <v>3</v>
      </c>
      <c r="AY76" s="4">
        <v>0</v>
      </c>
      <c r="AZ76" s="4">
        <v>0</v>
      </c>
      <c r="BA76" s="4">
        <v>0</v>
      </c>
      <c r="BB76" s="4">
        <v>0</v>
      </c>
      <c r="BC76" s="4">
        <v>0</v>
      </c>
      <c r="BD76" s="4">
        <v>0</v>
      </c>
      <c r="BE76" s="4">
        <v>0</v>
      </c>
      <c r="BF76" s="4">
        <v>0</v>
      </c>
      <c r="BG76" s="4">
        <v>0</v>
      </c>
      <c r="BH76" s="4"/>
      <c r="BI76" s="4"/>
      <c r="BJ76" s="4"/>
      <c r="BK76" s="4"/>
      <c r="BL76" s="4"/>
      <c r="BM76" s="4"/>
      <c r="BN76" s="4"/>
      <c r="BO76" s="4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</row>
    <row r="77" spans="1:100" ht="16.5" customHeight="1" x14ac:dyDescent="0.2">
      <c r="A77" s="15" t="s">
        <v>282</v>
      </c>
      <c r="B77" s="4">
        <v>3</v>
      </c>
      <c r="C77" s="4">
        <v>2</v>
      </c>
      <c r="D77" s="4">
        <v>0</v>
      </c>
      <c r="E77" s="23">
        <v>157</v>
      </c>
      <c r="F77" s="4">
        <v>0</v>
      </c>
      <c r="G77" s="4">
        <v>0</v>
      </c>
      <c r="H77" s="4">
        <v>0</v>
      </c>
      <c r="I77" s="4">
        <v>13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0</v>
      </c>
      <c r="Z77" s="4">
        <v>0</v>
      </c>
      <c r="AA77" s="4">
        <v>0</v>
      </c>
      <c r="AB77" s="4">
        <v>0</v>
      </c>
      <c r="AC77" s="4">
        <v>0</v>
      </c>
      <c r="AD77" s="4">
        <v>0</v>
      </c>
      <c r="AE77" s="4">
        <v>0</v>
      </c>
      <c r="AF77" s="4">
        <v>0</v>
      </c>
      <c r="AG77" s="4">
        <v>0</v>
      </c>
      <c r="AH77" s="4"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 s="4">
        <v>0</v>
      </c>
      <c r="AP77" s="4">
        <v>0</v>
      </c>
      <c r="AQ77" s="4">
        <v>0</v>
      </c>
      <c r="AR77" s="4">
        <v>0</v>
      </c>
      <c r="AS77" s="4">
        <v>0</v>
      </c>
      <c r="AT77" s="4">
        <v>0</v>
      </c>
      <c r="AU77" s="4">
        <v>0</v>
      </c>
      <c r="AV77" s="4">
        <v>1</v>
      </c>
      <c r="AW77" s="4">
        <v>0</v>
      </c>
      <c r="AX77" s="4">
        <v>0</v>
      </c>
      <c r="AY77" s="4">
        <v>0</v>
      </c>
      <c r="AZ77" s="4">
        <v>0</v>
      </c>
      <c r="BA77" s="4">
        <v>0</v>
      </c>
      <c r="BB77" s="4">
        <v>0</v>
      </c>
      <c r="BC77" s="4">
        <v>0</v>
      </c>
      <c r="BD77" s="4">
        <v>0</v>
      </c>
      <c r="BE77" s="4">
        <v>0</v>
      </c>
      <c r="BF77" s="4">
        <v>0</v>
      </c>
      <c r="BG77" s="4">
        <v>0</v>
      </c>
      <c r="BH77" s="4"/>
      <c r="BI77" s="4"/>
      <c r="BJ77" s="4"/>
      <c r="BK77" s="4"/>
      <c r="BL77" s="4"/>
      <c r="BM77" s="4"/>
      <c r="BN77" s="4"/>
      <c r="BO77" s="4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</row>
    <row r="78" spans="1:100" ht="16.5" customHeight="1" x14ac:dyDescent="0.2">
      <c r="A78" s="15" t="s">
        <v>283</v>
      </c>
      <c r="B78" s="4">
        <v>0</v>
      </c>
      <c r="C78" s="4">
        <v>1</v>
      </c>
      <c r="D78" s="4">
        <v>0</v>
      </c>
      <c r="E78" s="23">
        <v>96</v>
      </c>
      <c r="F78" s="4">
        <v>1</v>
      </c>
      <c r="G78" s="4">
        <v>0</v>
      </c>
      <c r="H78" s="4">
        <v>0</v>
      </c>
      <c r="I78" s="4">
        <v>4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0</v>
      </c>
      <c r="W78" s="4">
        <v>0</v>
      </c>
      <c r="X78" s="4">
        <v>0</v>
      </c>
      <c r="Y78" s="4">
        <v>0</v>
      </c>
      <c r="Z78" s="4">
        <v>0</v>
      </c>
      <c r="AA78" s="4">
        <v>0</v>
      </c>
      <c r="AB78" s="4">
        <v>0</v>
      </c>
      <c r="AC78" s="4">
        <v>0</v>
      </c>
      <c r="AD78" s="4">
        <v>0</v>
      </c>
      <c r="AE78" s="4">
        <v>0</v>
      </c>
      <c r="AF78" s="4">
        <v>0</v>
      </c>
      <c r="AG78" s="4">
        <v>0</v>
      </c>
      <c r="AH78" s="4"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 s="4">
        <v>0</v>
      </c>
      <c r="AP78" s="4">
        <v>0</v>
      </c>
      <c r="AQ78" s="4">
        <v>0</v>
      </c>
      <c r="AR78" s="4">
        <v>0</v>
      </c>
      <c r="AS78" s="4">
        <v>0</v>
      </c>
      <c r="AT78" s="4">
        <v>0</v>
      </c>
      <c r="AU78" s="4">
        <v>0</v>
      </c>
      <c r="AV78" s="4">
        <v>9</v>
      </c>
      <c r="AW78" s="4">
        <v>0</v>
      </c>
      <c r="AX78" s="4">
        <v>0</v>
      </c>
      <c r="AY78" s="4">
        <v>0</v>
      </c>
      <c r="AZ78" s="4">
        <v>0</v>
      </c>
      <c r="BA78" s="4">
        <v>0</v>
      </c>
      <c r="BB78" s="4">
        <v>0</v>
      </c>
      <c r="BC78" s="4">
        <v>1</v>
      </c>
      <c r="BD78" s="4">
        <v>0</v>
      </c>
      <c r="BE78" s="4">
        <v>0</v>
      </c>
      <c r="BF78" s="4">
        <v>0</v>
      </c>
      <c r="BG78" s="4">
        <v>0</v>
      </c>
      <c r="BH78" s="4"/>
      <c r="BI78" s="4"/>
      <c r="BJ78" s="4"/>
      <c r="BK78" s="4"/>
      <c r="BL78" s="4"/>
      <c r="BM78" s="4"/>
      <c r="BN78" s="4"/>
      <c r="BO78" s="4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</row>
    <row r="79" spans="1:100" ht="16.5" customHeight="1" x14ac:dyDescent="0.2">
      <c r="A79" s="15" t="s">
        <v>284</v>
      </c>
      <c r="B79" s="4">
        <v>8</v>
      </c>
      <c r="C79" s="4">
        <v>0</v>
      </c>
      <c r="D79" s="4">
        <v>0</v>
      </c>
      <c r="E79" s="23">
        <v>98</v>
      </c>
      <c r="F79" s="4">
        <v>0</v>
      </c>
      <c r="G79" s="4">
        <v>0</v>
      </c>
      <c r="H79" s="4">
        <v>0</v>
      </c>
      <c r="I79" s="4">
        <v>9</v>
      </c>
      <c r="J79" s="4">
        <v>0</v>
      </c>
      <c r="K79" s="4">
        <v>0</v>
      </c>
      <c r="L79" s="4">
        <v>5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0</v>
      </c>
      <c r="T79" s="4">
        <v>2</v>
      </c>
      <c r="U79" s="4">
        <v>0</v>
      </c>
      <c r="V79" s="4">
        <v>0</v>
      </c>
      <c r="W79" s="4">
        <v>0</v>
      </c>
      <c r="X79" s="4">
        <v>0</v>
      </c>
      <c r="Y79" s="4">
        <v>0</v>
      </c>
      <c r="Z79" s="4">
        <v>5</v>
      </c>
      <c r="AA79" s="4">
        <v>0</v>
      </c>
      <c r="AB79" s="4">
        <v>0</v>
      </c>
      <c r="AC79" s="4">
        <v>0</v>
      </c>
      <c r="AD79" s="4">
        <v>0</v>
      </c>
      <c r="AE79" s="4">
        <v>0</v>
      </c>
      <c r="AF79" s="4">
        <v>0</v>
      </c>
      <c r="AG79" s="4">
        <v>0</v>
      </c>
      <c r="AH79" s="4"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 s="4">
        <v>0</v>
      </c>
      <c r="AP79" s="4">
        <v>0</v>
      </c>
      <c r="AQ79" s="4">
        <v>0</v>
      </c>
      <c r="AR79" s="4">
        <v>0</v>
      </c>
      <c r="AS79" s="4">
        <v>0</v>
      </c>
      <c r="AT79" s="4">
        <v>0</v>
      </c>
      <c r="AU79" s="4">
        <v>0</v>
      </c>
      <c r="AV79" s="4">
        <v>6</v>
      </c>
      <c r="AW79" s="4">
        <v>0</v>
      </c>
      <c r="AX79" s="4">
        <v>0</v>
      </c>
      <c r="AY79" s="4">
        <v>0</v>
      </c>
      <c r="AZ79" s="4">
        <v>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G79" s="4">
        <v>0</v>
      </c>
      <c r="BH79" s="4"/>
      <c r="BI79" s="4"/>
      <c r="BJ79" s="4"/>
      <c r="BK79" s="4"/>
      <c r="BL79" s="4"/>
      <c r="BM79" s="4"/>
      <c r="BN79" s="4"/>
      <c r="BO79" s="4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</row>
    <row r="80" spans="1:100" ht="16.5" customHeight="1" x14ac:dyDescent="0.2">
      <c r="A80" s="15" t="s">
        <v>285</v>
      </c>
      <c r="B80" s="4">
        <v>2</v>
      </c>
      <c r="C80" s="4">
        <v>0</v>
      </c>
      <c r="D80" s="4">
        <v>0</v>
      </c>
      <c r="E80" s="23">
        <v>68</v>
      </c>
      <c r="F80" s="4">
        <v>0</v>
      </c>
      <c r="G80" s="4">
        <v>0</v>
      </c>
      <c r="H80" s="4">
        <v>0</v>
      </c>
      <c r="I80" s="4">
        <v>2</v>
      </c>
      <c r="J80" s="4">
        <v>0</v>
      </c>
      <c r="K80" s="4">
        <v>0</v>
      </c>
      <c r="L80" s="4">
        <v>2</v>
      </c>
      <c r="M80" s="4">
        <v>0</v>
      </c>
      <c r="N80" s="4">
        <v>0</v>
      </c>
      <c r="O80" s="4">
        <v>0</v>
      </c>
      <c r="P80" s="4">
        <v>0</v>
      </c>
      <c r="Q80" s="4">
        <v>1</v>
      </c>
      <c r="R80" s="4">
        <v>0</v>
      </c>
      <c r="S80" s="4">
        <v>0</v>
      </c>
      <c r="T80" s="4">
        <v>1</v>
      </c>
      <c r="U80" s="4">
        <v>0</v>
      </c>
      <c r="V80" s="4">
        <v>1</v>
      </c>
      <c r="W80" s="4">
        <v>0</v>
      </c>
      <c r="X80" s="4">
        <v>0</v>
      </c>
      <c r="Y80" s="4">
        <v>1</v>
      </c>
      <c r="Z80" s="4">
        <v>0</v>
      </c>
      <c r="AA80" s="4">
        <v>0</v>
      </c>
      <c r="AB80" s="4">
        <v>0</v>
      </c>
      <c r="AC80" s="4">
        <v>0</v>
      </c>
      <c r="AD80" s="4">
        <v>0</v>
      </c>
      <c r="AE80" s="4">
        <v>0</v>
      </c>
      <c r="AF80" s="4">
        <v>0</v>
      </c>
      <c r="AG80" s="4">
        <v>0</v>
      </c>
      <c r="AH80" s="4"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 s="4">
        <v>0</v>
      </c>
      <c r="AP80" s="4">
        <v>0</v>
      </c>
      <c r="AQ80" s="4">
        <v>0</v>
      </c>
      <c r="AR80" s="4">
        <v>0</v>
      </c>
      <c r="AS80" s="4">
        <v>0</v>
      </c>
      <c r="AT80" s="4">
        <v>0</v>
      </c>
      <c r="AU80" s="4">
        <v>0</v>
      </c>
      <c r="AV80" s="4">
        <v>5</v>
      </c>
      <c r="AW80" s="4">
        <v>0</v>
      </c>
      <c r="AX80" s="4">
        <v>0</v>
      </c>
      <c r="AY80" s="4">
        <v>0</v>
      </c>
      <c r="AZ80" s="4">
        <v>0</v>
      </c>
      <c r="BA80" s="4">
        <v>0</v>
      </c>
      <c r="BB80" s="4">
        <v>0</v>
      </c>
      <c r="BC80" s="4">
        <v>0</v>
      </c>
      <c r="BD80" s="4">
        <v>0</v>
      </c>
      <c r="BE80" s="4">
        <v>0</v>
      </c>
      <c r="BF80" s="4">
        <v>0</v>
      </c>
      <c r="BG80" s="4">
        <v>0</v>
      </c>
      <c r="BH80" s="4"/>
      <c r="BI80" s="4"/>
      <c r="BJ80" s="4"/>
      <c r="BK80" s="4"/>
      <c r="BL80" s="4"/>
      <c r="BM80" s="4"/>
      <c r="BN80" s="4"/>
      <c r="BO80" s="4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</row>
    <row r="81" spans="1:100" ht="16.5" customHeight="1" x14ac:dyDescent="0.2">
      <c r="A81" s="15" t="s">
        <v>286</v>
      </c>
      <c r="B81" s="4">
        <v>2</v>
      </c>
      <c r="C81" s="4">
        <v>0</v>
      </c>
      <c r="D81" s="4">
        <v>0</v>
      </c>
      <c r="E81" s="23">
        <v>134</v>
      </c>
      <c r="F81" s="4">
        <v>4</v>
      </c>
      <c r="G81" s="4">
        <v>0</v>
      </c>
      <c r="H81" s="4">
        <v>0</v>
      </c>
      <c r="I81" s="4">
        <v>2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0</v>
      </c>
      <c r="T81" s="4">
        <v>0</v>
      </c>
      <c r="U81" s="4">
        <v>0</v>
      </c>
      <c r="V81" s="4">
        <v>0</v>
      </c>
      <c r="W81" s="4">
        <v>0</v>
      </c>
      <c r="X81" s="4">
        <v>0</v>
      </c>
      <c r="Y81" s="4">
        <v>0</v>
      </c>
      <c r="Z81" s="4">
        <v>0</v>
      </c>
      <c r="AA81" s="4">
        <v>0</v>
      </c>
      <c r="AB81" s="4">
        <v>0</v>
      </c>
      <c r="AC81" s="4">
        <v>0</v>
      </c>
      <c r="AD81" s="4">
        <v>0</v>
      </c>
      <c r="AE81" s="4">
        <v>0</v>
      </c>
      <c r="AF81" s="4">
        <v>0</v>
      </c>
      <c r="AG81" s="4">
        <v>0</v>
      </c>
      <c r="AH81" s="4"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 s="4">
        <v>0</v>
      </c>
      <c r="AP81" s="4">
        <v>0</v>
      </c>
      <c r="AQ81" s="4">
        <v>0</v>
      </c>
      <c r="AR81" s="4">
        <v>0</v>
      </c>
      <c r="AS81" s="4">
        <v>0</v>
      </c>
      <c r="AT81" s="4">
        <v>0</v>
      </c>
      <c r="AU81" s="4">
        <v>0</v>
      </c>
      <c r="AV81" s="4">
        <v>4</v>
      </c>
      <c r="AW81" s="4">
        <v>0</v>
      </c>
      <c r="AX81" s="4">
        <v>1</v>
      </c>
      <c r="AY81" s="4">
        <v>4</v>
      </c>
      <c r="AZ81" s="4">
        <v>0</v>
      </c>
      <c r="BA81" s="4">
        <v>0</v>
      </c>
      <c r="BB81" s="4">
        <v>0</v>
      </c>
      <c r="BC81" s="4">
        <v>0</v>
      </c>
      <c r="BD81" s="4">
        <v>0</v>
      </c>
      <c r="BE81" s="4">
        <v>1</v>
      </c>
      <c r="BF81" s="4">
        <v>0</v>
      </c>
      <c r="BG81" s="4">
        <v>0</v>
      </c>
      <c r="BH81" s="4"/>
      <c r="BI81" s="4"/>
      <c r="BJ81" s="4"/>
      <c r="BK81" s="4"/>
      <c r="BL81" s="4"/>
      <c r="BM81" s="4"/>
      <c r="BN81" s="4"/>
      <c r="BO81" s="4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</row>
    <row r="82" spans="1:100" ht="16.5" customHeight="1" x14ac:dyDescent="0.2">
      <c r="A82" s="15" t="s">
        <v>287</v>
      </c>
      <c r="B82" s="4">
        <v>0</v>
      </c>
      <c r="C82" s="4">
        <v>0</v>
      </c>
      <c r="D82" s="4">
        <v>0</v>
      </c>
      <c r="E82" s="23">
        <v>69</v>
      </c>
      <c r="F82" s="4">
        <v>2</v>
      </c>
      <c r="G82" s="4">
        <v>0</v>
      </c>
      <c r="H82" s="4">
        <v>0</v>
      </c>
      <c r="I82" s="4">
        <v>2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0</v>
      </c>
      <c r="T82" s="4">
        <v>0</v>
      </c>
      <c r="U82" s="4">
        <v>0</v>
      </c>
      <c r="V82" s="4">
        <v>1</v>
      </c>
      <c r="W82" s="4">
        <v>0</v>
      </c>
      <c r="X82" s="4">
        <v>0</v>
      </c>
      <c r="Y82" s="4">
        <v>0</v>
      </c>
      <c r="Z82" s="4">
        <v>1</v>
      </c>
      <c r="AA82" s="4">
        <v>0</v>
      </c>
      <c r="AB82" s="4">
        <v>0</v>
      </c>
      <c r="AC82" s="4">
        <v>0</v>
      </c>
      <c r="AD82" s="4">
        <v>0</v>
      </c>
      <c r="AE82" s="4">
        <v>0</v>
      </c>
      <c r="AF82" s="4">
        <v>0</v>
      </c>
      <c r="AG82" s="4">
        <v>0</v>
      </c>
      <c r="AH82" s="4"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 s="4">
        <v>0</v>
      </c>
      <c r="AP82" s="4">
        <v>0</v>
      </c>
      <c r="AQ82" s="4">
        <v>0</v>
      </c>
      <c r="AR82" s="4">
        <v>0</v>
      </c>
      <c r="AS82" s="4">
        <v>0</v>
      </c>
      <c r="AT82" s="4">
        <v>0</v>
      </c>
      <c r="AU82" s="4">
        <v>0</v>
      </c>
      <c r="AV82" s="4">
        <v>2</v>
      </c>
      <c r="AW82" s="4">
        <v>0</v>
      </c>
      <c r="AX82" s="4">
        <v>0</v>
      </c>
      <c r="AY82" s="4">
        <v>1</v>
      </c>
      <c r="AZ82" s="4">
        <v>0</v>
      </c>
      <c r="BA82" s="4">
        <v>0</v>
      </c>
      <c r="BB82" s="4">
        <v>0</v>
      </c>
      <c r="BC82" s="4">
        <v>0</v>
      </c>
      <c r="BD82" s="4">
        <v>2</v>
      </c>
      <c r="BE82" s="4">
        <v>0</v>
      </c>
      <c r="BF82" s="4">
        <v>0</v>
      </c>
      <c r="BG82" s="4">
        <v>0</v>
      </c>
      <c r="BH82" s="4"/>
      <c r="BI82" s="4"/>
      <c r="BJ82" s="4"/>
      <c r="BK82" s="4"/>
      <c r="BL82" s="4"/>
      <c r="BM82" s="4"/>
      <c r="BN82" s="4"/>
      <c r="BO82" s="4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</row>
    <row r="83" spans="1:100" ht="16.5" customHeight="1" x14ac:dyDescent="0.2">
      <c r="A83" s="15" t="s">
        <v>288</v>
      </c>
      <c r="B83" s="4">
        <v>2</v>
      </c>
      <c r="C83" s="4">
        <v>0</v>
      </c>
      <c r="D83" s="4">
        <v>0</v>
      </c>
      <c r="E83" s="23">
        <v>78</v>
      </c>
      <c r="F83" s="4">
        <v>0</v>
      </c>
      <c r="G83" s="4">
        <v>0</v>
      </c>
      <c r="H83" s="4">
        <v>0</v>
      </c>
      <c r="I83" s="4">
        <v>2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  <c r="Z83" s="4">
        <v>0</v>
      </c>
      <c r="AA83" s="4">
        <v>1</v>
      </c>
      <c r="AB83" s="4">
        <v>0</v>
      </c>
      <c r="AC83" s="4">
        <v>0</v>
      </c>
      <c r="AD83" s="4">
        <v>0</v>
      </c>
      <c r="AE83" s="4">
        <v>0</v>
      </c>
      <c r="AF83" s="4">
        <v>0</v>
      </c>
      <c r="AG83" s="4">
        <v>0</v>
      </c>
      <c r="AH83" s="4">
        <v>0</v>
      </c>
      <c r="AI83" s="4">
        <v>0</v>
      </c>
      <c r="AJ83" s="4">
        <v>0</v>
      </c>
      <c r="AK83" s="4">
        <v>0</v>
      </c>
      <c r="AL83" s="4">
        <v>0</v>
      </c>
      <c r="AM83" s="4">
        <v>0</v>
      </c>
      <c r="AN83" s="4">
        <v>0</v>
      </c>
      <c r="AO83" s="4">
        <v>0</v>
      </c>
      <c r="AP83" s="4">
        <v>0</v>
      </c>
      <c r="AQ83" s="4">
        <v>0</v>
      </c>
      <c r="AR83" s="4">
        <v>0</v>
      </c>
      <c r="AS83" s="4">
        <v>0</v>
      </c>
      <c r="AT83" s="4">
        <v>0</v>
      </c>
      <c r="AU83" s="4">
        <v>0</v>
      </c>
      <c r="AV83" s="4">
        <v>2</v>
      </c>
      <c r="AW83" s="4">
        <v>0</v>
      </c>
      <c r="AX83" s="4">
        <v>0</v>
      </c>
      <c r="AY83" s="4">
        <v>0</v>
      </c>
      <c r="AZ83" s="4">
        <v>0</v>
      </c>
      <c r="BA83" s="4">
        <v>0</v>
      </c>
      <c r="BB83" s="4">
        <v>0</v>
      </c>
      <c r="BC83" s="4">
        <v>0</v>
      </c>
      <c r="BD83" s="4">
        <v>0</v>
      </c>
      <c r="BE83" s="4">
        <v>0</v>
      </c>
      <c r="BF83" s="4">
        <v>0</v>
      </c>
      <c r="BG83" s="4">
        <v>0</v>
      </c>
      <c r="BH83" s="4"/>
      <c r="BI83" s="4"/>
      <c r="BJ83" s="4"/>
      <c r="BK83" s="4"/>
      <c r="BL83" s="4"/>
      <c r="BM83" s="4"/>
      <c r="BN83" s="4"/>
      <c r="BO83" s="4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</row>
    <row r="84" spans="1:100" ht="16.5" customHeight="1" x14ac:dyDescent="0.2">
      <c r="A84" s="15" t="s">
        <v>289</v>
      </c>
      <c r="B84" s="4">
        <v>50</v>
      </c>
      <c r="C84" s="4">
        <v>17</v>
      </c>
      <c r="D84" s="4">
        <v>26</v>
      </c>
      <c r="E84" s="23">
        <v>169</v>
      </c>
      <c r="F84" s="4">
        <v>85</v>
      </c>
      <c r="G84" s="4">
        <v>0</v>
      </c>
      <c r="H84" s="4">
        <v>0</v>
      </c>
      <c r="I84" s="4">
        <v>445</v>
      </c>
      <c r="J84" s="4">
        <v>142</v>
      </c>
      <c r="K84" s="4">
        <v>0</v>
      </c>
      <c r="L84" s="4">
        <v>145</v>
      </c>
      <c r="M84" s="4">
        <v>0</v>
      </c>
      <c r="N84" s="4">
        <v>0</v>
      </c>
      <c r="O84" s="4">
        <v>0</v>
      </c>
      <c r="P84" s="4">
        <v>0</v>
      </c>
      <c r="Q84" s="4">
        <v>65</v>
      </c>
      <c r="R84" s="4">
        <v>25</v>
      </c>
      <c r="S84" s="4">
        <v>17</v>
      </c>
      <c r="T84" s="4">
        <v>38</v>
      </c>
      <c r="U84" s="4">
        <v>0</v>
      </c>
      <c r="V84" s="4">
        <v>141</v>
      </c>
      <c r="W84" s="4">
        <v>0</v>
      </c>
      <c r="X84" s="4">
        <v>0</v>
      </c>
      <c r="Y84" s="4">
        <v>13</v>
      </c>
      <c r="Z84" s="4">
        <v>36</v>
      </c>
      <c r="AA84" s="4">
        <v>34</v>
      </c>
      <c r="AB84" s="4">
        <v>0</v>
      </c>
      <c r="AC84" s="4">
        <v>0</v>
      </c>
      <c r="AD84" s="4">
        <v>19</v>
      </c>
      <c r="AE84" s="4">
        <v>0</v>
      </c>
      <c r="AF84" s="4">
        <v>0</v>
      </c>
      <c r="AG84" s="4">
        <v>11</v>
      </c>
      <c r="AH84" s="4">
        <v>0</v>
      </c>
      <c r="AI84" s="4">
        <v>0</v>
      </c>
      <c r="AJ84" s="4">
        <v>0</v>
      </c>
      <c r="AK84" s="4">
        <v>0</v>
      </c>
      <c r="AL84" s="4">
        <v>12</v>
      </c>
      <c r="AM84" s="4">
        <v>0</v>
      </c>
      <c r="AN84" s="4">
        <v>0</v>
      </c>
      <c r="AO84" s="4">
        <v>0</v>
      </c>
      <c r="AP84" s="4">
        <v>41</v>
      </c>
      <c r="AQ84" s="4">
        <v>106</v>
      </c>
      <c r="AR84" s="4">
        <v>4</v>
      </c>
      <c r="AS84" s="4">
        <v>0</v>
      </c>
      <c r="AT84" s="4">
        <v>0</v>
      </c>
      <c r="AU84" s="4">
        <v>0</v>
      </c>
      <c r="AV84" s="4">
        <v>169</v>
      </c>
      <c r="AW84" s="4">
        <v>0</v>
      </c>
      <c r="AX84" s="4">
        <v>14</v>
      </c>
      <c r="AY84" s="4">
        <v>28</v>
      </c>
      <c r="AZ84" s="4">
        <v>0</v>
      </c>
      <c r="BA84" s="4">
        <v>0</v>
      </c>
      <c r="BB84" s="4">
        <v>0</v>
      </c>
      <c r="BC84" s="4">
        <v>0</v>
      </c>
      <c r="BD84" s="4">
        <v>18</v>
      </c>
      <c r="BE84" s="4">
        <v>13</v>
      </c>
      <c r="BF84" s="4">
        <v>0</v>
      </c>
      <c r="BG84" s="4">
        <v>0</v>
      </c>
      <c r="BH84" s="4"/>
      <c r="BI84" s="4"/>
      <c r="BJ84" s="4"/>
      <c r="BK84" s="4"/>
      <c r="BL84" s="4"/>
      <c r="BM84" s="4"/>
      <c r="BN84" s="4"/>
      <c r="BO84" s="4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</row>
    <row r="85" spans="1:100" ht="16.5" customHeight="1" x14ac:dyDescent="0.2">
      <c r="A85" s="15" t="s">
        <v>290</v>
      </c>
      <c r="B85" s="4">
        <v>3</v>
      </c>
      <c r="C85" s="4">
        <v>0</v>
      </c>
      <c r="D85" s="4">
        <v>5</v>
      </c>
      <c r="E85" s="23">
        <v>68</v>
      </c>
      <c r="F85" s="4">
        <v>40</v>
      </c>
      <c r="G85" s="4">
        <v>0</v>
      </c>
      <c r="H85" s="4">
        <v>7</v>
      </c>
      <c r="I85" s="4">
        <v>355</v>
      </c>
      <c r="J85" s="4">
        <v>58</v>
      </c>
      <c r="K85" s="4">
        <v>0</v>
      </c>
      <c r="L85" s="4">
        <v>65</v>
      </c>
      <c r="M85" s="4">
        <v>0</v>
      </c>
      <c r="N85" s="4">
        <v>0</v>
      </c>
      <c r="O85" s="4">
        <v>0</v>
      </c>
      <c r="P85" s="4">
        <v>0</v>
      </c>
      <c r="Q85" s="4">
        <v>50</v>
      </c>
      <c r="R85" s="4">
        <v>0</v>
      </c>
      <c r="S85" s="4">
        <v>0</v>
      </c>
      <c r="T85" s="4">
        <v>35</v>
      </c>
      <c r="U85" s="4">
        <v>0</v>
      </c>
      <c r="V85" s="4">
        <v>40</v>
      </c>
      <c r="W85" s="4">
        <v>0</v>
      </c>
      <c r="X85" s="4">
        <v>0</v>
      </c>
      <c r="Y85" s="4">
        <v>4</v>
      </c>
      <c r="Z85" s="4">
        <v>0</v>
      </c>
      <c r="AA85" s="4">
        <v>35</v>
      </c>
      <c r="AB85" s="4">
        <v>0</v>
      </c>
      <c r="AC85" s="4">
        <v>0</v>
      </c>
      <c r="AD85" s="4">
        <v>10</v>
      </c>
      <c r="AE85" s="4">
        <v>0</v>
      </c>
      <c r="AF85" s="4">
        <v>0</v>
      </c>
      <c r="AG85" s="4">
        <v>0</v>
      </c>
      <c r="AH85" s="4">
        <v>0</v>
      </c>
      <c r="AI85" s="4">
        <v>0</v>
      </c>
      <c r="AJ85" s="4">
        <v>0</v>
      </c>
      <c r="AK85" s="4">
        <v>0</v>
      </c>
      <c r="AL85" s="4">
        <v>16</v>
      </c>
      <c r="AM85" s="4">
        <v>0</v>
      </c>
      <c r="AN85" s="4">
        <v>0</v>
      </c>
      <c r="AO85" s="4">
        <v>0</v>
      </c>
      <c r="AP85" s="4">
        <v>81</v>
      </c>
      <c r="AQ85" s="4">
        <v>25</v>
      </c>
      <c r="AR85" s="4">
        <v>4</v>
      </c>
      <c r="AS85" s="4">
        <v>0</v>
      </c>
      <c r="AT85" s="4">
        <v>0</v>
      </c>
      <c r="AU85" s="4">
        <v>0</v>
      </c>
      <c r="AV85" s="4">
        <v>92</v>
      </c>
      <c r="AW85" s="4">
        <v>15</v>
      </c>
      <c r="AX85" s="4">
        <v>5</v>
      </c>
      <c r="AY85" s="4">
        <v>25</v>
      </c>
      <c r="AZ85" s="4">
        <v>0</v>
      </c>
      <c r="BA85" s="4">
        <v>0</v>
      </c>
      <c r="BB85" s="4">
        <v>0</v>
      </c>
      <c r="BC85" s="4">
        <v>0</v>
      </c>
      <c r="BD85" s="4">
        <v>11</v>
      </c>
      <c r="BE85" s="4">
        <v>10</v>
      </c>
      <c r="BF85" s="4">
        <v>0</v>
      </c>
      <c r="BG85" s="4">
        <v>0</v>
      </c>
      <c r="BH85" s="4"/>
      <c r="BI85" s="4"/>
      <c r="BJ85" s="4"/>
      <c r="BK85" s="4"/>
      <c r="BL85" s="4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</row>
    <row r="86" spans="1:100" ht="16.5" customHeight="1" x14ac:dyDescent="0.2">
      <c r="A86" s="15" t="s">
        <v>291</v>
      </c>
      <c r="B86" s="4">
        <v>42</v>
      </c>
      <c r="C86" s="4">
        <v>16</v>
      </c>
      <c r="D86" s="4">
        <v>0</v>
      </c>
      <c r="E86" s="23">
        <v>44</v>
      </c>
      <c r="F86" s="4">
        <v>61</v>
      </c>
      <c r="G86" s="4">
        <v>0</v>
      </c>
      <c r="H86" s="4">
        <v>1</v>
      </c>
      <c r="I86" s="4">
        <v>381</v>
      </c>
      <c r="J86" s="4">
        <v>78</v>
      </c>
      <c r="K86" s="4">
        <v>0</v>
      </c>
      <c r="L86" s="4">
        <v>77</v>
      </c>
      <c r="M86" s="4">
        <v>0</v>
      </c>
      <c r="N86" s="4">
        <v>0</v>
      </c>
      <c r="O86" s="4">
        <v>0</v>
      </c>
      <c r="P86" s="4">
        <v>0</v>
      </c>
      <c r="Q86" s="4">
        <v>82</v>
      </c>
      <c r="R86" s="4">
        <v>19</v>
      </c>
      <c r="S86" s="4">
        <v>2</v>
      </c>
      <c r="T86" s="4">
        <v>30</v>
      </c>
      <c r="U86" s="4">
        <v>10</v>
      </c>
      <c r="V86" s="4">
        <v>417</v>
      </c>
      <c r="W86" s="4">
        <v>0</v>
      </c>
      <c r="X86" s="4">
        <v>0</v>
      </c>
      <c r="Y86" s="4">
        <v>3</v>
      </c>
      <c r="Z86" s="4">
        <v>19</v>
      </c>
      <c r="AA86" s="4">
        <v>67</v>
      </c>
      <c r="AB86" s="4">
        <v>0</v>
      </c>
      <c r="AC86" s="4">
        <v>0</v>
      </c>
      <c r="AD86" s="4">
        <v>0</v>
      </c>
      <c r="AE86" s="4">
        <v>0</v>
      </c>
      <c r="AF86" s="4">
        <v>0</v>
      </c>
      <c r="AG86" s="4">
        <v>12</v>
      </c>
      <c r="AH86" s="4">
        <v>0</v>
      </c>
      <c r="AI86" s="4">
        <v>0</v>
      </c>
      <c r="AJ86" s="4">
        <v>0</v>
      </c>
      <c r="AK86" s="4">
        <v>0</v>
      </c>
      <c r="AL86" s="4">
        <v>9</v>
      </c>
      <c r="AM86" s="4">
        <v>0</v>
      </c>
      <c r="AN86" s="4">
        <v>0</v>
      </c>
      <c r="AO86" s="4">
        <v>0</v>
      </c>
      <c r="AP86" s="4">
        <v>54</v>
      </c>
      <c r="AQ86" s="4">
        <v>82</v>
      </c>
      <c r="AR86" s="4">
        <v>36</v>
      </c>
      <c r="AS86" s="4">
        <v>0</v>
      </c>
      <c r="AT86" s="4">
        <v>0</v>
      </c>
      <c r="AU86" s="4">
        <v>0</v>
      </c>
      <c r="AV86" s="4">
        <v>99</v>
      </c>
      <c r="AW86" s="4">
        <v>0</v>
      </c>
      <c r="AX86" s="4">
        <v>10</v>
      </c>
      <c r="AY86" s="4">
        <v>128</v>
      </c>
      <c r="AZ86" s="4">
        <v>0</v>
      </c>
      <c r="BA86" s="4">
        <v>0</v>
      </c>
      <c r="BB86" s="4">
        <v>0</v>
      </c>
      <c r="BC86" s="4">
        <v>0</v>
      </c>
      <c r="BD86" s="4">
        <v>8</v>
      </c>
      <c r="BE86" s="4">
        <v>10</v>
      </c>
      <c r="BF86" s="4">
        <v>0</v>
      </c>
      <c r="BG86" s="4">
        <v>0</v>
      </c>
      <c r="BH86" s="4"/>
      <c r="BI86" s="4"/>
      <c r="BJ86" s="4"/>
      <c r="BK86" s="4"/>
      <c r="BL86" s="4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</row>
    <row r="87" spans="1:100" ht="16.5" customHeight="1" x14ac:dyDescent="0.2">
      <c r="A87" s="15" t="s">
        <v>292</v>
      </c>
      <c r="B87" s="4">
        <v>1</v>
      </c>
      <c r="C87" s="4">
        <v>0</v>
      </c>
      <c r="D87" s="4">
        <v>0</v>
      </c>
      <c r="E87" s="23">
        <v>83</v>
      </c>
      <c r="F87" s="4">
        <v>2</v>
      </c>
      <c r="G87" s="4">
        <v>0</v>
      </c>
      <c r="H87" s="4">
        <v>0</v>
      </c>
      <c r="I87" s="4">
        <v>5</v>
      </c>
      <c r="J87" s="4">
        <v>3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  <c r="S87" s="4">
        <v>0</v>
      </c>
      <c r="T87" s="4">
        <v>2</v>
      </c>
      <c r="U87" s="4">
        <v>0</v>
      </c>
      <c r="V87" s="4">
        <v>0</v>
      </c>
      <c r="W87" s="4">
        <v>0</v>
      </c>
      <c r="X87" s="4">
        <v>0</v>
      </c>
      <c r="Y87" s="4">
        <v>0</v>
      </c>
      <c r="Z87" s="4">
        <v>0</v>
      </c>
      <c r="AA87" s="4">
        <v>2</v>
      </c>
      <c r="AB87" s="4">
        <v>0</v>
      </c>
      <c r="AC87" s="4">
        <v>0</v>
      </c>
      <c r="AD87" s="4">
        <v>0</v>
      </c>
      <c r="AE87" s="4">
        <v>0</v>
      </c>
      <c r="AF87" s="4">
        <v>0</v>
      </c>
      <c r="AG87" s="4">
        <v>0</v>
      </c>
      <c r="AH87" s="4">
        <v>0</v>
      </c>
      <c r="AI87" s="4">
        <v>0</v>
      </c>
      <c r="AJ87" s="4">
        <v>0</v>
      </c>
      <c r="AK87" s="4">
        <v>0</v>
      </c>
      <c r="AL87" s="4">
        <v>0</v>
      </c>
      <c r="AM87" s="4">
        <v>0</v>
      </c>
      <c r="AN87" s="4">
        <v>0</v>
      </c>
      <c r="AO87" s="4">
        <v>0</v>
      </c>
      <c r="AP87" s="4">
        <v>0</v>
      </c>
      <c r="AQ87" s="4">
        <v>0</v>
      </c>
      <c r="AR87" s="4">
        <v>0</v>
      </c>
      <c r="AS87" s="4">
        <v>0</v>
      </c>
      <c r="AT87" s="4">
        <v>0</v>
      </c>
      <c r="AU87" s="4">
        <v>0</v>
      </c>
      <c r="AV87" s="4">
        <v>7</v>
      </c>
      <c r="AW87" s="4">
        <v>0</v>
      </c>
      <c r="AX87" s="4">
        <v>0</v>
      </c>
      <c r="AY87" s="4">
        <v>1</v>
      </c>
      <c r="AZ87" s="4">
        <v>0</v>
      </c>
      <c r="BA87" s="4">
        <v>0</v>
      </c>
      <c r="BB87" s="4">
        <v>0</v>
      </c>
      <c r="BC87" s="4">
        <v>0</v>
      </c>
      <c r="BD87" s="4">
        <v>0</v>
      </c>
      <c r="BE87" s="4">
        <v>0</v>
      </c>
      <c r="BF87" s="4">
        <v>0</v>
      </c>
      <c r="BG87" s="4">
        <v>0</v>
      </c>
      <c r="BH87" s="4"/>
      <c r="BI87" s="4"/>
      <c r="BJ87" s="4"/>
      <c r="BK87" s="4"/>
      <c r="BL87" s="4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</row>
    <row r="88" spans="1:100" ht="16.5" customHeight="1" x14ac:dyDescent="0.2">
      <c r="A88" s="15" t="s">
        <v>293</v>
      </c>
      <c r="B88" s="4">
        <v>18</v>
      </c>
      <c r="C88" s="4">
        <v>0</v>
      </c>
      <c r="D88" s="4">
        <v>3</v>
      </c>
      <c r="E88" s="23">
        <v>91</v>
      </c>
      <c r="F88" s="4">
        <v>14</v>
      </c>
      <c r="G88" s="4">
        <v>0</v>
      </c>
      <c r="H88" s="4">
        <v>0</v>
      </c>
      <c r="I88" s="4">
        <v>38</v>
      </c>
      <c r="J88" s="4">
        <v>21</v>
      </c>
      <c r="K88" s="4">
        <v>0</v>
      </c>
      <c r="L88" s="4">
        <v>12</v>
      </c>
      <c r="M88" s="4">
        <v>0</v>
      </c>
      <c r="N88" s="4">
        <v>0</v>
      </c>
      <c r="O88" s="4">
        <v>0</v>
      </c>
      <c r="P88" s="4">
        <v>1</v>
      </c>
      <c r="Q88" s="4">
        <v>2</v>
      </c>
      <c r="R88" s="4">
        <v>11</v>
      </c>
      <c r="S88" s="4">
        <v>2</v>
      </c>
      <c r="T88" s="4">
        <v>1</v>
      </c>
      <c r="U88" s="4">
        <v>0</v>
      </c>
      <c r="V88" s="4">
        <v>8</v>
      </c>
      <c r="W88" s="4">
        <v>0</v>
      </c>
      <c r="X88" s="4">
        <v>0</v>
      </c>
      <c r="Y88" s="4">
        <v>0</v>
      </c>
      <c r="Z88" s="4">
        <v>8</v>
      </c>
      <c r="AA88" s="4">
        <v>28</v>
      </c>
      <c r="AB88" s="4">
        <v>0</v>
      </c>
      <c r="AC88" s="4">
        <v>0</v>
      </c>
      <c r="AD88" s="4">
        <v>1</v>
      </c>
      <c r="AE88" s="4">
        <v>0</v>
      </c>
      <c r="AF88" s="4">
        <v>0</v>
      </c>
      <c r="AG88" s="4">
        <v>4</v>
      </c>
      <c r="AH88" s="4">
        <v>0</v>
      </c>
      <c r="AI88" s="4">
        <v>0</v>
      </c>
      <c r="AJ88" s="4">
        <v>0</v>
      </c>
      <c r="AK88" s="4">
        <v>0</v>
      </c>
      <c r="AL88" s="4">
        <v>0</v>
      </c>
      <c r="AM88" s="4">
        <v>0</v>
      </c>
      <c r="AN88" s="4">
        <v>0</v>
      </c>
      <c r="AO88" s="4">
        <v>0</v>
      </c>
      <c r="AP88" s="4">
        <v>0</v>
      </c>
      <c r="AQ88" s="4">
        <v>14</v>
      </c>
      <c r="AR88" s="4">
        <v>0</v>
      </c>
      <c r="AS88" s="4">
        <v>0</v>
      </c>
      <c r="AT88" s="4">
        <v>0</v>
      </c>
      <c r="AU88" s="4">
        <v>0</v>
      </c>
      <c r="AV88" s="4">
        <v>13</v>
      </c>
      <c r="AW88" s="4">
        <v>0</v>
      </c>
      <c r="AX88" s="4">
        <v>0</v>
      </c>
      <c r="AY88" s="4">
        <v>6</v>
      </c>
      <c r="AZ88" s="4">
        <v>0</v>
      </c>
      <c r="BA88" s="4">
        <v>0</v>
      </c>
      <c r="BB88" s="4">
        <v>0</v>
      </c>
      <c r="BC88" s="4">
        <v>0</v>
      </c>
      <c r="BD88" s="4">
        <v>16</v>
      </c>
      <c r="BE88" s="4">
        <v>4</v>
      </c>
      <c r="BF88" s="4">
        <v>0</v>
      </c>
      <c r="BG88" s="4">
        <v>0</v>
      </c>
      <c r="BH88" s="4"/>
      <c r="BI88" s="4"/>
      <c r="BJ88" s="4"/>
      <c r="BK88" s="4"/>
      <c r="BL88" s="4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</row>
    <row r="89" spans="1:100" ht="16.5" customHeight="1" x14ac:dyDescent="0.2">
      <c r="A89" s="15" t="s">
        <v>294</v>
      </c>
      <c r="B89" s="4">
        <v>0</v>
      </c>
      <c r="C89" s="4">
        <v>0</v>
      </c>
      <c r="D89" s="4">
        <v>0</v>
      </c>
      <c r="E89" s="23">
        <v>57</v>
      </c>
      <c r="F89" s="4">
        <v>4</v>
      </c>
      <c r="G89" s="4">
        <v>0</v>
      </c>
      <c r="H89" s="4">
        <v>0</v>
      </c>
      <c r="I89" s="4">
        <v>13</v>
      </c>
      <c r="J89" s="4">
        <v>9</v>
      </c>
      <c r="K89" s="4">
        <v>0</v>
      </c>
      <c r="L89" s="4">
        <v>5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5</v>
      </c>
      <c r="S89" s="4">
        <v>0</v>
      </c>
      <c r="T89" s="4">
        <v>6</v>
      </c>
      <c r="U89" s="4">
        <v>0</v>
      </c>
      <c r="V89" s="4">
        <v>0</v>
      </c>
      <c r="W89" s="4">
        <v>0</v>
      </c>
      <c r="X89" s="4">
        <v>0</v>
      </c>
      <c r="Y89" s="4">
        <v>0</v>
      </c>
      <c r="Z89" s="4">
        <v>0</v>
      </c>
      <c r="AA89" s="4">
        <v>2</v>
      </c>
      <c r="AB89" s="4">
        <v>0</v>
      </c>
      <c r="AC89" s="4">
        <v>0</v>
      </c>
      <c r="AD89" s="4">
        <v>0</v>
      </c>
      <c r="AE89" s="4">
        <v>0</v>
      </c>
      <c r="AF89" s="4">
        <v>0</v>
      </c>
      <c r="AG89" s="4">
        <v>1</v>
      </c>
      <c r="AH89" s="4">
        <v>0</v>
      </c>
      <c r="AI89" s="4">
        <v>0</v>
      </c>
      <c r="AJ89" s="4">
        <v>0</v>
      </c>
      <c r="AK89" s="4">
        <v>0</v>
      </c>
      <c r="AL89" s="4">
        <v>0</v>
      </c>
      <c r="AM89" s="4">
        <v>0</v>
      </c>
      <c r="AN89" s="4">
        <v>0</v>
      </c>
      <c r="AO89" s="4">
        <v>0</v>
      </c>
      <c r="AP89" s="4">
        <v>0</v>
      </c>
      <c r="AQ89" s="4">
        <v>0</v>
      </c>
      <c r="AR89" s="4">
        <v>0</v>
      </c>
      <c r="AS89" s="4">
        <v>0</v>
      </c>
      <c r="AT89" s="4">
        <v>0</v>
      </c>
      <c r="AU89" s="4">
        <v>0</v>
      </c>
      <c r="AV89" s="4">
        <v>0</v>
      </c>
      <c r="AW89" s="4">
        <v>0</v>
      </c>
      <c r="AX89" s="4">
        <v>0</v>
      </c>
      <c r="AY89" s="4">
        <v>0</v>
      </c>
      <c r="AZ89" s="4">
        <v>0</v>
      </c>
      <c r="BA89" s="4">
        <v>0</v>
      </c>
      <c r="BB89" s="4">
        <v>0</v>
      </c>
      <c r="BC89" s="4">
        <v>0</v>
      </c>
      <c r="BD89" s="4">
        <v>0</v>
      </c>
      <c r="BE89" s="4">
        <v>0</v>
      </c>
      <c r="BF89" s="4">
        <v>0</v>
      </c>
      <c r="BG89" s="4">
        <v>0</v>
      </c>
      <c r="BH89" s="4"/>
      <c r="BI89" s="4"/>
      <c r="BJ89" s="4"/>
      <c r="BK89" s="4"/>
      <c r="BL89" s="4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</row>
    <row r="90" spans="1:100" ht="16.5" customHeight="1" x14ac:dyDescent="0.2">
      <c r="A90" s="15" t="s">
        <v>295</v>
      </c>
      <c r="B90" s="4">
        <v>4</v>
      </c>
      <c r="C90" s="4">
        <v>1</v>
      </c>
      <c r="D90" s="4">
        <v>0</v>
      </c>
      <c r="E90" s="23">
        <v>65</v>
      </c>
      <c r="F90" s="4">
        <v>2</v>
      </c>
      <c r="G90" s="4">
        <v>0</v>
      </c>
      <c r="H90" s="4">
        <v>0</v>
      </c>
      <c r="I90" s="4">
        <v>6</v>
      </c>
      <c r="J90" s="4">
        <v>3</v>
      </c>
      <c r="K90" s="4">
        <v>0</v>
      </c>
      <c r="L90" s="4">
        <v>1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1</v>
      </c>
      <c r="S90" s="4">
        <v>0</v>
      </c>
      <c r="T90" s="4">
        <v>0</v>
      </c>
      <c r="U90" s="4">
        <v>0</v>
      </c>
      <c r="V90" s="4">
        <v>0</v>
      </c>
      <c r="W90" s="4">
        <v>0</v>
      </c>
      <c r="X90" s="4">
        <v>0</v>
      </c>
      <c r="Y90" s="4">
        <v>0</v>
      </c>
      <c r="Z90" s="4">
        <v>0</v>
      </c>
      <c r="AA90" s="4">
        <v>1</v>
      </c>
      <c r="AB90" s="4">
        <v>0</v>
      </c>
      <c r="AC90" s="4">
        <v>0</v>
      </c>
      <c r="AD90" s="4">
        <v>0</v>
      </c>
      <c r="AE90" s="4">
        <v>0</v>
      </c>
      <c r="AF90" s="4">
        <v>0</v>
      </c>
      <c r="AG90" s="4">
        <v>0</v>
      </c>
      <c r="AH90" s="4">
        <v>0</v>
      </c>
      <c r="AI90" s="4">
        <v>0</v>
      </c>
      <c r="AJ90" s="4">
        <v>0</v>
      </c>
      <c r="AK90" s="4">
        <v>0</v>
      </c>
      <c r="AL90" s="4">
        <v>0</v>
      </c>
      <c r="AM90" s="4">
        <v>0</v>
      </c>
      <c r="AN90" s="4">
        <v>0</v>
      </c>
      <c r="AO90" s="4">
        <v>0</v>
      </c>
      <c r="AP90" s="4">
        <v>0</v>
      </c>
      <c r="AQ90" s="4">
        <v>2</v>
      </c>
      <c r="AR90" s="4">
        <v>0</v>
      </c>
      <c r="AS90" s="4">
        <v>0</v>
      </c>
      <c r="AT90" s="4">
        <v>0</v>
      </c>
      <c r="AU90" s="4">
        <v>0</v>
      </c>
      <c r="AV90" s="4">
        <v>1</v>
      </c>
      <c r="AW90" s="4">
        <v>0</v>
      </c>
      <c r="AX90" s="4">
        <v>0</v>
      </c>
      <c r="AY90" s="4">
        <v>3</v>
      </c>
      <c r="AZ90" s="4">
        <v>0</v>
      </c>
      <c r="BA90" s="4">
        <v>0</v>
      </c>
      <c r="BB90" s="4">
        <v>0</v>
      </c>
      <c r="BC90" s="4">
        <v>0</v>
      </c>
      <c r="BD90" s="4">
        <v>0</v>
      </c>
      <c r="BE90" s="4">
        <v>0</v>
      </c>
      <c r="BF90" s="4">
        <v>0</v>
      </c>
      <c r="BG90" s="4">
        <v>0</v>
      </c>
      <c r="BH90" s="4"/>
      <c r="BI90" s="4"/>
      <c r="BJ90" s="4"/>
      <c r="BK90" s="4"/>
      <c r="BL90" s="4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</row>
    <row r="91" spans="1:100" ht="16.5" customHeight="1" x14ac:dyDescent="0.2">
      <c r="A91" s="15" t="s">
        <v>296</v>
      </c>
      <c r="B91" s="4">
        <v>6</v>
      </c>
      <c r="C91" s="4">
        <v>0</v>
      </c>
      <c r="D91" s="4">
        <v>0</v>
      </c>
      <c r="E91" s="23">
        <v>107</v>
      </c>
      <c r="F91" s="4">
        <v>4</v>
      </c>
      <c r="G91" s="4">
        <v>0</v>
      </c>
      <c r="H91" s="4">
        <v>0</v>
      </c>
      <c r="I91" s="4">
        <v>84</v>
      </c>
      <c r="J91" s="4">
        <v>12</v>
      </c>
      <c r="K91" s="4">
        <v>0</v>
      </c>
      <c r="L91" s="4">
        <v>23</v>
      </c>
      <c r="M91" s="4">
        <v>0</v>
      </c>
      <c r="N91" s="4">
        <v>0</v>
      </c>
      <c r="O91" s="4">
        <v>0</v>
      </c>
      <c r="P91" s="4">
        <v>0</v>
      </c>
      <c r="Q91" s="4">
        <v>2</v>
      </c>
      <c r="R91" s="4">
        <v>0</v>
      </c>
      <c r="S91" s="4">
        <v>0</v>
      </c>
      <c r="T91" s="4">
        <v>1</v>
      </c>
      <c r="U91" s="4">
        <v>0</v>
      </c>
      <c r="V91" s="4">
        <v>4</v>
      </c>
      <c r="W91" s="4">
        <v>0</v>
      </c>
      <c r="X91" s="4">
        <v>0</v>
      </c>
      <c r="Y91" s="4">
        <v>3</v>
      </c>
      <c r="Z91" s="4">
        <v>1</v>
      </c>
      <c r="AA91" s="4">
        <v>3</v>
      </c>
      <c r="AB91" s="4">
        <v>0</v>
      </c>
      <c r="AC91" s="4">
        <v>0</v>
      </c>
      <c r="AD91" s="4">
        <v>0</v>
      </c>
      <c r="AE91" s="4">
        <v>0</v>
      </c>
      <c r="AF91" s="4">
        <v>0</v>
      </c>
      <c r="AG91" s="4">
        <v>0</v>
      </c>
      <c r="AH91" s="4">
        <v>0</v>
      </c>
      <c r="AI91" s="4">
        <v>0</v>
      </c>
      <c r="AJ91" s="4">
        <v>0</v>
      </c>
      <c r="AK91" s="4">
        <v>0</v>
      </c>
      <c r="AL91" s="4">
        <v>3</v>
      </c>
      <c r="AM91" s="4">
        <v>0</v>
      </c>
      <c r="AN91" s="4">
        <v>0</v>
      </c>
      <c r="AO91" s="4">
        <v>0</v>
      </c>
      <c r="AP91" s="4">
        <v>0</v>
      </c>
      <c r="AQ91" s="4">
        <v>1</v>
      </c>
      <c r="AR91" s="4">
        <v>0</v>
      </c>
      <c r="AS91" s="4">
        <v>0</v>
      </c>
      <c r="AT91" s="4">
        <v>0</v>
      </c>
      <c r="AU91" s="4">
        <v>0</v>
      </c>
      <c r="AV91" s="4">
        <v>41</v>
      </c>
      <c r="AW91" s="4">
        <v>1</v>
      </c>
      <c r="AX91" s="4">
        <v>12</v>
      </c>
      <c r="AY91" s="4">
        <v>4</v>
      </c>
      <c r="AZ91" s="4">
        <v>0</v>
      </c>
      <c r="BA91" s="4">
        <v>0</v>
      </c>
      <c r="BB91" s="4">
        <v>0</v>
      </c>
      <c r="BC91" s="4">
        <v>0</v>
      </c>
      <c r="BD91" s="4">
        <v>0</v>
      </c>
      <c r="BE91" s="4">
        <v>0</v>
      </c>
      <c r="BF91" s="4">
        <v>0</v>
      </c>
      <c r="BG91" s="4">
        <v>0</v>
      </c>
      <c r="BH91" s="4"/>
      <c r="BI91" s="4"/>
      <c r="BJ91" s="4"/>
      <c r="BK91" s="4"/>
      <c r="BL91" s="4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</row>
    <row r="92" spans="1:100" ht="16.5" customHeight="1" x14ac:dyDescent="0.2">
      <c r="A92" s="15" t="s">
        <v>297</v>
      </c>
      <c r="B92" s="4">
        <v>7</v>
      </c>
      <c r="C92" s="4">
        <v>0</v>
      </c>
      <c r="D92" s="4">
        <v>0</v>
      </c>
      <c r="E92" s="23">
        <v>39</v>
      </c>
      <c r="F92" s="4">
        <v>1</v>
      </c>
      <c r="G92" s="4">
        <v>0</v>
      </c>
      <c r="H92" s="4">
        <v>0</v>
      </c>
      <c r="I92" s="4">
        <v>49</v>
      </c>
      <c r="J92" s="4">
        <v>2</v>
      </c>
      <c r="K92" s="4">
        <v>0</v>
      </c>
      <c r="L92" s="4">
        <v>9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1</v>
      </c>
      <c r="S92" s="4">
        <v>0</v>
      </c>
      <c r="T92" s="4">
        <v>2</v>
      </c>
      <c r="U92" s="4">
        <v>0</v>
      </c>
      <c r="V92" s="4">
        <v>2</v>
      </c>
      <c r="W92" s="4">
        <v>0</v>
      </c>
      <c r="X92" s="4">
        <v>0</v>
      </c>
      <c r="Y92" s="4">
        <v>2</v>
      </c>
      <c r="Z92" s="4">
        <v>0</v>
      </c>
      <c r="AA92" s="4">
        <v>2</v>
      </c>
      <c r="AB92" s="4">
        <v>0</v>
      </c>
      <c r="AC92" s="4">
        <v>0</v>
      </c>
      <c r="AD92" s="4">
        <v>1</v>
      </c>
      <c r="AE92" s="4">
        <v>0</v>
      </c>
      <c r="AF92" s="4">
        <v>0</v>
      </c>
      <c r="AG92" s="4">
        <v>0</v>
      </c>
      <c r="AH92" s="4">
        <v>0</v>
      </c>
      <c r="AI92" s="4">
        <v>0</v>
      </c>
      <c r="AJ92" s="4">
        <v>0</v>
      </c>
      <c r="AK92" s="4">
        <v>0</v>
      </c>
      <c r="AL92" s="4">
        <v>0</v>
      </c>
      <c r="AM92" s="4">
        <v>0</v>
      </c>
      <c r="AN92" s="4">
        <v>0</v>
      </c>
      <c r="AO92" s="4">
        <v>0</v>
      </c>
      <c r="AP92" s="4">
        <v>0</v>
      </c>
      <c r="AQ92" s="4">
        <v>2</v>
      </c>
      <c r="AR92" s="4">
        <v>0</v>
      </c>
      <c r="AS92" s="4">
        <v>0</v>
      </c>
      <c r="AT92" s="4">
        <v>0</v>
      </c>
      <c r="AU92" s="4">
        <v>0</v>
      </c>
      <c r="AV92" s="4">
        <v>21</v>
      </c>
      <c r="AW92" s="4">
        <v>16</v>
      </c>
      <c r="AX92" s="4">
        <v>2</v>
      </c>
      <c r="AY92" s="4">
        <v>4</v>
      </c>
      <c r="AZ92" s="4">
        <v>0</v>
      </c>
      <c r="BA92" s="4">
        <v>1</v>
      </c>
      <c r="BB92" s="4">
        <v>0</v>
      </c>
      <c r="BC92" s="4">
        <v>0</v>
      </c>
      <c r="BD92" s="4">
        <v>1</v>
      </c>
      <c r="BE92" s="4">
        <v>1</v>
      </c>
      <c r="BF92" s="4">
        <v>0</v>
      </c>
      <c r="BG92" s="4">
        <v>0</v>
      </c>
      <c r="BH92" s="4"/>
      <c r="BI92" s="4"/>
      <c r="BJ92" s="4"/>
      <c r="BK92" s="4"/>
      <c r="BL92" s="4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</row>
    <row r="93" spans="1:100" ht="16.5" customHeight="1" x14ac:dyDescent="0.2">
      <c r="A93" s="15" t="s">
        <v>298</v>
      </c>
      <c r="B93" s="4">
        <v>1</v>
      </c>
      <c r="C93" s="4">
        <v>2</v>
      </c>
      <c r="D93" s="4">
        <v>0</v>
      </c>
      <c r="E93" s="23">
        <v>105</v>
      </c>
      <c r="F93" s="4">
        <v>0</v>
      </c>
      <c r="G93" s="4">
        <v>0</v>
      </c>
      <c r="H93" s="4">
        <v>0</v>
      </c>
      <c r="I93" s="4">
        <v>3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1</v>
      </c>
      <c r="Z93" s="4">
        <v>0</v>
      </c>
      <c r="AA93" s="4">
        <v>0</v>
      </c>
      <c r="AB93" s="4">
        <v>0</v>
      </c>
      <c r="AC93" s="4">
        <v>0</v>
      </c>
      <c r="AD93" s="4">
        <v>0</v>
      </c>
      <c r="AE93" s="4">
        <v>0</v>
      </c>
      <c r="AF93" s="4">
        <v>0</v>
      </c>
      <c r="AG93" s="4">
        <v>0</v>
      </c>
      <c r="AH93" s="4">
        <v>0</v>
      </c>
      <c r="AI93" s="4">
        <v>0</v>
      </c>
      <c r="AJ93" s="4">
        <v>0</v>
      </c>
      <c r="AK93" s="4">
        <v>0</v>
      </c>
      <c r="AL93" s="4">
        <v>0</v>
      </c>
      <c r="AM93" s="4">
        <v>0</v>
      </c>
      <c r="AN93" s="4">
        <v>0</v>
      </c>
      <c r="AO93" s="4">
        <v>0</v>
      </c>
      <c r="AP93" s="4">
        <v>0</v>
      </c>
      <c r="AQ93" s="4">
        <v>0</v>
      </c>
      <c r="AR93" s="4">
        <v>0</v>
      </c>
      <c r="AS93" s="4">
        <v>0</v>
      </c>
      <c r="AT93" s="4">
        <v>0</v>
      </c>
      <c r="AU93" s="4">
        <v>0</v>
      </c>
      <c r="AV93" s="4">
        <v>3</v>
      </c>
      <c r="AW93" s="4">
        <v>0</v>
      </c>
      <c r="AX93" s="4">
        <v>0</v>
      </c>
      <c r="AY93" s="4">
        <v>0</v>
      </c>
      <c r="AZ93" s="4">
        <v>0</v>
      </c>
      <c r="BA93" s="4">
        <v>0</v>
      </c>
      <c r="BB93" s="4">
        <v>0</v>
      </c>
      <c r="BC93" s="4">
        <v>0</v>
      </c>
      <c r="BD93" s="4">
        <v>0</v>
      </c>
      <c r="BE93" s="4">
        <v>0</v>
      </c>
      <c r="BF93" s="4">
        <v>0</v>
      </c>
      <c r="BG93" s="4">
        <v>0</v>
      </c>
      <c r="BH93" s="4"/>
      <c r="BI93" s="4"/>
      <c r="BJ93" s="4"/>
      <c r="BK93" s="4"/>
      <c r="BL93" s="4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</row>
    <row r="94" spans="1:100" ht="16.5" customHeight="1" x14ac:dyDescent="0.2">
      <c r="A94" s="15" t="s">
        <v>299</v>
      </c>
      <c r="B94" s="4">
        <v>0</v>
      </c>
      <c r="C94" s="4">
        <v>3</v>
      </c>
      <c r="D94" s="4">
        <v>0</v>
      </c>
      <c r="E94" s="23">
        <v>37</v>
      </c>
      <c r="F94" s="4">
        <v>0</v>
      </c>
      <c r="G94" s="4">
        <v>0</v>
      </c>
      <c r="H94" s="4">
        <v>0</v>
      </c>
      <c r="I94" s="4">
        <v>1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0</v>
      </c>
      <c r="W94" s="4">
        <v>0</v>
      </c>
      <c r="X94" s="4">
        <v>0</v>
      </c>
      <c r="Y94" s="4">
        <v>0</v>
      </c>
      <c r="Z94" s="4">
        <v>0</v>
      </c>
      <c r="AA94" s="4">
        <v>0</v>
      </c>
      <c r="AB94" s="4">
        <v>0</v>
      </c>
      <c r="AC94" s="4">
        <v>0</v>
      </c>
      <c r="AD94" s="4">
        <v>0</v>
      </c>
      <c r="AE94" s="4">
        <v>0</v>
      </c>
      <c r="AF94" s="4">
        <v>0</v>
      </c>
      <c r="AG94" s="4">
        <v>0</v>
      </c>
      <c r="AH94" s="4">
        <v>0</v>
      </c>
      <c r="AI94" s="4">
        <v>0</v>
      </c>
      <c r="AJ94" s="4">
        <v>0</v>
      </c>
      <c r="AK94" s="4">
        <v>0</v>
      </c>
      <c r="AL94" s="4">
        <v>0</v>
      </c>
      <c r="AM94" s="4">
        <v>0</v>
      </c>
      <c r="AN94" s="4">
        <v>0</v>
      </c>
      <c r="AO94" s="4">
        <v>0</v>
      </c>
      <c r="AP94" s="4">
        <v>0</v>
      </c>
      <c r="AQ94" s="4">
        <v>0</v>
      </c>
      <c r="AR94" s="4">
        <v>0</v>
      </c>
      <c r="AS94" s="4">
        <v>0</v>
      </c>
      <c r="AT94" s="4">
        <v>0</v>
      </c>
      <c r="AU94" s="4">
        <v>0</v>
      </c>
      <c r="AV94" s="4">
        <v>2</v>
      </c>
      <c r="AW94" s="4">
        <v>0</v>
      </c>
      <c r="AX94" s="4">
        <v>0</v>
      </c>
      <c r="AY94" s="4">
        <v>0</v>
      </c>
      <c r="AZ94" s="4">
        <v>0</v>
      </c>
      <c r="BA94" s="4">
        <v>0</v>
      </c>
      <c r="BB94" s="4">
        <v>0</v>
      </c>
      <c r="BC94" s="4">
        <v>0</v>
      </c>
      <c r="BD94" s="4">
        <v>0</v>
      </c>
      <c r="BE94" s="4">
        <v>0</v>
      </c>
      <c r="BF94" s="4">
        <v>0</v>
      </c>
      <c r="BG94" s="4">
        <v>0</v>
      </c>
      <c r="BH94" s="4"/>
      <c r="BI94" s="4"/>
      <c r="BJ94" s="4"/>
      <c r="BK94" s="4"/>
      <c r="BL94" s="4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</row>
    <row r="95" spans="1:100" ht="16.5" customHeight="1" x14ac:dyDescent="0.2">
      <c r="A95" s="15" t="s">
        <v>300</v>
      </c>
      <c r="B95" s="4">
        <v>0</v>
      </c>
      <c r="C95" s="4">
        <v>5</v>
      </c>
      <c r="D95" s="4">
        <v>0</v>
      </c>
      <c r="E95" s="23">
        <v>36</v>
      </c>
      <c r="F95" s="4">
        <v>0</v>
      </c>
      <c r="G95" s="4">
        <v>0</v>
      </c>
      <c r="H95" s="4">
        <v>0</v>
      </c>
      <c r="I95" s="4">
        <v>1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  <c r="S95" s="4">
        <v>0</v>
      </c>
      <c r="T95" s="4">
        <v>0</v>
      </c>
      <c r="U95" s="4">
        <v>0</v>
      </c>
      <c r="V95" s="4">
        <v>0</v>
      </c>
      <c r="W95" s="4">
        <v>0</v>
      </c>
      <c r="X95" s="4">
        <v>0</v>
      </c>
      <c r="Y95" s="4">
        <v>0</v>
      </c>
      <c r="Z95" s="4">
        <v>0</v>
      </c>
      <c r="AA95" s="4">
        <v>0</v>
      </c>
      <c r="AB95" s="4">
        <v>0</v>
      </c>
      <c r="AC95" s="4">
        <v>0</v>
      </c>
      <c r="AD95" s="4">
        <v>0</v>
      </c>
      <c r="AE95" s="4">
        <v>0</v>
      </c>
      <c r="AF95" s="4">
        <v>0</v>
      </c>
      <c r="AG95" s="4">
        <v>0</v>
      </c>
      <c r="AH95" s="4">
        <v>0</v>
      </c>
      <c r="AI95" s="4">
        <v>0</v>
      </c>
      <c r="AJ95" s="4">
        <v>0</v>
      </c>
      <c r="AK95" s="4">
        <v>0</v>
      </c>
      <c r="AL95" s="4">
        <v>0</v>
      </c>
      <c r="AM95" s="4">
        <v>0</v>
      </c>
      <c r="AN95" s="4">
        <v>0</v>
      </c>
      <c r="AO95" s="4">
        <v>0</v>
      </c>
      <c r="AP95" s="4">
        <v>0</v>
      </c>
      <c r="AQ95" s="4">
        <v>0</v>
      </c>
      <c r="AR95" s="4">
        <v>0</v>
      </c>
      <c r="AS95" s="4">
        <v>0</v>
      </c>
      <c r="AT95" s="4">
        <v>0</v>
      </c>
      <c r="AU95" s="4">
        <v>0</v>
      </c>
      <c r="AV95" s="4">
        <v>2</v>
      </c>
      <c r="AW95" s="4">
        <v>0</v>
      </c>
      <c r="AX95" s="4">
        <v>0</v>
      </c>
      <c r="AY95" s="4">
        <v>0</v>
      </c>
      <c r="AZ95" s="4">
        <v>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G95" s="4">
        <v>0</v>
      </c>
      <c r="BH95" s="4"/>
      <c r="BI95" s="4"/>
      <c r="BJ95" s="4"/>
      <c r="BK95" s="4"/>
      <c r="BL95" s="4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</row>
    <row r="96" spans="1:100" ht="16.5" customHeight="1" x14ac:dyDescent="0.2">
      <c r="A96" s="15" t="s">
        <v>301</v>
      </c>
      <c r="B96" s="4">
        <v>1</v>
      </c>
      <c r="C96" s="4">
        <v>0</v>
      </c>
      <c r="D96" s="4">
        <v>0</v>
      </c>
      <c r="E96" s="23">
        <v>35</v>
      </c>
      <c r="F96" s="4">
        <v>0</v>
      </c>
      <c r="G96" s="4">
        <v>0</v>
      </c>
      <c r="H96" s="4">
        <v>0</v>
      </c>
      <c r="I96" s="4">
        <v>1</v>
      </c>
      <c r="J96" s="4">
        <v>2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  <c r="S96" s="4">
        <v>0</v>
      </c>
      <c r="T96" s="4">
        <v>0</v>
      </c>
      <c r="U96" s="4">
        <v>0</v>
      </c>
      <c r="V96" s="4">
        <v>0</v>
      </c>
      <c r="W96" s="4">
        <v>0</v>
      </c>
      <c r="X96" s="4">
        <v>0</v>
      </c>
      <c r="Y96" s="4">
        <v>0</v>
      </c>
      <c r="Z96" s="4">
        <v>0</v>
      </c>
      <c r="AA96" s="4">
        <v>0</v>
      </c>
      <c r="AB96" s="4">
        <v>0</v>
      </c>
      <c r="AC96" s="4">
        <v>0</v>
      </c>
      <c r="AD96" s="4">
        <v>0</v>
      </c>
      <c r="AE96" s="4">
        <v>0</v>
      </c>
      <c r="AF96" s="4">
        <v>0</v>
      </c>
      <c r="AG96" s="4">
        <v>0</v>
      </c>
      <c r="AH96" s="4">
        <v>0</v>
      </c>
      <c r="AI96" s="4">
        <v>0</v>
      </c>
      <c r="AJ96" s="4">
        <v>0</v>
      </c>
      <c r="AK96" s="4">
        <v>0</v>
      </c>
      <c r="AL96" s="4">
        <v>0</v>
      </c>
      <c r="AM96" s="4">
        <v>0</v>
      </c>
      <c r="AN96" s="4">
        <v>0</v>
      </c>
      <c r="AO96" s="4">
        <v>0</v>
      </c>
      <c r="AP96" s="4">
        <v>1</v>
      </c>
      <c r="AQ96" s="4">
        <v>0</v>
      </c>
      <c r="AR96" s="4">
        <v>0</v>
      </c>
      <c r="AS96" s="4">
        <v>0</v>
      </c>
      <c r="AT96" s="4">
        <v>0</v>
      </c>
      <c r="AU96" s="4">
        <v>0</v>
      </c>
      <c r="AV96" s="4">
        <v>1</v>
      </c>
      <c r="AW96" s="4">
        <v>0</v>
      </c>
      <c r="AX96" s="4">
        <v>0</v>
      </c>
      <c r="AY96" s="4">
        <v>0</v>
      </c>
      <c r="AZ96" s="4">
        <v>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G96" s="4">
        <v>0</v>
      </c>
      <c r="BH96" s="4"/>
      <c r="BI96" s="4"/>
      <c r="BJ96" s="4"/>
      <c r="BK96" s="4"/>
      <c r="BL96" s="4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</row>
    <row r="97" spans="1:100" ht="16.5" customHeight="1" x14ac:dyDescent="0.2">
      <c r="A97" s="15" t="s">
        <v>302</v>
      </c>
      <c r="B97" s="4">
        <v>0</v>
      </c>
      <c r="C97" s="4">
        <v>1</v>
      </c>
      <c r="D97" s="4">
        <v>0</v>
      </c>
      <c r="E97" s="23">
        <v>39</v>
      </c>
      <c r="F97" s="4">
        <v>0</v>
      </c>
      <c r="G97" s="4">
        <v>0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  <c r="S97" s="4">
        <v>0</v>
      </c>
      <c r="T97" s="4">
        <v>0</v>
      </c>
      <c r="U97" s="4">
        <v>0</v>
      </c>
      <c r="V97" s="4">
        <v>0</v>
      </c>
      <c r="W97" s="4">
        <v>0</v>
      </c>
      <c r="X97" s="4">
        <v>0</v>
      </c>
      <c r="Y97" s="4">
        <v>0</v>
      </c>
      <c r="Z97" s="4">
        <v>0</v>
      </c>
      <c r="AA97" s="4">
        <v>1</v>
      </c>
      <c r="AB97" s="4">
        <v>0</v>
      </c>
      <c r="AC97" s="4">
        <v>0</v>
      </c>
      <c r="AD97" s="4">
        <v>0</v>
      </c>
      <c r="AE97" s="4">
        <v>0</v>
      </c>
      <c r="AF97" s="4">
        <v>0</v>
      </c>
      <c r="AG97" s="4">
        <v>0</v>
      </c>
      <c r="AH97" s="4">
        <v>0</v>
      </c>
      <c r="AI97" s="4">
        <v>0</v>
      </c>
      <c r="AJ97" s="4">
        <v>0</v>
      </c>
      <c r="AK97" s="4">
        <v>0</v>
      </c>
      <c r="AL97" s="4">
        <v>0</v>
      </c>
      <c r="AM97" s="4">
        <v>0</v>
      </c>
      <c r="AN97" s="4">
        <v>0</v>
      </c>
      <c r="AO97" s="4">
        <v>0</v>
      </c>
      <c r="AP97" s="4">
        <v>0</v>
      </c>
      <c r="AQ97" s="4">
        <v>0</v>
      </c>
      <c r="AR97" s="4">
        <v>0</v>
      </c>
      <c r="AS97" s="4">
        <v>0</v>
      </c>
      <c r="AT97" s="4">
        <v>0</v>
      </c>
      <c r="AU97" s="4">
        <v>0</v>
      </c>
      <c r="AV97" s="4">
        <v>1</v>
      </c>
      <c r="AW97" s="4">
        <v>0</v>
      </c>
      <c r="AX97" s="4">
        <v>0</v>
      </c>
      <c r="AY97" s="4">
        <v>1</v>
      </c>
      <c r="AZ97" s="4">
        <v>0</v>
      </c>
      <c r="BA97" s="4">
        <v>0</v>
      </c>
      <c r="BB97" s="4">
        <v>0</v>
      </c>
      <c r="BC97" s="4">
        <v>0</v>
      </c>
      <c r="BD97" s="4">
        <v>1</v>
      </c>
      <c r="BE97" s="4">
        <v>0</v>
      </c>
      <c r="BF97" s="4">
        <v>2</v>
      </c>
      <c r="BG97" s="4">
        <v>0</v>
      </c>
      <c r="BH97" s="4"/>
      <c r="BI97" s="4"/>
      <c r="BJ97" s="4"/>
      <c r="BK97" s="4"/>
      <c r="BL97" s="4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</row>
    <row r="98" spans="1:100" ht="16.5" customHeight="1" x14ac:dyDescent="0.2">
      <c r="A98" s="15" t="s">
        <v>303</v>
      </c>
      <c r="B98" s="4">
        <v>0</v>
      </c>
      <c r="C98" s="4">
        <v>0</v>
      </c>
      <c r="D98" s="4">
        <v>0</v>
      </c>
      <c r="E98" s="23">
        <v>50</v>
      </c>
      <c r="F98" s="4">
        <v>0</v>
      </c>
      <c r="G98" s="4">
        <v>0</v>
      </c>
      <c r="H98" s="4">
        <v>0</v>
      </c>
      <c r="I98" s="23">
        <v>1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  <c r="S98" s="4">
        <v>0</v>
      </c>
      <c r="T98" s="4">
        <v>0</v>
      </c>
      <c r="U98" s="4">
        <v>0</v>
      </c>
      <c r="V98" s="4">
        <v>0</v>
      </c>
      <c r="W98" s="4">
        <v>0</v>
      </c>
      <c r="X98" s="4">
        <v>0</v>
      </c>
      <c r="Y98" s="4">
        <v>0</v>
      </c>
      <c r="Z98" s="4">
        <v>0</v>
      </c>
      <c r="AA98" s="4">
        <v>0</v>
      </c>
      <c r="AB98" s="4">
        <v>0</v>
      </c>
      <c r="AC98" s="4">
        <v>0</v>
      </c>
      <c r="AD98" s="4">
        <v>0</v>
      </c>
      <c r="AE98" s="4">
        <v>0</v>
      </c>
      <c r="AF98" s="4">
        <v>0</v>
      </c>
      <c r="AG98" s="4">
        <v>0</v>
      </c>
      <c r="AH98" s="4">
        <v>0</v>
      </c>
      <c r="AI98" s="4">
        <v>0</v>
      </c>
      <c r="AJ98" s="4">
        <v>0</v>
      </c>
      <c r="AK98" s="4">
        <v>0</v>
      </c>
      <c r="AL98" s="4">
        <v>0</v>
      </c>
      <c r="AM98" s="4">
        <v>0</v>
      </c>
      <c r="AN98" s="4">
        <v>0</v>
      </c>
      <c r="AO98" s="4">
        <v>0</v>
      </c>
      <c r="AP98" s="4">
        <v>0</v>
      </c>
      <c r="AQ98" s="4">
        <v>0</v>
      </c>
      <c r="AR98" s="4">
        <v>0</v>
      </c>
      <c r="AS98" s="4">
        <v>0</v>
      </c>
      <c r="AT98" s="4">
        <v>0</v>
      </c>
      <c r="AU98" s="4">
        <v>0</v>
      </c>
      <c r="AV98" s="4">
        <v>0</v>
      </c>
      <c r="AW98" s="4">
        <v>0</v>
      </c>
      <c r="AX98" s="4">
        <v>0</v>
      </c>
      <c r="AY98" s="4">
        <v>0</v>
      </c>
      <c r="AZ98" s="4">
        <v>0</v>
      </c>
      <c r="BA98" s="4">
        <v>0</v>
      </c>
      <c r="BB98" s="4">
        <v>0</v>
      </c>
      <c r="BC98" s="4">
        <v>0</v>
      </c>
      <c r="BD98" s="4">
        <v>0</v>
      </c>
      <c r="BE98" s="4">
        <v>0</v>
      </c>
      <c r="BF98" s="4">
        <v>0</v>
      </c>
      <c r="BG98" s="4">
        <v>0</v>
      </c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</row>
    <row r="99" spans="1:100" ht="16.5" customHeight="1" x14ac:dyDescent="0.2">
      <c r="A99" s="3"/>
      <c r="B99" s="4"/>
      <c r="C99" s="4"/>
      <c r="D99" s="4"/>
      <c r="E99" s="23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  <c r="AB99" s="4"/>
      <c r="AC99" s="4"/>
      <c r="AD99" s="4"/>
      <c r="AE99" s="4"/>
      <c r="AF99" s="4"/>
      <c r="AG99" s="4"/>
      <c r="AH99" s="4"/>
      <c r="AI99" s="4"/>
      <c r="AJ99" s="4"/>
      <c r="AK99" s="4"/>
      <c r="AL99" s="4"/>
      <c r="AM99" s="4"/>
      <c r="AN99" s="4"/>
      <c r="AO99" s="4"/>
      <c r="AP99" s="4"/>
      <c r="AQ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4"/>
      <c r="BD99" s="4"/>
      <c r="BE99" s="4"/>
      <c r="BF99" s="4"/>
      <c r="BG99" s="4"/>
      <c r="BH99" s="4"/>
      <c r="BI99" s="4"/>
      <c r="BJ99" s="4"/>
      <c r="BK99" s="4"/>
      <c r="BL99" s="4"/>
      <c r="BM99" s="4"/>
      <c r="BN99" s="4"/>
      <c r="BO99" s="4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</row>
    <row r="100" spans="1:100" ht="16.5" customHeight="1" x14ac:dyDescent="0.2">
      <c r="A100" s="3"/>
      <c r="B100" s="4"/>
      <c r="C100" s="4"/>
      <c r="D100" s="4"/>
      <c r="E100" s="23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  <c r="AB100" s="4"/>
      <c r="AC100" s="4"/>
      <c r="AD100" s="4"/>
      <c r="AE100" s="4"/>
      <c r="AF100" s="4"/>
      <c r="AG100" s="4"/>
      <c r="AH100" s="4"/>
      <c r="AI100" s="4"/>
      <c r="AJ100" s="4"/>
      <c r="AK100" s="4"/>
      <c r="AL100" s="4"/>
      <c r="AM100" s="4"/>
      <c r="AN100" s="4"/>
      <c r="AO100" s="4"/>
      <c r="AP100" s="4"/>
      <c r="AQ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4"/>
      <c r="BD100" s="4"/>
      <c r="BE100" s="4"/>
      <c r="BF100" s="4"/>
      <c r="BG100" s="4"/>
      <c r="BH100" s="4"/>
      <c r="BI100" s="4"/>
      <c r="BJ100" s="4"/>
      <c r="BK100" s="4"/>
      <c r="BL100" s="4"/>
      <c r="BM100" s="4"/>
      <c r="BN100" s="4"/>
      <c r="BO100" s="4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</row>
    <row r="101" spans="1:100" ht="16.5" customHeight="1" x14ac:dyDescent="0.2">
      <c r="A101" s="3"/>
      <c r="B101" s="4"/>
      <c r="C101" s="4"/>
      <c r="D101" s="4"/>
      <c r="E101" s="23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4"/>
      <c r="BD101" s="4"/>
      <c r="BE101" s="4"/>
      <c r="BF101" s="4"/>
      <c r="BG101" s="4"/>
      <c r="BH101" s="4"/>
      <c r="BI101" s="4"/>
      <c r="BJ101" s="4"/>
      <c r="BK101" s="4"/>
      <c r="BL101" s="4"/>
      <c r="BM101" s="4"/>
      <c r="BN101" s="4"/>
      <c r="BO101" s="4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</row>
    <row r="102" spans="1:100" ht="16.5" customHeight="1" x14ac:dyDescent="0.2">
      <c r="A102" s="3"/>
      <c r="B102" s="4"/>
      <c r="C102" s="4"/>
      <c r="D102" s="4"/>
      <c r="E102" s="23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4"/>
      <c r="BD102" s="4"/>
      <c r="BE102" s="4"/>
      <c r="BF102" s="4"/>
      <c r="BG102" s="4"/>
      <c r="BH102" s="4"/>
      <c r="BI102" s="4"/>
      <c r="BJ102" s="4"/>
      <c r="BK102" s="4"/>
      <c r="BL102" s="4"/>
      <c r="BM102" s="4"/>
      <c r="BN102" s="4"/>
      <c r="BO102" s="4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</row>
    <row r="103" spans="1:100" ht="16.5" customHeight="1" x14ac:dyDescent="0.2">
      <c r="A103" s="3"/>
      <c r="B103" s="4"/>
      <c r="C103" s="4"/>
      <c r="D103" s="4"/>
      <c r="E103" s="23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4"/>
      <c r="BD103" s="4"/>
      <c r="BE103" s="4"/>
      <c r="BF103" s="4"/>
      <c r="BG103" s="4"/>
      <c r="BH103" s="4"/>
      <c r="BI103" s="4"/>
      <c r="BJ103" s="4"/>
      <c r="BK103" s="4"/>
      <c r="BL103" s="4"/>
      <c r="BM103" s="4"/>
      <c r="BN103" s="4"/>
      <c r="BO103" s="4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</row>
    <row r="104" spans="1:100" ht="16.5" customHeight="1" x14ac:dyDescent="0.2">
      <c r="A104" s="3"/>
      <c r="B104" s="4"/>
      <c r="C104" s="4"/>
      <c r="D104" s="4"/>
      <c r="E104" s="23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4"/>
      <c r="BD104" s="4"/>
      <c r="BE104" s="4"/>
      <c r="BF104" s="4"/>
      <c r="BG104" s="4"/>
      <c r="BH104" s="4"/>
      <c r="BI104" s="4"/>
      <c r="BJ104" s="4"/>
      <c r="BK104" s="4"/>
      <c r="BL104" s="4"/>
      <c r="BM104" s="4"/>
      <c r="BN104" s="4"/>
      <c r="BO104" s="4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</row>
    <row r="105" spans="1:100" ht="16.5" customHeight="1" x14ac:dyDescent="0.2">
      <c r="A105" s="3"/>
      <c r="B105" s="4"/>
      <c r="C105" s="4"/>
      <c r="D105" s="4"/>
      <c r="E105" s="23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4"/>
      <c r="BD105" s="4"/>
      <c r="BE105" s="4"/>
      <c r="BF105" s="4"/>
      <c r="BG105" s="4"/>
      <c r="BH105" s="4"/>
      <c r="BI105" s="4"/>
      <c r="BJ105" s="4"/>
      <c r="BK105" s="4"/>
      <c r="BL105" s="4"/>
      <c r="BM105" s="4"/>
      <c r="BN105" s="4"/>
      <c r="BO105" s="4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</row>
    <row r="106" spans="1:100" ht="16.5" customHeight="1" x14ac:dyDescent="0.2">
      <c r="A106" s="3"/>
      <c r="B106" s="4"/>
      <c r="C106" s="4"/>
      <c r="D106" s="4"/>
      <c r="E106" s="23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  <c r="AB106" s="4"/>
      <c r="AC106" s="4"/>
      <c r="AD106" s="4"/>
      <c r="AE106" s="4"/>
      <c r="AF106" s="4"/>
      <c r="AG106" s="4"/>
      <c r="AH106" s="4"/>
      <c r="AI106" s="4"/>
      <c r="AJ106" s="4"/>
      <c r="AK106" s="4"/>
      <c r="AL106" s="4"/>
      <c r="AM106" s="4"/>
      <c r="AN106" s="4"/>
      <c r="AO106" s="4"/>
      <c r="AP106" s="4"/>
      <c r="AQ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4"/>
      <c r="BD106" s="4"/>
      <c r="BE106" s="4"/>
      <c r="BF106" s="4"/>
      <c r="BG106" s="4"/>
      <c r="BH106" s="4"/>
      <c r="BI106" s="4"/>
      <c r="BJ106" s="4"/>
      <c r="BK106" s="4"/>
      <c r="BL106" s="4"/>
      <c r="BM106" s="4"/>
      <c r="BN106" s="4"/>
      <c r="BO106" s="4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</row>
    <row r="107" spans="1:100" ht="16.5" customHeight="1" x14ac:dyDescent="0.2">
      <c r="A107" s="3"/>
      <c r="B107" s="4"/>
      <c r="C107" s="4"/>
      <c r="D107" s="4"/>
      <c r="E107" s="23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  <c r="AB107" s="4"/>
      <c r="AC107" s="4"/>
      <c r="AD107" s="4"/>
      <c r="AE107" s="4"/>
      <c r="AF107" s="4"/>
      <c r="AG107" s="4"/>
      <c r="AH107" s="4"/>
      <c r="AI107" s="4"/>
      <c r="AJ107" s="4"/>
      <c r="AK107" s="4"/>
      <c r="AL107" s="4"/>
      <c r="AM107" s="4"/>
      <c r="AN107" s="4"/>
      <c r="AO107" s="4"/>
      <c r="AP107" s="4"/>
      <c r="AQ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4"/>
      <c r="BD107" s="4"/>
      <c r="BE107" s="4"/>
      <c r="BF107" s="4"/>
      <c r="BG107" s="4"/>
      <c r="BH107" s="4"/>
      <c r="BI107" s="4"/>
      <c r="BJ107" s="4"/>
      <c r="BK107" s="4"/>
      <c r="BL107" s="4"/>
      <c r="BM107" s="4"/>
      <c r="BN107" s="4"/>
      <c r="BO107" s="4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</row>
    <row r="108" spans="1:100" ht="16.5" customHeight="1" x14ac:dyDescent="0.2">
      <c r="A108" s="3"/>
      <c r="B108" s="4"/>
      <c r="C108" s="4"/>
      <c r="D108" s="4"/>
      <c r="E108" s="23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4"/>
      <c r="BD108" s="4"/>
      <c r="BE108" s="4"/>
      <c r="BF108" s="4"/>
      <c r="BG108" s="4"/>
      <c r="BH108" s="4"/>
      <c r="BI108" s="4"/>
      <c r="BJ108" s="4"/>
      <c r="BK108" s="4"/>
      <c r="BL108" s="4"/>
      <c r="BM108" s="4"/>
      <c r="BN108" s="4"/>
      <c r="BO108" s="4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</row>
    <row r="109" spans="1:100" ht="16.5" customHeight="1" x14ac:dyDescent="0.2">
      <c r="A109" s="3"/>
      <c r="B109" s="4"/>
      <c r="C109" s="4"/>
      <c r="D109" s="4"/>
      <c r="E109" s="23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</row>
    <row r="110" spans="1:100" ht="16.5" customHeight="1" x14ac:dyDescent="0.2">
      <c r="A110" s="3"/>
      <c r="B110" s="4"/>
      <c r="C110" s="4"/>
      <c r="D110" s="4"/>
      <c r="E110" s="23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4"/>
      <c r="BD110" s="4"/>
      <c r="BE110" s="4"/>
      <c r="BF110" s="4"/>
      <c r="BG110" s="4"/>
      <c r="BH110" s="4"/>
      <c r="BI110" s="4"/>
      <c r="BJ110" s="4"/>
      <c r="BK110" s="4"/>
      <c r="BL110" s="4"/>
      <c r="BM110" s="4"/>
      <c r="BN110" s="4"/>
      <c r="BO110" s="4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</row>
    <row r="111" spans="1:100" ht="16.5" customHeight="1" x14ac:dyDescent="0.2">
      <c r="A111" s="3"/>
      <c r="B111" s="4"/>
      <c r="C111" s="4"/>
      <c r="D111" s="4"/>
      <c r="E111" s="23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4"/>
      <c r="BD111" s="4"/>
      <c r="BE111" s="4"/>
      <c r="BF111" s="4"/>
      <c r="BG111" s="4"/>
      <c r="BH111" s="4"/>
      <c r="BI111" s="4"/>
      <c r="BJ111" s="4"/>
      <c r="BK111" s="4"/>
      <c r="BL111" s="4"/>
      <c r="BM111" s="4"/>
      <c r="BN111" s="4"/>
      <c r="BO111" s="4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</row>
    <row r="112" spans="1:100" ht="16.5" customHeight="1" x14ac:dyDescent="0.2">
      <c r="A112" s="3"/>
      <c r="B112" s="4"/>
      <c r="C112" s="4"/>
      <c r="D112" s="4"/>
      <c r="E112" s="23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  <c r="AB112" s="4"/>
      <c r="AC112" s="4"/>
      <c r="AD112" s="4"/>
      <c r="AE112" s="4"/>
      <c r="AF112" s="4"/>
      <c r="AG112" s="4"/>
      <c r="AH112" s="4"/>
      <c r="AI112" s="4"/>
      <c r="AJ112" s="4"/>
      <c r="AK112" s="4"/>
      <c r="AL112" s="4"/>
      <c r="AM112" s="4"/>
      <c r="AN112" s="4"/>
      <c r="AO112" s="4"/>
      <c r="AP112" s="4"/>
      <c r="AQ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4"/>
      <c r="BD112" s="4"/>
      <c r="BE112" s="4"/>
      <c r="BF112" s="4"/>
      <c r="BG112" s="4"/>
      <c r="BH112" s="4"/>
      <c r="BI112" s="4"/>
      <c r="BJ112" s="4"/>
      <c r="BK112" s="4"/>
      <c r="BL112" s="4"/>
      <c r="BM112" s="4"/>
      <c r="BN112" s="4"/>
      <c r="BO112" s="4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</row>
    <row r="113" spans="1:100" ht="16.5" customHeight="1" x14ac:dyDescent="0.2">
      <c r="A113" s="3"/>
      <c r="B113" s="4"/>
      <c r="C113" s="4"/>
      <c r="D113" s="4"/>
      <c r="E113" s="23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  <c r="AB113" s="4"/>
      <c r="AC113" s="4"/>
      <c r="AD113" s="4"/>
      <c r="AE113" s="4"/>
      <c r="AF113" s="4"/>
      <c r="AG113" s="4"/>
      <c r="AH113" s="4"/>
      <c r="AI113" s="4"/>
      <c r="AJ113" s="4"/>
      <c r="AK113" s="4"/>
      <c r="AL113" s="4"/>
      <c r="AM113" s="4"/>
      <c r="AN113" s="4"/>
      <c r="AO113" s="4"/>
      <c r="AP113" s="4"/>
      <c r="AQ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4"/>
      <c r="BD113" s="4"/>
      <c r="BE113" s="4"/>
      <c r="BF113" s="4"/>
      <c r="BG113" s="4"/>
      <c r="BH113" s="4"/>
      <c r="BI113" s="4"/>
      <c r="BJ113" s="4"/>
      <c r="BK113" s="4"/>
      <c r="BL113" s="4"/>
      <c r="BM113" s="4"/>
      <c r="BN113" s="4"/>
      <c r="BO113" s="4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</row>
    <row r="114" spans="1:100" ht="16.5" customHeight="1" x14ac:dyDescent="0.2">
      <c r="A114" s="3"/>
      <c r="B114" s="4"/>
      <c r="C114" s="4"/>
      <c r="D114" s="4"/>
      <c r="E114" s="23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  <c r="AB114" s="4"/>
      <c r="AC114" s="4"/>
      <c r="AD114" s="4"/>
      <c r="AE114" s="4"/>
      <c r="AF114" s="4"/>
      <c r="AG114" s="4"/>
      <c r="AH114" s="4"/>
      <c r="AI114" s="4"/>
      <c r="AJ114" s="4"/>
      <c r="AK114" s="4"/>
      <c r="AL114" s="4"/>
      <c r="AM114" s="4"/>
      <c r="AN114" s="4"/>
      <c r="AO114" s="4"/>
      <c r="AP114" s="4"/>
      <c r="AQ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4"/>
      <c r="BD114" s="4"/>
      <c r="BE114" s="4"/>
      <c r="BF114" s="4"/>
      <c r="BG114" s="4"/>
      <c r="BH114" s="4"/>
      <c r="BI114" s="4"/>
      <c r="BJ114" s="4"/>
      <c r="BK114" s="4"/>
      <c r="BL114" s="4"/>
      <c r="BM114" s="4"/>
      <c r="BN114" s="4"/>
      <c r="BO114" s="4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</row>
    <row r="115" spans="1:100" ht="16.5" customHeight="1" x14ac:dyDescent="0.2">
      <c r="A115" s="3"/>
      <c r="B115" s="4"/>
      <c r="C115" s="4"/>
      <c r="D115" s="4"/>
      <c r="E115" s="23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  <c r="AB115" s="4"/>
      <c r="AC115" s="4"/>
      <c r="AD115" s="4"/>
      <c r="AE115" s="4"/>
      <c r="AF115" s="4"/>
      <c r="AG115" s="4"/>
      <c r="AH115" s="4"/>
      <c r="AI115" s="4"/>
      <c r="AJ115" s="4"/>
      <c r="AK115" s="4"/>
      <c r="AL115" s="4"/>
      <c r="AM115" s="4"/>
      <c r="AN115" s="4"/>
      <c r="AO115" s="4"/>
      <c r="AP115" s="4"/>
      <c r="AQ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4"/>
      <c r="BD115" s="4"/>
      <c r="BE115" s="4"/>
      <c r="BF115" s="4"/>
      <c r="BG115" s="4"/>
      <c r="BH115" s="4"/>
      <c r="BI115" s="4"/>
      <c r="BJ115" s="4"/>
      <c r="BK115" s="4"/>
      <c r="BL115" s="4"/>
      <c r="BM115" s="4"/>
      <c r="BN115" s="4"/>
      <c r="BO115" s="4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</row>
    <row r="116" spans="1:100" ht="16.5" customHeight="1" x14ac:dyDescent="0.2">
      <c r="A116" s="3"/>
      <c r="B116" s="4"/>
      <c r="C116" s="4"/>
      <c r="D116" s="4"/>
      <c r="E116" s="23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  <c r="AB116" s="4"/>
      <c r="AC116" s="4"/>
      <c r="AD116" s="4"/>
      <c r="AE116" s="4"/>
      <c r="AF116" s="4"/>
      <c r="AG116" s="4"/>
      <c r="AH116" s="4"/>
      <c r="AI116" s="4"/>
      <c r="AJ116" s="4"/>
      <c r="AK116" s="4"/>
      <c r="AL116" s="4"/>
      <c r="AM116" s="4"/>
      <c r="AN116" s="4"/>
      <c r="AO116" s="4"/>
      <c r="AP116" s="4"/>
      <c r="AQ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4"/>
      <c r="BD116" s="4"/>
      <c r="BE116" s="4"/>
      <c r="BF116" s="4"/>
      <c r="BG116" s="4"/>
      <c r="BH116" s="4"/>
      <c r="BI116" s="4"/>
      <c r="BJ116" s="4"/>
      <c r="BK116" s="4"/>
      <c r="BL116" s="4"/>
      <c r="BM116" s="4"/>
      <c r="BN116" s="4"/>
      <c r="BO116" s="4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</row>
    <row r="117" spans="1:100" ht="16.5" customHeight="1" x14ac:dyDescent="0.2">
      <c r="A117" s="3"/>
      <c r="B117" s="4"/>
      <c r="C117" s="4"/>
      <c r="D117" s="4"/>
      <c r="E117" s="23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4"/>
      <c r="BD117" s="4"/>
      <c r="BE117" s="4"/>
      <c r="BF117" s="4"/>
      <c r="BG117" s="4"/>
      <c r="BH117" s="4"/>
      <c r="BI117" s="4"/>
      <c r="BJ117" s="4"/>
      <c r="BK117" s="4"/>
      <c r="BL117" s="4"/>
      <c r="BM117" s="4"/>
      <c r="BN117" s="4"/>
      <c r="BO117" s="4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</row>
    <row r="118" spans="1:100" ht="16.5" customHeight="1" x14ac:dyDescent="0.2">
      <c r="A118" s="3"/>
      <c r="B118" s="4"/>
      <c r="C118" s="4"/>
      <c r="D118" s="4"/>
      <c r="E118" s="23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  <c r="AB118" s="4"/>
      <c r="AC118" s="4"/>
      <c r="AD118" s="4"/>
      <c r="AE118" s="4"/>
      <c r="AF118" s="4"/>
      <c r="AG118" s="4"/>
      <c r="AH118" s="4"/>
      <c r="AI118" s="4"/>
      <c r="AJ118" s="4"/>
      <c r="AK118" s="4"/>
      <c r="AL118" s="4"/>
      <c r="AM118" s="4"/>
      <c r="AN118" s="4"/>
      <c r="AO118" s="4"/>
      <c r="AP118" s="4"/>
      <c r="AQ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4"/>
      <c r="BD118" s="4"/>
      <c r="BE118" s="4"/>
      <c r="BF118" s="4"/>
      <c r="BG118" s="4"/>
      <c r="BH118" s="4"/>
      <c r="BI118" s="4"/>
      <c r="BJ118" s="4"/>
      <c r="BK118" s="4"/>
      <c r="BL118" s="4"/>
      <c r="BM118" s="4"/>
      <c r="BN118" s="4"/>
      <c r="BO118" s="4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</row>
    <row r="119" spans="1:100" ht="16.5" customHeight="1" x14ac:dyDescent="0.2">
      <c r="A119" s="3"/>
      <c r="B119" s="4"/>
      <c r="C119" s="4"/>
      <c r="D119" s="4"/>
      <c r="E119" s="23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  <c r="AB119" s="4"/>
      <c r="AC119" s="4"/>
      <c r="AD119" s="4"/>
      <c r="AE119" s="4"/>
      <c r="AF119" s="4"/>
      <c r="AG119" s="4"/>
      <c r="AH119" s="4"/>
      <c r="AI119" s="4"/>
      <c r="AJ119" s="4"/>
      <c r="AK119" s="4"/>
      <c r="AL119" s="4"/>
      <c r="AM119" s="4"/>
      <c r="AN119" s="4"/>
      <c r="AO119" s="4"/>
      <c r="AP119" s="4"/>
      <c r="AQ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4"/>
      <c r="BD119" s="4"/>
      <c r="BE119" s="4"/>
      <c r="BF119" s="4"/>
      <c r="BG119" s="4"/>
      <c r="BH119" s="4"/>
      <c r="BI119" s="4"/>
      <c r="BJ119" s="4"/>
      <c r="BK119" s="4"/>
      <c r="BL119" s="4"/>
      <c r="BM119" s="4"/>
      <c r="BN119" s="4"/>
      <c r="BO119" s="4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</row>
    <row r="120" spans="1:100" ht="16.5" customHeight="1" x14ac:dyDescent="0.2">
      <c r="A120" s="3"/>
      <c r="B120" s="4"/>
      <c r="C120" s="4"/>
      <c r="D120" s="4"/>
      <c r="E120" s="23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4"/>
      <c r="BD120" s="4"/>
      <c r="BE120" s="4"/>
      <c r="BF120" s="4"/>
      <c r="BG120" s="4"/>
      <c r="BH120" s="4"/>
      <c r="BI120" s="4"/>
      <c r="BJ120" s="4"/>
      <c r="BK120" s="4"/>
      <c r="BL120" s="4"/>
      <c r="BM120" s="4"/>
      <c r="BN120" s="4"/>
      <c r="BO120" s="4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</row>
    <row r="121" spans="1:100" ht="16.5" customHeight="1" x14ac:dyDescent="0.2">
      <c r="A121" s="3"/>
      <c r="B121" s="4"/>
      <c r="C121" s="4"/>
      <c r="D121" s="4"/>
      <c r="E121" s="23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  <c r="AB121" s="4"/>
      <c r="AC121" s="4"/>
      <c r="AD121" s="4"/>
      <c r="AE121" s="4"/>
      <c r="AF121" s="4"/>
      <c r="AG121" s="4"/>
      <c r="AH121" s="4"/>
      <c r="AI121" s="4"/>
      <c r="AJ121" s="4"/>
      <c r="AK121" s="4"/>
      <c r="AL121" s="4"/>
      <c r="AM121" s="4"/>
      <c r="AN121" s="4"/>
      <c r="AO121" s="4"/>
      <c r="AP121" s="4"/>
      <c r="AQ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4"/>
      <c r="BH121" s="4"/>
      <c r="BI121" s="4"/>
      <c r="BJ121" s="4"/>
      <c r="BK121" s="4"/>
      <c r="BL121" s="4"/>
      <c r="BM121" s="4"/>
      <c r="BN121" s="4"/>
      <c r="BO121" s="4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</row>
    <row r="122" spans="1:100" ht="16.5" customHeight="1" x14ac:dyDescent="0.2">
      <c r="A122" s="3"/>
      <c r="B122" s="4"/>
      <c r="C122" s="4"/>
      <c r="D122" s="4"/>
      <c r="E122" s="23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  <c r="AB122" s="4"/>
      <c r="AC122" s="4"/>
      <c r="AD122" s="4"/>
      <c r="AE122" s="4"/>
      <c r="AF122" s="4"/>
      <c r="AG122" s="4"/>
      <c r="AH122" s="4"/>
      <c r="AI122" s="4"/>
      <c r="AJ122" s="4"/>
      <c r="AK122" s="4"/>
      <c r="AL122" s="4"/>
      <c r="AM122" s="4"/>
      <c r="AN122" s="4"/>
      <c r="AO122" s="4"/>
      <c r="AP122" s="4"/>
      <c r="AQ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4"/>
      <c r="BD122" s="4"/>
      <c r="BE122" s="4"/>
      <c r="BF122" s="4"/>
      <c r="BG122" s="4"/>
      <c r="BH122" s="4"/>
      <c r="BI122" s="4"/>
      <c r="BJ122" s="4"/>
      <c r="BK122" s="4"/>
      <c r="BL122" s="4"/>
      <c r="BM122" s="4"/>
      <c r="BN122" s="4"/>
      <c r="BO122" s="4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</row>
    <row r="123" spans="1:100" ht="16.5" customHeight="1" x14ac:dyDescent="0.2">
      <c r="A123" s="3"/>
      <c r="B123" s="4"/>
      <c r="C123" s="4"/>
      <c r="D123" s="4"/>
      <c r="E123" s="23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  <c r="AB123" s="4"/>
      <c r="AC123" s="4"/>
      <c r="AD123" s="4"/>
      <c r="AE123" s="4"/>
      <c r="AF123" s="4"/>
      <c r="AG123" s="4"/>
      <c r="AH123" s="4"/>
      <c r="AI123" s="4"/>
      <c r="AJ123" s="4"/>
      <c r="AK123" s="4"/>
      <c r="AL123" s="4"/>
      <c r="AM123" s="4"/>
      <c r="AN123" s="4"/>
      <c r="AO123" s="4"/>
      <c r="AP123" s="4"/>
      <c r="AQ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4"/>
      <c r="BD123" s="4"/>
      <c r="BE123" s="4"/>
      <c r="BF123" s="4"/>
      <c r="BG123" s="4"/>
      <c r="BH123" s="4"/>
      <c r="BI123" s="4"/>
      <c r="BJ123" s="4"/>
      <c r="BK123" s="4"/>
      <c r="BL123" s="4"/>
      <c r="BM123" s="4"/>
      <c r="BN123" s="4"/>
      <c r="BO123" s="4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</row>
    <row r="124" spans="1:100" ht="16.5" customHeight="1" x14ac:dyDescent="0.2">
      <c r="A124" s="3"/>
      <c r="B124" s="4"/>
      <c r="C124" s="4"/>
      <c r="D124" s="4"/>
      <c r="E124" s="23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  <c r="AB124" s="4"/>
      <c r="AC124" s="4"/>
      <c r="AD124" s="4"/>
      <c r="AE124" s="4"/>
      <c r="AF124" s="4"/>
      <c r="AG124" s="4"/>
      <c r="AH124" s="4"/>
      <c r="AI124" s="4"/>
      <c r="AJ124" s="4"/>
      <c r="AK124" s="4"/>
      <c r="AL124" s="4"/>
      <c r="AM124" s="4"/>
      <c r="AN124" s="4"/>
      <c r="AO124" s="4"/>
      <c r="AP124" s="4"/>
      <c r="AQ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4"/>
      <c r="BD124" s="4"/>
      <c r="BE124" s="4"/>
      <c r="BF124" s="4"/>
      <c r="BG124" s="4"/>
      <c r="BH124" s="4"/>
      <c r="BI124" s="4"/>
      <c r="BJ124" s="4"/>
      <c r="BK124" s="4"/>
      <c r="BL124" s="4"/>
      <c r="BM124" s="4"/>
      <c r="BN124" s="4"/>
      <c r="BO124" s="4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</row>
    <row r="125" spans="1:100" ht="16.5" customHeight="1" x14ac:dyDescent="0.2">
      <c r="A125" s="3"/>
      <c r="B125" s="4"/>
      <c r="C125" s="4"/>
      <c r="D125" s="4"/>
      <c r="E125" s="23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  <c r="AB125" s="4"/>
      <c r="AC125" s="4"/>
      <c r="AD125" s="4"/>
      <c r="AE125" s="4"/>
      <c r="AF125" s="4"/>
      <c r="AG125" s="4"/>
      <c r="AH125" s="4"/>
      <c r="AI125" s="4"/>
      <c r="AJ125" s="4"/>
      <c r="AK125" s="4"/>
      <c r="AL125" s="4"/>
      <c r="AM125" s="4"/>
      <c r="AN125" s="4"/>
      <c r="AO125" s="4"/>
      <c r="AP125" s="4"/>
      <c r="AQ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4"/>
      <c r="BD125" s="4"/>
      <c r="BE125" s="4"/>
      <c r="BF125" s="4"/>
      <c r="BG125" s="4"/>
      <c r="BH125" s="4"/>
      <c r="BI125" s="4"/>
      <c r="BJ125" s="4"/>
      <c r="BK125" s="4"/>
      <c r="BL125" s="4"/>
      <c r="BM125" s="4"/>
      <c r="BN125" s="4"/>
      <c r="BO125" s="4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</row>
    <row r="126" spans="1:100" ht="16.5" customHeight="1" x14ac:dyDescent="0.2">
      <c r="A126" s="3"/>
      <c r="B126" s="4"/>
      <c r="C126" s="4"/>
      <c r="D126" s="4"/>
      <c r="E126" s="23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  <c r="AB126" s="4"/>
      <c r="AC126" s="4"/>
      <c r="AD126" s="4"/>
      <c r="AE126" s="4"/>
      <c r="AF126" s="4"/>
      <c r="AG126" s="4"/>
      <c r="AH126" s="4"/>
      <c r="AI126" s="4"/>
      <c r="AJ126" s="4"/>
      <c r="AK126" s="4"/>
      <c r="AL126" s="4"/>
      <c r="AM126" s="4"/>
      <c r="AN126" s="4"/>
      <c r="AO126" s="4"/>
      <c r="AP126" s="4"/>
      <c r="AQ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4"/>
      <c r="BD126" s="4"/>
      <c r="BE126" s="4"/>
      <c r="BF126" s="4"/>
      <c r="BG126" s="4"/>
      <c r="BH126" s="4"/>
      <c r="BI126" s="4"/>
      <c r="BJ126" s="4"/>
      <c r="BK126" s="4"/>
      <c r="BL126" s="4"/>
      <c r="BM126" s="4"/>
      <c r="BN126" s="4"/>
      <c r="BO126" s="4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</row>
    <row r="127" spans="1:100" ht="16.5" customHeight="1" x14ac:dyDescent="0.2">
      <c r="A127" s="3"/>
      <c r="B127" s="4"/>
      <c r="C127" s="4"/>
      <c r="D127" s="4"/>
      <c r="E127" s="23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  <c r="AB127" s="4"/>
      <c r="AC127" s="4"/>
      <c r="AD127" s="4"/>
      <c r="AE127" s="4"/>
      <c r="AF127" s="4"/>
      <c r="AG127" s="4"/>
      <c r="AH127" s="4"/>
      <c r="AI127" s="4"/>
      <c r="AJ127" s="4"/>
      <c r="AK127" s="4"/>
      <c r="AL127" s="4"/>
      <c r="AM127" s="4"/>
      <c r="AN127" s="4"/>
      <c r="AO127" s="4"/>
      <c r="AP127" s="4"/>
      <c r="AQ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4"/>
      <c r="BD127" s="4"/>
      <c r="BE127" s="4"/>
      <c r="BF127" s="4"/>
      <c r="BG127" s="4"/>
      <c r="BH127" s="4"/>
      <c r="BI127" s="4"/>
      <c r="BJ127" s="4"/>
      <c r="BK127" s="4"/>
      <c r="BL127" s="4"/>
      <c r="BM127" s="4"/>
      <c r="BN127" s="4"/>
      <c r="BO127" s="4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</row>
    <row r="128" spans="1:100" ht="16.5" customHeight="1" x14ac:dyDescent="0.2">
      <c r="A128" s="3"/>
      <c r="B128" s="4"/>
      <c r="C128" s="4"/>
      <c r="D128" s="4"/>
      <c r="E128" s="23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  <c r="AB128" s="4"/>
      <c r="AC128" s="4"/>
      <c r="AD128" s="4"/>
      <c r="AE128" s="4"/>
      <c r="AF128" s="4"/>
      <c r="AG128" s="4"/>
      <c r="AH128" s="4"/>
      <c r="AI128" s="4"/>
      <c r="AJ128" s="4"/>
      <c r="AK128" s="4"/>
      <c r="AL128" s="4"/>
      <c r="AM128" s="4"/>
      <c r="AN128" s="4"/>
      <c r="AO128" s="4"/>
      <c r="AP128" s="4"/>
      <c r="AQ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4"/>
      <c r="BD128" s="4"/>
      <c r="BE128" s="4"/>
      <c r="BF128" s="4"/>
      <c r="BG128" s="4"/>
      <c r="BH128" s="4"/>
      <c r="BI128" s="4"/>
      <c r="BJ128" s="4"/>
      <c r="BK128" s="4"/>
      <c r="BL128" s="4"/>
      <c r="BM128" s="4"/>
      <c r="BN128" s="4"/>
      <c r="BO128" s="4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</row>
    <row r="129" spans="1:100" ht="16.5" customHeight="1" x14ac:dyDescent="0.2">
      <c r="A129" s="3"/>
      <c r="B129" s="4"/>
      <c r="C129" s="4"/>
      <c r="D129" s="4"/>
      <c r="E129" s="23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  <c r="AB129" s="4"/>
      <c r="AC129" s="4"/>
      <c r="AD129" s="4"/>
      <c r="AE129" s="4"/>
      <c r="AF129" s="4"/>
      <c r="AG129" s="4"/>
      <c r="AH129" s="4"/>
      <c r="AI129" s="4"/>
      <c r="AJ129" s="4"/>
      <c r="AK129" s="4"/>
      <c r="AL129" s="4"/>
      <c r="AM129" s="4"/>
      <c r="AN129" s="4"/>
      <c r="AO129" s="4"/>
      <c r="AP129" s="4"/>
      <c r="AQ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4"/>
      <c r="BD129" s="4"/>
      <c r="BE129" s="4"/>
      <c r="BF129" s="4"/>
      <c r="BG129" s="4"/>
      <c r="BH129" s="4"/>
      <c r="BI129" s="4"/>
      <c r="BJ129" s="4"/>
      <c r="BK129" s="4"/>
      <c r="BL129" s="4"/>
      <c r="BM129" s="4"/>
      <c r="BN129" s="4"/>
      <c r="BO129" s="4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</row>
    <row r="130" spans="1:100" ht="16.5" customHeight="1" x14ac:dyDescent="0.2">
      <c r="A130" s="3"/>
      <c r="B130" s="4"/>
      <c r="C130" s="4"/>
      <c r="D130" s="4"/>
      <c r="E130" s="23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  <c r="AB130" s="4"/>
      <c r="AC130" s="4"/>
      <c r="AD130" s="4"/>
      <c r="AE130" s="4"/>
      <c r="AF130" s="4"/>
      <c r="AG130" s="4"/>
      <c r="AH130" s="4"/>
      <c r="AI130" s="4"/>
      <c r="AJ130" s="4"/>
      <c r="AK130" s="4"/>
      <c r="AL130" s="4"/>
      <c r="AM130" s="4"/>
      <c r="AN130" s="4"/>
      <c r="AO130" s="4"/>
      <c r="AP130" s="4"/>
      <c r="AQ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4"/>
      <c r="BD130" s="4"/>
      <c r="BE130" s="4"/>
      <c r="BF130" s="4"/>
      <c r="BG130" s="4"/>
      <c r="BH130" s="4"/>
      <c r="BI130" s="4"/>
      <c r="BJ130" s="4"/>
      <c r="BK130" s="4"/>
      <c r="BL130" s="4"/>
      <c r="BM130" s="4"/>
      <c r="BN130" s="4"/>
      <c r="BO130" s="4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</row>
    <row r="131" spans="1:100" ht="16.5" customHeight="1" x14ac:dyDescent="0.2">
      <c r="A131" s="3"/>
      <c r="B131" s="4"/>
      <c r="C131" s="4"/>
      <c r="D131" s="4"/>
      <c r="E131" s="23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  <c r="AB131" s="4"/>
      <c r="AC131" s="4"/>
      <c r="AD131" s="4"/>
      <c r="AE131" s="4"/>
      <c r="AF131" s="4"/>
      <c r="AG131" s="4"/>
      <c r="AH131" s="4"/>
      <c r="AI131" s="4"/>
      <c r="AJ131" s="4"/>
      <c r="AK131" s="4"/>
      <c r="AL131" s="4"/>
      <c r="AM131" s="4"/>
      <c r="AN131" s="4"/>
      <c r="AO131" s="4"/>
      <c r="AP131" s="4"/>
      <c r="AQ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4"/>
      <c r="BD131" s="4"/>
      <c r="BE131" s="4"/>
      <c r="BF131" s="4"/>
      <c r="BG131" s="4"/>
      <c r="BH131" s="4"/>
      <c r="BI131" s="4"/>
      <c r="BJ131" s="4"/>
      <c r="BK131" s="4"/>
      <c r="BL131" s="4"/>
      <c r="BM131" s="4"/>
      <c r="BN131" s="4"/>
      <c r="BO131" s="4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</row>
    <row r="132" spans="1:100" ht="16.5" customHeight="1" x14ac:dyDescent="0.2">
      <c r="A132" s="3"/>
      <c r="B132" s="4"/>
      <c r="C132" s="4"/>
      <c r="D132" s="4"/>
      <c r="E132" s="23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  <c r="AB132" s="4"/>
      <c r="AC132" s="4"/>
      <c r="AD132" s="4"/>
      <c r="AE132" s="4"/>
      <c r="AF132" s="4"/>
      <c r="AG132" s="4"/>
      <c r="AH132" s="4"/>
      <c r="AI132" s="4"/>
      <c r="AJ132" s="4"/>
      <c r="AK132" s="4"/>
      <c r="AL132" s="4"/>
      <c r="AM132" s="4"/>
      <c r="AN132" s="4"/>
      <c r="AO132" s="4"/>
      <c r="AP132" s="4"/>
      <c r="AQ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4"/>
      <c r="BD132" s="4"/>
      <c r="BE132" s="4"/>
      <c r="BF132" s="4"/>
      <c r="BG132" s="4"/>
      <c r="BH132" s="4"/>
      <c r="BI132" s="4"/>
      <c r="BJ132" s="4"/>
      <c r="BK132" s="4"/>
      <c r="BL132" s="4"/>
      <c r="BM132" s="4"/>
      <c r="BN132" s="4"/>
      <c r="BO132" s="4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</row>
    <row r="133" spans="1:100" ht="16.5" customHeight="1" x14ac:dyDescent="0.2">
      <c r="A133" s="3"/>
      <c r="B133" s="4"/>
      <c r="C133" s="4"/>
      <c r="D133" s="4"/>
      <c r="E133" s="23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  <c r="AB133" s="4"/>
      <c r="AC133" s="4"/>
      <c r="AD133" s="4"/>
      <c r="AE133" s="4"/>
      <c r="AF133" s="4"/>
      <c r="AG133" s="4"/>
      <c r="AH133" s="4"/>
      <c r="AI133" s="4"/>
      <c r="AJ133" s="4"/>
      <c r="AK133" s="4"/>
      <c r="AL133" s="4"/>
      <c r="AM133" s="4"/>
      <c r="AN133" s="4"/>
      <c r="AO133" s="4"/>
      <c r="AP133" s="4"/>
      <c r="AQ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4"/>
      <c r="BD133" s="4"/>
      <c r="BE133" s="4"/>
      <c r="BF133" s="4"/>
      <c r="BG133" s="4"/>
      <c r="BH133" s="4"/>
      <c r="BI133" s="4"/>
      <c r="BJ133" s="4"/>
      <c r="BK133" s="4"/>
      <c r="BL133" s="4"/>
      <c r="BM133" s="4"/>
      <c r="BN133" s="4"/>
      <c r="BO133" s="4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</row>
    <row r="134" spans="1:100" ht="16.5" customHeight="1" x14ac:dyDescent="0.2">
      <c r="A134" s="3"/>
      <c r="B134" s="4"/>
      <c r="C134" s="4"/>
      <c r="D134" s="4"/>
      <c r="E134" s="23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  <c r="AB134" s="4"/>
      <c r="AC134" s="4"/>
      <c r="AD134" s="4"/>
      <c r="AE134" s="4"/>
      <c r="AF134" s="4"/>
      <c r="AG134" s="4"/>
      <c r="AH134" s="4"/>
      <c r="AI134" s="4"/>
      <c r="AJ134" s="4"/>
      <c r="AK134" s="4"/>
      <c r="AL134" s="4"/>
      <c r="AM134" s="4"/>
      <c r="AN134" s="4"/>
      <c r="AO134" s="4"/>
      <c r="AP134" s="4"/>
      <c r="AQ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4"/>
      <c r="BD134" s="4"/>
      <c r="BE134" s="4"/>
      <c r="BF134" s="4"/>
      <c r="BG134" s="4"/>
      <c r="BH134" s="4"/>
      <c r="BI134" s="4"/>
      <c r="BJ134" s="4"/>
      <c r="BK134" s="4"/>
      <c r="BL134" s="4"/>
      <c r="BM134" s="4"/>
      <c r="BN134" s="4"/>
      <c r="BO134" s="4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</row>
    <row r="135" spans="1:100" ht="16.5" customHeight="1" x14ac:dyDescent="0.2">
      <c r="A135" s="3"/>
      <c r="B135" s="4"/>
      <c r="C135" s="4"/>
      <c r="D135" s="4"/>
      <c r="E135" s="23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  <c r="AB135" s="4"/>
      <c r="AC135" s="4"/>
      <c r="AD135" s="4"/>
      <c r="AE135" s="4"/>
      <c r="AF135" s="4"/>
      <c r="AG135" s="4"/>
      <c r="AH135" s="4"/>
      <c r="AI135" s="4"/>
      <c r="AJ135" s="4"/>
      <c r="AK135" s="4"/>
      <c r="AL135" s="4"/>
      <c r="AM135" s="4"/>
      <c r="AN135" s="4"/>
      <c r="AO135" s="4"/>
      <c r="AP135" s="4"/>
      <c r="AQ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4"/>
      <c r="BD135" s="4"/>
      <c r="BE135" s="4"/>
      <c r="BF135" s="4"/>
      <c r="BG135" s="4"/>
      <c r="BH135" s="4"/>
      <c r="BI135" s="4"/>
      <c r="BJ135" s="4"/>
      <c r="BK135" s="4"/>
      <c r="BL135" s="4"/>
      <c r="BM135" s="4"/>
      <c r="BN135" s="4"/>
      <c r="BO135" s="4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</row>
    <row r="136" spans="1:100" ht="16.5" customHeight="1" x14ac:dyDescent="0.2">
      <c r="A136" s="3"/>
      <c r="B136" s="4"/>
      <c r="C136" s="4"/>
      <c r="D136" s="4"/>
      <c r="E136" s="23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  <c r="AB136" s="4"/>
      <c r="AC136" s="4"/>
      <c r="AD136" s="4"/>
      <c r="AE136" s="4"/>
      <c r="AF136" s="4"/>
      <c r="AG136" s="4"/>
      <c r="AH136" s="4"/>
      <c r="AI136" s="4"/>
      <c r="AJ136" s="4"/>
      <c r="AK136" s="4"/>
      <c r="AL136" s="4"/>
      <c r="AM136" s="4"/>
      <c r="AN136" s="4"/>
      <c r="AO136" s="4"/>
      <c r="AP136" s="4"/>
      <c r="AQ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4"/>
      <c r="BD136" s="4"/>
      <c r="BE136" s="4"/>
      <c r="BF136" s="4"/>
      <c r="BG136" s="4"/>
      <c r="BH136" s="4"/>
      <c r="BI136" s="4"/>
      <c r="BJ136" s="4"/>
      <c r="BK136" s="4"/>
      <c r="BL136" s="4"/>
      <c r="BM136" s="4"/>
      <c r="BN136" s="4"/>
      <c r="BO136" s="4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</row>
    <row r="137" spans="1:100" ht="16.5" customHeight="1" x14ac:dyDescent="0.2">
      <c r="A137" s="3"/>
      <c r="B137" s="4"/>
      <c r="C137" s="4"/>
      <c r="D137" s="4"/>
      <c r="E137" s="23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/>
      <c r="AM137" s="4"/>
      <c r="AN137" s="4"/>
      <c r="AO137" s="4"/>
      <c r="AP137" s="4"/>
      <c r="AQ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4"/>
      <c r="BD137" s="4"/>
      <c r="BE137" s="4"/>
      <c r="BF137" s="4"/>
      <c r="BG137" s="4"/>
      <c r="BH137" s="4"/>
      <c r="BI137" s="4"/>
      <c r="BJ137" s="4"/>
      <c r="BK137" s="4"/>
      <c r="BL137" s="4"/>
      <c r="BM137" s="4"/>
      <c r="BN137" s="4"/>
      <c r="BO137" s="4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</row>
    <row r="138" spans="1:100" ht="16.5" customHeight="1" x14ac:dyDescent="0.2">
      <c r="A138" s="3"/>
      <c r="B138" s="4"/>
      <c r="C138" s="4"/>
      <c r="D138" s="4"/>
      <c r="E138" s="23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/>
      <c r="AM138" s="4"/>
      <c r="AN138" s="4"/>
      <c r="AO138" s="4"/>
      <c r="AP138" s="4"/>
      <c r="AQ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4"/>
      <c r="BD138" s="4"/>
      <c r="BE138" s="4"/>
      <c r="BF138" s="4"/>
      <c r="BG138" s="4"/>
      <c r="BH138" s="4"/>
      <c r="BI138" s="4"/>
      <c r="BJ138" s="4"/>
      <c r="BK138" s="4"/>
      <c r="BL138" s="4"/>
      <c r="BM138" s="4"/>
      <c r="BN138" s="4"/>
      <c r="BO138" s="4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</row>
    <row r="139" spans="1:100" ht="16.5" customHeight="1" x14ac:dyDescent="0.2">
      <c r="A139" s="3"/>
      <c r="B139" s="4"/>
      <c r="C139" s="4"/>
      <c r="D139" s="4"/>
      <c r="E139" s="23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  <c r="AB139" s="4"/>
      <c r="AC139" s="4"/>
      <c r="AD139" s="4"/>
      <c r="AE139" s="4"/>
      <c r="AF139" s="4"/>
      <c r="AG139" s="4"/>
      <c r="AH139" s="4"/>
      <c r="AI139" s="4"/>
      <c r="AJ139" s="4"/>
      <c r="AK139" s="4"/>
      <c r="AL139" s="4"/>
      <c r="AM139" s="4"/>
      <c r="AN139" s="4"/>
      <c r="AO139" s="4"/>
      <c r="AP139" s="4"/>
      <c r="AQ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4"/>
      <c r="BD139" s="4"/>
      <c r="BE139" s="4"/>
      <c r="BF139" s="4"/>
      <c r="BG139" s="4"/>
      <c r="BH139" s="4"/>
      <c r="BI139" s="4"/>
      <c r="BJ139" s="4"/>
      <c r="BK139" s="4"/>
      <c r="BL139" s="4"/>
      <c r="BM139" s="4"/>
      <c r="BN139" s="4"/>
      <c r="BO139" s="4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</row>
    <row r="140" spans="1:100" ht="16.5" customHeight="1" x14ac:dyDescent="0.2">
      <c r="A140" s="3"/>
      <c r="B140" s="4"/>
      <c r="C140" s="4"/>
      <c r="D140" s="4"/>
      <c r="E140" s="23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  <c r="AB140" s="4"/>
      <c r="AC140" s="4"/>
      <c r="AD140" s="4"/>
      <c r="AE140" s="4"/>
      <c r="AF140" s="4"/>
      <c r="AG140" s="4"/>
      <c r="AH140" s="4"/>
      <c r="AI140" s="4"/>
      <c r="AJ140" s="4"/>
      <c r="AK140" s="4"/>
      <c r="AL140" s="4"/>
      <c r="AM140" s="4"/>
      <c r="AN140" s="4"/>
      <c r="AO140" s="4"/>
      <c r="AP140" s="4"/>
      <c r="AQ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4"/>
      <c r="BD140" s="4"/>
      <c r="BE140" s="4"/>
      <c r="BF140" s="4"/>
      <c r="BG140" s="4"/>
      <c r="BH140" s="4"/>
      <c r="BI140" s="4"/>
      <c r="BJ140" s="4"/>
      <c r="BK140" s="4"/>
      <c r="BL140" s="4"/>
      <c r="BM140" s="4"/>
      <c r="BN140" s="4"/>
      <c r="BO140" s="4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</row>
    <row r="141" spans="1:100" ht="16.5" customHeight="1" x14ac:dyDescent="0.2">
      <c r="A141" s="3"/>
      <c r="B141" s="4"/>
      <c r="C141" s="4"/>
      <c r="D141" s="4"/>
      <c r="E141" s="23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  <c r="AB141" s="4"/>
      <c r="AC141" s="4"/>
      <c r="AD141" s="4"/>
      <c r="AE141" s="4"/>
      <c r="AF141" s="4"/>
      <c r="AG141" s="4"/>
      <c r="AH141" s="4"/>
      <c r="AI141" s="4"/>
      <c r="AJ141" s="4"/>
      <c r="AK141" s="4"/>
      <c r="AL141" s="4"/>
      <c r="AM141" s="4"/>
      <c r="AN141" s="4"/>
      <c r="AO141" s="4"/>
      <c r="AP141" s="4"/>
      <c r="AQ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4"/>
      <c r="BD141" s="4"/>
      <c r="BE141" s="4"/>
      <c r="BF141" s="4"/>
      <c r="BG141" s="4"/>
      <c r="BH141" s="4"/>
      <c r="BI141" s="4"/>
      <c r="BJ141" s="4"/>
      <c r="BK141" s="4"/>
      <c r="BL141" s="4"/>
      <c r="BM141" s="4"/>
      <c r="BN141" s="4"/>
      <c r="BO141" s="4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</row>
    <row r="142" spans="1:100" ht="16.5" customHeight="1" x14ac:dyDescent="0.2">
      <c r="A142" s="3"/>
      <c r="B142" s="4"/>
      <c r="C142" s="4"/>
      <c r="D142" s="4"/>
      <c r="E142" s="23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  <c r="AB142" s="4"/>
      <c r="AC142" s="4"/>
      <c r="AD142" s="4"/>
      <c r="AE142" s="4"/>
      <c r="AF142" s="4"/>
      <c r="AG142" s="4"/>
      <c r="AH142" s="4"/>
      <c r="AI142" s="4"/>
      <c r="AJ142" s="4"/>
      <c r="AK142" s="4"/>
      <c r="AL142" s="4"/>
      <c r="AM142" s="4"/>
      <c r="AN142" s="4"/>
      <c r="AO142" s="4"/>
      <c r="AP142" s="4"/>
      <c r="AQ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4"/>
      <c r="BD142" s="4"/>
      <c r="BE142" s="4"/>
      <c r="BF142" s="4"/>
      <c r="BG142" s="4"/>
      <c r="BH142" s="4"/>
      <c r="BI142" s="4"/>
      <c r="BJ142" s="4"/>
      <c r="BK142" s="4"/>
      <c r="BL142" s="4"/>
      <c r="BM142" s="4"/>
      <c r="BN142" s="4"/>
      <c r="BO142" s="4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</row>
    <row r="143" spans="1:100" ht="16.5" customHeight="1" x14ac:dyDescent="0.2">
      <c r="A143" s="3"/>
      <c r="B143" s="4"/>
      <c r="C143" s="4"/>
      <c r="D143" s="4"/>
      <c r="E143" s="23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  <c r="AB143" s="4"/>
      <c r="AC143" s="4"/>
      <c r="AD143" s="4"/>
      <c r="AE143" s="4"/>
      <c r="AF143" s="4"/>
      <c r="AG143" s="4"/>
      <c r="AH143" s="4"/>
      <c r="AI143" s="4"/>
      <c r="AJ143" s="4"/>
      <c r="AK143" s="4"/>
      <c r="AL143" s="4"/>
      <c r="AM143" s="4"/>
      <c r="AN143" s="4"/>
      <c r="AO143" s="4"/>
      <c r="AP143" s="4"/>
      <c r="AQ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4"/>
      <c r="BD143" s="4"/>
      <c r="BE143" s="4"/>
      <c r="BF143" s="4"/>
      <c r="BG143" s="4"/>
      <c r="BH143" s="4"/>
      <c r="BI143" s="4"/>
      <c r="BJ143" s="4"/>
      <c r="BK143" s="4"/>
      <c r="BL143" s="4"/>
      <c r="BM143" s="4"/>
      <c r="BN143" s="4"/>
      <c r="BO143" s="4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</row>
    <row r="144" spans="1:100" ht="16.5" customHeight="1" x14ac:dyDescent="0.2">
      <c r="A144" s="3"/>
      <c r="B144" s="4"/>
      <c r="C144" s="4"/>
      <c r="D144" s="4"/>
      <c r="E144" s="23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  <c r="AB144" s="4"/>
      <c r="AC144" s="4"/>
      <c r="AD144" s="4"/>
      <c r="AE144" s="4"/>
      <c r="AF144" s="4"/>
      <c r="AG144" s="4"/>
      <c r="AH144" s="4"/>
      <c r="AI144" s="4"/>
      <c r="AJ144" s="4"/>
      <c r="AK144" s="4"/>
      <c r="AL144" s="4"/>
      <c r="AM144" s="4"/>
      <c r="AN144" s="4"/>
      <c r="AO144" s="4"/>
      <c r="AP144" s="4"/>
      <c r="AQ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4"/>
      <c r="BD144" s="4"/>
      <c r="BE144" s="4"/>
      <c r="BF144" s="4"/>
      <c r="BG144" s="4"/>
      <c r="BH144" s="4"/>
      <c r="BI144" s="4"/>
      <c r="BJ144" s="4"/>
      <c r="BK144" s="4"/>
      <c r="BL144" s="4"/>
      <c r="BM144" s="4"/>
      <c r="BN144" s="4"/>
      <c r="BO144" s="4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</row>
    <row r="145" spans="1:100" ht="16.5" customHeight="1" x14ac:dyDescent="0.2">
      <c r="A145" s="3"/>
      <c r="B145" s="4"/>
      <c r="C145" s="4"/>
      <c r="D145" s="4"/>
      <c r="E145" s="23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  <c r="AB145" s="4"/>
      <c r="AC145" s="4"/>
      <c r="AD145" s="4"/>
      <c r="AE145" s="4"/>
      <c r="AF145" s="4"/>
      <c r="AG145" s="4"/>
      <c r="AH145" s="4"/>
      <c r="AI145" s="4"/>
      <c r="AJ145" s="4"/>
      <c r="AK145" s="4"/>
      <c r="AL145" s="4"/>
      <c r="AM145" s="4"/>
      <c r="AN145" s="4"/>
      <c r="AO145" s="4"/>
      <c r="AP145" s="4"/>
      <c r="AQ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4"/>
      <c r="BD145" s="4"/>
      <c r="BE145" s="4"/>
      <c r="BF145" s="4"/>
      <c r="BG145" s="4"/>
      <c r="BH145" s="4"/>
      <c r="BI145" s="4"/>
      <c r="BJ145" s="4"/>
      <c r="BK145" s="4"/>
      <c r="BL145" s="4"/>
      <c r="BM145" s="4"/>
      <c r="BN145" s="4"/>
      <c r="BO145" s="4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</row>
    <row r="146" spans="1:100" ht="16.5" customHeight="1" x14ac:dyDescent="0.2">
      <c r="A146" s="3"/>
      <c r="B146" s="4"/>
      <c r="C146" s="4"/>
      <c r="D146" s="4"/>
      <c r="E146" s="23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  <c r="AB146" s="4"/>
      <c r="AC146" s="4"/>
      <c r="AD146" s="4"/>
      <c r="AE146" s="4"/>
      <c r="AF146" s="4"/>
      <c r="AG146" s="4"/>
      <c r="AH146" s="4"/>
      <c r="AI146" s="4"/>
      <c r="AJ146" s="4"/>
      <c r="AK146" s="4"/>
      <c r="AL146" s="4"/>
      <c r="AM146" s="4"/>
      <c r="AN146" s="4"/>
      <c r="AO146" s="4"/>
      <c r="AP146" s="4"/>
      <c r="AQ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4"/>
      <c r="BC146" s="4"/>
      <c r="BD146" s="4"/>
      <c r="BE146" s="4"/>
      <c r="BF146" s="4"/>
      <c r="BG146" s="4"/>
      <c r="BH146" s="4"/>
      <c r="BI146" s="4"/>
      <c r="BJ146" s="4"/>
      <c r="BK146" s="4"/>
      <c r="BL146" s="4"/>
      <c r="BM146" s="4"/>
      <c r="BN146" s="4"/>
      <c r="BO146" s="4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</row>
    <row r="147" spans="1:100" ht="16.5" customHeight="1" x14ac:dyDescent="0.2">
      <c r="A147" s="3"/>
      <c r="B147" s="4"/>
      <c r="C147" s="4"/>
      <c r="D147" s="4"/>
      <c r="E147" s="23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  <c r="AB147" s="4"/>
      <c r="AC147" s="4"/>
      <c r="AD147" s="4"/>
      <c r="AE147" s="4"/>
      <c r="AF147" s="4"/>
      <c r="AG147" s="4"/>
      <c r="AH147" s="4"/>
      <c r="AI147" s="4"/>
      <c r="AJ147" s="4"/>
      <c r="AK147" s="4"/>
      <c r="AL147" s="4"/>
      <c r="AM147" s="4"/>
      <c r="AN147" s="4"/>
      <c r="AO147" s="4"/>
      <c r="AP147" s="4"/>
      <c r="AQ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4"/>
      <c r="BC147" s="4"/>
      <c r="BD147" s="4"/>
      <c r="BE147" s="4"/>
      <c r="BF147" s="4"/>
      <c r="BG147" s="4"/>
      <c r="BH147" s="4"/>
      <c r="BI147" s="4"/>
      <c r="BJ147" s="4"/>
      <c r="BK147" s="4"/>
      <c r="BL147" s="4"/>
      <c r="BM147" s="4"/>
      <c r="BN147" s="4"/>
      <c r="BO147" s="4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</row>
    <row r="148" spans="1:100" ht="16.5" customHeight="1" x14ac:dyDescent="0.2">
      <c r="A148" s="3"/>
      <c r="B148" s="4"/>
      <c r="C148" s="4"/>
      <c r="D148" s="4"/>
      <c r="E148" s="23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  <c r="AB148" s="4"/>
      <c r="AC148" s="4"/>
      <c r="AD148" s="4"/>
      <c r="AE148" s="4"/>
      <c r="AF148" s="4"/>
      <c r="AG148" s="4"/>
      <c r="AH148" s="4"/>
      <c r="AI148" s="4"/>
      <c r="AJ148" s="4"/>
      <c r="AK148" s="4"/>
      <c r="AL148" s="4"/>
      <c r="AM148" s="4"/>
      <c r="AN148" s="4"/>
      <c r="AO148" s="4"/>
      <c r="AP148" s="4"/>
      <c r="AQ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4"/>
      <c r="BC148" s="4"/>
      <c r="BD148" s="4"/>
      <c r="BE148" s="4"/>
      <c r="BF148" s="4"/>
      <c r="BG148" s="4"/>
      <c r="BH148" s="4"/>
      <c r="BI148" s="4"/>
      <c r="BJ148" s="4"/>
      <c r="BK148" s="4"/>
      <c r="BL148" s="4"/>
      <c r="BM148" s="4"/>
      <c r="BN148" s="4"/>
      <c r="BO148" s="4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</row>
    <row r="149" spans="1:100" ht="16.5" customHeight="1" x14ac:dyDescent="0.2">
      <c r="A149" s="3"/>
      <c r="B149" s="4"/>
      <c r="C149" s="4"/>
      <c r="D149" s="4"/>
      <c r="E149" s="23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  <c r="AB149" s="4"/>
      <c r="AC149" s="4"/>
      <c r="AD149" s="4"/>
      <c r="AE149" s="4"/>
      <c r="AF149" s="4"/>
      <c r="AG149" s="4"/>
      <c r="AH149" s="4"/>
      <c r="AI149" s="4"/>
      <c r="AJ149" s="4"/>
      <c r="AK149" s="4"/>
      <c r="AL149" s="4"/>
      <c r="AM149" s="4"/>
      <c r="AN149" s="4"/>
      <c r="AO149" s="4"/>
      <c r="AP149" s="4"/>
      <c r="AQ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4"/>
      <c r="BC149" s="4"/>
      <c r="BD149" s="4"/>
      <c r="BE149" s="4"/>
      <c r="BF149" s="4"/>
      <c r="BG149" s="4"/>
      <c r="BH149" s="4"/>
      <c r="BI149" s="4"/>
      <c r="BJ149" s="4"/>
      <c r="BK149" s="4"/>
      <c r="BL149" s="4"/>
      <c r="BM149" s="4"/>
      <c r="BN149" s="4"/>
      <c r="BO149" s="4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</row>
    <row r="150" spans="1:100" ht="16.5" customHeight="1" x14ac:dyDescent="0.2">
      <c r="A150" s="3"/>
      <c r="B150" s="4"/>
      <c r="C150" s="4"/>
      <c r="D150" s="4"/>
      <c r="E150" s="23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  <c r="AB150" s="4"/>
      <c r="AC150" s="4"/>
      <c r="AD150" s="4"/>
      <c r="AE150" s="4"/>
      <c r="AF150" s="4"/>
      <c r="AG150" s="4"/>
      <c r="AH150" s="4"/>
      <c r="AI150" s="4"/>
      <c r="AJ150" s="4"/>
      <c r="AK150" s="4"/>
      <c r="AL150" s="4"/>
      <c r="AM150" s="4"/>
      <c r="AN150" s="4"/>
      <c r="AO150" s="4"/>
      <c r="AP150" s="4"/>
      <c r="AQ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4"/>
      <c r="BC150" s="4"/>
      <c r="BD150" s="4"/>
      <c r="BE150" s="4"/>
      <c r="BF150" s="4"/>
      <c r="BG150" s="4"/>
      <c r="BH150" s="4"/>
      <c r="BI150" s="4"/>
      <c r="BJ150" s="4"/>
      <c r="BK150" s="4"/>
      <c r="BL150" s="4"/>
      <c r="BM150" s="4"/>
      <c r="BN150" s="4"/>
      <c r="BO150" s="4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</row>
    <row r="151" spans="1:100" ht="16.5" customHeight="1" x14ac:dyDescent="0.2">
      <c r="A151" s="3"/>
      <c r="B151" s="4"/>
      <c r="C151" s="4"/>
      <c r="D151" s="4"/>
      <c r="E151" s="23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  <c r="AB151" s="4"/>
      <c r="AC151" s="4"/>
      <c r="AD151" s="4"/>
      <c r="AE151" s="4"/>
      <c r="AF151" s="4"/>
      <c r="AG151" s="4"/>
      <c r="AH151" s="4"/>
      <c r="AI151" s="4"/>
      <c r="AJ151" s="4"/>
      <c r="AK151" s="4"/>
      <c r="AL151" s="4"/>
      <c r="AM151" s="4"/>
      <c r="AN151" s="4"/>
      <c r="AO151" s="4"/>
      <c r="AP151" s="4"/>
      <c r="AQ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4"/>
      <c r="BC151" s="4"/>
      <c r="BD151" s="4"/>
      <c r="BE151" s="4"/>
      <c r="BF151" s="4"/>
      <c r="BG151" s="4"/>
      <c r="BH151" s="4"/>
      <c r="BI151" s="4"/>
      <c r="BJ151" s="4"/>
      <c r="BK151" s="4"/>
      <c r="BL151" s="4"/>
      <c r="BM151" s="4"/>
      <c r="BN151" s="4"/>
      <c r="BO151" s="4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</row>
    <row r="152" spans="1:100" ht="16.5" customHeight="1" x14ac:dyDescent="0.2">
      <c r="A152" s="3"/>
      <c r="B152" s="4"/>
      <c r="C152" s="4"/>
      <c r="D152" s="4"/>
      <c r="E152" s="23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  <c r="AB152" s="4"/>
      <c r="AC152" s="4"/>
      <c r="AD152" s="4"/>
      <c r="AE152" s="4"/>
      <c r="AF152" s="4"/>
      <c r="AG152" s="4"/>
      <c r="AH152" s="4"/>
      <c r="AI152" s="4"/>
      <c r="AJ152" s="4"/>
      <c r="AK152" s="4"/>
      <c r="AL152" s="4"/>
      <c r="AM152" s="4"/>
      <c r="AN152" s="4"/>
      <c r="AO152" s="4"/>
      <c r="AP152" s="4"/>
      <c r="AQ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4"/>
      <c r="BC152" s="4"/>
      <c r="BD152" s="4"/>
      <c r="BE152" s="4"/>
      <c r="BF152" s="4"/>
      <c r="BG152" s="4"/>
      <c r="BH152" s="4"/>
      <c r="BI152" s="4"/>
      <c r="BJ152" s="4"/>
      <c r="BK152" s="4"/>
      <c r="BL152" s="4"/>
      <c r="BM152" s="4"/>
      <c r="BN152" s="4"/>
      <c r="BO152" s="4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</row>
    <row r="153" spans="1:100" ht="16.5" customHeight="1" x14ac:dyDescent="0.2">
      <c r="A153" s="3"/>
      <c r="B153" s="4"/>
      <c r="C153" s="4"/>
      <c r="D153" s="4"/>
      <c r="E153" s="23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  <c r="AB153" s="4"/>
      <c r="AC153" s="4"/>
      <c r="AD153" s="4"/>
      <c r="AE153" s="4"/>
      <c r="AF153" s="4"/>
      <c r="AG153" s="4"/>
      <c r="AH153" s="4"/>
      <c r="AI153" s="4"/>
      <c r="AJ153" s="4"/>
      <c r="AK153" s="4"/>
      <c r="AL153" s="4"/>
      <c r="AM153" s="4"/>
      <c r="AN153" s="4"/>
      <c r="AO153" s="4"/>
      <c r="AP153" s="4"/>
      <c r="AQ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4"/>
      <c r="BC153" s="4"/>
      <c r="BD153" s="4"/>
      <c r="BE153" s="4"/>
      <c r="BF153" s="4"/>
      <c r="BG153" s="4"/>
      <c r="BH153" s="4"/>
      <c r="BI153" s="4"/>
      <c r="BJ153" s="4"/>
      <c r="BK153" s="4"/>
      <c r="BL153" s="4"/>
      <c r="BM153" s="4"/>
      <c r="BN153" s="4"/>
      <c r="BO153" s="4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</row>
    <row r="154" spans="1:100" ht="16.5" customHeight="1" x14ac:dyDescent="0.2">
      <c r="A154" s="3"/>
      <c r="B154" s="4"/>
      <c r="C154" s="4"/>
      <c r="D154" s="4"/>
      <c r="E154" s="23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  <c r="AB154" s="4"/>
      <c r="AC154" s="4"/>
      <c r="AD154" s="4"/>
      <c r="AE154" s="4"/>
      <c r="AF154" s="4"/>
      <c r="AG154" s="4"/>
      <c r="AH154" s="4"/>
      <c r="AI154" s="4"/>
      <c r="AJ154" s="4"/>
      <c r="AK154" s="4"/>
      <c r="AL154" s="4"/>
      <c r="AM154" s="4"/>
      <c r="AN154" s="4"/>
      <c r="AO154" s="4"/>
      <c r="AP154" s="4"/>
      <c r="AQ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4"/>
      <c r="BC154" s="4"/>
      <c r="BD154" s="4"/>
      <c r="BE154" s="4"/>
      <c r="BF154" s="4"/>
      <c r="BG154" s="4"/>
      <c r="BH154" s="4"/>
      <c r="BI154" s="4"/>
      <c r="BJ154" s="4"/>
      <c r="BK154" s="4"/>
      <c r="BL154" s="4"/>
      <c r="BM154" s="4"/>
      <c r="BN154" s="4"/>
      <c r="BO154" s="4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</row>
    <row r="155" spans="1:100" ht="16.5" customHeight="1" x14ac:dyDescent="0.2">
      <c r="A155" s="3"/>
      <c r="B155" s="4"/>
      <c r="C155" s="4"/>
      <c r="D155" s="4"/>
      <c r="E155" s="23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  <c r="AB155" s="4"/>
      <c r="AC155" s="4"/>
      <c r="AD155" s="4"/>
      <c r="AE155" s="4"/>
      <c r="AF155" s="4"/>
      <c r="AG155" s="4"/>
      <c r="AH155" s="4"/>
      <c r="AI155" s="4"/>
      <c r="AJ155" s="4"/>
      <c r="AK155" s="4"/>
      <c r="AL155" s="4"/>
      <c r="AM155" s="4"/>
      <c r="AN155" s="4"/>
      <c r="AO155" s="4"/>
      <c r="AP155" s="4"/>
      <c r="AQ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4"/>
      <c r="BC155" s="4"/>
      <c r="BD155" s="4"/>
      <c r="BE155" s="4"/>
      <c r="BF155" s="4"/>
      <c r="BG155" s="4"/>
      <c r="BH155" s="4"/>
      <c r="BI155" s="4"/>
      <c r="BJ155" s="4"/>
      <c r="BK155" s="4"/>
      <c r="BL155" s="4"/>
      <c r="BM155" s="4"/>
      <c r="BN155" s="4"/>
      <c r="BO155" s="4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</row>
    <row r="156" spans="1:100" ht="16.5" customHeight="1" x14ac:dyDescent="0.2">
      <c r="A156" s="3"/>
      <c r="B156" s="4"/>
      <c r="C156" s="4"/>
      <c r="D156" s="4"/>
      <c r="E156" s="23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  <c r="AB156" s="4"/>
      <c r="AC156" s="4"/>
      <c r="AD156" s="4"/>
      <c r="AE156" s="4"/>
      <c r="AF156" s="4"/>
      <c r="AG156" s="4"/>
      <c r="AH156" s="4"/>
      <c r="AI156" s="4"/>
      <c r="AJ156" s="4"/>
      <c r="AK156" s="4"/>
      <c r="AL156" s="4"/>
      <c r="AM156" s="4"/>
      <c r="AN156" s="4"/>
      <c r="AO156" s="4"/>
      <c r="AP156" s="4"/>
      <c r="AQ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4"/>
      <c r="BC156" s="4"/>
      <c r="BD156" s="4"/>
      <c r="BE156" s="4"/>
      <c r="BF156" s="4"/>
      <c r="BG156" s="4"/>
      <c r="BH156" s="4"/>
      <c r="BI156" s="4"/>
      <c r="BJ156" s="4"/>
      <c r="BK156" s="4"/>
      <c r="BL156" s="4"/>
      <c r="BM156" s="4"/>
      <c r="BN156" s="4"/>
      <c r="BO156" s="4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</row>
    <row r="157" spans="1:100" ht="16.5" customHeight="1" x14ac:dyDescent="0.2">
      <c r="A157" s="3"/>
      <c r="B157" s="4"/>
      <c r="C157" s="4"/>
      <c r="D157" s="4"/>
      <c r="E157" s="23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  <c r="AB157" s="4"/>
      <c r="AC157" s="4"/>
      <c r="AD157" s="4"/>
      <c r="AE157" s="4"/>
      <c r="AF157" s="4"/>
      <c r="AG157" s="4"/>
      <c r="AH157" s="4"/>
      <c r="AI157" s="4"/>
      <c r="AJ157" s="4"/>
      <c r="AK157" s="4"/>
      <c r="AL157" s="4"/>
      <c r="AM157" s="4"/>
      <c r="AN157" s="4"/>
      <c r="AO157" s="4"/>
      <c r="AP157" s="4"/>
      <c r="AQ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4"/>
      <c r="BC157" s="4"/>
      <c r="BD157" s="4"/>
      <c r="BE157" s="4"/>
      <c r="BF157" s="4"/>
      <c r="BG157" s="4"/>
      <c r="BH157" s="4"/>
      <c r="BI157" s="4"/>
      <c r="BJ157" s="4"/>
      <c r="BK157" s="4"/>
      <c r="BL157" s="4"/>
      <c r="BM157" s="4"/>
      <c r="BN157" s="4"/>
      <c r="BO157" s="4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</row>
    <row r="158" spans="1:100" ht="16.5" customHeight="1" x14ac:dyDescent="0.2">
      <c r="A158" s="3"/>
      <c r="B158" s="4"/>
      <c r="C158" s="4"/>
      <c r="D158" s="4"/>
      <c r="E158" s="23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  <c r="AB158" s="4"/>
      <c r="AC158" s="4"/>
      <c r="AD158" s="4"/>
      <c r="AE158" s="4"/>
      <c r="AF158" s="4"/>
      <c r="AG158" s="4"/>
      <c r="AH158" s="4"/>
      <c r="AI158" s="4"/>
      <c r="AJ158" s="4"/>
      <c r="AK158" s="4"/>
      <c r="AL158" s="4"/>
      <c r="AM158" s="4"/>
      <c r="AN158" s="4"/>
      <c r="AO158" s="4"/>
      <c r="AP158" s="4"/>
      <c r="AQ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4"/>
      <c r="BC158" s="4"/>
      <c r="BD158" s="4"/>
      <c r="BE158" s="4"/>
      <c r="BF158" s="4"/>
      <c r="BG158" s="4"/>
      <c r="BH158" s="4"/>
      <c r="BI158" s="4"/>
      <c r="BJ158" s="4"/>
      <c r="BK158" s="4"/>
      <c r="BL158" s="4"/>
      <c r="BM158" s="4"/>
      <c r="BN158" s="4"/>
      <c r="BO158" s="4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</row>
    <row r="159" spans="1:100" ht="16.5" customHeight="1" x14ac:dyDescent="0.2">
      <c r="A159" s="3"/>
      <c r="B159" s="4"/>
      <c r="C159" s="4"/>
      <c r="D159" s="4"/>
      <c r="E159" s="23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  <c r="AM159" s="4"/>
      <c r="AN159" s="4"/>
      <c r="AO159" s="4"/>
      <c r="AP159" s="4"/>
      <c r="AQ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4"/>
      <c r="BC159" s="4"/>
      <c r="BD159" s="4"/>
      <c r="BE159" s="4"/>
      <c r="BF159" s="4"/>
      <c r="BG159" s="4"/>
      <c r="BH159" s="4"/>
      <c r="BI159" s="4"/>
      <c r="BJ159" s="4"/>
      <c r="BK159" s="4"/>
      <c r="BL159" s="4"/>
      <c r="BM159" s="4"/>
      <c r="BN159" s="4"/>
      <c r="BO159" s="4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</row>
    <row r="160" spans="1:100" ht="16.5" customHeight="1" x14ac:dyDescent="0.2">
      <c r="A160" s="3"/>
      <c r="B160" s="4"/>
      <c r="C160" s="4"/>
      <c r="D160" s="4"/>
      <c r="E160" s="23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  <c r="AM160" s="4"/>
      <c r="AN160" s="4"/>
      <c r="AO160" s="4"/>
      <c r="AP160" s="4"/>
      <c r="AQ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4"/>
      <c r="BC160" s="4"/>
      <c r="BD160" s="4"/>
      <c r="BE160" s="4"/>
      <c r="BF160" s="4"/>
      <c r="BG160" s="4"/>
      <c r="BH160" s="4"/>
      <c r="BI160" s="4"/>
      <c r="BJ160" s="4"/>
      <c r="BK160" s="4"/>
      <c r="BL160" s="4"/>
      <c r="BM160" s="4"/>
      <c r="BN160" s="4"/>
      <c r="BO160" s="4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</row>
    <row r="161" spans="1:100" ht="16.5" customHeight="1" x14ac:dyDescent="0.2">
      <c r="A161" s="3"/>
      <c r="B161" s="4"/>
      <c r="C161" s="4"/>
      <c r="D161" s="4"/>
      <c r="E161" s="23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  <c r="AM161" s="4"/>
      <c r="AN161" s="4"/>
      <c r="AO161" s="4"/>
      <c r="AP161" s="4"/>
      <c r="AQ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4"/>
      <c r="BC161" s="4"/>
      <c r="BD161" s="4"/>
      <c r="BE161" s="4"/>
      <c r="BF161" s="4"/>
      <c r="BG161" s="4"/>
      <c r="BH161" s="4"/>
      <c r="BI161" s="4"/>
      <c r="BJ161" s="4"/>
      <c r="BK161" s="4"/>
      <c r="BL161" s="4"/>
      <c r="BM161" s="4"/>
      <c r="BN161" s="4"/>
      <c r="BO161" s="4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</row>
    <row r="162" spans="1:100" ht="16.5" customHeight="1" x14ac:dyDescent="0.2">
      <c r="A162" s="3"/>
      <c r="B162" s="4"/>
      <c r="C162" s="4"/>
      <c r="D162" s="4"/>
      <c r="E162" s="23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  <c r="AM162" s="4"/>
      <c r="AN162" s="4"/>
      <c r="AO162" s="4"/>
      <c r="AP162" s="4"/>
      <c r="AQ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4"/>
      <c r="BC162" s="4"/>
      <c r="BD162" s="4"/>
      <c r="BE162" s="4"/>
      <c r="BF162" s="4"/>
      <c r="BG162" s="4"/>
      <c r="BH162" s="4"/>
      <c r="BI162" s="4"/>
      <c r="BJ162" s="4"/>
      <c r="BK162" s="4"/>
      <c r="BL162" s="4"/>
      <c r="BM162" s="4"/>
      <c r="BN162" s="4"/>
      <c r="BO162" s="4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</row>
    <row r="163" spans="1:100" ht="16.5" customHeight="1" x14ac:dyDescent="0.2">
      <c r="A163" s="3"/>
      <c r="B163" s="4"/>
      <c r="C163" s="4"/>
      <c r="D163" s="4"/>
      <c r="E163" s="23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  <c r="AM163" s="4"/>
      <c r="AN163" s="4"/>
      <c r="AO163" s="4"/>
      <c r="AP163" s="4"/>
      <c r="AQ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4"/>
      <c r="BC163" s="4"/>
      <c r="BD163" s="4"/>
      <c r="BE163" s="4"/>
      <c r="BF163" s="4"/>
      <c r="BG163" s="4"/>
      <c r="BH163" s="4"/>
      <c r="BI163" s="4"/>
      <c r="BJ163" s="4"/>
      <c r="BK163" s="4"/>
      <c r="BL163" s="4"/>
      <c r="BM163" s="4"/>
      <c r="BN163" s="4"/>
      <c r="BO163" s="4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</row>
    <row r="164" spans="1:100" ht="16.5" customHeight="1" x14ac:dyDescent="0.2">
      <c r="A164" s="3"/>
      <c r="B164" s="4"/>
      <c r="C164" s="4"/>
      <c r="D164" s="4"/>
      <c r="E164" s="23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  <c r="AM164" s="4"/>
      <c r="AN164" s="4"/>
      <c r="AO164" s="4"/>
      <c r="AP164" s="4"/>
      <c r="AQ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4"/>
      <c r="BC164" s="4"/>
      <c r="BD164" s="4"/>
      <c r="BE164" s="4"/>
      <c r="BF164" s="4"/>
      <c r="BG164" s="4"/>
      <c r="BH164" s="4"/>
      <c r="BI164" s="4"/>
      <c r="BJ164" s="4"/>
      <c r="BK164" s="4"/>
      <c r="BL164" s="4"/>
      <c r="BM164" s="4"/>
      <c r="BN164" s="4"/>
      <c r="BO164" s="4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</row>
    <row r="165" spans="1:100" ht="16.5" customHeight="1" x14ac:dyDescent="0.2">
      <c r="A165" s="3"/>
      <c r="B165" s="4"/>
      <c r="C165" s="4"/>
      <c r="D165" s="4"/>
      <c r="E165" s="23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  <c r="AM165" s="4"/>
      <c r="AN165" s="4"/>
      <c r="AO165" s="4"/>
      <c r="AP165" s="4"/>
      <c r="AQ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4"/>
      <c r="BC165" s="4"/>
      <c r="BD165" s="4"/>
      <c r="BE165" s="4"/>
      <c r="BF165" s="4"/>
      <c r="BG165" s="4"/>
      <c r="BH165" s="4"/>
      <c r="BI165" s="4"/>
      <c r="BJ165" s="4"/>
      <c r="BK165" s="4"/>
      <c r="BL165" s="4"/>
      <c r="BM165" s="4"/>
      <c r="BN165" s="4"/>
      <c r="BO165" s="4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</row>
    <row r="166" spans="1:100" ht="16.5" customHeight="1" x14ac:dyDescent="0.2">
      <c r="A166" s="3"/>
      <c r="B166" s="4"/>
      <c r="C166" s="4"/>
      <c r="D166" s="4"/>
      <c r="E166" s="23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  <c r="AM166" s="4"/>
      <c r="AN166" s="4"/>
      <c r="AO166" s="4"/>
      <c r="AP166" s="4"/>
      <c r="AQ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4"/>
      <c r="BC166" s="4"/>
      <c r="BD166" s="4"/>
      <c r="BE166" s="4"/>
      <c r="BF166" s="4"/>
      <c r="BG166" s="4"/>
      <c r="BH166" s="4"/>
      <c r="BI166" s="4"/>
      <c r="BJ166" s="4"/>
      <c r="BK166" s="4"/>
      <c r="BL166" s="4"/>
      <c r="BM166" s="4"/>
      <c r="BN166" s="4"/>
      <c r="BO166" s="4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</row>
    <row r="167" spans="1:100" ht="16.5" customHeight="1" x14ac:dyDescent="0.2">
      <c r="A167" s="3"/>
      <c r="B167" s="4"/>
      <c r="C167" s="4"/>
      <c r="D167" s="4"/>
      <c r="E167" s="23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  <c r="AM167" s="4"/>
      <c r="AN167" s="4"/>
      <c r="AO167" s="4"/>
      <c r="AP167" s="4"/>
      <c r="AQ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4"/>
      <c r="BC167" s="4"/>
      <c r="BD167" s="4"/>
      <c r="BE167" s="4"/>
      <c r="BF167" s="4"/>
      <c r="BG167" s="4"/>
      <c r="BH167" s="4"/>
      <c r="BI167" s="4"/>
      <c r="BJ167" s="4"/>
      <c r="BK167" s="4"/>
      <c r="BL167" s="4"/>
      <c r="BM167" s="4"/>
      <c r="BN167" s="4"/>
      <c r="BO167" s="4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</row>
    <row r="168" spans="1:100" ht="16.5" customHeight="1" x14ac:dyDescent="0.2">
      <c r="A168" s="3"/>
      <c r="B168" s="4"/>
      <c r="C168" s="4"/>
      <c r="D168" s="4"/>
      <c r="E168" s="23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  <c r="AM168" s="4"/>
      <c r="AN168" s="4"/>
      <c r="AO168" s="4"/>
      <c r="AP168" s="4"/>
      <c r="AQ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4"/>
      <c r="BC168" s="4"/>
      <c r="BD168" s="4"/>
      <c r="BE168" s="4"/>
      <c r="BF168" s="4"/>
      <c r="BG168" s="4"/>
      <c r="BH168" s="4"/>
      <c r="BI168" s="4"/>
      <c r="BJ168" s="4"/>
      <c r="BK168" s="4"/>
      <c r="BL168" s="4"/>
      <c r="BM168" s="4"/>
      <c r="BN168" s="4"/>
      <c r="BO168" s="4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</row>
    <row r="169" spans="1:100" ht="16.5" customHeight="1" x14ac:dyDescent="0.2">
      <c r="A169" s="3"/>
      <c r="B169" s="4"/>
      <c r="C169" s="4"/>
      <c r="D169" s="4"/>
      <c r="E169" s="23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  <c r="AM169" s="4"/>
      <c r="AN169" s="4"/>
      <c r="AO169" s="4"/>
      <c r="AP169" s="4"/>
      <c r="AQ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4"/>
      <c r="BC169" s="4"/>
      <c r="BD169" s="4"/>
      <c r="BE169" s="4"/>
      <c r="BF169" s="4"/>
      <c r="BG169" s="4"/>
      <c r="BH169" s="4"/>
      <c r="BI169" s="4"/>
      <c r="BJ169" s="4"/>
      <c r="BK169" s="4"/>
      <c r="BL169" s="4"/>
      <c r="BM169" s="4"/>
      <c r="BN169" s="4"/>
      <c r="BO169" s="4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</row>
    <row r="170" spans="1:100" ht="16.5" customHeight="1" x14ac:dyDescent="0.2">
      <c r="A170" s="3"/>
      <c r="B170" s="4"/>
      <c r="C170" s="4"/>
      <c r="D170" s="4"/>
      <c r="E170" s="23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  <c r="AM170" s="4"/>
      <c r="AN170" s="4"/>
      <c r="AO170" s="4"/>
      <c r="AP170" s="4"/>
      <c r="AQ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4"/>
      <c r="BC170" s="4"/>
      <c r="BD170" s="4"/>
      <c r="BE170" s="4"/>
      <c r="BF170" s="4"/>
      <c r="BG170" s="4"/>
      <c r="BH170" s="4"/>
      <c r="BI170" s="4"/>
      <c r="BJ170" s="4"/>
      <c r="BK170" s="4"/>
      <c r="BL170" s="4"/>
      <c r="BM170" s="4"/>
      <c r="BN170" s="4"/>
      <c r="BO170" s="4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</row>
    <row r="171" spans="1:100" ht="16.5" customHeight="1" x14ac:dyDescent="0.2">
      <c r="A171" s="3"/>
      <c r="B171" s="4"/>
      <c r="C171" s="4"/>
      <c r="D171" s="4"/>
      <c r="E171" s="23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  <c r="AM171" s="4"/>
      <c r="AN171" s="4"/>
      <c r="AO171" s="4"/>
      <c r="AP171" s="4"/>
      <c r="AQ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4"/>
      <c r="BC171" s="4"/>
      <c r="BD171" s="4"/>
      <c r="BE171" s="4"/>
      <c r="BF171" s="4"/>
      <c r="BG171" s="4"/>
      <c r="BH171" s="4"/>
      <c r="BI171" s="4"/>
      <c r="BJ171" s="4"/>
      <c r="BK171" s="4"/>
      <c r="BL171" s="4"/>
      <c r="BM171" s="4"/>
      <c r="BN171" s="4"/>
      <c r="BO171" s="4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</row>
    <row r="172" spans="1:100" ht="16.5" customHeight="1" x14ac:dyDescent="0.2">
      <c r="A172" s="3"/>
      <c r="B172" s="4"/>
      <c r="C172" s="4"/>
      <c r="D172" s="4"/>
      <c r="E172" s="23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  <c r="AM172" s="4"/>
      <c r="AN172" s="4"/>
      <c r="AO172" s="4"/>
      <c r="AP172" s="4"/>
      <c r="AQ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4"/>
      <c r="BC172" s="4"/>
      <c r="BD172" s="4"/>
      <c r="BE172" s="4"/>
      <c r="BF172" s="4"/>
      <c r="BG172" s="4"/>
      <c r="BH172" s="4"/>
      <c r="BI172" s="4"/>
      <c r="BJ172" s="4"/>
      <c r="BK172" s="4"/>
      <c r="BL172" s="4"/>
      <c r="BM172" s="4"/>
      <c r="BN172" s="4"/>
      <c r="BO172" s="4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</row>
    <row r="173" spans="1:100" ht="16.5" customHeight="1" x14ac:dyDescent="0.2">
      <c r="A173" s="3"/>
      <c r="B173" s="4"/>
      <c r="C173" s="4"/>
      <c r="D173" s="4"/>
      <c r="E173" s="23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  <c r="AM173" s="4"/>
      <c r="AN173" s="4"/>
      <c r="AO173" s="4"/>
      <c r="AP173" s="4"/>
      <c r="AQ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4"/>
      <c r="BC173" s="4"/>
      <c r="BD173" s="4"/>
      <c r="BE173" s="4"/>
      <c r="BF173" s="4"/>
      <c r="BG173" s="4"/>
      <c r="BH173" s="4"/>
      <c r="BI173" s="4"/>
      <c r="BJ173" s="4"/>
      <c r="BK173" s="4"/>
      <c r="BL173" s="4"/>
      <c r="BM173" s="4"/>
      <c r="BN173" s="4"/>
      <c r="BO173" s="4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</row>
    <row r="174" spans="1:100" ht="16.5" customHeight="1" x14ac:dyDescent="0.2">
      <c r="A174" s="3"/>
      <c r="B174" s="4"/>
      <c r="C174" s="4"/>
      <c r="D174" s="4"/>
      <c r="E174" s="23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  <c r="AM174" s="4"/>
      <c r="AN174" s="4"/>
      <c r="AO174" s="4"/>
      <c r="AP174" s="4"/>
      <c r="AQ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4"/>
      <c r="BC174" s="4"/>
      <c r="BD174" s="4"/>
      <c r="BE174" s="4"/>
      <c r="BF174" s="4"/>
      <c r="BG174" s="4"/>
      <c r="BH174" s="4"/>
      <c r="BI174" s="4"/>
      <c r="BJ174" s="4"/>
      <c r="BK174" s="4"/>
      <c r="BL174" s="4"/>
      <c r="BM174" s="4"/>
      <c r="BN174" s="4"/>
      <c r="BO174" s="4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</row>
    <row r="175" spans="1:100" ht="16.5" customHeight="1" x14ac:dyDescent="0.2">
      <c r="A175" s="3"/>
      <c r="B175" s="4"/>
      <c r="C175" s="4"/>
      <c r="D175" s="4"/>
      <c r="E175" s="23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  <c r="AM175" s="4"/>
      <c r="AN175" s="4"/>
      <c r="AO175" s="4"/>
      <c r="AP175" s="4"/>
      <c r="AQ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4"/>
      <c r="BC175" s="4"/>
      <c r="BD175" s="4"/>
      <c r="BE175" s="4"/>
      <c r="BF175" s="4"/>
      <c r="BG175" s="4"/>
      <c r="BH175" s="4"/>
      <c r="BI175" s="4"/>
      <c r="BJ175" s="4"/>
      <c r="BK175" s="4"/>
      <c r="BL175" s="4"/>
      <c r="BM175" s="4"/>
      <c r="BN175" s="4"/>
      <c r="BO175" s="4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</row>
    <row r="176" spans="1:100" ht="16.5" customHeight="1" x14ac:dyDescent="0.2">
      <c r="A176" s="3"/>
      <c r="B176" s="4"/>
      <c r="C176" s="4"/>
      <c r="D176" s="4"/>
      <c r="E176" s="23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  <c r="AM176" s="4"/>
      <c r="AN176" s="4"/>
      <c r="AO176" s="4"/>
      <c r="AP176" s="4"/>
      <c r="AQ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4"/>
      <c r="BC176" s="4"/>
      <c r="BD176" s="4"/>
      <c r="BE176" s="4"/>
      <c r="BF176" s="4"/>
      <c r="BG176" s="4"/>
      <c r="BH176" s="4"/>
      <c r="BI176" s="4"/>
      <c r="BJ176" s="4"/>
      <c r="BK176" s="4"/>
      <c r="BL176" s="4"/>
      <c r="BM176" s="4"/>
      <c r="BN176" s="4"/>
      <c r="BO176" s="4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</row>
    <row r="177" spans="1:100" ht="16.5" customHeight="1" x14ac:dyDescent="0.2">
      <c r="A177" s="3"/>
      <c r="B177" s="4"/>
      <c r="C177" s="4"/>
      <c r="D177" s="4"/>
      <c r="E177" s="23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  <c r="AM177" s="4"/>
      <c r="AN177" s="4"/>
      <c r="AO177" s="4"/>
      <c r="AP177" s="4"/>
      <c r="AQ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4"/>
      <c r="BC177" s="4"/>
      <c r="BD177" s="4"/>
      <c r="BE177" s="4"/>
      <c r="BF177" s="4"/>
      <c r="BG177" s="4"/>
      <c r="BH177" s="4"/>
      <c r="BI177" s="4"/>
      <c r="BJ177" s="4"/>
      <c r="BK177" s="4"/>
      <c r="BL177" s="4"/>
      <c r="BM177" s="4"/>
      <c r="BN177" s="4"/>
      <c r="BO177" s="4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</row>
    <row r="178" spans="1:100" ht="16.5" customHeight="1" x14ac:dyDescent="0.2">
      <c r="A178" s="3"/>
      <c r="B178" s="4"/>
      <c r="C178" s="4"/>
      <c r="D178" s="4"/>
      <c r="E178" s="23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  <c r="AM178" s="4"/>
      <c r="AN178" s="4"/>
      <c r="AO178" s="4"/>
      <c r="AP178" s="4"/>
      <c r="AQ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4"/>
      <c r="BC178" s="4"/>
      <c r="BD178" s="4"/>
      <c r="BE178" s="4"/>
      <c r="BF178" s="4"/>
      <c r="BG178" s="4"/>
      <c r="BH178" s="4"/>
      <c r="BI178" s="4"/>
      <c r="BJ178" s="4"/>
      <c r="BK178" s="4"/>
      <c r="BL178" s="4"/>
      <c r="BM178" s="4"/>
      <c r="BN178" s="4"/>
      <c r="BO178" s="4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</row>
    <row r="179" spans="1:100" ht="16.5" customHeight="1" x14ac:dyDescent="0.2">
      <c r="A179" s="3"/>
      <c r="B179" s="4"/>
      <c r="C179" s="4"/>
      <c r="D179" s="4"/>
      <c r="E179" s="23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  <c r="AM179" s="4"/>
      <c r="AN179" s="4"/>
      <c r="AO179" s="4"/>
      <c r="AP179" s="4"/>
      <c r="AQ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4"/>
      <c r="BC179" s="4"/>
      <c r="BD179" s="4"/>
      <c r="BE179" s="4"/>
      <c r="BF179" s="4"/>
      <c r="BG179" s="4"/>
      <c r="BH179" s="4"/>
      <c r="BI179" s="4"/>
      <c r="BJ179" s="4"/>
      <c r="BK179" s="4"/>
      <c r="BL179" s="4"/>
      <c r="BM179" s="4"/>
      <c r="BN179" s="4"/>
      <c r="BO179" s="4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</row>
    <row r="180" spans="1:100" ht="16.5" customHeight="1" x14ac:dyDescent="0.2">
      <c r="A180" s="3"/>
      <c r="B180" s="4"/>
      <c r="C180" s="4"/>
      <c r="D180" s="4"/>
      <c r="E180" s="23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  <c r="AM180" s="4"/>
      <c r="AN180" s="4"/>
      <c r="AO180" s="4"/>
      <c r="AP180" s="4"/>
      <c r="AQ180" s="4"/>
      <c r="AR180" s="4"/>
      <c r="AS180" s="4"/>
      <c r="AT180" s="4"/>
      <c r="AU180" s="4"/>
      <c r="AV180" s="4"/>
      <c r="AW180" s="4"/>
      <c r="AX180" s="4"/>
      <c r="AY180" s="4"/>
      <c r="AZ180" s="4"/>
      <c r="BA180" s="4"/>
      <c r="BB180" s="4"/>
      <c r="BC180" s="4"/>
      <c r="BD180" s="4"/>
      <c r="BE180" s="4"/>
      <c r="BF180" s="4"/>
      <c r="BG180" s="4"/>
      <c r="BH180" s="4"/>
      <c r="BI180" s="4"/>
      <c r="BJ180" s="4"/>
      <c r="BK180" s="4"/>
      <c r="BL180" s="4"/>
      <c r="BM180" s="4"/>
      <c r="BN180" s="4"/>
      <c r="BO180" s="4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</row>
    <row r="181" spans="1:100" ht="16.5" customHeight="1" x14ac:dyDescent="0.2">
      <c r="A181" s="3"/>
      <c r="B181" s="4"/>
      <c r="C181" s="4"/>
      <c r="D181" s="4"/>
      <c r="E181" s="23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  <c r="AM181" s="4"/>
      <c r="AN181" s="4"/>
      <c r="AO181" s="4"/>
      <c r="AP181" s="4"/>
      <c r="AQ181" s="4"/>
      <c r="AR181" s="4"/>
      <c r="AS181" s="4"/>
      <c r="AT181" s="4"/>
      <c r="AU181" s="4"/>
      <c r="AV181" s="4"/>
      <c r="AW181" s="4"/>
      <c r="AX181" s="4"/>
      <c r="AY181" s="4"/>
      <c r="AZ181" s="4"/>
      <c r="BA181" s="4"/>
      <c r="BB181" s="4"/>
      <c r="BC181" s="4"/>
      <c r="BD181" s="4"/>
      <c r="BE181" s="4"/>
      <c r="BF181" s="4"/>
      <c r="BG181" s="4"/>
      <c r="BH181" s="4"/>
      <c r="BI181" s="4"/>
      <c r="BJ181" s="4"/>
      <c r="BK181" s="4"/>
      <c r="BL181" s="4"/>
      <c r="BM181" s="4"/>
      <c r="BN181" s="4"/>
      <c r="BO181" s="4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</row>
    <row r="182" spans="1:100" ht="16.5" customHeight="1" x14ac:dyDescent="0.2">
      <c r="A182" s="3"/>
      <c r="B182" s="4"/>
      <c r="C182" s="4"/>
      <c r="D182" s="4"/>
      <c r="E182" s="23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  <c r="AM182" s="4"/>
      <c r="AN182" s="4"/>
      <c r="AO182" s="4"/>
      <c r="AP182" s="4"/>
      <c r="AQ182" s="4"/>
      <c r="AR182" s="4"/>
      <c r="AS182" s="4"/>
      <c r="AT182" s="4"/>
      <c r="AU182" s="4"/>
      <c r="AV182" s="4"/>
      <c r="AW182" s="4"/>
      <c r="AX182" s="4"/>
      <c r="AY182" s="4"/>
      <c r="AZ182" s="4"/>
      <c r="BA182" s="4"/>
      <c r="BB182" s="4"/>
      <c r="BC182" s="4"/>
      <c r="BD182" s="4"/>
      <c r="BE182" s="4"/>
      <c r="BF182" s="4"/>
      <c r="BG182" s="4"/>
      <c r="BH182" s="4"/>
      <c r="BI182" s="4"/>
      <c r="BJ182" s="4"/>
      <c r="BK182" s="4"/>
      <c r="BL182" s="4"/>
      <c r="BM182" s="4"/>
      <c r="BN182" s="4"/>
      <c r="BO182" s="4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</row>
    <row r="183" spans="1:100" ht="16.5" customHeight="1" x14ac:dyDescent="0.2">
      <c r="A183" s="3"/>
      <c r="B183" s="4"/>
      <c r="C183" s="4"/>
      <c r="D183" s="4"/>
      <c r="E183" s="23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  <c r="AM183" s="4"/>
      <c r="AN183" s="4"/>
      <c r="AO183" s="4"/>
      <c r="AP183" s="4"/>
      <c r="AQ183" s="4"/>
      <c r="AR183" s="4"/>
      <c r="AS183" s="4"/>
      <c r="AT183" s="4"/>
      <c r="AU183" s="4"/>
      <c r="AV183" s="4"/>
      <c r="AW183" s="4"/>
      <c r="AX183" s="4"/>
      <c r="AY183" s="4"/>
      <c r="AZ183" s="4"/>
      <c r="BA183" s="4"/>
      <c r="BB183" s="4"/>
      <c r="BC183" s="4"/>
      <c r="BD183" s="4"/>
      <c r="BE183" s="4"/>
      <c r="BF183" s="4"/>
      <c r="BG183" s="4"/>
      <c r="BH183" s="4"/>
      <c r="BI183" s="4"/>
      <c r="BJ183" s="4"/>
      <c r="BK183" s="4"/>
      <c r="BL183" s="4"/>
      <c r="BM183" s="4"/>
      <c r="BN183" s="4"/>
      <c r="BO183" s="4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</row>
    <row r="184" spans="1:100" ht="16.5" customHeight="1" x14ac:dyDescent="0.2">
      <c r="A184" s="3"/>
      <c r="B184" s="4"/>
      <c r="C184" s="4"/>
      <c r="D184" s="4"/>
      <c r="E184" s="23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  <c r="AM184" s="4"/>
      <c r="AN184" s="4"/>
      <c r="AO184" s="4"/>
      <c r="AP184" s="4"/>
      <c r="AQ184" s="4"/>
      <c r="AR184" s="4"/>
      <c r="AS184" s="4"/>
      <c r="AT184" s="4"/>
      <c r="AU184" s="4"/>
      <c r="AV184" s="4"/>
      <c r="AW184" s="4"/>
      <c r="AX184" s="4"/>
      <c r="AY184" s="4"/>
      <c r="AZ184" s="4"/>
      <c r="BA184" s="4"/>
      <c r="BB184" s="4"/>
      <c r="BC184" s="4"/>
      <c r="BD184" s="4"/>
      <c r="BE184" s="4"/>
      <c r="BF184" s="4"/>
      <c r="BG184" s="4"/>
      <c r="BH184" s="4"/>
      <c r="BI184" s="4"/>
      <c r="BJ184" s="4"/>
      <c r="BK184" s="4"/>
      <c r="BL184" s="4"/>
      <c r="BM184" s="4"/>
      <c r="BN184" s="4"/>
      <c r="BO184" s="4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</row>
    <row r="185" spans="1:100" ht="16.5" customHeight="1" x14ac:dyDescent="0.2">
      <c r="A185" s="3"/>
      <c r="B185" s="4"/>
      <c r="C185" s="4"/>
      <c r="D185" s="4"/>
      <c r="E185" s="23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  <c r="AM185" s="4"/>
      <c r="AN185" s="4"/>
      <c r="AO185" s="4"/>
      <c r="AP185" s="4"/>
      <c r="AQ185" s="4"/>
      <c r="AR185" s="4"/>
      <c r="AS185" s="4"/>
      <c r="AT185" s="4"/>
      <c r="AU185" s="4"/>
      <c r="AV185" s="4"/>
      <c r="AW185" s="4"/>
      <c r="AX185" s="4"/>
      <c r="AY185" s="4"/>
      <c r="AZ185" s="4"/>
      <c r="BA185" s="4"/>
      <c r="BB185" s="4"/>
      <c r="BC185" s="4"/>
      <c r="BD185" s="4"/>
      <c r="BE185" s="4"/>
      <c r="BF185" s="4"/>
      <c r="BG185" s="4"/>
      <c r="BH185" s="4"/>
      <c r="BI185" s="4"/>
      <c r="BJ185" s="4"/>
      <c r="BK185" s="4"/>
      <c r="BL185" s="4"/>
      <c r="BM185" s="4"/>
      <c r="BN185" s="4"/>
      <c r="BO185" s="4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</row>
    <row r="186" spans="1:100" ht="16.5" customHeight="1" x14ac:dyDescent="0.2">
      <c r="A186" s="3"/>
      <c r="B186" s="4"/>
      <c r="C186" s="4"/>
      <c r="D186" s="4"/>
      <c r="E186" s="23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  <c r="AM186" s="4"/>
      <c r="AN186" s="4"/>
      <c r="AO186" s="4"/>
      <c r="AP186" s="4"/>
      <c r="AQ186" s="4"/>
      <c r="AR186" s="4"/>
      <c r="AS186" s="4"/>
      <c r="AT186" s="4"/>
      <c r="AU186" s="4"/>
      <c r="AV186" s="4"/>
      <c r="AW186" s="4"/>
      <c r="AX186" s="4"/>
      <c r="AY186" s="4"/>
      <c r="AZ186" s="4"/>
      <c r="BA186" s="4"/>
      <c r="BB186" s="4"/>
      <c r="BC186" s="4"/>
      <c r="BD186" s="4"/>
      <c r="BE186" s="4"/>
      <c r="BF186" s="4"/>
      <c r="BG186" s="4"/>
      <c r="BH186" s="4"/>
      <c r="BI186" s="4"/>
      <c r="BJ186" s="4"/>
      <c r="BK186" s="4"/>
      <c r="BL186" s="4"/>
      <c r="BM186" s="4"/>
      <c r="BN186" s="4"/>
      <c r="BO186" s="4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</row>
    <row r="187" spans="1:100" ht="16.5" customHeight="1" x14ac:dyDescent="0.2">
      <c r="A187" s="3"/>
      <c r="B187" s="4"/>
      <c r="C187" s="4"/>
      <c r="D187" s="4"/>
      <c r="E187" s="23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  <c r="AM187" s="4"/>
      <c r="AN187" s="4"/>
      <c r="AO187" s="4"/>
      <c r="AP187" s="4"/>
      <c r="AQ187" s="4"/>
      <c r="AR187" s="4"/>
      <c r="AS187" s="4"/>
      <c r="AT187" s="4"/>
      <c r="AU187" s="4"/>
      <c r="AV187" s="4"/>
      <c r="AW187" s="4"/>
      <c r="AX187" s="4"/>
      <c r="AY187" s="4"/>
      <c r="AZ187" s="4"/>
      <c r="BA187" s="4"/>
      <c r="BB187" s="4"/>
      <c r="BC187" s="4"/>
      <c r="BD187" s="4"/>
      <c r="BE187" s="4"/>
      <c r="BF187" s="4"/>
      <c r="BG187" s="4"/>
      <c r="BH187" s="4"/>
      <c r="BI187" s="4"/>
      <c r="BJ187" s="4"/>
      <c r="BK187" s="4"/>
      <c r="BL187" s="4"/>
      <c r="BM187" s="4"/>
      <c r="BN187" s="4"/>
      <c r="BO187" s="4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</row>
    <row r="188" spans="1:100" ht="16.5" customHeight="1" x14ac:dyDescent="0.2">
      <c r="A188" s="3"/>
      <c r="B188" s="4"/>
      <c r="C188" s="4"/>
      <c r="D188" s="4"/>
      <c r="E188" s="23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  <c r="AM188" s="4"/>
      <c r="AN188" s="4"/>
      <c r="AO188" s="4"/>
      <c r="AP188" s="4"/>
      <c r="AQ188" s="4"/>
      <c r="AR188" s="4"/>
      <c r="AS188" s="4"/>
      <c r="AT188" s="4"/>
      <c r="AU188" s="4"/>
      <c r="AV188" s="4"/>
      <c r="AW188" s="4"/>
      <c r="AX188" s="4"/>
      <c r="AY188" s="4"/>
      <c r="AZ188" s="4"/>
      <c r="BA188" s="4"/>
      <c r="BB188" s="4"/>
      <c r="BC188" s="4"/>
      <c r="BD188" s="4"/>
      <c r="BE188" s="4"/>
      <c r="BF188" s="4"/>
      <c r="BG188" s="4"/>
      <c r="BH188" s="4"/>
      <c r="BI188" s="4"/>
      <c r="BJ188" s="4"/>
      <c r="BK188" s="4"/>
      <c r="BL188" s="4"/>
      <c r="BM188" s="4"/>
      <c r="BN188" s="4"/>
      <c r="BO188" s="4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</row>
    <row r="189" spans="1:100" ht="16.5" customHeight="1" x14ac:dyDescent="0.2">
      <c r="A189" s="3"/>
      <c r="B189" s="4"/>
      <c r="C189" s="4"/>
      <c r="D189" s="4"/>
      <c r="E189" s="23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  <c r="AM189" s="4"/>
      <c r="AN189" s="4"/>
      <c r="AO189" s="4"/>
      <c r="AP189" s="4"/>
      <c r="AQ189" s="4"/>
      <c r="AR189" s="4"/>
      <c r="AS189" s="4"/>
      <c r="AT189" s="4"/>
      <c r="AU189" s="4"/>
      <c r="AV189" s="4"/>
      <c r="AW189" s="4"/>
      <c r="AX189" s="4"/>
      <c r="AY189" s="4"/>
      <c r="AZ189" s="4"/>
      <c r="BA189" s="4"/>
      <c r="BB189" s="4"/>
      <c r="BC189" s="4"/>
      <c r="BD189" s="4"/>
      <c r="BE189" s="4"/>
      <c r="BF189" s="4"/>
      <c r="BG189" s="4"/>
      <c r="BH189" s="4"/>
      <c r="BI189" s="4"/>
      <c r="BJ189" s="4"/>
      <c r="BK189" s="4"/>
      <c r="BL189" s="4"/>
      <c r="BM189" s="4"/>
      <c r="BN189" s="4"/>
      <c r="BO189" s="4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</row>
    <row r="190" spans="1:100" ht="16.5" customHeight="1" x14ac:dyDescent="0.2">
      <c r="A190" s="3"/>
      <c r="B190" s="4"/>
      <c r="C190" s="4"/>
      <c r="D190" s="4"/>
      <c r="E190" s="23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  <c r="AM190" s="4"/>
      <c r="AN190" s="4"/>
      <c r="AO190" s="4"/>
      <c r="AP190" s="4"/>
      <c r="AQ190" s="4"/>
      <c r="AR190" s="4"/>
      <c r="AS190" s="4"/>
      <c r="AT190" s="4"/>
      <c r="AU190" s="4"/>
      <c r="AV190" s="4"/>
      <c r="AW190" s="4"/>
      <c r="AX190" s="4"/>
      <c r="AY190" s="4"/>
      <c r="AZ190" s="4"/>
      <c r="BA190" s="4"/>
      <c r="BB190" s="4"/>
      <c r="BC190" s="4"/>
      <c r="BD190" s="4"/>
      <c r="BE190" s="4"/>
      <c r="BF190" s="4"/>
      <c r="BG190" s="4"/>
      <c r="BH190" s="4"/>
      <c r="BI190" s="4"/>
      <c r="BJ190" s="4"/>
      <c r="BK190" s="4"/>
      <c r="BL190" s="4"/>
      <c r="BM190" s="4"/>
      <c r="BN190" s="4"/>
      <c r="BO190" s="4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</row>
    <row r="191" spans="1:100" ht="16.5" customHeight="1" x14ac:dyDescent="0.2">
      <c r="A191" s="3"/>
      <c r="B191" s="4"/>
      <c r="C191" s="4"/>
      <c r="D191" s="4"/>
      <c r="E191" s="23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  <c r="AM191" s="4"/>
      <c r="AN191" s="4"/>
      <c r="AO191" s="4"/>
      <c r="AP191" s="4"/>
      <c r="AQ191" s="4"/>
      <c r="AR191" s="4"/>
      <c r="AS191" s="4"/>
      <c r="AT191" s="4"/>
      <c r="AU191" s="4"/>
      <c r="AV191" s="4"/>
      <c r="AW191" s="4"/>
      <c r="AX191" s="4"/>
      <c r="AY191" s="4"/>
      <c r="AZ191" s="4"/>
      <c r="BA191" s="4"/>
      <c r="BB191" s="4"/>
      <c r="BC191" s="4"/>
      <c r="BD191" s="4"/>
      <c r="BE191" s="4"/>
      <c r="BF191" s="4"/>
      <c r="BG191" s="4"/>
      <c r="BH191" s="4"/>
      <c r="BI191" s="4"/>
      <c r="BJ191" s="4"/>
      <c r="BK191" s="4"/>
      <c r="BL191" s="4"/>
      <c r="BM191" s="4"/>
      <c r="BN191" s="4"/>
      <c r="BO191" s="4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</row>
    <row r="192" spans="1:100" ht="16.5" customHeight="1" x14ac:dyDescent="0.2">
      <c r="A192" s="3"/>
      <c r="B192" s="4"/>
      <c r="C192" s="4"/>
      <c r="D192" s="4"/>
      <c r="E192" s="23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  <c r="AM192" s="4"/>
      <c r="AN192" s="4"/>
      <c r="AO192" s="4"/>
      <c r="AP192" s="4"/>
      <c r="AQ192" s="4"/>
      <c r="AR192" s="4"/>
      <c r="AS192" s="4"/>
      <c r="AT192" s="4"/>
      <c r="AU192" s="4"/>
      <c r="AV192" s="4"/>
      <c r="AW192" s="4"/>
      <c r="AX192" s="4"/>
      <c r="AY192" s="4"/>
      <c r="AZ192" s="4"/>
      <c r="BA192" s="4"/>
      <c r="BB192" s="4"/>
      <c r="BC192" s="4"/>
      <c r="BD192" s="4"/>
      <c r="BE192" s="4"/>
      <c r="BF192" s="4"/>
      <c r="BG192" s="4"/>
      <c r="BH192" s="4"/>
      <c r="BI192" s="4"/>
      <c r="BJ192" s="4"/>
      <c r="BK192" s="4"/>
      <c r="BL192" s="4"/>
      <c r="BM192" s="4"/>
      <c r="BN192" s="4"/>
      <c r="BO192" s="4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</row>
    <row r="193" spans="1:100" ht="16.5" customHeight="1" x14ac:dyDescent="0.2">
      <c r="A193" s="3"/>
      <c r="B193" s="4"/>
      <c r="C193" s="4"/>
      <c r="D193" s="4"/>
      <c r="E193" s="23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  <c r="AM193" s="4"/>
      <c r="AN193" s="4"/>
      <c r="AO193" s="4"/>
      <c r="AP193" s="4"/>
      <c r="AQ193" s="4"/>
      <c r="AR193" s="4"/>
      <c r="AS193" s="4"/>
      <c r="AT193" s="4"/>
      <c r="AU193" s="4"/>
      <c r="AV193" s="4"/>
      <c r="AW193" s="4"/>
      <c r="AX193" s="4"/>
      <c r="AY193" s="4"/>
      <c r="AZ193" s="4"/>
      <c r="BA193" s="4"/>
      <c r="BB193" s="4"/>
      <c r="BC193" s="4"/>
      <c r="BD193" s="4"/>
      <c r="BE193" s="4"/>
      <c r="BF193" s="4"/>
      <c r="BG193" s="4"/>
      <c r="BH193" s="4"/>
      <c r="BI193" s="4"/>
      <c r="BJ193" s="4"/>
      <c r="BK193" s="4"/>
      <c r="BL193" s="4"/>
      <c r="BM193" s="4"/>
      <c r="BN193" s="4"/>
      <c r="BO193" s="4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</row>
    <row r="194" spans="1:100" ht="16.5" customHeight="1" x14ac:dyDescent="0.2">
      <c r="A194" s="3"/>
      <c r="B194" s="4"/>
      <c r="C194" s="4"/>
      <c r="D194" s="4"/>
      <c r="E194" s="23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  <c r="AM194" s="4"/>
      <c r="AN194" s="4"/>
      <c r="AO194" s="4"/>
      <c r="AP194" s="4"/>
      <c r="AQ194" s="4"/>
      <c r="AR194" s="4"/>
      <c r="AS194" s="4"/>
      <c r="AT194" s="4"/>
      <c r="AU194" s="4"/>
      <c r="AV194" s="4"/>
      <c r="AW194" s="4"/>
      <c r="AX194" s="4"/>
      <c r="AY194" s="4"/>
      <c r="AZ194" s="4"/>
      <c r="BA194" s="4"/>
      <c r="BB194" s="4"/>
      <c r="BC194" s="4"/>
      <c r="BD194" s="4"/>
      <c r="BE194" s="4"/>
      <c r="BF194" s="4"/>
      <c r="BG194" s="4"/>
      <c r="BH194" s="4"/>
      <c r="BI194" s="4"/>
      <c r="BJ194" s="4"/>
      <c r="BK194" s="4"/>
      <c r="BL194" s="4"/>
      <c r="BM194" s="4"/>
      <c r="BN194" s="4"/>
      <c r="BO194" s="4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</row>
    <row r="195" spans="1:100" ht="16.5" customHeight="1" x14ac:dyDescent="0.2">
      <c r="A195" s="3"/>
      <c r="B195" s="4"/>
      <c r="C195" s="4"/>
      <c r="D195" s="4"/>
      <c r="E195" s="23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  <c r="AM195" s="4"/>
      <c r="AN195" s="4"/>
      <c r="AO195" s="4"/>
      <c r="AP195" s="4"/>
      <c r="AQ195" s="4"/>
      <c r="AR195" s="4"/>
      <c r="AS195" s="4"/>
      <c r="AT195" s="4"/>
      <c r="AU195" s="4"/>
      <c r="AV195" s="4"/>
      <c r="AW195" s="4"/>
      <c r="AX195" s="4"/>
      <c r="AY195" s="4"/>
      <c r="AZ195" s="4"/>
      <c r="BA195" s="4"/>
      <c r="BB195" s="4"/>
      <c r="BC195" s="4"/>
      <c r="BD195" s="4"/>
      <c r="BE195" s="4"/>
      <c r="BF195" s="4"/>
      <c r="BG195" s="4"/>
      <c r="BH195" s="4"/>
      <c r="BI195" s="4"/>
      <c r="BJ195" s="4"/>
      <c r="BK195" s="4"/>
      <c r="BL195" s="4"/>
      <c r="BM195" s="4"/>
      <c r="BN195" s="4"/>
      <c r="BO195" s="4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</row>
    <row r="196" spans="1:100" ht="16.5" customHeight="1" x14ac:dyDescent="0.2">
      <c r="A196" s="3"/>
      <c r="B196" s="4"/>
      <c r="C196" s="4"/>
      <c r="D196" s="4"/>
      <c r="E196" s="23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  <c r="AM196" s="4"/>
      <c r="AN196" s="4"/>
      <c r="AO196" s="4"/>
      <c r="AP196" s="4"/>
      <c r="AQ196" s="4"/>
      <c r="AR196" s="4"/>
      <c r="AS196" s="4"/>
      <c r="AT196" s="4"/>
      <c r="AU196" s="4"/>
      <c r="AV196" s="4"/>
      <c r="AW196" s="4"/>
      <c r="AX196" s="4"/>
      <c r="AY196" s="4"/>
      <c r="AZ196" s="4"/>
      <c r="BA196" s="4"/>
      <c r="BB196" s="4"/>
      <c r="BC196" s="4"/>
      <c r="BD196" s="4"/>
      <c r="BE196" s="4"/>
      <c r="BF196" s="4"/>
      <c r="BG196" s="4"/>
      <c r="BH196" s="4"/>
      <c r="BI196" s="4"/>
      <c r="BJ196" s="4"/>
      <c r="BK196" s="4"/>
      <c r="BL196" s="4"/>
      <c r="BM196" s="4"/>
      <c r="BN196" s="4"/>
      <c r="BO196" s="4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</row>
    <row r="197" spans="1:100" ht="16.5" customHeight="1" x14ac:dyDescent="0.2">
      <c r="A197" s="3"/>
      <c r="B197" s="4"/>
      <c r="C197" s="4"/>
      <c r="D197" s="4"/>
      <c r="E197" s="23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  <c r="AM197" s="4"/>
      <c r="AN197" s="4"/>
      <c r="AO197" s="4"/>
      <c r="AP197" s="4"/>
      <c r="AQ197" s="4"/>
      <c r="AR197" s="4"/>
      <c r="AS197" s="4"/>
      <c r="AT197" s="4"/>
      <c r="AU197" s="4"/>
      <c r="AV197" s="4"/>
      <c r="AW197" s="4"/>
      <c r="AX197" s="4"/>
      <c r="AY197" s="4"/>
      <c r="AZ197" s="4"/>
      <c r="BA197" s="4"/>
      <c r="BB197" s="4"/>
      <c r="BC197" s="4"/>
      <c r="BD197" s="4"/>
      <c r="BE197" s="4"/>
      <c r="BF197" s="4"/>
      <c r="BG197" s="4"/>
      <c r="BH197" s="4"/>
      <c r="BI197" s="4"/>
      <c r="BJ197" s="4"/>
      <c r="BK197" s="4"/>
      <c r="BL197" s="4"/>
      <c r="BM197" s="4"/>
      <c r="BN197" s="4"/>
      <c r="BO197" s="4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</row>
    <row r="198" spans="1:100" ht="16.5" customHeight="1" x14ac:dyDescent="0.2">
      <c r="A198" s="3"/>
      <c r="B198" s="4"/>
      <c r="C198" s="4"/>
      <c r="D198" s="4"/>
      <c r="E198" s="23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  <c r="AM198" s="4"/>
      <c r="AN198" s="4"/>
      <c r="AO198" s="4"/>
      <c r="AP198" s="4"/>
      <c r="AQ198" s="4"/>
      <c r="AR198" s="4"/>
      <c r="AS198" s="4"/>
      <c r="AT198" s="4"/>
      <c r="AU198" s="4"/>
      <c r="AV198" s="4"/>
      <c r="AW198" s="4"/>
      <c r="AX198" s="4"/>
      <c r="AY198" s="4"/>
      <c r="AZ198" s="4"/>
      <c r="BA198" s="4"/>
      <c r="BB198" s="4"/>
      <c r="BC198" s="4"/>
      <c r="BD198" s="4"/>
      <c r="BE198" s="4"/>
      <c r="BF198" s="4"/>
      <c r="BG198" s="4"/>
      <c r="BH198" s="4"/>
      <c r="BI198" s="4"/>
      <c r="BJ198" s="4"/>
      <c r="BK198" s="4"/>
      <c r="BL198" s="4"/>
      <c r="BM198" s="4"/>
      <c r="BN198" s="4"/>
      <c r="BO198" s="4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</row>
    <row r="199" spans="1:100" ht="16.5" customHeight="1" x14ac:dyDescent="0.2">
      <c r="A199" s="3"/>
      <c r="B199" s="4"/>
      <c r="C199" s="4"/>
      <c r="D199" s="4"/>
      <c r="E199" s="23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  <c r="AM199" s="4"/>
      <c r="AN199" s="4"/>
      <c r="AO199" s="4"/>
      <c r="AP199" s="4"/>
      <c r="AQ199" s="4"/>
      <c r="AR199" s="4"/>
      <c r="AS199" s="4"/>
      <c r="AT199" s="4"/>
      <c r="AU199" s="4"/>
      <c r="AV199" s="4"/>
      <c r="AW199" s="4"/>
      <c r="AX199" s="4"/>
      <c r="AY199" s="4"/>
      <c r="AZ199" s="4"/>
      <c r="BA199" s="4"/>
      <c r="BB199" s="4"/>
      <c r="BC199" s="4"/>
      <c r="BD199" s="4"/>
      <c r="BE199" s="4"/>
      <c r="BF199" s="4"/>
      <c r="BG199" s="4"/>
      <c r="BH199" s="4"/>
      <c r="BI199" s="4"/>
      <c r="BJ199" s="4"/>
      <c r="BK199" s="4"/>
      <c r="BL199" s="4"/>
      <c r="BM199" s="4"/>
      <c r="BN199" s="4"/>
      <c r="BO199" s="4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</row>
    <row r="200" spans="1:100" ht="16.5" customHeight="1" x14ac:dyDescent="0.2">
      <c r="A200" s="3"/>
      <c r="B200" s="4"/>
      <c r="C200" s="4"/>
      <c r="D200" s="4"/>
      <c r="E200" s="23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  <c r="AM200" s="4"/>
      <c r="AN200" s="4"/>
      <c r="AO200" s="4"/>
      <c r="AP200" s="4"/>
      <c r="AQ200" s="4"/>
      <c r="AR200" s="4"/>
      <c r="AS200" s="4"/>
      <c r="AT200" s="4"/>
      <c r="AU200" s="4"/>
      <c r="AV200" s="4"/>
      <c r="AW200" s="4"/>
      <c r="AX200" s="4"/>
      <c r="AY200" s="4"/>
      <c r="AZ200" s="4"/>
      <c r="BA200" s="4"/>
      <c r="BB200" s="4"/>
      <c r="BC200" s="4"/>
      <c r="BD200" s="4"/>
      <c r="BE200" s="4"/>
      <c r="BF200" s="4"/>
      <c r="BG200" s="4"/>
      <c r="BH200" s="4"/>
      <c r="BI200" s="4"/>
      <c r="BJ200" s="4"/>
      <c r="BK200" s="4"/>
      <c r="BL200" s="4"/>
      <c r="BM200" s="4"/>
      <c r="BN200" s="4"/>
      <c r="BO200" s="4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</row>
    <row r="201" spans="1:100" ht="16.5" customHeight="1" x14ac:dyDescent="0.2">
      <c r="A201" s="3"/>
      <c r="B201" s="4"/>
      <c r="C201" s="4"/>
      <c r="D201" s="4"/>
      <c r="E201" s="23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  <c r="AM201" s="4"/>
      <c r="AN201" s="4"/>
      <c r="AO201" s="4"/>
      <c r="AP201" s="4"/>
      <c r="AQ201" s="4"/>
      <c r="AR201" s="4"/>
      <c r="AS201" s="4"/>
      <c r="AT201" s="4"/>
      <c r="AU201" s="4"/>
      <c r="AV201" s="4"/>
      <c r="AW201" s="4"/>
      <c r="AX201" s="4"/>
      <c r="AY201" s="4"/>
      <c r="AZ201" s="4"/>
      <c r="BA201" s="4"/>
      <c r="BB201" s="4"/>
      <c r="BC201" s="4"/>
      <c r="BD201" s="4"/>
      <c r="BE201" s="4"/>
      <c r="BF201" s="4"/>
      <c r="BG201" s="4"/>
      <c r="BH201" s="4"/>
      <c r="BI201" s="4"/>
      <c r="BJ201" s="4"/>
      <c r="BK201" s="4"/>
      <c r="BL201" s="4"/>
      <c r="BM201" s="4"/>
      <c r="BN201" s="4"/>
      <c r="BO201" s="4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</row>
    <row r="202" spans="1:100" ht="16.5" customHeight="1" x14ac:dyDescent="0.2">
      <c r="A202" s="3"/>
      <c r="B202" s="4"/>
      <c r="C202" s="4"/>
      <c r="D202" s="4"/>
      <c r="E202" s="23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  <c r="AM202" s="4"/>
      <c r="AN202" s="4"/>
      <c r="AO202" s="4"/>
      <c r="AP202" s="4"/>
      <c r="AQ202" s="4"/>
      <c r="AR202" s="4"/>
      <c r="AS202" s="4"/>
      <c r="AT202" s="4"/>
      <c r="AU202" s="4"/>
      <c r="AV202" s="4"/>
      <c r="AW202" s="4"/>
      <c r="AX202" s="4"/>
      <c r="AY202" s="4"/>
      <c r="AZ202" s="4"/>
      <c r="BA202" s="4"/>
      <c r="BB202" s="4"/>
      <c r="BC202" s="4"/>
      <c r="BD202" s="4"/>
      <c r="BE202" s="4"/>
      <c r="BF202" s="4"/>
      <c r="BG202" s="4"/>
      <c r="BH202" s="4"/>
      <c r="BI202" s="4"/>
      <c r="BJ202" s="4"/>
      <c r="BK202" s="4"/>
      <c r="BL202" s="4"/>
      <c r="BM202" s="4"/>
      <c r="BN202" s="4"/>
      <c r="BO202" s="4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</row>
    <row r="203" spans="1:100" ht="16.5" customHeight="1" x14ac:dyDescent="0.2">
      <c r="A203" s="3"/>
      <c r="B203" s="4"/>
      <c r="C203" s="4"/>
      <c r="D203" s="4"/>
      <c r="E203" s="23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  <c r="AM203" s="4"/>
      <c r="AN203" s="4"/>
      <c r="AO203" s="4"/>
      <c r="AP203" s="4"/>
      <c r="AQ203" s="4"/>
      <c r="AR203" s="4"/>
      <c r="AS203" s="4"/>
      <c r="AT203" s="4"/>
      <c r="AU203" s="4"/>
      <c r="AV203" s="4"/>
      <c r="AW203" s="4"/>
      <c r="AX203" s="4"/>
      <c r="AY203" s="4"/>
      <c r="AZ203" s="4"/>
      <c r="BA203" s="4"/>
      <c r="BB203" s="4"/>
      <c r="BC203" s="4"/>
      <c r="BD203" s="4"/>
      <c r="BE203" s="4"/>
      <c r="BF203" s="4"/>
      <c r="BG203" s="4"/>
      <c r="BH203" s="4"/>
      <c r="BI203" s="4"/>
      <c r="BJ203" s="4"/>
      <c r="BK203" s="4"/>
      <c r="BL203" s="4"/>
      <c r="BM203" s="4"/>
      <c r="BN203" s="4"/>
      <c r="BO203" s="4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</row>
    <row r="204" spans="1:100" ht="16.5" customHeight="1" x14ac:dyDescent="0.2">
      <c r="A204" s="3"/>
      <c r="B204" s="4"/>
      <c r="C204" s="4"/>
      <c r="D204" s="4"/>
      <c r="E204" s="23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  <c r="AM204" s="4"/>
      <c r="AN204" s="4"/>
      <c r="AO204" s="4"/>
      <c r="AP204" s="4"/>
      <c r="AQ204" s="4"/>
      <c r="AR204" s="4"/>
      <c r="AS204" s="4"/>
      <c r="AT204" s="4"/>
      <c r="AU204" s="4"/>
      <c r="AV204" s="4"/>
      <c r="AW204" s="4"/>
      <c r="AX204" s="4"/>
      <c r="AY204" s="4"/>
      <c r="AZ204" s="4"/>
      <c r="BA204" s="4"/>
      <c r="BB204" s="4"/>
      <c r="BC204" s="4"/>
      <c r="BD204" s="4"/>
      <c r="BE204" s="4"/>
      <c r="BF204" s="4"/>
      <c r="BG204" s="4"/>
      <c r="BH204" s="4"/>
      <c r="BI204" s="4"/>
      <c r="BJ204" s="4"/>
      <c r="BK204" s="4"/>
      <c r="BL204" s="4"/>
      <c r="BM204" s="4"/>
      <c r="BN204" s="4"/>
      <c r="BO204" s="4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</row>
    <row r="205" spans="1:100" ht="16.5" customHeight="1" x14ac:dyDescent="0.2">
      <c r="A205" s="3"/>
      <c r="B205" s="4"/>
      <c r="C205" s="4"/>
      <c r="D205" s="4"/>
      <c r="E205" s="23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  <c r="AM205" s="4"/>
      <c r="AN205" s="4"/>
      <c r="AO205" s="4"/>
      <c r="AP205" s="4"/>
      <c r="AQ205" s="4"/>
      <c r="AR205" s="4"/>
      <c r="AS205" s="4"/>
      <c r="AT205" s="4"/>
      <c r="AU205" s="4"/>
      <c r="AV205" s="4"/>
      <c r="AW205" s="4"/>
      <c r="AX205" s="4"/>
      <c r="AY205" s="4"/>
      <c r="AZ205" s="4"/>
      <c r="BA205" s="4"/>
      <c r="BB205" s="4"/>
      <c r="BC205" s="4"/>
      <c r="BD205" s="4"/>
      <c r="BE205" s="4"/>
      <c r="BF205" s="4"/>
      <c r="BG205" s="4"/>
      <c r="BH205" s="4"/>
      <c r="BI205" s="4"/>
      <c r="BJ205" s="4"/>
      <c r="BK205" s="4"/>
      <c r="BL205" s="4"/>
      <c r="BM205" s="4"/>
      <c r="BN205" s="4"/>
      <c r="BO205" s="4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</row>
    <row r="206" spans="1:100" ht="16.5" customHeight="1" x14ac:dyDescent="0.2">
      <c r="A206" s="3"/>
      <c r="B206" s="4"/>
      <c r="C206" s="4"/>
      <c r="D206" s="4"/>
      <c r="E206" s="23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  <c r="AM206" s="4"/>
      <c r="AN206" s="4"/>
      <c r="AO206" s="4"/>
      <c r="AP206" s="4"/>
      <c r="AQ206" s="4"/>
      <c r="AR206" s="4"/>
      <c r="AS206" s="4"/>
      <c r="AT206" s="4"/>
      <c r="AU206" s="4"/>
      <c r="AV206" s="4"/>
      <c r="AW206" s="4"/>
      <c r="AX206" s="4"/>
      <c r="AY206" s="4"/>
      <c r="AZ206" s="4"/>
      <c r="BA206" s="4"/>
      <c r="BB206" s="4"/>
      <c r="BC206" s="4"/>
      <c r="BD206" s="4"/>
      <c r="BE206" s="4"/>
      <c r="BF206" s="4"/>
      <c r="BG206" s="4"/>
      <c r="BH206" s="4"/>
      <c r="BI206" s="4"/>
      <c r="BJ206" s="4"/>
      <c r="BK206" s="4"/>
      <c r="BL206" s="4"/>
      <c r="BM206" s="4"/>
      <c r="BN206" s="4"/>
      <c r="BO206" s="4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</row>
    <row r="207" spans="1:100" ht="16.5" customHeight="1" x14ac:dyDescent="0.2">
      <c r="A207" s="3"/>
      <c r="B207" s="4"/>
      <c r="C207" s="4"/>
      <c r="D207" s="4"/>
      <c r="E207" s="23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  <c r="AM207" s="4"/>
      <c r="AN207" s="4"/>
      <c r="AO207" s="4"/>
      <c r="AP207" s="4"/>
      <c r="AQ207" s="4"/>
      <c r="AR207" s="4"/>
      <c r="AS207" s="4"/>
      <c r="AT207" s="4"/>
      <c r="AU207" s="4"/>
      <c r="AV207" s="4"/>
      <c r="AW207" s="4"/>
      <c r="AX207" s="4"/>
      <c r="AY207" s="4"/>
      <c r="AZ207" s="4"/>
      <c r="BA207" s="4"/>
      <c r="BB207" s="4"/>
      <c r="BC207" s="4"/>
      <c r="BD207" s="4"/>
      <c r="BE207" s="4"/>
      <c r="BF207" s="4"/>
      <c r="BG207" s="4"/>
      <c r="BH207" s="4"/>
      <c r="BI207" s="4"/>
      <c r="BJ207" s="4"/>
      <c r="BK207" s="4"/>
      <c r="BL207" s="4"/>
      <c r="BM207" s="4"/>
      <c r="BN207" s="4"/>
      <c r="BO207" s="4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</row>
    <row r="208" spans="1:100" ht="16.5" customHeight="1" x14ac:dyDescent="0.2">
      <c r="A208" s="3"/>
      <c r="B208" s="4"/>
      <c r="C208" s="4"/>
      <c r="D208" s="4"/>
      <c r="E208" s="23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  <c r="AM208" s="4"/>
      <c r="AN208" s="4"/>
      <c r="AO208" s="4"/>
      <c r="AP208" s="4"/>
      <c r="AQ208" s="4"/>
      <c r="AR208" s="4"/>
      <c r="AS208" s="4"/>
      <c r="AT208" s="4"/>
      <c r="AU208" s="4"/>
      <c r="AV208" s="4"/>
      <c r="AW208" s="4"/>
      <c r="AX208" s="4"/>
      <c r="AY208" s="4"/>
      <c r="AZ208" s="4"/>
      <c r="BA208" s="4"/>
      <c r="BB208" s="4"/>
      <c r="BC208" s="4"/>
      <c r="BD208" s="4"/>
      <c r="BE208" s="4"/>
      <c r="BF208" s="4"/>
      <c r="BG208" s="4"/>
      <c r="BH208" s="4"/>
      <c r="BI208" s="4"/>
      <c r="BJ208" s="4"/>
      <c r="BK208" s="4"/>
      <c r="BL208" s="4"/>
      <c r="BM208" s="4"/>
      <c r="BN208" s="4"/>
      <c r="BO208" s="4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</row>
    <row r="209" spans="1:100" ht="16.5" customHeight="1" x14ac:dyDescent="0.2">
      <c r="A209" s="3"/>
      <c r="B209" s="4"/>
      <c r="C209" s="4"/>
      <c r="D209" s="4"/>
      <c r="E209" s="23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  <c r="AM209" s="4"/>
      <c r="AN209" s="4"/>
      <c r="AO209" s="4"/>
      <c r="AP209" s="4"/>
      <c r="AQ209" s="4"/>
      <c r="AR209" s="4"/>
      <c r="AS209" s="4"/>
      <c r="AT209" s="4"/>
      <c r="AU209" s="4"/>
      <c r="AV209" s="4"/>
      <c r="AW209" s="4"/>
      <c r="AX209" s="4"/>
      <c r="AY209" s="4"/>
      <c r="AZ209" s="4"/>
      <c r="BA209" s="4"/>
      <c r="BB209" s="4"/>
      <c r="BC209" s="4"/>
      <c r="BD209" s="4"/>
      <c r="BE209" s="4"/>
      <c r="BF209" s="4"/>
      <c r="BG209" s="4"/>
      <c r="BH209" s="4"/>
      <c r="BI209" s="4"/>
      <c r="BJ209" s="4"/>
      <c r="BK209" s="4"/>
      <c r="BL209" s="4"/>
      <c r="BM209" s="4"/>
      <c r="BN209" s="4"/>
      <c r="BO209" s="4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</row>
    <row r="210" spans="1:100" ht="16.5" customHeight="1" x14ac:dyDescent="0.2">
      <c r="A210" s="3"/>
      <c r="B210" s="4"/>
      <c r="C210" s="4"/>
      <c r="D210" s="4"/>
      <c r="E210" s="23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  <c r="AM210" s="4"/>
      <c r="AN210" s="4"/>
      <c r="AO210" s="4"/>
      <c r="AP210" s="4"/>
      <c r="AQ210" s="4"/>
      <c r="AR210" s="4"/>
      <c r="AS210" s="4"/>
      <c r="AT210" s="4"/>
      <c r="AU210" s="4"/>
      <c r="AV210" s="4"/>
      <c r="AW210" s="4"/>
      <c r="AX210" s="4"/>
      <c r="AY210" s="4"/>
      <c r="AZ210" s="4"/>
      <c r="BA210" s="4"/>
      <c r="BB210" s="4"/>
      <c r="BC210" s="4"/>
      <c r="BD210" s="4"/>
      <c r="BE210" s="4"/>
      <c r="BF210" s="4"/>
      <c r="BG210" s="4"/>
      <c r="BH210" s="4"/>
      <c r="BI210" s="4"/>
      <c r="BJ210" s="4"/>
      <c r="BK210" s="4"/>
      <c r="BL210" s="4"/>
      <c r="BM210" s="4"/>
      <c r="BN210" s="4"/>
      <c r="BO210" s="4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</row>
    <row r="211" spans="1:100" ht="16.5" customHeight="1" x14ac:dyDescent="0.2">
      <c r="A211" s="3"/>
      <c r="B211" s="4"/>
      <c r="C211" s="4"/>
      <c r="D211" s="4"/>
      <c r="E211" s="23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  <c r="AM211" s="4"/>
      <c r="AN211" s="4"/>
      <c r="AO211" s="4"/>
      <c r="AP211" s="4"/>
      <c r="AQ211" s="4"/>
      <c r="AR211" s="4"/>
      <c r="AS211" s="4"/>
      <c r="AT211" s="4"/>
      <c r="AU211" s="4"/>
      <c r="AV211" s="4"/>
      <c r="AW211" s="4"/>
      <c r="AX211" s="4"/>
      <c r="AY211" s="4"/>
      <c r="AZ211" s="4"/>
      <c r="BA211" s="4"/>
      <c r="BB211" s="4"/>
      <c r="BC211" s="4"/>
      <c r="BD211" s="4"/>
      <c r="BE211" s="4"/>
      <c r="BF211" s="4"/>
      <c r="BG211" s="4"/>
      <c r="BH211" s="4"/>
      <c r="BI211" s="4"/>
      <c r="BJ211" s="4"/>
      <c r="BK211" s="4"/>
      <c r="BL211" s="4"/>
      <c r="BM211" s="4"/>
      <c r="BN211" s="4"/>
      <c r="BO211" s="4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</row>
    <row r="212" spans="1:100" ht="16.5" customHeight="1" x14ac:dyDescent="0.2">
      <c r="A212" s="3"/>
      <c r="B212" s="4"/>
      <c r="C212" s="4"/>
      <c r="D212" s="4"/>
      <c r="E212" s="23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  <c r="AM212" s="4"/>
      <c r="AN212" s="4"/>
      <c r="AO212" s="4"/>
      <c r="AP212" s="4"/>
      <c r="AQ212" s="4"/>
      <c r="AR212" s="4"/>
      <c r="AS212" s="4"/>
      <c r="AT212" s="4"/>
      <c r="AU212" s="4"/>
      <c r="AV212" s="4"/>
      <c r="AW212" s="4"/>
      <c r="AX212" s="4"/>
      <c r="AY212" s="4"/>
      <c r="AZ212" s="4"/>
      <c r="BA212" s="4"/>
      <c r="BB212" s="4"/>
      <c r="BC212" s="4"/>
      <c r="BD212" s="4"/>
      <c r="BE212" s="4"/>
      <c r="BF212" s="4"/>
      <c r="BG212" s="4"/>
      <c r="BH212" s="4"/>
      <c r="BI212" s="4"/>
      <c r="BJ212" s="4"/>
      <c r="BK212" s="4"/>
      <c r="BL212" s="4"/>
      <c r="BM212" s="4"/>
      <c r="BN212" s="4"/>
      <c r="BO212" s="4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</row>
    <row r="213" spans="1:100" ht="16.5" customHeight="1" x14ac:dyDescent="0.2">
      <c r="A213" s="3"/>
      <c r="B213" s="4"/>
      <c r="C213" s="4"/>
      <c r="D213" s="4"/>
      <c r="E213" s="23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  <c r="AM213" s="4"/>
      <c r="AN213" s="4"/>
      <c r="AO213" s="4"/>
      <c r="AP213" s="4"/>
      <c r="AQ213" s="4"/>
      <c r="AR213" s="4"/>
      <c r="AS213" s="4"/>
      <c r="AT213" s="4"/>
      <c r="AU213" s="4"/>
      <c r="AV213" s="4"/>
      <c r="AW213" s="4"/>
      <c r="AX213" s="4"/>
      <c r="AY213" s="4"/>
      <c r="AZ213" s="4"/>
      <c r="BA213" s="4"/>
      <c r="BB213" s="4"/>
      <c r="BC213" s="4"/>
      <c r="BD213" s="4"/>
      <c r="BE213" s="4"/>
      <c r="BF213" s="4"/>
      <c r="BG213" s="4"/>
      <c r="BH213" s="4"/>
      <c r="BI213" s="4"/>
      <c r="BJ213" s="4"/>
      <c r="BK213" s="4"/>
      <c r="BL213" s="4"/>
      <c r="BM213" s="4"/>
      <c r="BN213" s="4"/>
      <c r="BO213" s="4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</row>
    <row r="214" spans="1:100" ht="16.5" customHeight="1" x14ac:dyDescent="0.2">
      <c r="A214" s="3"/>
      <c r="B214" s="4"/>
      <c r="C214" s="4"/>
      <c r="D214" s="4"/>
      <c r="E214" s="23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  <c r="AM214" s="4"/>
      <c r="AN214" s="4"/>
      <c r="AO214" s="4"/>
      <c r="AP214" s="4"/>
      <c r="AQ214" s="4"/>
      <c r="AR214" s="4"/>
      <c r="AS214" s="4"/>
      <c r="AT214" s="4"/>
      <c r="AU214" s="4"/>
      <c r="AV214" s="4"/>
      <c r="AW214" s="4"/>
      <c r="AX214" s="4"/>
      <c r="AY214" s="4"/>
      <c r="AZ214" s="4"/>
      <c r="BA214" s="4"/>
      <c r="BB214" s="4"/>
      <c r="BC214" s="4"/>
      <c r="BD214" s="4"/>
      <c r="BE214" s="4"/>
      <c r="BF214" s="4"/>
      <c r="BG214" s="4"/>
      <c r="BH214" s="4"/>
      <c r="BI214" s="4"/>
      <c r="BJ214" s="4"/>
      <c r="BK214" s="4"/>
      <c r="BL214" s="4"/>
      <c r="BM214" s="4"/>
      <c r="BN214" s="4"/>
      <c r="BO214" s="4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</row>
    <row r="215" spans="1:100" ht="16.5" customHeight="1" x14ac:dyDescent="0.2">
      <c r="A215" s="3"/>
      <c r="B215" s="4"/>
      <c r="C215" s="4"/>
      <c r="D215" s="4"/>
      <c r="E215" s="23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  <c r="AM215" s="4"/>
      <c r="AN215" s="4"/>
      <c r="AO215" s="4"/>
      <c r="AP215" s="4"/>
      <c r="AQ215" s="4"/>
      <c r="AR215" s="4"/>
      <c r="AS215" s="4"/>
      <c r="AT215" s="4"/>
      <c r="AU215" s="4"/>
      <c r="AV215" s="4"/>
      <c r="AW215" s="4"/>
      <c r="AX215" s="4"/>
      <c r="AY215" s="4"/>
      <c r="AZ215" s="4"/>
      <c r="BA215" s="4"/>
      <c r="BB215" s="4"/>
      <c r="BC215" s="4"/>
      <c r="BD215" s="4"/>
      <c r="BE215" s="4"/>
      <c r="BF215" s="4"/>
      <c r="BG215" s="4"/>
      <c r="BH215" s="4"/>
      <c r="BI215" s="4"/>
      <c r="BJ215" s="4"/>
      <c r="BK215" s="4"/>
      <c r="BL215" s="4"/>
      <c r="BM215" s="4"/>
      <c r="BN215" s="4"/>
      <c r="BO215" s="4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</row>
    <row r="216" spans="1:100" ht="16.5" customHeight="1" x14ac:dyDescent="0.2">
      <c r="A216" s="3"/>
      <c r="B216" s="4"/>
      <c r="C216" s="4"/>
      <c r="D216" s="4"/>
      <c r="E216" s="23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  <c r="AM216" s="4"/>
      <c r="AN216" s="4"/>
      <c r="AO216" s="4"/>
      <c r="AP216" s="4"/>
      <c r="AQ216" s="4"/>
      <c r="AR216" s="4"/>
      <c r="AS216" s="4"/>
      <c r="AT216" s="4"/>
      <c r="AU216" s="4"/>
      <c r="AV216" s="4"/>
      <c r="AW216" s="4"/>
      <c r="AX216" s="4"/>
      <c r="AY216" s="4"/>
      <c r="AZ216" s="4"/>
      <c r="BA216" s="4"/>
      <c r="BB216" s="4"/>
      <c r="BC216" s="4"/>
      <c r="BD216" s="4"/>
      <c r="BE216" s="4"/>
      <c r="BF216" s="4"/>
      <c r="BG216" s="4"/>
      <c r="BH216" s="4"/>
      <c r="BI216" s="4"/>
      <c r="BJ216" s="4"/>
      <c r="BK216" s="4"/>
      <c r="BL216" s="4"/>
      <c r="BM216" s="4"/>
      <c r="BN216" s="4"/>
      <c r="BO216" s="4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</row>
    <row r="217" spans="1:100" ht="16.5" customHeight="1" x14ac:dyDescent="0.2">
      <c r="A217" s="3"/>
      <c r="B217" s="4"/>
      <c r="C217" s="4"/>
      <c r="D217" s="4"/>
      <c r="E217" s="23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  <c r="AM217" s="4"/>
      <c r="AN217" s="4"/>
      <c r="AO217" s="4"/>
      <c r="AP217" s="4"/>
      <c r="AQ217" s="4"/>
      <c r="AR217" s="4"/>
      <c r="AS217" s="4"/>
      <c r="AT217" s="4"/>
      <c r="AU217" s="4"/>
      <c r="AV217" s="4"/>
      <c r="AW217" s="4"/>
      <c r="AX217" s="4"/>
      <c r="AY217" s="4"/>
      <c r="AZ217" s="4"/>
      <c r="BA217" s="4"/>
      <c r="BB217" s="4"/>
      <c r="BC217" s="4"/>
      <c r="BD217" s="4"/>
      <c r="BE217" s="4"/>
      <c r="BF217" s="4"/>
      <c r="BG217" s="4"/>
      <c r="BH217" s="4"/>
      <c r="BI217" s="4"/>
      <c r="BJ217" s="4"/>
      <c r="BK217" s="4"/>
      <c r="BL217" s="4"/>
      <c r="BM217" s="4"/>
      <c r="BN217" s="4"/>
      <c r="BO217" s="4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</row>
    <row r="218" spans="1:100" ht="16.5" customHeight="1" x14ac:dyDescent="0.2">
      <c r="A218" s="3"/>
      <c r="B218" s="4"/>
      <c r="C218" s="4"/>
      <c r="D218" s="4"/>
      <c r="E218" s="23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  <c r="AM218" s="4"/>
      <c r="AN218" s="4"/>
      <c r="AO218" s="4"/>
      <c r="AP218" s="4"/>
      <c r="AQ218" s="4"/>
      <c r="AR218" s="4"/>
      <c r="AS218" s="4"/>
      <c r="AT218" s="4"/>
      <c r="AU218" s="4"/>
      <c r="AV218" s="4"/>
      <c r="AW218" s="4"/>
      <c r="AX218" s="4"/>
      <c r="AY218" s="4"/>
      <c r="AZ218" s="4"/>
      <c r="BA218" s="4"/>
      <c r="BB218" s="4"/>
      <c r="BC218" s="4"/>
      <c r="BD218" s="4"/>
      <c r="BE218" s="4"/>
      <c r="BF218" s="4"/>
      <c r="BG218" s="4"/>
      <c r="BH218" s="4"/>
      <c r="BI218" s="4"/>
      <c r="BJ218" s="4"/>
      <c r="BK218" s="4"/>
      <c r="BL218" s="4"/>
      <c r="BM218" s="4"/>
      <c r="BN218" s="4"/>
      <c r="BO218" s="4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</row>
    <row r="219" spans="1:100" ht="16.5" customHeight="1" x14ac:dyDescent="0.2">
      <c r="A219" s="3"/>
      <c r="B219" s="4"/>
      <c r="C219" s="4"/>
      <c r="D219" s="4"/>
      <c r="E219" s="23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  <c r="AM219" s="4"/>
      <c r="AN219" s="4"/>
      <c r="AO219" s="4"/>
      <c r="AP219" s="4"/>
      <c r="AQ219" s="4"/>
      <c r="AR219" s="4"/>
      <c r="AS219" s="4"/>
      <c r="AT219" s="4"/>
      <c r="AU219" s="4"/>
      <c r="AV219" s="4"/>
      <c r="AW219" s="4"/>
      <c r="AX219" s="4"/>
      <c r="AY219" s="4"/>
      <c r="AZ219" s="4"/>
      <c r="BA219" s="4"/>
      <c r="BB219" s="4"/>
      <c r="BC219" s="4"/>
      <c r="BD219" s="4"/>
      <c r="BE219" s="4"/>
      <c r="BF219" s="4"/>
      <c r="BG219" s="4"/>
      <c r="BH219" s="4"/>
      <c r="BI219" s="4"/>
      <c r="BJ219" s="4"/>
      <c r="BK219" s="4"/>
      <c r="BL219" s="4"/>
      <c r="BM219" s="4"/>
      <c r="BN219" s="4"/>
      <c r="BO219" s="4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</row>
    <row r="220" spans="1:100" ht="16.5" customHeight="1" x14ac:dyDescent="0.2">
      <c r="A220" s="3"/>
      <c r="B220" s="4"/>
      <c r="C220" s="4"/>
      <c r="D220" s="4"/>
      <c r="E220" s="23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  <c r="AM220" s="4"/>
      <c r="AN220" s="4"/>
      <c r="AO220" s="4"/>
      <c r="AP220" s="4"/>
      <c r="AQ220" s="4"/>
      <c r="AR220" s="4"/>
      <c r="AS220" s="4"/>
      <c r="AT220" s="4"/>
      <c r="AU220" s="4"/>
      <c r="AV220" s="4"/>
      <c r="AW220" s="4"/>
      <c r="AX220" s="4"/>
      <c r="AY220" s="4"/>
      <c r="AZ220" s="4"/>
      <c r="BA220" s="4"/>
      <c r="BB220" s="4"/>
      <c r="BC220" s="4"/>
      <c r="BD220" s="4"/>
      <c r="BE220" s="4"/>
      <c r="BF220" s="4"/>
      <c r="BG220" s="4"/>
      <c r="BH220" s="4"/>
      <c r="BI220" s="4"/>
      <c r="BJ220" s="4"/>
      <c r="BK220" s="4"/>
      <c r="BL220" s="4"/>
      <c r="BM220" s="4"/>
      <c r="BN220" s="4"/>
      <c r="BO220" s="4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</row>
    <row r="221" spans="1:100" ht="16.5" customHeight="1" x14ac:dyDescent="0.2">
      <c r="A221" s="3"/>
      <c r="B221" s="4"/>
      <c r="C221" s="4"/>
      <c r="D221" s="4"/>
      <c r="E221" s="23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  <c r="AM221" s="4"/>
      <c r="AN221" s="4"/>
      <c r="AO221" s="4"/>
      <c r="AP221" s="4"/>
      <c r="AQ221" s="4"/>
      <c r="AR221" s="4"/>
      <c r="AS221" s="4"/>
      <c r="AT221" s="4"/>
      <c r="AU221" s="4"/>
      <c r="AV221" s="4"/>
      <c r="AW221" s="4"/>
      <c r="AX221" s="4"/>
      <c r="AY221" s="4"/>
      <c r="AZ221" s="4"/>
      <c r="BA221" s="4"/>
      <c r="BB221" s="4"/>
      <c r="BC221" s="4"/>
      <c r="BD221" s="4"/>
      <c r="BE221" s="4"/>
      <c r="BF221" s="4"/>
      <c r="BG221" s="4"/>
      <c r="BH221" s="4"/>
      <c r="BI221" s="4"/>
      <c r="BJ221" s="4"/>
      <c r="BK221" s="4"/>
      <c r="BL221" s="4"/>
      <c r="BM221" s="4"/>
      <c r="BN221" s="4"/>
      <c r="BO221" s="4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</row>
    <row r="222" spans="1:100" ht="16.5" customHeight="1" x14ac:dyDescent="0.2">
      <c r="A222" s="3"/>
      <c r="B222" s="4"/>
      <c r="C222" s="4"/>
      <c r="D222" s="4"/>
      <c r="E222" s="23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  <c r="AM222" s="4"/>
      <c r="AN222" s="4"/>
      <c r="AO222" s="4"/>
      <c r="AP222" s="4"/>
      <c r="AQ222" s="4"/>
      <c r="AR222" s="4"/>
      <c r="AS222" s="4"/>
      <c r="AT222" s="4"/>
      <c r="AU222" s="4"/>
      <c r="AV222" s="4"/>
      <c r="AW222" s="4"/>
      <c r="AX222" s="4"/>
      <c r="AY222" s="4"/>
      <c r="AZ222" s="4"/>
      <c r="BA222" s="4"/>
      <c r="BB222" s="4"/>
      <c r="BC222" s="4"/>
      <c r="BD222" s="4"/>
      <c r="BE222" s="4"/>
      <c r="BF222" s="4"/>
      <c r="BG222" s="4"/>
      <c r="BH222" s="4"/>
      <c r="BI222" s="4"/>
      <c r="BJ222" s="4"/>
      <c r="BK222" s="4"/>
      <c r="BL222" s="4"/>
      <c r="BM222" s="4"/>
      <c r="BN222" s="4"/>
      <c r="BO222" s="4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</row>
    <row r="223" spans="1:100" ht="16.5" customHeight="1" x14ac:dyDescent="0.2">
      <c r="A223" s="3"/>
      <c r="B223" s="4"/>
      <c r="C223" s="4"/>
      <c r="D223" s="4"/>
      <c r="E223" s="23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  <c r="AM223" s="4"/>
      <c r="AN223" s="4"/>
      <c r="AO223" s="4"/>
      <c r="AP223" s="4"/>
      <c r="AQ223" s="4"/>
      <c r="AR223" s="4"/>
      <c r="AS223" s="4"/>
      <c r="AT223" s="4"/>
      <c r="AU223" s="4"/>
      <c r="AV223" s="4"/>
      <c r="AW223" s="4"/>
      <c r="AX223" s="4"/>
      <c r="AY223" s="4"/>
      <c r="AZ223" s="4"/>
      <c r="BA223" s="4"/>
      <c r="BB223" s="4"/>
      <c r="BC223" s="4"/>
      <c r="BD223" s="4"/>
      <c r="BE223" s="4"/>
      <c r="BF223" s="4"/>
      <c r="BG223" s="4"/>
      <c r="BH223" s="4"/>
      <c r="BI223" s="4"/>
      <c r="BJ223" s="4"/>
      <c r="BK223" s="4"/>
      <c r="BL223" s="4"/>
      <c r="BM223" s="4"/>
      <c r="BN223" s="4"/>
      <c r="BO223" s="4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</row>
    <row r="224" spans="1:100" ht="16.5" customHeight="1" x14ac:dyDescent="0.2">
      <c r="A224" s="3"/>
      <c r="B224" s="4"/>
      <c r="C224" s="4"/>
      <c r="D224" s="4"/>
      <c r="E224" s="23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  <c r="AM224" s="4"/>
      <c r="AN224" s="4"/>
      <c r="AO224" s="4"/>
      <c r="AP224" s="4"/>
      <c r="AQ224" s="4"/>
      <c r="AR224" s="4"/>
      <c r="AS224" s="4"/>
      <c r="AT224" s="4"/>
      <c r="AU224" s="4"/>
      <c r="AV224" s="4"/>
      <c r="AW224" s="4"/>
      <c r="AX224" s="4"/>
      <c r="AY224" s="4"/>
      <c r="AZ224" s="4"/>
      <c r="BA224" s="4"/>
      <c r="BB224" s="4"/>
      <c r="BC224" s="4"/>
      <c r="BD224" s="4"/>
      <c r="BE224" s="4"/>
      <c r="BF224" s="4"/>
      <c r="BG224" s="4"/>
      <c r="BH224" s="4"/>
      <c r="BI224" s="4"/>
      <c r="BJ224" s="4"/>
      <c r="BK224" s="4"/>
      <c r="BL224" s="4"/>
      <c r="BM224" s="4"/>
      <c r="BN224" s="4"/>
      <c r="BO224" s="4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</row>
    <row r="225" spans="1:100" ht="16.5" customHeight="1" x14ac:dyDescent="0.2">
      <c r="A225" s="3"/>
      <c r="B225" s="4"/>
      <c r="C225" s="4"/>
      <c r="D225" s="4"/>
      <c r="E225" s="23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  <c r="AM225" s="4"/>
      <c r="AN225" s="4"/>
      <c r="AO225" s="4"/>
      <c r="AP225" s="4"/>
      <c r="AQ225" s="4"/>
      <c r="AR225" s="4"/>
      <c r="AS225" s="4"/>
      <c r="AT225" s="4"/>
      <c r="AU225" s="4"/>
      <c r="AV225" s="4"/>
      <c r="AW225" s="4"/>
      <c r="AX225" s="4"/>
      <c r="AY225" s="4"/>
      <c r="AZ225" s="4"/>
      <c r="BA225" s="4"/>
      <c r="BB225" s="4"/>
      <c r="BC225" s="4"/>
      <c r="BD225" s="4"/>
      <c r="BE225" s="4"/>
      <c r="BF225" s="4"/>
      <c r="BG225" s="4"/>
      <c r="BH225" s="4"/>
      <c r="BI225" s="4"/>
      <c r="BJ225" s="4"/>
      <c r="BK225" s="4"/>
      <c r="BL225" s="4"/>
      <c r="BM225" s="4"/>
      <c r="BN225" s="4"/>
      <c r="BO225" s="4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</row>
    <row r="226" spans="1:100" ht="16.5" customHeight="1" x14ac:dyDescent="0.2">
      <c r="A226" s="3"/>
      <c r="B226" s="4"/>
      <c r="C226" s="4"/>
      <c r="D226" s="4"/>
      <c r="E226" s="23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  <c r="AM226" s="4"/>
      <c r="AN226" s="4"/>
      <c r="AO226" s="4"/>
      <c r="AP226" s="4"/>
      <c r="AQ226" s="4"/>
      <c r="AR226" s="4"/>
      <c r="AS226" s="4"/>
      <c r="AT226" s="4"/>
      <c r="AU226" s="4"/>
      <c r="AV226" s="4"/>
      <c r="AW226" s="4"/>
      <c r="AX226" s="4"/>
      <c r="AY226" s="4"/>
      <c r="AZ226" s="4"/>
      <c r="BA226" s="4"/>
      <c r="BB226" s="4"/>
      <c r="BC226" s="4"/>
      <c r="BD226" s="4"/>
      <c r="BE226" s="4"/>
      <c r="BF226" s="4"/>
      <c r="BG226" s="4"/>
      <c r="BH226" s="4"/>
      <c r="BI226" s="4"/>
      <c r="BJ226" s="4"/>
      <c r="BK226" s="4"/>
      <c r="BL226" s="4"/>
      <c r="BM226" s="4"/>
      <c r="BN226" s="4"/>
      <c r="BO226" s="4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</row>
    <row r="227" spans="1:100" ht="16.5" customHeight="1" x14ac:dyDescent="0.2">
      <c r="A227" s="3"/>
      <c r="B227" s="4"/>
      <c r="C227" s="4"/>
      <c r="D227" s="4"/>
      <c r="E227" s="23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  <c r="AM227" s="4"/>
      <c r="AN227" s="4"/>
      <c r="AO227" s="4"/>
      <c r="AP227" s="4"/>
      <c r="AQ227" s="4"/>
      <c r="AR227" s="4"/>
      <c r="AS227" s="4"/>
      <c r="AT227" s="4"/>
      <c r="AU227" s="4"/>
      <c r="AV227" s="4"/>
      <c r="AW227" s="4"/>
      <c r="AX227" s="4"/>
      <c r="AY227" s="4"/>
      <c r="AZ227" s="4"/>
      <c r="BA227" s="4"/>
      <c r="BB227" s="4"/>
      <c r="BC227" s="4"/>
      <c r="BD227" s="4"/>
      <c r="BE227" s="4"/>
      <c r="BF227" s="4"/>
      <c r="BG227" s="4"/>
      <c r="BH227" s="4"/>
      <c r="BI227" s="4"/>
      <c r="BJ227" s="4"/>
      <c r="BK227" s="4"/>
      <c r="BL227" s="4"/>
      <c r="BM227" s="4"/>
      <c r="BN227" s="4"/>
      <c r="BO227" s="4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</row>
    <row r="228" spans="1:100" ht="16.5" customHeight="1" x14ac:dyDescent="0.2">
      <c r="A228" s="3"/>
      <c r="B228" s="4"/>
      <c r="C228" s="4"/>
      <c r="D228" s="4"/>
      <c r="E228" s="23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  <c r="AM228" s="4"/>
      <c r="AN228" s="4"/>
      <c r="AO228" s="4"/>
      <c r="AP228" s="4"/>
      <c r="AQ228" s="4"/>
      <c r="AR228" s="4"/>
      <c r="AS228" s="4"/>
      <c r="AT228" s="4"/>
      <c r="AU228" s="4"/>
      <c r="AV228" s="4"/>
      <c r="AW228" s="4"/>
      <c r="AX228" s="4"/>
      <c r="AY228" s="4"/>
      <c r="AZ228" s="4"/>
      <c r="BA228" s="4"/>
      <c r="BB228" s="4"/>
      <c r="BC228" s="4"/>
      <c r="BD228" s="4"/>
      <c r="BE228" s="4"/>
      <c r="BF228" s="4"/>
      <c r="BG228" s="4"/>
      <c r="BH228" s="4"/>
      <c r="BI228" s="4"/>
      <c r="BJ228" s="4"/>
      <c r="BK228" s="4"/>
      <c r="BL228" s="4"/>
      <c r="BM228" s="4"/>
      <c r="BN228" s="4"/>
      <c r="BO228" s="4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</row>
    <row r="229" spans="1:100" ht="16.5" customHeight="1" x14ac:dyDescent="0.2">
      <c r="A229" s="3"/>
      <c r="B229" s="4"/>
      <c r="C229" s="4"/>
      <c r="D229" s="4"/>
      <c r="E229" s="23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  <c r="AM229" s="4"/>
      <c r="AN229" s="4"/>
      <c r="AO229" s="4"/>
      <c r="AP229" s="4"/>
      <c r="AQ229" s="4"/>
      <c r="AR229" s="4"/>
      <c r="AS229" s="4"/>
      <c r="AT229" s="4"/>
      <c r="AU229" s="4"/>
      <c r="AV229" s="4"/>
      <c r="AW229" s="4"/>
      <c r="AX229" s="4"/>
      <c r="AY229" s="4"/>
      <c r="AZ229" s="4"/>
      <c r="BA229" s="4"/>
      <c r="BB229" s="4"/>
      <c r="BC229" s="4"/>
      <c r="BD229" s="4"/>
      <c r="BE229" s="4"/>
      <c r="BF229" s="4"/>
      <c r="BG229" s="4"/>
      <c r="BH229" s="4"/>
      <c r="BI229" s="4"/>
      <c r="BJ229" s="4"/>
      <c r="BK229" s="4"/>
      <c r="BL229" s="4"/>
      <c r="BM229" s="4"/>
      <c r="BN229" s="4"/>
      <c r="BO229" s="4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</row>
    <row r="230" spans="1:100" ht="16.5" customHeight="1" x14ac:dyDescent="0.2">
      <c r="A230" s="3"/>
      <c r="B230" s="4"/>
      <c r="C230" s="4"/>
      <c r="D230" s="4"/>
      <c r="E230" s="23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  <c r="AM230" s="4"/>
      <c r="AN230" s="4"/>
      <c r="AO230" s="4"/>
      <c r="AP230" s="4"/>
      <c r="AQ230" s="4"/>
      <c r="AR230" s="4"/>
      <c r="AS230" s="4"/>
      <c r="AT230" s="4"/>
      <c r="AU230" s="4"/>
      <c r="AV230" s="4"/>
      <c r="AW230" s="4"/>
      <c r="AX230" s="4"/>
      <c r="AY230" s="4"/>
      <c r="AZ230" s="4"/>
      <c r="BA230" s="4"/>
      <c r="BB230" s="4"/>
      <c r="BC230" s="4"/>
      <c r="BD230" s="4"/>
      <c r="BE230" s="4"/>
      <c r="BF230" s="4"/>
      <c r="BG230" s="4"/>
      <c r="BH230" s="4"/>
      <c r="BI230" s="4"/>
      <c r="BJ230" s="4"/>
      <c r="BK230" s="4"/>
      <c r="BL230" s="4"/>
      <c r="BM230" s="4"/>
      <c r="BN230" s="4"/>
      <c r="BO230" s="4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</row>
    <row r="231" spans="1:100" ht="16.5" customHeight="1" x14ac:dyDescent="0.2">
      <c r="A231" s="3"/>
      <c r="B231" s="4"/>
      <c r="C231" s="4"/>
      <c r="D231" s="4"/>
      <c r="E231" s="23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  <c r="AM231" s="4"/>
      <c r="AN231" s="4"/>
      <c r="AO231" s="4"/>
      <c r="AP231" s="4"/>
      <c r="AQ231" s="4"/>
      <c r="AR231" s="4"/>
      <c r="AS231" s="4"/>
      <c r="AT231" s="4"/>
      <c r="AU231" s="4"/>
      <c r="AV231" s="4"/>
      <c r="AW231" s="4"/>
      <c r="AX231" s="4"/>
      <c r="AY231" s="4"/>
      <c r="AZ231" s="4"/>
      <c r="BA231" s="4"/>
      <c r="BB231" s="4"/>
      <c r="BC231" s="4"/>
      <c r="BD231" s="4"/>
      <c r="BE231" s="4"/>
      <c r="BF231" s="4"/>
      <c r="BG231" s="4"/>
      <c r="BH231" s="4"/>
      <c r="BI231" s="4"/>
      <c r="BJ231" s="4"/>
      <c r="BK231" s="4"/>
      <c r="BL231" s="4"/>
      <c r="BM231" s="4"/>
      <c r="BN231" s="4"/>
      <c r="BO231" s="4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</row>
    <row r="232" spans="1:100" ht="16.5" customHeight="1" x14ac:dyDescent="0.2">
      <c r="A232" s="3"/>
      <c r="B232" s="4"/>
      <c r="C232" s="4"/>
      <c r="D232" s="4"/>
      <c r="E232" s="23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  <c r="AM232" s="4"/>
      <c r="AN232" s="4"/>
      <c r="AO232" s="4"/>
      <c r="AP232" s="4"/>
      <c r="AQ232" s="4"/>
      <c r="AR232" s="4"/>
      <c r="AS232" s="4"/>
      <c r="AT232" s="4"/>
      <c r="AU232" s="4"/>
      <c r="AV232" s="4"/>
      <c r="AW232" s="4"/>
      <c r="AX232" s="4"/>
      <c r="AY232" s="4"/>
      <c r="AZ232" s="4"/>
      <c r="BA232" s="4"/>
      <c r="BB232" s="4"/>
      <c r="BC232" s="4"/>
      <c r="BD232" s="4"/>
      <c r="BE232" s="4"/>
      <c r="BF232" s="4"/>
      <c r="BG232" s="4"/>
      <c r="BH232" s="4"/>
      <c r="BI232" s="4"/>
      <c r="BJ232" s="4"/>
      <c r="BK232" s="4"/>
      <c r="BL232" s="4"/>
      <c r="BM232" s="4"/>
      <c r="BN232" s="4"/>
      <c r="BO232" s="4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</row>
    <row r="233" spans="1:100" ht="16.5" customHeight="1" x14ac:dyDescent="0.2">
      <c r="A233" s="3"/>
      <c r="B233" s="4"/>
      <c r="C233" s="4"/>
      <c r="D233" s="4"/>
      <c r="E233" s="23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  <c r="AM233" s="4"/>
      <c r="AN233" s="4"/>
      <c r="AO233" s="4"/>
      <c r="AP233" s="4"/>
      <c r="AQ233" s="4"/>
      <c r="AR233" s="4"/>
      <c r="AS233" s="4"/>
      <c r="AT233" s="4"/>
      <c r="AU233" s="4"/>
      <c r="AV233" s="4"/>
      <c r="AW233" s="4"/>
      <c r="AX233" s="4"/>
      <c r="AY233" s="4"/>
      <c r="AZ233" s="4"/>
      <c r="BA233" s="4"/>
      <c r="BB233" s="4"/>
      <c r="BC233" s="4"/>
      <c r="BD233" s="4"/>
      <c r="BE233" s="4"/>
      <c r="BF233" s="4"/>
      <c r="BG233" s="4"/>
      <c r="BH233" s="4"/>
      <c r="BI233" s="4"/>
      <c r="BJ233" s="4"/>
      <c r="BK233" s="4"/>
      <c r="BL233" s="4"/>
      <c r="BM233" s="4"/>
      <c r="BN233" s="4"/>
      <c r="BO233" s="4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</row>
    <row r="234" spans="1:100" ht="16.5" customHeight="1" x14ac:dyDescent="0.2">
      <c r="A234" s="3"/>
      <c r="B234" s="4"/>
      <c r="C234" s="4"/>
      <c r="D234" s="4"/>
      <c r="E234" s="23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  <c r="AM234" s="4"/>
      <c r="AN234" s="4"/>
      <c r="AO234" s="4"/>
      <c r="AP234" s="4"/>
      <c r="AQ234" s="4"/>
      <c r="AR234" s="4"/>
      <c r="AS234" s="4"/>
      <c r="AT234" s="4"/>
      <c r="AU234" s="4"/>
      <c r="AV234" s="4"/>
      <c r="AW234" s="4"/>
      <c r="AX234" s="4"/>
      <c r="AY234" s="4"/>
      <c r="AZ234" s="4"/>
      <c r="BA234" s="4"/>
      <c r="BB234" s="4"/>
      <c r="BC234" s="4"/>
      <c r="BD234" s="4"/>
      <c r="BE234" s="4"/>
      <c r="BF234" s="4"/>
      <c r="BG234" s="4"/>
      <c r="BH234" s="4"/>
      <c r="BI234" s="4"/>
      <c r="BJ234" s="4"/>
      <c r="BK234" s="4"/>
      <c r="BL234" s="4"/>
      <c r="BM234" s="4"/>
      <c r="BN234" s="4"/>
      <c r="BO234" s="4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</row>
    <row r="235" spans="1:100" ht="16.5" customHeight="1" x14ac:dyDescent="0.2">
      <c r="A235" s="3"/>
      <c r="B235" s="4"/>
      <c r="C235" s="4"/>
      <c r="D235" s="4"/>
      <c r="E235" s="23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  <c r="AM235" s="4"/>
      <c r="AN235" s="4"/>
      <c r="AO235" s="4"/>
      <c r="AP235" s="4"/>
      <c r="AQ235" s="4"/>
      <c r="AR235" s="4"/>
      <c r="AS235" s="4"/>
      <c r="AT235" s="4"/>
      <c r="AU235" s="4"/>
      <c r="AV235" s="4"/>
      <c r="AW235" s="4"/>
      <c r="AX235" s="4"/>
      <c r="AY235" s="4"/>
      <c r="AZ235" s="4"/>
      <c r="BA235" s="4"/>
      <c r="BB235" s="4"/>
      <c r="BC235" s="4"/>
      <c r="BD235" s="4"/>
      <c r="BE235" s="4"/>
      <c r="BF235" s="4"/>
      <c r="BG235" s="4"/>
      <c r="BH235" s="4"/>
      <c r="BI235" s="4"/>
      <c r="BJ235" s="4"/>
      <c r="BK235" s="4"/>
      <c r="BL235" s="4"/>
      <c r="BM235" s="4"/>
      <c r="BN235" s="4"/>
      <c r="BO235" s="4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</row>
    <row r="236" spans="1:100" ht="16.5" customHeight="1" x14ac:dyDescent="0.2">
      <c r="A236" s="3"/>
      <c r="B236" s="4"/>
      <c r="C236" s="4"/>
      <c r="D236" s="4"/>
      <c r="E236" s="23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  <c r="AM236" s="4"/>
      <c r="AN236" s="4"/>
      <c r="AO236" s="4"/>
      <c r="AP236" s="4"/>
      <c r="AQ236" s="4"/>
      <c r="AR236" s="4"/>
      <c r="AS236" s="4"/>
      <c r="AT236" s="4"/>
      <c r="AU236" s="4"/>
      <c r="AV236" s="4"/>
      <c r="AW236" s="4"/>
      <c r="AX236" s="4"/>
      <c r="AY236" s="4"/>
      <c r="AZ236" s="4"/>
      <c r="BA236" s="4"/>
      <c r="BB236" s="4"/>
      <c r="BC236" s="4"/>
      <c r="BD236" s="4"/>
      <c r="BE236" s="4"/>
      <c r="BF236" s="4"/>
      <c r="BG236" s="4"/>
      <c r="BH236" s="4"/>
      <c r="BI236" s="4"/>
      <c r="BJ236" s="4"/>
      <c r="BK236" s="4"/>
      <c r="BL236" s="4"/>
      <c r="BM236" s="4"/>
      <c r="BN236" s="4"/>
      <c r="BO236" s="4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</row>
    <row r="237" spans="1:100" ht="16.5" customHeight="1" x14ac:dyDescent="0.2">
      <c r="A237" s="3"/>
      <c r="B237" s="4"/>
      <c r="C237" s="4"/>
      <c r="D237" s="4"/>
      <c r="E237" s="23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  <c r="AM237" s="4"/>
      <c r="AN237" s="4"/>
      <c r="AO237" s="4"/>
      <c r="AP237" s="4"/>
      <c r="AQ237" s="4"/>
      <c r="AR237" s="4"/>
      <c r="AS237" s="4"/>
      <c r="AT237" s="4"/>
      <c r="AU237" s="4"/>
      <c r="AV237" s="4"/>
      <c r="AW237" s="4"/>
      <c r="AX237" s="4"/>
      <c r="AY237" s="4"/>
      <c r="AZ237" s="4"/>
      <c r="BA237" s="4"/>
      <c r="BB237" s="4"/>
      <c r="BC237" s="4"/>
      <c r="BD237" s="4"/>
      <c r="BE237" s="4"/>
      <c r="BF237" s="4"/>
      <c r="BG237" s="4"/>
      <c r="BH237" s="4"/>
      <c r="BI237" s="4"/>
      <c r="BJ237" s="4"/>
      <c r="BK237" s="4"/>
      <c r="BL237" s="4"/>
      <c r="BM237" s="4"/>
      <c r="BN237" s="4"/>
      <c r="BO237" s="4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</row>
    <row r="238" spans="1:100" ht="16.5" customHeight="1" x14ac:dyDescent="0.2">
      <c r="A238" s="3"/>
      <c r="B238" s="4"/>
      <c r="C238" s="4"/>
      <c r="D238" s="4"/>
      <c r="E238" s="23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  <c r="AM238" s="4"/>
      <c r="AN238" s="4"/>
      <c r="AO238" s="4"/>
      <c r="AP238" s="4"/>
      <c r="AQ238" s="4"/>
      <c r="AR238" s="4"/>
      <c r="AS238" s="4"/>
      <c r="AT238" s="4"/>
      <c r="AU238" s="4"/>
      <c r="AV238" s="4"/>
      <c r="AW238" s="4"/>
      <c r="AX238" s="4"/>
      <c r="AY238" s="4"/>
      <c r="AZ238" s="4"/>
      <c r="BA238" s="4"/>
      <c r="BB238" s="4"/>
      <c r="BC238" s="4"/>
      <c r="BD238" s="4"/>
      <c r="BE238" s="4"/>
      <c r="BF238" s="4"/>
      <c r="BG238" s="4"/>
      <c r="BH238" s="4"/>
      <c r="BI238" s="4"/>
      <c r="BJ238" s="4"/>
      <c r="BK238" s="4"/>
      <c r="BL238" s="4"/>
      <c r="BM238" s="4"/>
      <c r="BN238" s="4"/>
      <c r="BO238" s="4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</row>
    <row r="239" spans="1:100" ht="16.5" customHeight="1" x14ac:dyDescent="0.2">
      <c r="A239" s="3"/>
      <c r="B239" s="4"/>
      <c r="C239" s="4"/>
      <c r="D239" s="4"/>
      <c r="E239" s="23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  <c r="AM239" s="4"/>
      <c r="AN239" s="4"/>
      <c r="AO239" s="4"/>
      <c r="AP239" s="4"/>
      <c r="AQ239" s="4"/>
      <c r="AR239" s="4"/>
      <c r="AS239" s="4"/>
      <c r="AT239" s="4"/>
      <c r="AU239" s="4"/>
      <c r="AV239" s="4"/>
      <c r="AW239" s="4"/>
      <c r="AX239" s="4"/>
      <c r="AY239" s="4"/>
      <c r="AZ239" s="4"/>
      <c r="BA239" s="4"/>
      <c r="BB239" s="4"/>
      <c r="BC239" s="4"/>
      <c r="BD239" s="4"/>
      <c r="BE239" s="4"/>
      <c r="BF239" s="4"/>
      <c r="BG239" s="4"/>
      <c r="BH239" s="4"/>
      <c r="BI239" s="4"/>
      <c r="BJ239" s="4"/>
      <c r="BK239" s="4"/>
      <c r="BL239" s="4"/>
      <c r="BM239" s="4"/>
      <c r="BN239" s="4"/>
      <c r="BO239" s="4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</row>
    <row r="240" spans="1:100" ht="16.5" customHeight="1" x14ac:dyDescent="0.2">
      <c r="A240" s="3"/>
      <c r="B240" s="4"/>
      <c r="C240" s="4"/>
      <c r="D240" s="4"/>
      <c r="E240" s="23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  <c r="AM240" s="4"/>
      <c r="AN240" s="4"/>
      <c r="AO240" s="4"/>
      <c r="AP240" s="4"/>
      <c r="AQ240" s="4"/>
      <c r="AR240" s="4"/>
      <c r="AS240" s="4"/>
      <c r="AT240" s="4"/>
      <c r="AU240" s="4"/>
      <c r="AV240" s="4"/>
      <c r="AW240" s="4"/>
      <c r="AX240" s="4"/>
      <c r="AY240" s="4"/>
      <c r="AZ240" s="4"/>
      <c r="BA240" s="4"/>
      <c r="BB240" s="4"/>
      <c r="BC240" s="4"/>
      <c r="BD240" s="4"/>
      <c r="BE240" s="4"/>
      <c r="BF240" s="4"/>
      <c r="BG240" s="4"/>
      <c r="BH240" s="4"/>
      <c r="BI240" s="4"/>
      <c r="BJ240" s="4"/>
      <c r="BK240" s="4"/>
      <c r="BL240" s="4"/>
      <c r="BM240" s="4"/>
      <c r="BN240" s="4"/>
      <c r="BO240" s="4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</row>
    <row r="241" spans="1:100" ht="16.5" customHeight="1" x14ac:dyDescent="0.2">
      <c r="A241" s="3"/>
      <c r="B241" s="4"/>
      <c r="C241" s="4"/>
      <c r="D241" s="4"/>
      <c r="E241" s="23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  <c r="AM241" s="4"/>
      <c r="AN241" s="4"/>
      <c r="AO241" s="4"/>
      <c r="AP241" s="4"/>
      <c r="AQ241" s="4"/>
      <c r="AR241" s="4"/>
      <c r="AS241" s="4"/>
      <c r="AT241" s="4"/>
      <c r="AU241" s="4"/>
      <c r="AV241" s="4"/>
      <c r="AW241" s="4"/>
      <c r="AX241" s="4"/>
      <c r="AY241" s="4"/>
      <c r="AZ241" s="4"/>
      <c r="BA241" s="4"/>
      <c r="BB241" s="4"/>
      <c r="BC241" s="4"/>
      <c r="BD241" s="4"/>
      <c r="BE241" s="4"/>
      <c r="BF241" s="4"/>
      <c r="BG241" s="4"/>
      <c r="BH241" s="4"/>
      <c r="BI241" s="4"/>
      <c r="BJ241" s="4"/>
      <c r="BK241" s="4"/>
      <c r="BL241" s="4"/>
      <c r="BM241" s="4"/>
      <c r="BN241" s="4"/>
      <c r="BO241" s="4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</row>
    <row r="242" spans="1:100" ht="16.5" customHeight="1" x14ac:dyDescent="0.2">
      <c r="A242" s="3"/>
      <c r="B242" s="4"/>
      <c r="C242" s="4"/>
      <c r="D242" s="4"/>
      <c r="E242" s="23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  <c r="AM242" s="4"/>
      <c r="AN242" s="4"/>
      <c r="AO242" s="4"/>
      <c r="AP242" s="4"/>
      <c r="AQ242" s="4"/>
      <c r="AR242" s="4"/>
      <c r="AS242" s="4"/>
      <c r="AT242" s="4"/>
      <c r="AU242" s="4"/>
      <c r="AV242" s="4"/>
      <c r="AW242" s="4"/>
      <c r="AX242" s="4"/>
      <c r="AY242" s="4"/>
      <c r="AZ242" s="4"/>
      <c r="BA242" s="4"/>
      <c r="BB242" s="4"/>
      <c r="BC242" s="4"/>
      <c r="BD242" s="4"/>
      <c r="BE242" s="4"/>
      <c r="BF242" s="4"/>
      <c r="BG242" s="4"/>
      <c r="BH242" s="4"/>
      <c r="BI242" s="4"/>
      <c r="BJ242" s="4"/>
      <c r="BK242" s="4"/>
      <c r="BL242" s="4"/>
      <c r="BM242" s="4"/>
      <c r="BN242" s="4"/>
      <c r="BO242" s="4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</row>
    <row r="243" spans="1:100" ht="16.5" customHeight="1" x14ac:dyDescent="0.2">
      <c r="A243" s="3"/>
      <c r="B243" s="4"/>
      <c r="C243" s="4"/>
      <c r="D243" s="4"/>
      <c r="E243" s="23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  <c r="AM243" s="4"/>
      <c r="AN243" s="4"/>
      <c r="AO243" s="4"/>
      <c r="AP243" s="4"/>
      <c r="AQ243" s="4"/>
      <c r="AR243" s="4"/>
      <c r="AS243" s="4"/>
      <c r="AT243" s="4"/>
      <c r="AU243" s="4"/>
      <c r="AV243" s="4"/>
      <c r="AW243" s="4"/>
      <c r="AX243" s="4"/>
      <c r="AY243" s="4"/>
      <c r="AZ243" s="4"/>
      <c r="BA243" s="4"/>
      <c r="BB243" s="4"/>
      <c r="BC243" s="4"/>
      <c r="BD243" s="4"/>
      <c r="BE243" s="4"/>
      <c r="BF243" s="4"/>
      <c r="BG243" s="4"/>
      <c r="BH243" s="4"/>
      <c r="BI243" s="4"/>
      <c r="BJ243" s="4"/>
      <c r="BK243" s="4"/>
      <c r="BL243" s="4"/>
      <c r="BM243" s="4"/>
      <c r="BN243" s="4"/>
      <c r="BO243" s="4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</row>
    <row r="244" spans="1:100" ht="16.5" customHeight="1" x14ac:dyDescent="0.2">
      <c r="A244" s="3"/>
      <c r="B244" s="4"/>
      <c r="C244" s="4"/>
      <c r="D244" s="4"/>
      <c r="E244" s="23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  <c r="AM244" s="4"/>
      <c r="AN244" s="4"/>
      <c r="AO244" s="4"/>
      <c r="AP244" s="4"/>
      <c r="AQ244" s="4"/>
      <c r="AR244" s="4"/>
      <c r="AS244" s="4"/>
      <c r="AT244" s="4"/>
      <c r="AU244" s="4"/>
      <c r="AV244" s="4"/>
      <c r="AW244" s="4"/>
      <c r="AX244" s="4"/>
      <c r="AY244" s="4"/>
      <c r="AZ244" s="4"/>
      <c r="BA244" s="4"/>
      <c r="BB244" s="4"/>
      <c r="BC244" s="4"/>
      <c r="BD244" s="4"/>
      <c r="BE244" s="4"/>
      <c r="BF244" s="4"/>
      <c r="BG244" s="4"/>
      <c r="BH244" s="4"/>
      <c r="BI244" s="4"/>
      <c r="BJ244" s="4"/>
      <c r="BK244" s="4"/>
      <c r="BL244" s="4"/>
      <c r="BM244" s="4"/>
      <c r="BN244" s="4"/>
      <c r="BO244" s="4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</row>
    <row r="245" spans="1:100" ht="16.5" customHeight="1" x14ac:dyDescent="0.2">
      <c r="A245" s="3"/>
      <c r="B245" s="4"/>
      <c r="C245" s="4"/>
      <c r="D245" s="4"/>
      <c r="E245" s="23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  <c r="AM245" s="4"/>
      <c r="AN245" s="4"/>
      <c r="AO245" s="4"/>
      <c r="AP245" s="4"/>
      <c r="AQ245" s="4"/>
      <c r="AR245" s="4"/>
      <c r="AS245" s="4"/>
      <c r="AT245" s="4"/>
      <c r="AU245" s="4"/>
      <c r="AV245" s="4"/>
      <c r="AW245" s="4"/>
      <c r="AX245" s="4"/>
      <c r="AY245" s="4"/>
      <c r="AZ245" s="4"/>
      <c r="BA245" s="4"/>
      <c r="BB245" s="4"/>
      <c r="BC245" s="4"/>
      <c r="BD245" s="4"/>
      <c r="BE245" s="4"/>
      <c r="BF245" s="4"/>
      <c r="BG245" s="4"/>
      <c r="BH245" s="4"/>
      <c r="BI245" s="4"/>
      <c r="BJ245" s="4"/>
      <c r="BK245" s="4"/>
      <c r="BL245" s="4"/>
      <c r="BM245" s="4"/>
      <c r="BN245" s="4"/>
      <c r="BO245" s="4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</row>
    <row r="246" spans="1:100" ht="16.5" customHeight="1" x14ac:dyDescent="0.2">
      <c r="A246" s="3"/>
      <c r="B246" s="4"/>
      <c r="C246" s="4"/>
      <c r="D246" s="4"/>
      <c r="E246" s="23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  <c r="AM246" s="4"/>
      <c r="AN246" s="4"/>
      <c r="AO246" s="4"/>
      <c r="AP246" s="4"/>
      <c r="AQ246" s="4"/>
      <c r="AR246" s="4"/>
      <c r="AS246" s="4"/>
      <c r="AT246" s="4"/>
      <c r="AU246" s="4"/>
      <c r="AV246" s="4"/>
      <c r="AW246" s="4"/>
      <c r="AX246" s="4"/>
      <c r="AY246" s="4"/>
      <c r="AZ246" s="4"/>
      <c r="BA246" s="4"/>
      <c r="BB246" s="4"/>
      <c r="BC246" s="4"/>
      <c r="BD246" s="4"/>
      <c r="BE246" s="4"/>
      <c r="BF246" s="4"/>
      <c r="BG246" s="4"/>
      <c r="BH246" s="4"/>
      <c r="BI246" s="4"/>
      <c r="BJ246" s="4"/>
      <c r="BK246" s="4"/>
      <c r="BL246" s="4"/>
      <c r="BM246" s="4"/>
      <c r="BN246" s="4"/>
      <c r="BO246" s="4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</row>
    <row r="247" spans="1:100" ht="16.5" customHeight="1" x14ac:dyDescent="0.2">
      <c r="A247" s="3"/>
      <c r="B247" s="4"/>
      <c r="C247" s="4"/>
      <c r="D247" s="4"/>
      <c r="E247" s="23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  <c r="AM247" s="4"/>
      <c r="AN247" s="4"/>
      <c r="AO247" s="4"/>
      <c r="AP247" s="4"/>
      <c r="AQ247" s="4"/>
      <c r="AR247" s="4"/>
      <c r="AS247" s="4"/>
      <c r="AT247" s="4"/>
      <c r="AU247" s="4"/>
      <c r="AV247" s="4"/>
      <c r="AW247" s="4"/>
      <c r="AX247" s="4"/>
      <c r="AY247" s="4"/>
      <c r="AZ247" s="4"/>
      <c r="BA247" s="4"/>
      <c r="BB247" s="4"/>
      <c r="BC247" s="4"/>
      <c r="BD247" s="4"/>
      <c r="BE247" s="4"/>
      <c r="BF247" s="4"/>
      <c r="BG247" s="4"/>
      <c r="BH247" s="4"/>
      <c r="BI247" s="4"/>
      <c r="BJ247" s="4"/>
      <c r="BK247" s="4"/>
      <c r="BL247" s="4"/>
      <c r="BM247" s="4"/>
      <c r="BN247" s="4"/>
      <c r="BO247" s="4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</row>
    <row r="248" spans="1:100" ht="16.5" customHeight="1" x14ac:dyDescent="0.2">
      <c r="A248" s="3"/>
      <c r="B248" s="4"/>
      <c r="C248" s="4"/>
      <c r="D248" s="4"/>
      <c r="E248" s="23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  <c r="AM248" s="4"/>
      <c r="AN248" s="4"/>
      <c r="AO248" s="4"/>
      <c r="AP248" s="4"/>
      <c r="AQ248" s="4"/>
      <c r="AR248" s="4"/>
      <c r="AS248" s="4"/>
      <c r="AT248" s="4"/>
      <c r="AU248" s="4"/>
      <c r="AV248" s="4"/>
      <c r="AW248" s="4"/>
      <c r="AX248" s="4"/>
      <c r="AY248" s="4"/>
      <c r="AZ248" s="4"/>
      <c r="BA248" s="4"/>
      <c r="BB248" s="4"/>
      <c r="BC248" s="4"/>
      <c r="BD248" s="4"/>
      <c r="BE248" s="4"/>
      <c r="BF248" s="4"/>
      <c r="BG248" s="4"/>
      <c r="BH248" s="4"/>
      <c r="BI248" s="4"/>
      <c r="BJ248" s="4"/>
      <c r="BK248" s="4"/>
      <c r="BL248" s="4"/>
      <c r="BM248" s="4"/>
      <c r="BN248" s="4"/>
      <c r="BO248" s="4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</row>
    <row r="249" spans="1:100" ht="16.5" customHeight="1" x14ac:dyDescent="0.2">
      <c r="A249" s="3"/>
      <c r="B249" s="4"/>
      <c r="C249" s="4"/>
      <c r="D249" s="4"/>
      <c r="E249" s="23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  <c r="AM249" s="4"/>
      <c r="AN249" s="4"/>
      <c r="AO249" s="4"/>
      <c r="AP249" s="4"/>
      <c r="AQ249" s="4"/>
      <c r="AR249" s="4"/>
      <c r="AS249" s="4"/>
      <c r="AT249" s="4"/>
      <c r="AU249" s="4"/>
      <c r="AV249" s="4"/>
      <c r="AW249" s="4"/>
      <c r="AX249" s="4"/>
      <c r="AY249" s="4"/>
      <c r="AZ249" s="4"/>
      <c r="BA249" s="4"/>
      <c r="BB249" s="4"/>
      <c r="BC249" s="4"/>
      <c r="BD249" s="4"/>
      <c r="BE249" s="4"/>
      <c r="BF249" s="4"/>
      <c r="BG249" s="4"/>
      <c r="BH249" s="4"/>
      <c r="BI249" s="4"/>
      <c r="BJ249" s="4"/>
      <c r="BK249" s="4"/>
      <c r="BL249" s="4"/>
      <c r="BM249" s="4"/>
      <c r="BN249" s="4"/>
      <c r="BO249" s="4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</row>
    <row r="250" spans="1:100" ht="16.5" customHeight="1" x14ac:dyDescent="0.2">
      <c r="A250" s="3"/>
      <c r="B250" s="4"/>
      <c r="C250" s="4"/>
      <c r="D250" s="4"/>
      <c r="E250" s="23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  <c r="AM250" s="4"/>
      <c r="AN250" s="4"/>
      <c r="AO250" s="4"/>
      <c r="AP250" s="4"/>
      <c r="AQ250" s="4"/>
      <c r="AR250" s="4"/>
      <c r="AS250" s="4"/>
      <c r="AT250" s="4"/>
      <c r="AU250" s="4"/>
      <c r="AV250" s="4"/>
      <c r="AW250" s="4"/>
      <c r="AX250" s="4"/>
      <c r="AY250" s="4"/>
      <c r="AZ250" s="4"/>
      <c r="BA250" s="4"/>
      <c r="BB250" s="4"/>
      <c r="BC250" s="4"/>
      <c r="BD250" s="4"/>
      <c r="BE250" s="4"/>
      <c r="BF250" s="4"/>
      <c r="BG250" s="4"/>
      <c r="BH250" s="4"/>
      <c r="BI250" s="4"/>
      <c r="BJ250" s="4"/>
      <c r="BK250" s="4"/>
      <c r="BL250" s="4"/>
      <c r="BM250" s="4"/>
      <c r="BN250" s="4"/>
      <c r="BO250" s="4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</row>
    <row r="251" spans="1:100" ht="16.5" customHeight="1" x14ac:dyDescent="0.2">
      <c r="A251" s="3"/>
      <c r="B251" s="4"/>
      <c r="C251" s="4"/>
      <c r="D251" s="4"/>
      <c r="E251" s="23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  <c r="AM251" s="4"/>
      <c r="AN251" s="4"/>
      <c r="AO251" s="4"/>
      <c r="AP251" s="4"/>
      <c r="AQ251" s="4"/>
      <c r="AR251" s="4"/>
      <c r="AS251" s="4"/>
      <c r="AT251" s="4"/>
      <c r="AU251" s="4"/>
      <c r="AV251" s="4"/>
      <c r="AW251" s="4"/>
      <c r="AX251" s="4"/>
      <c r="AY251" s="4"/>
      <c r="AZ251" s="4"/>
      <c r="BA251" s="4"/>
      <c r="BB251" s="4"/>
      <c r="BC251" s="4"/>
      <c r="BD251" s="4"/>
      <c r="BE251" s="4"/>
      <c r="BF251" s="4"/>
      <c r="BG251" s="4"/>
      <c r="BH251" s="4"/>
      <c r="BI251" s="4"/>
      <c r="BJ251" s="4"/>
      <c r="BK251" s="4"/>
      <c r="BL251" s="4"/>
      <c r="BM251" s="4"/>
      <c r="BN251" s="4"/>
      <c r="BO251" s="4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</row>
    <row r="252" spans="1:100" ht="16.5" customHeight="1" x14ac:dyDescent="0.2">
      <c r="A252" s="3"/>
      <c r="B252" s="4"/>
      <c r="C252" s="4"/>
      <c r="D252" s="4"/>
      <c r="E252" s="23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  <c r="AM252" s="4"/>
      <c r="AN252" s="4"/>
      <c r="AO252" s="4"/>
      <c r="AP252" s="4"/>
      <c r="AQ252" s="4"/>
      <c r="AR252" s="4"/>
      <c r="AS252" s="4"/>
      <c r="AT252" s="4"/>
      <c r="AU252" s="4"/>
      <c r="AV252" s="4"/>
      <c r="AW252" s="4"/>
      <c r="AX252" s="4"/>
      <c r="AY252" s="4"/>
      <c r="AZ252" s="4"/>
      <c r="BA252" s="4"/>
      <c r="BB252" s="4"/>
      <c r="BC252" s="4"/>
      <c r="BD252" s="4"/>
      <c r="BE252" s="4"/>
      <c r="BF252" s="4"/>
      <c r="BG252" s="4"/>
      <c r="BH252" s="4"/>
      <c r="BI252" s="4"/>
      <c r="BJ252" s="4"/>
      <c r="BK252" s="4"/>
      <c r="BL252" s="4"/>
      <c r="BM252" s="4"/>
      <c r="BN252" s="4"/>
      <c r="BO252" s="4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</row>
    <row r="253" spans="1:100" ht="16.5" customHeight="1" x14ac:dyDescent="0.2">
      <c r="A253" s="3"/>
      <c r="B253" s="4"/>
      <c r="C253" s="4"/>
      <c r="D253" s="4"/>
      <c r="E253" s="23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  <c r="AM253" s="4"/>
      <c r="AN253" s="4"/>
      <c r="AO253" s="4"/>
      <c r="AP253" s="4"/>
      <c r="AQ253" s="4"/>
      <c r="AR253" s="4"/>
      <c r="AS253" s="4"/>
      <c r="AT253" s="4"/>
      <c r="AU253" s="4"/>
      <c r="AV253" s="4"/>
      <c r="AW253" s="4"/>
      <c r="AX253" s="4"/>
      <c r="AY253" s="4"/>
      <c r="AZ253" s="4"/>
      <c r="BA253" s="4"/>
      <c r="BB253" s="4"/>
      <c r="BC253" s="4"/>
      <c r="BD253" s="4"/>
      <c r="BE253" s="4"/>
      <c r="BF253" s="4"/>
      <c r="BG253" s="4"/>
      <c r="BH253" s="4"/>
      <c r="BI253" s="4"/>
      <c r="BJ253" s="4"/>
      <c r="BK253" s="4"/>
      <c r="BL253" s="4"/>
      <c r="BM253" s="4"/>
      <c r="BN253" s="4"/>
      <c r="BO253" s="4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</row>
    <row r="254" spans="1:100" ht="16.5" customHeight="1" x14ac:dyDescent="0.2">
      <c r="A254" s="3"/>
      <c r="B254" s="4"/>
      <c r="C254" s="4"/>
      <c r="D254" s="4"/>
      <c r="E254" s="23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  <c r="AM254" s="4"/>
      <c r="AN254" s="4"/>
      <c r="AO254" s="4"/>
      <c r="AP254" s="4"/>
      <c r="AQ254" s="4"/>
      <c r="AR254" s="4"/>
      <c r="AS254" s="4"/>
      <c r="AT254" s="4"/>
      <c r="AU254" s="4"/>
      <c r="AV254" s="4"/>
      <c r="AW254" s="4"/>
      <c r="AX254" s="4"/>
      <c r="AY254" s="4"/>
      <c r="AZ254" s="4"/>
      <c r="BA254" s="4"/>
      <c r="BB254" s="4"/>
      <c r="BC254" s="4"/>
      <c r="BD254" s="4"/>
      <c r="BE254" s="4"/>
      <c r="BF254" s="4"/>
      <c r="BG254" s="4"/>
      <c r="BH254" s="4"/>
      <c r="BI254" s="4"/>
      <c r="BJ254" s="4"/>
      <c r="BK254" s="4"/>
      <c r="BL254" s="4"/>
      <c r="BM254" s="4"/>
      <c r="BN254" s="4"/>
      <c r="BO254" s="4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</row>
    <row r="255" spans="1:100" ht="16.5" customHeight="1" x14ac:dyDescent="0.2">
      <c r="A255" s="3"/>
      <c r="B255" s="4"/>
      <c r="C255" s="4"/>
      <c r="D255" s="4"/>
      <c r="E255" s="23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  <c r="AM255" s="4"/>
      <c r="AN255" s="4"/>
      <c r="AO255" s="4"/>
      <c r="AP255" s="4"/>
      <c r="AQ255" s="4"/>
      <c r="AR255" s="4"/>
      <c r="AS255" s="4"/>
      <c r="AT255" s="4"/>
      <c r="AU255" s="4"/>
      <c r="AV255" s="4"/>
      <c r="AW255" s="4"/>
      <c r="AX255" s="4"/>
      <c r="AY255" s="4"/>
      <c r="AZ255" s="4"/>
      <c r="BA255" s="4"/>
      <c r="BB255" s="4"/>
      <c r="BC255" s="4"/>
      <c r="BD255" s="4"/>
      <c r="BE255" s="4"/>
      <c r="BF255" s="4"/>
      <c r="BG255" s="4"/>
      <c r="BH255" s="4"/>
      <c r="BI255" s="4"/>
      <c r="BJ255" s="4"/>
      <c r="BK255" s="4"/>
      <c r="BL255" s="4"/>
      <c r="BM255" s="4"/>
      <c r="BN255" s="4"/>
      <c r="BO255" s="4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</row>
    <row r="256" spans="1:100" ht="16.5" customHeight="1" x14ac:dyDescent="0.2">
      <c r="A256" s="3"/>
      <c r="B256" s="4"/>
      <c r="C256" s="4"/>
      <c r="D256" s="4"/>
      <c r="E256" s="23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  <c r="AM256" s="4"/>
      <c r="AN256" s="4"/>
      <c r="AO256" s="4"/>
      <c r="AP256" s="4"/>
      <c r="AQ256" s="4"/>
      <c r="AR256" s="4"/>
      <c r="AS256" s="4"/>
      <c r="AT256" s="4"/>
      <c r="AU256" s="4"/>
      <c r="AV256" s="4"/>
      <c r="AW256" s="4"/>
      <c r="AX256" s="4"/>
      <c r="AY256" s="4"/>
      <c r="AZ256" s="4"/>
      <c r="BA256" s="4"/>
      <c r="BB256" s="4"/>
      <c r="BC256" s="4"/>
      <c r="BD256" s="4"/>
      <c r="BE256" s="4"/>
      <c r="BF256" s="4"/>
      <c r="BG256" s="4"/>
      <c r="BH256" s="4"/>
      <c r="BI256" s="4"/>
      <c r="BJ256" s="4"/>
      <c r="BK256" s="4"/>
      <c r="BL256" s="4"/>
      <c r="BM256" s="4"/>
      <c r="BN256" s="4"/>
      <c r="BO256" s="4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</row>
    <row r="257" spans="1:100" ht="16.5" customHeight="1" x14ac:dyDescent="0.2">
      <c r="A257" s="3"/>
      <c r="B257" s="4"/>
      <c r="C257" s="4"/>
      <c r="D257" s="4"/>
      <c r="E257" s="23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  <c r="AM257" s="4"/>
      <c r="AN257" s="4"/>
      <c r="AO257" s="4"/>
      <c r="AP257" s="4"/>
      <c r="AQ257" s="4"/>
      <c r="AR257" s="4"/>
      <c r="AS257" s="4"/>
      <c r="AT257" s="4"/>
      <c r="AU257" s="4"/>
      <c r="AV257" s="4"/>
      <c r="AW257" s="4"/>
      <c r="AX257" s="4"/>
      <c r="AY257" s="4"/>
      <c r="AZ257" s="4"/>
      <c r="BA257" s="4"/>
      <c r="BB257" s="4"/>
      <c r="BC257" s="4"/>
      <c r="BD257" s="4"/>
      <c r="BE257" s="4"/>
      <c r="BF257" s="4"/>
      <c r="BG257" s="4"/>
      <c r="BH257" s="4"/>
      <c r="BI257" s="4"/>
      <c r="BJ257" s="4"/>
      <c r="BK257" s="4"/>
      <c r="BL257" s="4"/>
      <c r="BM257" s="4"/>
      <c r="BN257" s="4"/>
      <c r="BO257" s="4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</row>
    <row r="258" spans="1:100" ht="16.5" customHeight="1" x14ac:dyDescent="0.2">
      <c r="A258" s="3"/>
      <c r="B258" s="4"/>
      <c r="C258" s="4"/>
      <c r="D258" s="4"/>
      <c r="E258" s="23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  <c r="AM258" s="4"/>
      <c r="AN258" s="4"/>
      <c r="AO258" s="4"/>
      <c r="AP258" s="4"/>
      <c r="AQ258" s="4"/>
      <c r="AR258" s="4"/>
      <c r="AS258" s="4"/>
      <c r="AT258" s="4"/>
      <c r="AU258" s="4"/>
      <c r="AV258" s="4"/>
      <c r="AW258" s="4"/>
      <c r="AX258" s="4"/>
      <c r="AY258" s="4"/>
      <c r="AZ258" s="4"/>
      <c r="BA258" s="4"/>
      <c r="BB258" s="4"/>
      <c r="BC258" s="4"/>
      <c r="BD258" s="4"/>
      <c r="BE258" s="4"/>
      <c r="BF258" s="4"/>
      <c r="BG258" s="4"/>
      <c r="BH258" s="4"/>
      <c r="BI258" s="4"/>
      <c r="BJ258" s="4"/>
      <c r="BK258" s="4"/>
      <c r="BL258" s="4"/>
      <c r="BM258" s="4"/>
      <c r="BN258" s="4"/>
      <c r="BO258" s="4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</row>
    <row r="259" spans="1:100" ht="16.5" customHeight="1" x14ac:dyDescent="0.2">
      <c r="A259" s="3"/>
      <c r="B259" s="4"/>
      <c r="C259" s="4"/>
      <c r="D259" s="4"/>
      <c r="E259" s="23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  <c r="AM259" s="4"/>
      <c r="AN259" s="4"/>
      <c r="AO259" s="4"/>
      <c r="AP259" s="4"/>
      <c r="AQ259" s="4"/>
      <c r="AR259" s="4"/>
      <c r="AS259" s="4"/>
      <c r="AT259" s="4"/>
      <c r="AU259" s="4"/>
      <c r="AV259" s="4"/>
      <c r="AW259" s="4"/>
      <c r="AX259" s="4"/>
      <c r="AY259" s="4"/>
      <c r="AZ259" s="4"/>
      <c r="BA259" s="4"/>
      <c r="BB259" s="4"/>
      <c r="BC259" s="4"/>
      <c r="BD259" s="4"/>
      <c r="BE259" s="4"/>
      <c r="BF259" s="4"/>
      <c r="BG259" s="4"/>
      <c r="BH259" s="4"/>
      <c r="BI259" s="4"/>
      <c r="BJ259" s="4"/>
      <c r="BK259" s="4"/>
      <c r="BL259" s="4"/>
      <c r="BM259" s="4"/>
      <c r="BN259" s="4"/>
      <c r="BO259" s="4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</row>
    <row r="260" spans="1:100" ht="16.5" customHeight="1" x14ac:dyDescent="0.2">
      <c r="A260" s="3"/>
      <c r="B260" s="4"/>
      <c r="C260" s="4"/>
      <c r="D260" s="4"/>
      <c r="E260" s="23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  <c r="AM260" s="4"/>
      <c r="AN260" s="4"/>
      <c r="AO260" s="4"/>
      <c r="AP260" s="4"/>
      <c r="AQ260" s="4"/>
      <c r="AR260" s="4"/>
      <c r="AS260" s="4"/>
      <c r="AT260" s="4"/>
      <c r="AU260" s="4"/>
      <c r="AV260" s="4"/>
      <c r="AW260" s="4"/>
      <c r="AX260" s="4"/>
      <c r="AY260" s="4"/>
      <c r="AZ260" s="4"/>
      <c r="BA260" s="4"/>
      <c r="BB260" s="4"/>
      <c r="BC260" s="4"/>
      <c r="BD260" s="4"/>
      <c r="BE260" s="4"/>
      <c r="BF260" s="4"/>
      <c r="BG260" s="4"/>
      <c r="BH260" s="4"/>
      <c r="BI260" s="4"/>
      <c r="BJ260" s="4"/>
      <c r="BK260" s="4"/>
      <c r="BL260" s="4"/>
      <c r="BM260" s="4"/>
      <c r="BN260" s="4"/>
      <c r="BO260" s="4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</row>
    <row r="261" spans="1:100" ht="16.5" customHeight="1" x14ac:dyDescent="0.2">
      <c r="A261" s="3"/>
      <c r="B261" s="4"/>
      <c r="C261" s="4"/>
      <c r="D261" s="4"/>
      <c r="E261" s="23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  <c r="AM261" s="4"/>
      <c r="AN261" s="4"/>
      <c r="AO261" s="4"/>
      <c r="AP261" s="4"/>
      <c r="AQ261" s="4"/>
      <c r="AR261" s="4"/>
      <c r="AS261" s="4"/>
      <c r="AT261" s="4"/>
      <c r="AU261" s="4"/>
      <c r="AV261" s="4"/>
      <c r="AW261" s="4"/>
      <c r="AX261" s="4"/>
      <c r="AY261" s="4"/>
      <c r="AZ261" s="4"/>
      <c r="BA261" s="4"/>
      <c r="BB261" s="4"/>
      <c r="BC261" s="4"/>
      <c r="BD261" s="4"/>
      <c r="BE261" s="4"/>
      <c r="BF261" s="4"/>
      <c r="BG261" s="4"/>
      <c r="BH261" s="4"/>
      <c r="BI261" s="4"/>
      <c r="BJ261" s="4"/>
      <c r="BK261" s="4"/>
      <c r="BL261" s="4"/>
      <c r="BM261" s="4"/>
      <c r="BN261" s="4"/>
      <c r="BO261" s="4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</row>
    <row r="262" spans="1:100" ht="16.5" customHeight="1" x14ac:dyDescent="0.2">
      <c r="A262" s="3"/>
      <c r="B262" s="4"/>
      <c r="C262" s="4"/>
      <c r="D262" s="4"/>
      <c r="E262" s="23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  <c r="AM262" s="4"/>
      <c r="AN262" s="4"/>
      <c r="AO262" s="4"/>
      <c r="AP262" s="4"/>
      <c r="AQ262" s="4"/>
      <c r="AR262" s="4"/>
      <c r="AS262" s="4"/>
      <c r="AT262" s="4"/>
      <c r="AU262" s="4"/>
      <c r="AV262" s="4"/>
      <c r="AW262" s="4"/>
      <c r="AX262" s="4"/>
      <c r="AY262" s="4"/>
      <c r="AZ262" s="4"/>
      <c r="BA262" s="4"/>
      <c r="BB262" s="4"/>
      <c r="BC262" s="4"/>
      <c r="BD262" s="4"/>
      <c r="BE262" s="4"/>
      <c r="BF262" s="4"/>
      <c r="BG262" s="4"/>
      <c r="BH262" s="4"/>
      <c r="BI262" s="4"/>
      <c r="BJ262" s="4"/>
      <c r="BK262" s="4"/>
      <c r="BL262" s="4"/>
      <c r="BM262" s="4"/>
      <c r="BN262" s="4"/>
      <c r="BO262" s="4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</row>
    <row r="263" spans="1:100" ht="16.5" customHeight="1" x14ac:dyDescent="0.2">
      <c r="A263" s="3"/>
      <c r="B263" s="4"/>
      <c r="C263" s="4"/>
      <c r="D263" s="4"/>
      <c r="E263" s="23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  <c r="AM263" s="4"/>
      <c r="AN263" s="4"/>
      <c r="AO263" s="4"/>
      <c r="AP263" s="4"/>
      <c r="AQ263" s="4"/>
      <c r="AR263" s="4"/>
      <c r="AS263" s="4"/>
      <c r="AT263" s="4"/>
      <c r="AU263" s="4"/>
      <c r="AV263" s="4"/>
      <c r="AW263" s="4"/>
      <c r="AX263" s="4"/>
      <c r="AY263" s="4"/>
      <c r="AZ263" s="4"/>
      <c r="BA263" s="4"/>
      <c r="BB263" s="4"/>
      <c r="BC263" s="4"/>
      <c r="BD263" s="4"/>
      <c r="BE263" s="4"/>
      <c r="BF263" s="4"/>
      <c r="BG263" s="4"/>
      <c r="BH263" s="4"/>
      <c r="BI263" s="4"/>
      <c r="BJ263" s="4"/>
      <c r="BK263" s="4"/>
      <c r="BL263" s="4"/>
      <c r="BM263" s="4"/>
      <c r="BN263" s="4"/>
      <c r="BO263" s="4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</row>
    <row r="264" spans="1:100" ht="16.5" customHeight="1" x14ac:dyDescent="0.2">
      <c r="A264" s="3"/>
      <c r="B264" s="4"/>
      <c r="C264" s="4"/>
      <c r="D264" s="4"/>
      <c r="E264" s="23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  <c r="AM264" s="4"/>
      <c r="AN264" s="4"/>
      <c r="AO264" s="4"/>
      <c r="AP264" s="4"/>
      <c r="AQ264" s="4"/>
      <c r="AR264" s="4"/>
      <c r="AS264" s="4"/>
      <c r="AT264" s="4"/>
      <c r="AU264" s="4"/>
      <c r="AV264" s="4"/>
      <c r="AW264" s="4"/>
      <c r="AX264" s="4"/>
      <c r="AY264" s="4"/>
      <c r="AZ264" s="4"/>
      <c r="BA264" s="4"/>
      <c r="BB264" s="4"/>
      <c r="BC264" s="4"/>
      <c r="BD264" s="4"/>
      <c r="BE264" s="4"/>
      <c r="BF264" s="4"/>
      <c r="BG264" s="4"/>
      <c r="BH264" s="4"/>
      <c r="BI264" s="4"/>
      <c r="BJ264" s="4"/>
      <c r="BK264" s="4"/>
      <c r="BL264" s="4"/>
      <c r="BM264" s="4"/>
      <c r="BN264" s="4"/>
      <c r="BO264" s="4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</row>
    <row r="265" spans="1:100" ht="16.5" customHeight="1" x14ac:dyDescent="0.2">
      <c r="A265" s="3"/>
      <c r="B265" s="4"/>
      <c r="C265" s="4"/>
      <c r="D265" s="4"/>
      <c r="E265" s="23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  <c r="AM265" s="4"/>
      <c r="AN265" s="4"/>
      <c r="AO265" s="4"/>
      <c r="AP265" s="4"/>
      <c r="AQ265" s="4"/>
      <c r="AR265" s="4"/>
      <c r="AS265" s="4"/>
      <c r="AT265" s="4"/>
      <c r="AU265" s="4"/>
      <c r="AV265" s="4"/>
      <c r="AW265" s="4"/>
      <c r="AX265" s="4"/>
      <c r="AY265" s="4"/>
      <c r="AZ265" s="4"/>
      <c r="BA265" s="4"/>
      <c r="BB265" s="4"/>
      <c r="BC265" s="4"/>
      <c r="BD265" s="4"/>
      <c r="BE265" s="4"/>
      <c r="BF265" s="4"/>
      <c r="BG265" s="4"/>
      <c r="BH265" s="4"/>
      <c r="BI265" s="4"/>
      <c r="BJ265" s="4"/>
      <c r="BK265" s="4"/>
      <c r="BL265" s="4"/>
      <c r="BM265" s="4"/>
      <c r="BN265" s="4"/>
      <c r="BO265" s="4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</row>
    <row r="266" spans="1:100" ht="16.5" customHeight="1" x14ac:dyDescent="0.2">
      <c r="A266" s="3"/>
      <c r="B266" s="4"/>
      <c r="C266" s="4"/>
      <c r="D266" s="4"/>
      <c r="E266" s="23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  <c r="AM266" s="4"/>
      <c r="AN266" s="4"/>
      <c r="AO266" s="4"/>
      <c r="AP266" s="4"/>
      <c r="AQ266" s="4"/>
      <c r="AR266" s="4"/>
      <c r="AS266" s="4"/>
      <c r="AT266" s="4"/>
      <c r="AU266" s="4"/>
      <c r="AV266" s="4"/>
      <c r="AW266" s="4"/>
      <c r="AX266" s="4"/>
      <c r="AY266" s="4"/>
      <c r="AZ266" s="4"/>
      <c r="BA266" s="4"/>
      <c r="BB266" s="4"/>
      <c r="BC266" s="4"/>
      <c r="BD266" s="4"/>
      <c r="BE266" s="4"/>
      <c r="BF266" s="4"/>
      <c r="BG266" s="4"/>
      <c r="BH266" s="4"/>
      <c r="BI266" s="4"/>
      <c r="BJ266" s="4"/>
      <c r="BK266" s="4"/>
      <c r="BL266" s="4"/>
      <c r="BM266" s="4"/>
      <c r="BN266" s="4"/>
      <c r="BO266" s="4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</row>
    <row r="267" spans="1:100" ht="16.5" customHeight="1" x14ac:dyDescent="0.2">
      <c r="A267" s="3"/>
      <c r="B267" s="4"/>
      <c r="C267" s="4"/>
      <c r="D267" s="4"/>
      <c r="E267" s="23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  <c r="AM267" s="4"/>
      <c r="AN267" s="4"/>
      <c r="AO267" s="4"/>
      <c r="AP267" s="4"/>
      <c r="AQ267" s="4"/>
      <c r="AR267" s="4"/>
      <c r="AS267" s="4"/>
      <c r="AT267" s="4"/>
      <c r="AU267" s="4"/>
      <c r="AV267" s="4"/>
      <c r="AW267" s="4"/>
      <c r="AX267" s="4"/>
      <c r="AY267" s="4"/>
      <c r="AZ267" s="4"/>
      <c r="BA267" s="4"/>
      <c r="BB267" s="4"/>
      <c r="BC267" s="4"/>
      <c r="BD267" s="4"/>
      <c r="BE267" s="4"/>
      <c r="BF267" s="4"/>
      <c r="BG267" s="4"/>
      <c r="BH267" s="4"/>
      <c r="BI267" s="4"/>
      <c r="BJ267" s="4"/>
      <c r="BK267" s="4"/>
      <c r="BL267" s="4"/>
      <c r="BM267" s="4"/>
      <c r="BN267" s="4"/>
      <c r="BO267" s="4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</row>
    <row r="268" spans="1:100" ht="16.5" customHeight="1" x14ac:dyDescent="0.2">
      <c r="A268" s="3"/>
      <c r="B268" s="4"/>
      <c r="C268" s="4"/>
      <c r="D268" s="4"/>
      <c r="E268" s="23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  <c r="AM268" s="4"/>
      <c r="AN268" s="4"/>
      <c r="AO268" s="4"/>
      <c r="AP268" s="4"/>
      <c r="AQ268" s="4"/>
      <c r="AR268" s="4"/>
      <c r="AS268" s="4"/>
      <c r="AT268" s="4"/>
      <c r="AU268" s="4"/>
      <c r="AV268" s="4"/>
      <c r="AW268" s="4"/>
      <c r="AX268" s="4"/>
      <c r="AY268" s="4"/>
      <c r="AZ268" s="4"/>
      <c r="BA268" s="4"/>
      <c r="BB268" s="4"/>
      <c r="BC268" s="4"/>
      <c r="BD268" s="4"/>
      <c r="BE268" s="4"/>
      <c r="BF268" s="4"/>
      <c r="BG268" s="4"/>
      <c r="BH268" s="4"/>
      <c r="BI268" s="4"/>
      <c r="BJ268" s="4"/>
      <c r="BK268" s="4"/>
      <c r="BL268" s="4"/>
      <c r="BM268" s="4"/>
      <c r="BN268" s="4"/>
      <c r="BO268" s="4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</row>
    <row r="269" spans="1:100" ht="16.5" customHeight="1" x14ac:dyDescent="0.2">
      <c r="A269" s="3"/>
      <c r="B269" s="4"/>
      <c r="C269" s="4"/>
      <c r="D269" s="4"/>
      <c r="E269" s="23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  <c r="AM269" s="4"/>
      <c r="AN269" s="4"/>
      <c r="AO269" s="4"/>
      <c r="AP269" s="4"/>
      <c r="AQ269" s="4"/>
      <c r="AR269" s="4"/>
      <c r="AS269" s="4"/>
      <c r="AT269" s="4"/>
      <c r="AU269" s="4"/>
      <c r="AV269" s="4"/>
      <c r="AW269" s="4"/>
      <c r="AX269" s="4"/>
      <c r="AY269" s="4"/>
      <c r="AZ269" s="4"/>
      <c r="BA269" s="4"/>
      <c r="BB269" s="4"/>
      <c r="BC269" s="4"/>
      <c r="BD269" s="4"/>
      <c r="BE269" s="4"/>
      <c r="BF269" s="4"/>
      <c r="BG269" s="4"/>
      <c r="BH269" s="4"/>
      <c r="BI269" s="4"/>
      <c r="BJ269" s="4"/>
      <c r="BK269" s="4"/>
      <c r="BL269" s="4"/>
      <c r="BM269" s="4"/>
      <c r="BN269" s="4"/>
      <c r="BO269" s="4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</row>
    <row r="270" spans="1:100" ht="16.5" customHeight="1" x14ac:dyDescent="0.2">
      <c r="A270" s="3"/>
      <c r="B270" s="4"/>
      <c r="C270" s="4"/>
      <c r="D270" s="4"/>
      <c r="E270" s="23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  <c r="AM270" s="4"/>
      <c r="AN270" s="4"/>
      <c r="AO270" s="4"/>
      <c r="AP270" s="4"/>
      <c r="AQ270" s="4"/>
      <c r="AR270" s="4"/>
      <c r="AS270" s="4"/>
      <c r="AT270" s="4"/>
      <c r="AU270" s="4"/>
      <c r="AV270" s="4"/>
      <c r="AW270" s="4"/>
      <c r="AX270" s="4"/>
      <c r="AY270" s="4"/>
      <c r="AZ270" s="4"/>
      <c r="BA270" s="4"/>
      <c r="BB270" s="4"/>
      <c r="BC270" s="4"/>
      <c r="BD270" s="4"/>
      <c r="BE270" s="4"/>
      <c r="BF270" s="4"/>
      <c r="BG270" s="4"/>
      <c r="BH270" s="4"/>
      <c r="BI270" s="4"/>
      <c r="BJ270" s="4"/>
      <c r="BK270" s="4"/>
      <c r="BL270" s="4"/>
      <c r="BM270" s="4"/>
      <c r="BN270" s="4"/>
      <c r="BO270" s="4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</row>
    <row r="271" spans="1:100" ht="16.5" customHeight="1" x14ac:dyDescent="0.2">
      <c r="A271" s="3"/>
      <c r="B271" s="4"/>
      <c r="C271" s="4"/>
      <c r="D271" s="4"/>
      <c r="E271" s="23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  <c r="AM271" s="4"/>
      <c r="AN271" s="4"/>
      <c r="AO271" s="4"/>
      <c r="AP271" s="4"/>
      <c r="AQ271" s="4"/>
      <c r="AR271" s="4"/>
      <c r="AS271" s="4"/>
      <c r="AT271" s="4"/>
      <c r="AU271" s="4"/>
      <c r="AV271" s="4"/>
      <c r="AW271" s="4"/>
      <c r="AX271" s="4"/>
      <c r="AY271" s="4"/>
      <c r="AZ271" s="4"/>
      <c r="BA271" s="4"/>
      <c r="BB271" s="4"/>
      <c r="BC271" s="4"/>
      <c r="BD271" s="4"/>
      <c r="BE271" s="4"/>
      <c r="BF271" s="4"/>
      <c r="BG271" s="4"/>
      <c r="BH271" s="4"/>
      <c r="BI271" s="4"/>
      <c r="BJ271" s="4"/>
      <c r="BK271" s="4"/>
      <c r="BL271" s="4"/>
      <c r="BM271" s="4"/>
      <c r="BN271" s="4"/>
      <c r="BO271" s="4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</row>
    <row r="272" spans="1:100" ht="16.5" customHeight="1" x14ac:dyDescent="0.2">
      <c r="A272" s="3"/>
      <c r="B272" s="4"/>
      <c r="C272" s="4"/>
      <c r="D272" s="4"/>
      <c r="E272" s="23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  <c r="AM272" s="4"/>
      <c r="AN272" s="4"/>
      <c r="AO272" s="4"/>
      <c r="AP272" s="4"/>
      <c r="AQ272" s="4"/>
      <c r="AR272" s="4"/>
      <c r="AS272" s="4"/>
      <c r="AT272" s="4"/>
      <c r="AU272" s="4"/>
      <c r="AV272" s="4"/>
      <c r="AW272" s="4"/>
      <c r="AX272" s="4"/>
      <c r="AY272" s="4"/>
      <c r="AZ272" s="4"/>
      <c r="BA272" s="4"/>
      <c r="BB272" s="4"/>
      <c r="BC272" s="4"/>
      <c r="BD272" s="4"/>
      <c r="BE272" s="4"/>
      <c r="BF272" s="4"/>
      <c r="BG272" s="4"/>
      <c r="BH272" s="4"/>
      <c r="BI272" s="4"/>
      <c r="BJ272" s="4"/>
      <c r="BK272" s="4"/>
      <c r="BL272" s="4"/>
      <c r="BM272" s="4"/>
      <c r="BN272" s="4"/>
      <c r="BO272" s="4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</row>
    <row r="273" spans="1:100" ht="16.5" customHeight="1" x14ac:dyDescent="0.2">
      <c r="A273" s="3"/>
      <c r="B273" s="4"/>
      <c r="C273" s="4"/>
      <c r="D273" s="4"/>
      <c r="E273" s="23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  <c r="AM273" s="4"/>
      <c r="AN273" s="4"/>
      <c r="AO273" s="4"/>
      <c r="AP273" s="4"/>
      <c r="AQ273" s="4"/>
      <c r="AR273" s="4"/>
      <c r="AS273" s="4"/>
      <c r="AT273" s="4"/>
      <c r="AU273" s="4"/>
      <c r="AV273" s="4"/>
      <c r="AW273" s="4"/>
      <c r="AX273" s="4"/>
      <c r="AY273" s="4"/>
      <c r="AZ273" s="4"/>
      <c r="BA273" s="4"/>
      <c r="BB273" s="4"/>
      <c r="BC273" s="4"/>
      <c r="BD273" s="4"/>
      <c r="BE273" s="4"/>
      <c r="BF273" s="4"/>
      <c r="BG273" s="4"/>
      <c r="BH273" s="4"/>
      <c r="BI273" s="4"/>
      <c r="BJ273" s="4"/>
      <c r="BK273" s="4"/>
      <c r="BL273" s="4"/>
      <c r="BM273" s="4"/>
      <c r="BN273" s="4"/>
      <c r="BO273" s="4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</row>
    <row r="274" spans="1:100" ht="16.5" customHeight="1" x14ac:dyDescent="0.2">
      <c r="A274" s="3"/>
      <c r="B274" s="4"/>
      <c r="C274" s="4"/>
      <c r="D274" s="4"/>
      <c r="E274" s="23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  <c r="AM274" s="4"/>
      <c r="AN274" s="4"/>
      <c r="AO274" s="4"/>
      <c r="AP274" s="4"/>
      <c r="AQ274" s="4"/>
      <c r="AR274" s="4"/>
      <c r="AS274" s="4"/>
      <c r="AT274" s="4"/>
      <c r="AU274" s="4"/>
      <c r="AV274" s="4"/>
      <c r="AW274" s="4"/>
      <c r="AX274" s="4"/>
      <c r="AY274" s="4"/>
      <c r="AZ274" s="4"/>
      <c r="BA274" s="4"/>
      <c r="BB274" s="4"/>
      <c r="BC274" s="4"/>
      <c r="BD274" s="4"/>
      <c r="BE274" s="4"/>
      <c r="BF274" s="4"/>
      <c r="BG274" s="4"/>
      <c r="BH274" s="4"/>
      <c r="BI274" s="4"/>
      <c r="BJ274" s="4"/>
      <c r="BK274" s="4"/>
      <c r="BL274" s="4"/>
      <c r="BM274" s="4"/>
      <c r="BN274" s="4"/>
      <c r="BO274" s="4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</row>
    <row r="275" spans="1:100" ht="16.5" customHeight="1" x14ac:dyDescent="0.2">
      <c r="A275" s="3"/>
      <c r="B275" s="4"/>
      <c r="C275" s="4"/>
      <c r="D275" s="4"/>
      <c r="E275" s="23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  <c r="AM275" s="4"/>
      <c r="AN275" s="4"/>
      <c r="AO275" s="4"/>
      <c r="AP275" s="4"/>
      <c r="AQ275" s="4"/>
      <c r="AR275" s="4"/>
      <c r="AS275" s="4"/>
      <c r="AT275" s="4"/>
      <c r="AU275" s="4"/>
      <c r="AV275" s="4"/>
      <c r="AW275" s="4"/>
      <c r="AX275" s="4"/>
      <c r="AY275" s="4"/>
      <c r="AZ275" s="4"/>
      <c r="BA275" s="4"/>
      <c r="BB275" s="4"/>
      <c r="BC275" s="4"/>
      <c r="BD275" s="4"/>
      <c r="BE275" s="4"/>
      <c r="BF275" s="4"/>
      <c r="BG275" s="4"/>
      <c r="BH275" s="4"/>
      <c r="BI275" s="4"/>
      <c r="BJ275" s="4"/>
      <c r="BK275" s="4"/>
      <c r="BL275" s="4"/>
      <c r="BM275" s="4"/>
      <c r="BN275" s="4"/>
      <c r="BO275" s="4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</row>
    <row r="276" spans="1:100" ht="16.5" customHeight="1" x14ac:dyDescent="0.2">
      <c r="A276" s="3"/>
      <c r="B276" s="4"/>
      <c r="C276" s="4"/>
      <c r="D276" s="4"/>
      <c r="E276" s="23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  <c r="AM276" s="4"/>
      <c r="AN276" s="4"/>
      <c r="AO276" s="4"/>
      <c r="AP276" s="4"/>
      <c r="AQ276" s="4"/>
      <c r="AR276" s="4"/>
      <c r="AS276" s="4"/>
      <c r="AT276" s="4"/>
      <c r="AU276" s="4"/>
      <c r="AV276" s="4"/>
      <c r="AW276" s="4"/>
      <c r="AX276" s="4"/>
      <c r="AY276" s="4"/>
      <c r="AZ276" s="4"/>
      <c r="BA276" s="4"/>
      <c r="BB276" s="4"/>
      <c r="BC276" s="4"/>
      <c r="BD276" s="4"/>
      <c r="BE276" s="4"/>
      <c r="BF276" s="4"/>
      <c r="BG276" s="4"/>
      <c r="BH276" s="4"/>
      <c r="BI276" s="4"/>
      <c r="BJ276" s="4"/>
      <c r="BK276" s="4"/>
      <c r="BL276" s="4"/>
      <c r="BM276" s="4"/>
      <c r="BN276" s="4"/>
      <c r="BO276" s="4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</row>
    <row r="277" spans="1:100" ht="16.5" customHeight="1" x14ac:dyDescent="0.2">
      <c r="A277" s="3"/>
      <c r="B277" s="4"/>
      <c r="C277" s="4"/>
      <c r="D277" s="4"/>
      <c r="E277" s="23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  <c r="AM277" s="4"/>
      <c r="AN277" s="4"/>
      <c r="AO277" s="4"/>
      <c r="AP277" s="4"/>
      <c r="AQ277" s="4"/>
      <c r="AR277" s="4"/>
      <c r="AS277" s="4"/>
      <c r="AT277" s="4"/>
      <c r="AU277" s="4"/>
      <c r="AV277" s="4"/>
      <c r="AW277" s="4"/>
      <c r="AX277" s="4"/>
      <c r="AY277" s="4"/>
      <c r="AZ277" s="4"/>
      <c r="BA277" s="4"/>
      <c r="BB277" s="4"/>
      <c r="BC277" s="4"/>
      <c r="BD277" s="4"/>
      <c r="BE277" s="4"/>
      <c r="BF277" s="4"/>
      <c r="BG277" s="4"/>
      <c r="BH277" s="4"/>
      <c r="BI277" s="4"/>
      <c r="BJ277" s="4"/>
      <c r="BK277" s="4"/>
      <c r="BL277" s="4"/>
      <c r="BM277" s="4"/>
      <c r="BN277" s="4"/>
      <c r="BO277" s="4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</row>
    <row r="278" spans="1:100" ht="16.5" customHeight="1" x14ac:dyDescent="0.2">
      <c r="A278" s="3"/>
      <c r="B278" s="4"/>
      <c r="C278" s="4"/>
      <c r="D278" s="4"/>
      <c r="E278" s="23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  <c r="AM278" s="4"/>
      <c r="AN278" s="4"/>
      <c r="AO278" s="4"/>
      <c r="AP278" s="4"/>
      <c r="AQ278" s="4"/>
      <c r="AR278" s="4"/>
      <c r="AS278" s="4"/>
      <c r="AT278" s="4"/>
      <c r="AU278" s="4"/>
      <c r="AV278" s="4"/>
      <c r="AW278" s="4"/>
      <c r="AX278" s="4"/>
      <c r="AY278" s="4"/>
      <c r="AZ278" s="4"/>
      <c r="BA278" s="4"/>
      <c r="BB278" s="4"/>
      <c r="BC278" s="4"/>
      <c r="BD278" s="4"/>
      <c r="BE278" s="4"/>
      <c r="BF278" s="4"/>
      <c r="BG278" s="4"/>
      <c r="BH278" s="4"/>
      <c r="BI278" s="4"/>
      <c r="BJ278" s="4"/>
      <c r="BK278" s="4"/>
      <c r="BL278" s="4"/>
      <c r="BM278" s="4"/>
      <c r="BN278" s="4"/>
      <c r="BO278" s="4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</row>
    <row r="279" spans="1:100" ht="16.5" customHeight="1" x14ac:dyDescent="0.2">
      <c r="A279" s="3"/>
      <c r="B279" s="4"/>
      <c r="C279" s="4"/>
      <c r="D279" s="4"/>
      <c r="E279" s="23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  <c r="AM279" s="4"/>
      <c r="AN279" s="4"/>
      <c r="AO279" s="4"/>
      <c r="AP279" s="4"/>
      <c r="AQ279" s="4"/>
      <c r="AR279" s="4"/>
      <c r="AS279" s="4"/>
      <c r="AT279" s="4"/>
      <c r="AU279" s="4"/>
      <c r="AV279" s="4"/>
      <c r="AW279" s="4"/>
      <c r="AX279" s="4"/>
      <c r="AY279" s="4"/>
      <c r="AZ279" s="4"/>
      <c r="BA279" s="4"/>
      <c r="BB279" s="4"/>
      <c r="BC279" s="4"/>
      <c r="BD279" s="4"/>
      <c r="BE279" s="4"/>
      <c r="BF279" s="4"/>
      <c r="BG279" s="4"/>
      <c r="BH279" s="4"/>
      <c r="BI279" s="4"/>
      <c r="BJ279" s="4"/>
      <c r="BK279" s="4"/>
      <c r="BL279" s="4"/>
      <c r="BM279" s="4"/>
      <c r="BN279" s="4"/>
      <c r="BO279" s="4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</row>
    <row r="280" spans="1:100" ht="16.5" customHeight="1" x14ac:dyDescent="0.2">
      <c r="A280" s="3"/>
      <c r="B280" s="4"/>
      <c r="C280" s="4"/>
      <c r="D280" s="4"/>
      <c r="E280" s="23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  <c r="AM280" s="4"/>
      <c r="AN280" s="4"/>
      <c r="AO280" s="4"/>
      <c r="AP280" s="4"/>
      <c r="AQ280" s="4"/>
      <c r="AR280" s="4"/>
      <c r="AS280" s="4"/>
      <c r="AT280" s="4"/>
      <c r="AU280" s="4"/>
      <c r="AV280" s="4"/>
      <c r="AW280" s="4"/>
      <c r="AX280" s="4"/>
      <c r="AY280" s="4"/>
      <c r="AZ280" s="4"/>
      <c r="BA280" s="4"/>
      <c r="BB280" s="4"/>
      <c r="BC280" s="4"/>
      <c r="BD280" s="4"/>
      <c r="BE280" s="4"/>
      <c r="BF280" s="4"/>
      <c r="BG280" s="4"/>
      <c r="BH280" s="4"/>
      <c r="BI280" s="4"/>
      <c r="BJ280" s="4"/>
      <c r="BK280" s="4"/>
      <c r="BL280" s="4"/>
      <c r="BM280" s="4"/>
      <c r="BN280" s="4"/>
      <c r="BO280" s="4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</row>
    <row r="281" spans="1:100" ht="16.5" customHeight="1" x14ac:dyDescent="0.2">
      <c r="A281" s="3"/>
      <c r="B281" s="4"/>
      <c r="C281" s="4"/>
      <c r="D281" s="4"/>
      <c r="E281" s="23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  <c r="AM281" s="4"/>
      <c r="AN281" s="4"/>
      <c r="AO281" s="4"/>
      <c r="AP281" s="4"/>
      <c r="AQ281" s="4"/>
      <c r="AR281" s="4"/>
      <c r="AS281" s="4"/>
      <c r="AT281" s="4"/>
      <c r="AU281" s="4"/>
      <c r="AV281" s="4"/>
      <c r="AW281" s="4"/>
      <c r="AX281" s="4"/>
      <c r="AY281" s="4"/>
      <c r="AZ281" s="4"/>
      <c r="BA281" s="4"/>
      <c r="BB281" s="4"/>
      <c r="BC281" s="4"/>
      <c r="BD281" s="4"/>
      <c r="BE281" s="4"/>
      <c r="BF281" s="4"/>
      <c r="BG281" s="4"/>
      <c r="BH281" s="4"/>
      <c r="BI281" s="4"/>
      <c r="BJ281" s="4"/>
      <c r="BK281" s="4"/>
      <c r="BL281" s="4"/>
      <c r="BM281" s="4"/>
      <c r="BN281" s="4"/>
      <c r="BO281" s="4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</row>
    <row r="282" spans="1:100" ht="16.5" customHeight="1" x14ac:dyDescent="0.2">
      <c r="A282" s="3"/>
      <c r="B282" s="4"/>
      <c r="C282" s="4"/>
      <c r="D282" s="4"/>
      <c r="E282" s="23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  <c r="AM282" s="4"/>
      <c r="AN282" s="4"/>
      <c r="AO282" s="4"/>
      <c r="AP282" s="4"/>
      <c r="AQ282" s="4"/>
      <c r="AR282" s="4"/>
      <c r="AS282" s="4"/>
      <c r="AT282" s="4"/>
      <c r="AU282" s="4"/>
      <c r="AV282" s="4"/>
      <c r="AW282" s="4"/>
      <c r="AX282" s="4"/>
      <c r="AY282" s="4"/>
      <c r="AZ282" s="4"/>
      <c r="BA282" s="4"/>
      <c r="BB282" s="4"/>
      <c r="BC282" s="4"/>
      <c r="BD282" s="4"/>
      <c r="BE282" s="4"/>
      <c r="BF282" s="4"/>
      <c r="BG282" s="4"/>
      <c r="BH282" s="4"/>
      <c r="BI282" s="4"/>
      <c r="BJ282" s="4"/>
      <c r="BK282" s="4"/>
      <c r="BL282" s="4"/>
      <c r="BM282" s="4"/>
      <c r="BN282" s="4"/>
      <c r="BO282" s="4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</row>
    <row r="283" spans="1:100" ht="16.5" customHeight="1" x14ac:dyDescent="0.2">
      <c r="A283" s="3"/>
      <c r="B283" s="4"/>
      <c r="C283" s="4"/>
      <c r="D283" s="4"/>
      <c r="E283" s="23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  <c r="AM283" s="4"/>
      <c r="AN283" s="4"/>
      <c r="AO283" s="4"/>
      <c r="AP283" s="4"/>
      <c r="AQ283" s="4"/>
      <c r="AR283" s="4"/>
      <c r="AS283" s="4"/>
      <c r="AT283" s="4"/>
      <c r="AU283" s="4"/>
      <c r="AV283" s="4"/>
      <c r="AW283" s="4"/>
      <c r="AX283" s="4"/>
      <c r="AY283" s="4"/>
      <c r="AZ283" s="4"/>
      <c r="BA283" s="4"/>
      <c r="BB283" s="4"/>
      <c r="BC283" s="4"/>
      <c r="BD283" s="4"/>
      <c r="BE283" s="4"/>
      <c r="BF283" s="4"/>
      <c r="BG283" s="4"/>
      <c r="BH283" s="4"/>
      <c r="BI283" s="4"/>
      <c r="BJ283" s="4"/>
      <c r="BK283" s="4"/>
      <c r="BL283" s="4"/>
      <c r="BM283" s="4"/>
      <c r="BN283" s="4"/>
      <c r="BO283" s="4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</row>
    <row r="284" spans="1:100" ht="16.5" customHeight="1" x14ac:dyDescent="0.2">
      <c r="A284" s="3"/>
      <c r="B284" s="4"/>
      <c r="C284" s="4"/>
      <c r="D284" s="4"/>
      <c r="E284" s="23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  <c r="AM284" s="4"/>
      <c r="AN284" s="4"/>
      <c r="AO284" s="4"/>
      <c r="AP284" s="4"/>
      <c r="AQ284" s="4"/>
      <c r="AR284" s="4"/>
      <c r="AS284" s="4"/>
      <c r="AT284" s="4"/>
      <c r="AU284" s="4"/>
      <c r="AV284" s="4"/>
      <c r="AW284" s="4"/>
      <c r="AX284" s="4"/>
      <c r="AY284" s="4"/>
      <c r="AZ284" s="4"/>
      <c r="BA284" s="4"/>
      <c r="BB284" s="4"/>
      <c r="BC284" s="4"/>
      <c r="BD284" s="4"/>
      <c r="BE284" s="4"/>
      <c r="BF284" s="4"/>
      <c r="BG284" s="4"/>
      <c r="BH284" s="4"/>
      <c r="BI284" s="4"/>
      <c r="BJ284" s="4"/>
      <c r="BK284" s="4"/>
      <c r="BL284" s="4"/>
      <c r="BM284" s="4"/>
      <c r="BN284" s="4"/>
      <c r="BO284" s="4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</row>
    <row r="285" spans="1:100" ht="16.5" customHeight="1" x14ac:dyDescent="0.2">
      <c r="A285" s="3"/>
      <c r="B285" s="4"/>
      <c r="C285" s="4"/>
      <c r="D285" s="4"/>
      <c r="E285" s="23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  <c r="AM285" s="4"/>
      <c r="AN285" s="4"/>
      <c r="AO285" s="4"/>
      <c r="AP285" s="4"/>
      <c r="AQ285" s="4"/>
      <c r="AR285" s="4"/>
      <c r="AS285" s="4"/>
      <c r="AT285" s="4"/>
      <c r="AU285" s="4"/>
      <c r="AV285" s="4"/>
      <c r="AW285" s="4"/>
      <c r="AX285" s="4"/>
      <c r="AY285" s="4"/>
      <c r="AZ285" s="4"/>
      <c r="BA285" s="4"/>
      <c r="BB285" s="4"/>
      <c r="BC285" s="4"/>
      <c r="BD285" s="4"/>
      <c r="BE285" s="4"/>
      <c r="BF285" s="4"/>
      <c r="BG285" s="4"/>
      <c r="BH285" s="4"/>
      <c r="BI285" s="4"/>
      <c r="BJ285" s="4"/>
      <c r="BK285" s="4"/>
      <c r="BL285" s="4"/>
      <c r="BM285" s="4"/>
      <c r="BN285" s="4"/>
      <c r="BO285" s="4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</row>
    <row r="286" spans="1:100" ht="16.5" customHeight="1" x14ac:dyDescent="0.2">
      <c r="A286" s="3"/>
      <c r="B286" s="4"/>
      <c r="C286" s="4"/>
      <c r="D286" s="4"/>
      <c r="E286" s="23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  <c r="AM286" s="4"/>
      <c r="AN286" s="4"/>
      <c r="AO286" s="4"/>
      <c r="AP286" s="4"/>
      <c r="AQ286" s="4"/>
      <c r="AR286" s="4"/>
      <c r="AS286" s="4"/>
      <c r="AT286" s="4"/>
      <c r="AU286" s="4"/>
      <c r="AV286" s="4"/>
      <c r="AW286" s="4"/>
      <c r="AX286" s="4"/>
      <c r="AY286" s="4"/>
      <c r="AZ286" s="4"/>
      <c r="BA286" s="4"/>
      <c r="BB286" s="4"/>
      <c r="BC286" s="4"/>
      <c r="BD286" s="4"/>
      <c r="BE286" s="4"/>
      <c r="BF286" s="4"/>
      <c r="BG286" s="4"/>
      <c r="BH286" s="4"/>
      <c r="BI286" s="4"/>
      <c r="BJ286" s="4"/>
      <c r="BK286" s="4"/>
      <c r="BL286" s="4"/>
      <c r="BM286" s="4"/>
      <c r="BN286" s="4"/>
      <c r="BO286" s="4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</row>
    <row r="287" spans="1:100" ht="16.5" customHeight="1" x14ac:dyDescent="0.2">
      <c r="A287" s="3"/>
      <c r="B287" s="4"/>
      <c r="C287" s="4"/>
      <c r="D287" s="4"/>
      <c r="E287" s="23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  <c r="AM287" s="4"/>
      <c r="AN287" s="4"/>
      <c r="AO287" s="4"/>
      <c r="AP287" s="4"/>
      <c r="AQ287" s="4"/>
      <c r="AR287" s="4"/>
      <c r="AS287" s="4"/>
      <c r="AT287" s="4"/>
      <c r="AU287" s="4"/>
      <c r="AV287" s="4"/>
      <c r="AW287" s="4"/>
      <c r="AX287" s="4"/>
      <c r="AY287" s="4"/>
      <c r="AZ287" s="4"/>
      <c r="BA287" s="4"/>
      <c r="BB287" s="4"/>
      <c r="BC287" s="4"/>
      <c r="BD287" s="4"/>
      <c r="BE287" s="4"/>
      <c r="BF287" s="4"/>
      <c r="BG287" s="4"/>
      <c r="BH287" s="4"/>
      <c r="BI287" s="4"/>
      <c r="BJ287" s="4"/>
      <c r="BK287" s="4"/>
      <c r="BL287" s="4"/>
      <c r="BM287" s="4"/>
      <c r="BN287" s="4"/>
      <c r="BO287" s="4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</row>
    <row r="288" spans="1:100" ht="16.5" customHeight="1" x14ac:dyDescent="0.2">
      <c r="A288" s="3"/>
      <c r="B288" s="4"/>
      <c r="C288" s="4"/>
      <c r="D288" s="4"/>
      <c r="E288" s="23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  <c r="AM288" s="4"/>
      <c r="AN288" s="4"/>
      <c r="AO288" s="4"/>
      <c r="AP288" s="4"/>
      <c r="AQ288" s="4"/>
      <c r="AR288" s="4"/>
      <c r="AS288" s="4"/>
      <c r="AT288" s="4"/>
      <c r="AU288" s="4"/>
      <c r="AV288" s="4"/>
      <c r="AW288" s="4"/>
      <c r="AX288" s="4"/>
      <c r="AY288" s="4"/>
      <c r="AZ288" s="4"/>
      <c r="BA288" s="4"/>
      <c r="BB288" s="4"/>
      <c r="BC288" s="4"/>
      <c r="BD288" s="4"/>
      <c r="BE288" s="4"/>
      <c r="BF288" s="4"/>
      <c r="BG288" s="4"/>
      <c r="BH288" s="4"/>
      <c r="BI288" s="4"/>
      <c r="BJ288" s="4"/>
      <c r="BK288" s="4"/>
      <c r="BL288" s="4"/>
      <c r="BM288" s="4"/>
      <c r="BN288" s="4"/>
      <c r="BO288" s="4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</row>
    <row r="289" spans="1:100" ht="16.5" customHeight="1" x14ac:dyDescent="0.2">
      <c r="A289" s="3"/>
      <c r="B289" s="4"/>
      <c r="C289" s="4"/>
      <c r="D289" s="4"/>
      <c r="E289" s="23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  <c r="AM289" s="4"/>
      <c r="AN289" s="4"/>
      <c r="AO289" s="4"/>
      <c r="AP289" s="4"/>
      <c r="AQ289" s="4"/>
      <c r="AR289" s="4"/>
      <c r="AS289" s="4"/>
      <c r="AT289" s="4"/>
      <c r="AU289" s="4"/>
      <c r="AV289" s="4"/>
      <c r="AW289" s="4"/>
      <c r="AX289" s="4"/>
      <c r="AY289" s="4"/>
      <c r="AZ289" s="4"/>
      <c r="BA289" s="4"/>
      <c r="BB289" s="4"/>
      <c r="BC289" s="4"/>
      <c r="BD289" s="4"/>
      <c r="BE289" s="4"/>
      <c r="BF289" s="4"/>
      <c r="BG289" s="4"/>
      <c r="BH289" s="4"/>
      <c r="BI289" s="4"/>
      <c r="BJ289" s="4"/>
      <c r="BK289" s="4"/>
      <c r="BL289" s="4"/>
      <c r="BM289" s="4"/>
      <c r="BN289" s="4"/>
      <c r="BO289" s="4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</row>
    <row r="290" spans="1:100" ht="16.5" customHeight="1" x14ac:dyDescent="0.2">
      <c r="A290" s="3"/>
      <c r="B290" s="4"/>
      <c r="C290" s="4"/>
      <c r="D290" s="4"/>
      <c r="E290" s="23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  <c r="AM290" s="4"/>
      <c r="AN290" s="4"/>
      <c r="AO290" s="4"/>
      <c r="AP290" s="4"/>
      <c r="AQ290" s="4"/>
      <c r="AR290" s="4"/>
      <c r="AS290" s="4"/>
      <c r="AT290" s="4"/>
      <c r="AU290" s="4"/>
      <c r="AV290" s="4"/>
      <c r="AW290" s="4"/>
      <c r="AX290" s="4"/>
      <c r="AY290" s="4"/>
      <c r="AZ290" s="4"/>
      <c r="BA290" s="4"/>
      <c r="BB290" s="4"/>
      <c r="BC290" s="4"/>
      <c r="BD290" s="4"/>
      <c r="BE290" s="4"/>
      <c r="BF290" s="4"/>
      <c r="BG290" s="4"/>
      <c r="BH290" s="4"/>
      <c r="BI290" s="4"/>
      <c r="BJ290" s="4"/>
      <c r="BK290" s="4"/>
      <c r="BL290" s="4"/>
      <c r="BM290" s="4"/>
      <c r="BN290" s="4"/>
      <c r="BO290" s="4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</row>
    <row r="291" spans="1:100" ht="16.5" customHeight="1" x14ac:dyDescent="0.2">
      <c r="A291" s="3"/>
      <c r="B291" s="4"/>
      <c r="C291" s="4"/>
      <c r="D291" s="4"/>
      <c r="E291" s="23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  <c r="AM291" s="4"/>
      <c r="AN291" s="4"/>
      <c r="AO291" s="4"/>
      <c r="AP291" s="4"/>
      <c r="AQ291" s="4"/>
      <c r="AR291" s="4"/>
      <c r="AS291" s="4"/>
      <c r="AT291" s="4"/>
      <c r="AU291" s="4"/>
      <c r="AV291" s="4"/>
      <c r="AW291" s="4"/>
      <c r="AX291" s="4"/>
      <c r="AY291" s="4"/>
      <c r="AZ291" s="4"/>
      <c r="BA291" s="4"/>
      <c r="BB291" s="4"/>
      <c r="BC291" s="4"/>
      <c r="BD291" s="4"/>
      <c r="BE291" s="4"/>
      <c r="BF291" s="4"/>
      <c r="BG291" s="4"/>
      <c r="BH291" s="4"/>
      <c r="BI291" s="4"/>
      <c r="BJ291" s="4"/>
      <c r="BK291" s="4"/>
      <c r="BL291" s="4"/>
      <c r="BM291" s="4"/>
      <c r="BN291" s="4"/>
      <c r="BO291" s="4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</row>
    <row r="292" spans="1:100" ht="16.5" customHeight="1" x14ac:dyDescent="0.2">
      <c r="A292" s="3"/>
      <c r="B292" s="4"/>
      <c r="C292" s="4"/>
      <c r="D292" s="4"/>
      <c r="E292" s="23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  <c r="AM292" s="4"/>
      <c r="AN292" s="4"/>
      <c r="AO292" s="4"/>
      <c r="AP292" s="4"/>
      <c r="AQ292" s="4"/>
      <c r="AR292" s="4"/>
      <c r="AS292" s="4"/>
      <c r="AT292" s="4"/>
      <c r="AU292" s="4"/>
      <c r="AV292" s="4"/>
      <c r="AW292" s="4"/>
      <c r="AX292" s="4"/>
      <c r="AY292" s="4"/>
      <c r="AZ292" s="4"/>
      <c r="BA292" s="4"/>
      <c r="BB292" s="4"/>
      <c r="BC292" s="4"/>
      <c r="BD292" s="4"/>
      <c r="BE292" s="4"/>
      <c r="BF292" s="4"/>
      <c r="BG292" s="4"/>
      <c r="BH292" s="4"/>
      <c r="BI292" s="4"/>
      <c r="BJ292" s="4"/>
      <c r="BK292" s="4"/>
      <c r="BL292" s="4"/>
      <c r="BM292" s="4"/>
      <c r="BN292" s="4"/>
      <c r="BO292" s="4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</row>
    <row r="293" spans="1:100" ht="16.5" customHeight="1" x14ac:dyDescent="0.2">
      <c r="A293" s="3"/>
      <c r="B293" s="4"/>
      <c r="C293" s="4"/>
      <c r="D293" s="4"/>
      <c r="E293" s="23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  <c r="AM293" s="4"/>
      <c r="AN293" s="4"/>
      <c r="AO293" s="4"/>
      <c r="AP293" s="4"/>
      <c r="AQ293" s="4"/>
      <c r="AR293" s="4"/>
      <c r="AS293" s="4"/>
      <c r="AT293" s="4"/>
      <c r="AU293" s="4"/>
      <c r="AV293" s="4"/>
      <c r="AW293" s="4"/>
      <c r="AX293" s="4"/>
      <c r="AY293" s="4"/>
      <c r="AZ293" s="4"/>
      <c r="BA293" s="4"/>
      <c r="BB293" s="4"/>
      <c r="BC293" s="4"/>
      <c r="BD293" s="4"/>
      <c r="BE293" s="4"/>
      <c r="BF293" s="4"/>
      <c r="BG293" s="4"/>
      <c r="BH293" s="4"/>
      <c r="BI293" s="4"/>
      <c r="BJ293" s="4"/>
      <c r="BK293" s="4"/>
      <c r="BL293" s="4"/>
      <c r="BM293" s="4"/>
      <c r="BN293" s="4"/>
      <c r="BO293" s="4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</row>
    <row r="294" spans="1:100" ht="16.5" customHeight="1" x14ac:dyDescent="0.2">
      <c r="A294" s="3"/>
      <c r="B294" s="4"/>
      <c r="C294" s="4"/>
      <c r="D294" s="4"/>
      <c r="E294" s="23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  <c r="AM294" s="4"/>
      <c r="AN294" s="4"/>
      <c r="AO294" s="4"/>
      <c r="AP294" s="4"/>
      <c r="AQ294" s="4"/>
      <c r="AR294" s="4"/>
      <c r="AS294" s="4"/>
      <c r="AT294" s="4"/>
      <c r="AU294" s="4"/>
      <c r="AV294" s="4"/>
      <c r="AW294" s="4"/>
      <c r="AX294" s="4"/>
      <c r="AY294" s="4"/>
      <c r="AZ294" s="4"/>
      <c r="BA294" s="4"/>
      <c r="BB294" s="4"/>
      <c r="BC294" s="4"/>
      <c r="BD294" s="4"/>
      <c r="BE294" s="4"/>
      <c r="BF294" s="4"/>
      <c r="BG294" s="4"/>
      <c r="BH294" s="4"/>
      <c r="BI294" s="4"/>
      <c r="BJ294" s="4"/>
      <c r="BK294" s="4"/>
      <c r="BL294" s="4"/>
      <c r="BM294" s="4"/>
      <c r="BN294" s="4"/>
      <c r="BO294" s="4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</row>
    <row r="295" spans="1:100" ht="16.5" customHeight="1" x14ac:dyDescent="0.2">
      <c r="A295" s="3"/>
      <c r="B295" s="4"/>
      <c r="C295" s="4"/>
      <c r="D295" s="4"/>
      <c r="E295" s="23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  <c r="AM295" s="4"/>
      <c r="AN295" s="4"/>
      <c r="AO295" s="4"/>
      <c r="AP295" s="4"/>
      <c r="AQ295" s="4"/>
      <c r="AR295" s="4"/>
      <c r="AS295" s="4"/>
      <c r="AT295" s="4"/>
      <c r="AU295" s="4"/>
      <c r="AV295" s="4"/>
      <c r="AW295" s="4"/>
      <c r="AX295" s="4"/>
      <c r="AY295" s="4"/>
      <c r="AZ295" s="4"/>
      <c r="BA295" s="4"/>
      <c r="BB295" s="4"/>
      <c r="BC295" s="4"/>
      <c r="BD295" s="4"/>
      <c r="BE295" s="4"/>
      <c r="BF295" s="4"/>
      <c r="BG295" s="4"/>
      <c r="BH295" s="4"/>
      <c r="BI295" s="4"/>
      <c r="BJ295" s="4"/>
      <c r="BK295" s="4"/>
      <c r="BL295" s="4"/>
      <c r="BM295" s="4"/>
      <c r="BN295" s="4"/>
      <c r="BO295" s="4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</row>
    <row r="296" spans="1:100" ht="16.5" customHeight="1" x14ac:dyDescent="0.2">
      <c r="A296" s="3"/>
      <c r="B296" s="4"/>
      <c r="C296" s="4"/>
      <c r="D296" s="4"/>
      <c r="E296" s="23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  <c r="AM296" s="4"/>
      <c r="AN296" s="4"/>
      <c r="AO296" s="4"/>
      <c r="AP296" s="4"/>
      <c r="AQ296" s="4"/>
      <c r="AR296" s="4"/>
      <c r="AS296" s="4"/>
      <c r="AT296" s="4"/>
      <c r="AU296" s="4"/>
      <c r="AV296" s="4"/>
      <c r="AW296" s="4"/>
      <c r="AX296" s="4"/>
      <c r="AY296" s="4"/>
      <c r="AZ296" s="4"/>
      <c r="BA296" s="4"/>
      <c r="BB296" s="4"/>
      <c r="BC296" s="4"/>
      <c r="BD296" s="4"/>
      <c r="BE296" s="4"/>
      <c r="BF296" s="4"/>
      <c r="BG296" s="4"/>
      <c r="BH296" s="4"/>
      <c r="BI296" s="4"/>
      <c r="BJ296" s="4"/>
      <c r="BK296" s="4"/>
      <c r="BL296" s="4"/>
      <c r="BM296" s="4"/>
      <c r="BN296" s="4"/>
      <c r="BO296" s="4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</row>
    <row r="297" spans="1:100" ht="16.5" customHeight="1" x14ac:dyDescent="0.2">
      <c r="A297" s="3"/>
      <c r="B297" s="4"/>
      <c r="C297" s="4"/>
      <c r="D297" s="4"/>
      <c r="E297" s="23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  <c r="AM297" s="4"/>
      <c r="AN297" s="4"/>
      <c r="AO297" s="4"/>
      <c r="AP297" s="4"/>
      <c r="AQ297" s="4"/>
      <c r="AR297" s="4"/>
      <c r="AS297" s="4"/>
      <c r="AT297" s="4"/>
      <c r="AU297" s="4"/>
      <c r="AV297" s="4"/>
      <c r="AW297" s="4"/>
      <c r="AX297" s="4"/>
      <c r="AY297" s="4"/>
      <c r="AZ297" s="4"/>
      <c r="BA297" s="4"/>
      <c r="BB297" s="4"/>
      <c r="BC297" s="4"/>
      <c r="BD297" s="4"/>
      <c r="BE297" s="4"/>
      <c r="BF297" s="4"/>
      <c r="BG297" s="4"/>
      <c r="BH297" s="4"/>
      <c r="BI297" s="4"/>
      <c r="BJ297" s="4"/>
      <c r="BK297" s="4"/>
      <c r="BL297" s="4"/>
      <c r="BM297" s="4"/>
      <c r="BN297" s="4"/>
      <c r="BO297" s="4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</row>
    <row r="298" spans="1:100" ht="16.5" customHeight="1" x14ac:dyDescent="0.2">
      <c r="A298" s="3"/>
      <c r="B298" s="4"/>
      <c r="C298" s="4"/>
      <c r="D298" s="4"/>
      <c r="E298" s="23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  <c r="AM298" s="4"/>
      <c r="AN298" s="4"/>
      <c r="AO298" s="4"/>
      <c r="AP298" s="4"/>
      <c r="AQ298" s="4"/>
      <c r="AR298" s="4"/>
      <c r="AS298" s="4"/>
      <c r="AT298" s="4"/>
      <c r="AU298" s="4"/>
      <c r="AV298" s="4"/>
      <c r="AW298" s="4"/>
      <c r="AX298" s="4"/>
      <c r="AY298" s="4"/>
      <c r="AZ298" s="4"/>
      <c r="BA298" s="4"/>
      <c r="BB298" s="4"/>
      <c r="BC298" s="4"/>
      <c r="BD298" s="4"/>
      <c r="BE298" s="4"/>
      <c r="BF298" s="4"/>
      <c r="BG298" s="4"/>
      <c r="BH298" s="4"/>
      <c r="BI298" s="4"/>
      <c r="BJ298" s="4"/>
      <c r="BK298" s="4"/>
      <c r="BL298" s="4"/>
      <c r="BM298" s="4"/>
      <c r="BN298" s="4"/>
      <c r="BO298" s="4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</row>
    <row r="299" spans="1:100" ht="16.5" customHeight="1" x14ac:dyDescent="0.2">
      <c r="A299" s="3"/>
      <c r="B299" s="4"/>
      <c r="C299" s="4"/>
      <c r="D299" s="4"/>
      <c r="E299" s="23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  <c r="AM299" s="4"/>
      <c r="AN299" s="4"/>
      <c r="AO299" s="4"/>
      <c r="AP299" s="4"/>
      <c r="AQ299" s="4"/>
      <c r="AR299" s="4"/>
      <c r="AS299" s="4"/>
      <c r="AT299" s="4"/>
      <c r="AU299" s="4"/>
      <c r="AV299" s="4"/>
      <c r="AW299" s="4"/>
      <c r="AX299" s="4"/>
      <c r="AY299" s="4"/>
      <c r="AZ299" s="4"/>
      <c r="BA299" s="4"/>
      <c r="BB299" s="4"/>
      <c r="BC299" s="4"/>
      <c r="BD299" s="4"/>
      <c r="BE299" s="4"/>
      <c r="BF299" s="4"/>
      <c r="BG299" s="4"/>
      <c r="BH299" s="4"/>
      <c r="BI299" s="4"/>
      <c r="BJ299" s="4"/>
      <c r="BK299" s="4"/>
      <c r="BL299" s="4"/>
      <c r="BM299" s="4"/>
      <c r="BN299" s="4"/>
      <c r="BO299" s="4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</row>
    <row r="300" spans="1:100" ht="16.5" customHeight="1" x14ac:dyDescent="0.2">
      <c r="A300" s="3"/>
      <c r="B300" s="4"/>
      <c r="C300" s="4"/>
      <c r="D300" s="4"/>
      <c r="E300" s="23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  <c r="AM300" s="4"/>
      <c r="AN300" s="4"/>
      <c r="AO300" s="4"/>
      <c r="AP300" s="4"/>
      <c r="AQ300" s="4"/>
      <c r="AR300" s="4"/>
      <c r="AS300" s="4"/>
      <c r="AT300" s="4"/>
      <c r="AU300" s="4"/>
      <c r="AV300" s="4"/>
      <c r="AW300" s="4"/>
      <c r="AX300" s="4"/>
      <c r="AY300" s="4"/>
      <c r="AZ300" s="4"/>
      <c r="BA300" s="4"/>
      <c r="BB300" s="4"/>
      <c r="BC300" s="4"/>
      <c r="BD300" s="4"/>
      <c r="BE300" s="4"/>
      <c r="BF300" s="4"/>
      <c r="BG300" s="4"/>
      <c r="BH300" s="4"/>
      <c r="BI300" s="4"/>
      <c r="BJ300" s="4"/>
      <c r="BK300" s="4"/>
      <c r="BL300" s="4"/>
      <c r="BM300" s="4"/>
      <c r="BN300" s="4"/>
      <c r="BO300" s="4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</row>
    <row r="301" spans="1:100" ht="16.5" customHeight="1" x14ac:dyDescent="0.2">
      <c r="A301" s="3"/>
      <c r="B301" s="4"/>
      <c r="C301" s="4"/>
      <c r="D301" s="4"/>
      <c r="E301" s="23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  <c r="AM301" s="4"/>
      <c r="AN301" s="4"/>
      <c r="AO301" s="4"/>
      <c r="AP301" s="4"/>
      <c r="AQ301" s="4"/>
      <c r="AR301" s="4"/>
      <c r="AS301" s="4"/>
      <c r="AT301" s="4"/>
      <c r="AU301" s="4"/>
      <c r="AV301" s="4"/>
      <c r="AW301" s="4"/>
      <c r="AX301" s="4"/>
      <c r="AY301" s="4"/>
      <c r="AZ301" s="4"/>
      <c r="BA301" s="4"/>
      <c r="BB301" s="4"/>
      <c r="BC301" s="4"/>
      <c r="BD301" s="4"/>
      <c r="BE301" s="4"/>
      <c r="BF301" s="4"/>
      <c r="BG301" s="4"/>
      <c r="BH301" s="4"/>
      <c r="BI301" s="4"/>
      <c r="BJ301" s="4"/>
      <c r="BK301" s="4"/>
      <c r="BL301" s="4"/>
      <c r="BM301" s="4"/>
      <c r="BN301" s="4"/>
      <c r="BO301" s="4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</row>
    <row r="302" spans="1:100" ht="16.5" customHeight="1" x14ac:dyDescent="0.2">
      <c r="A302" s="3"/>
      <c r="B302" s="4"/>
      <c r="C302" s="4"/>
      <c r="D302" s="4"/>
      <c r="E302" s="23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  <c r="AM302" s="4"/>
      <c r="AN302" s="4"/>
      <c r="AO302" s="4"/>
      <c r="AP302" s="4"/>
      <c r="AQ302" s="4"/>
      <c r="AR302" s="4"/>
      <c r="AS302" s="4"/>
      <c r="AT302" s="4"/>
      <c r="AU302" s="4"/>
      <c r="AV302" s="4"/>
      <c r="AW302" s="4"/>
      <c r="AX302" s="4"/>
      <c r="AY302" s="4"/>
      <c r="AZ302" s="4"/>
      <c r="BA302" s="4"/>
      <c r="BB302" s="4"/>
      <c r="BC302" s="4"/>
      <c r="BD302" s="4"/>
      <c r="BE302" s="4"/>
      <c r="BF302" s="4"/>
      <c r="BG302" s="4"/>
      <c r="BH302" s="4"/>
      <c r="BI302" s="4"/>
      <c r="BJ302" s="4"/>
      <c r="BK302" s="4"/>
      <c r="BL302" s="4"/>
      <c r="BM302" s="4"/>
      <c r="BN302" s="4"/>
      <c r="BO302" s="4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</row>
    <row r="303" spans="1:100" ht="16.5" customHeight="1" x14ac:dyDescent="0.2">
      <c r="A303" s="3"/>
      <c r="B303" s="4"/>
      <c r="C303" s="4"/>
      <c r="D303" s="4"/>
      <c r="E303" s="23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  <c r="AM303" s="4"/>
      <c r="AN303" s="4"/>
      <c r="AO303" s="4"/>
      <c r="AP303" s="4"/>
      <c r="AQ303" s="4"/>
      <c r="AR303" s="4"/>
      <c r="AS303" s="4"/>
      <c r="AT303" s="4"/>
      <c r="AU303" s="4"/>
      <c r="AV303" s="4"/>
      <c r="AW303" s="4"/>
      <c r="AX303" s="4"/>
      <c r="AY303" s="4"/>
      <c r="AZ303" s="4"/>
      <c r="BA303" s="4"/>
      <c r="BB303" s="4"/>
      <c r="BC303" s="4"/>
      <c r="BD303" s="4"/>
      <c r="BE303" s="4"/>
      <c r="BF303" s="4"/>
      <c r="BG303" s="4"/>
      <c r="BH303" s="4"/>
      <c r="BI303" s="4"/>
      <c r="BJ303" s="4"/>
      <c r="BK303" s="4"/>
      <c r="BL303" s="4"/>
      <c r="BM303" s="4"/>
      <c r="BN303" s="4"/>
      <c r="BO303" s="4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</row>
    <row r="304" spans="1:100" ht="16.5" customHeight="1" x14ac:dyDescent="0.2">
      <c r="A304" s="3"/>
      <c r="B304" s="4"/>
      <c r="C304" s="4"/>
      <c r="D304" s="4"/>
      <c r="E304" s="23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  <c r="AM304" s="4"/>
      <c r="AN304" s="4"/>
      <c r="AO304" s="4"/>
      <c r="AP304" s="4"/>
      <c r="AQ304" s="4"/>
      <c r="AR304" s="4"/>
      <c r="AS304" s="4"/>
      <c r="AT304" s="4"/>
      <c r="AU304" s="4"/>
      <c r="AV304" s="4"/>
      <c r="AW304" s="4"/>
      <c r="AX304" s="4"/>
      <c r="AY304" s="4"/>
      <c r="AZ304" s="4"/>
      <c r="BA304" s="4"/>
      <c r="BB304" s="4"/>
      <c r="BC304" s="4"/>
      <c r="BD304" s="4"/>
      <c r="BE304" s="4"/>
      <c r="BF304" s="4"/>
      <c r="BG304" s="4"/>
      <c r="BH304" s="4"/>
      <c r="BI304" s="4"/>
      <c r="BJ304" s="4"/>
      <c r="BK304" s="4"/>
      <c r="BL304" s="4"/>
      <c r="BM304" s="4"/>
      <c r="BN304" s="4"/>
      <c r="BO304" s="4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</row>
    <row r="305" spans="1:100" ht="16.5" customHeight="1" x14ac:dyDescent="0.2">
      <c r="A305" s="3"/>
      <c r="B305" s="4"/>
      <c r="C305" s="4"/>
      <c r="D305" s="4"/>
      <c r="E305" s="23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  <c r="AM305" s="4"/>
      <c r="AN305" s="4"/>
      <c r="AO305" s="4"/>
      <c r="AP305" s="4"/>
      <c r="AQ305" s="4"/>
      <c r="AR305" s="4"/>
      <c r="AS305" s="4"/>
      <c r="AT305" s="4"/>
      <c r="AU305" s="4"/>
      <c r="AV305" s="4"/>
      <c r="AW305" s="4"/>
      <c r="AX305" s="4"/>
      <c r="AY305" s="4"/>
      <c r="AZ305" s="4"/>
      <c r="BA305" s="4"/>
      <c r="BB305" s="4"/>
      <c r="BC305" s="4"/>
      <c r="BD305" s="4"/>
      <c r="BE305" s="4"/>
      <c r="BF305" s="4"/>
      <c r="BG305" s="4"/>
      <c r="BH305" s="4"/>
      <c r="BI305" s="4"/>
      <c r="BJ305" s="4"/>
      <c r="BK305" s="4"/>
      <c r="BL305" s="4"/>
      <c r="BM305" s="4"/>
      <c r="BN305" s="4"/>
      <c r="BO305" s="4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</row>
    <row r="306" spans="1:100" ht="16.5" customHeight="1" x14ac:dyDescent="0.2">
      <c r="A306" s="3"/>
      <c r="B306" s="4"/>
      <c r="C306" s="4"/>
      <c r="D306" s="4"/>
      <c r="E306" s="23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  <c r="AM306" s="4"/>
      <c r="AN306" s="4"/>
      <c r="AO306" s="4"/>
      <c r="AP306" s="4"/>
      <c r="AQ306" s="4"/>
      <c r="AR306" s="4"/>
      <c r="AS306" s="4"/>
      <c r="AT306" s="4"/>
      <c r="AU306" s="4"/>
      <c r="AV306" s="4"/>
      <c r="AW306" s="4"/>
      <c r="AX306" s="4"/>
      <c r="AY306" s="4"/>
      <c r="AZ306" s="4"/>
      <c r="BA306" s="4"/>
      <c r="BB306" s="4"/>
      <c r="BC306" s="4"/>
      <c r="BD306" s="4"/>
      <c r="BE306" s="4"/>
      <c r="BF306" s="4"/>
      <c r="BG306" s="4"/>
      <c r="BH306" s="4"/>
      <c r="BI306" s="4"/>
      <c r="BJ306" s="4"/>
      <c r="BK306" s="4"/>
      <c r="BL306" s="4"/>
      <c r="BM306" s="4"/>
      <c r="BN306" s="4"/>
      <c r="BO306" s="4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</row>
    <row r="307" spans="1:100" ht="16.5" customHeight="1" x14ac:dyDescent="0.2">
      <c r="A307" s="3"/>
      <c r="B307" s="4"/>
      <c r="C307" s="4"/>
      <c r="D307" s="4"/>
      <c r="E307" s="23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  <c r="AM307" s="4"/>
      <c r="AN307" s="4"/>
      <c r="AO307" s="4"/>
      <c r="AP307" s="4"/>
      <c r="AQ307" s="4"/>
      <c r="AR307" s="4"/>
      <c r="AS307" s="4"/>
      <c r="AT307" s="4"/>
      <c r="AU307" s="4"/>
      <c r="AV307" s="4"/>
      <c r="AW307" s="4"/>
      <c r="AX307" s="4"/>
      <c r="AY307" s="4"/>
      <c r="AZ307" s="4"/>
      <c r="BA307" s="4"/>
      <c r="BB307" s="4"/>
      <c r="BC307" s="4"/>
      <c r="BD307" s="4"/>
      <c r="BE307" s="4"/>
      <c r="BF307" s="4"/>
      <c r="BG307" s="4"/>
      <c r="BH307" s="4"/>
      <c r="BI307" s="4"/>
      <c r="BJ307" s="4"/>
      <c r="BK307" s="4"/>
      <c r="BL307" s="4"/>
      <c r="BM307" s="4"/>
      <c r="BN307" s="4"/>
      <c r="BO307" s="4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</row>
    <row r="308" spans="1:100" ht="16.5" customHeight="1" x14ac:dyDescent="0.2">
      <c r="A308" s="3"/>
      <c r="B308" s="4"/>
      <c r="C308" s="4"/>
      <c r="D308" s="4"/>
      <c r="E308" s="23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  <c r="AM308" s="4"/>
      <c r="AN308" s="4"/>
      <c r="AO308" s="4"/>
      <c r="AP308" s="4"/>
      <c r="AQ308" s="4"/>
      <c r="AR308" s="4"/>
      <c r="AS308" s="4"/>
      <c r="AT308" s="4"/>
      <c r="AU308" s="4"/>
      <c r="AV308" s="4"/>
      <c r="AW308" s="4"/>
      <c r="AX308" s="4"/>
      <c r="AY308" s="4"/>
      <c r="AZ308" s="4"/>
      <c r="BA308" s="4"/>
      <c r="BB308" s="4"/>
      <c r="BC308" s="4"/>
      <c r="BD308" s="4"/>
      <c r="BE308" s="4"/>
      <c r="BF308" s="4"/>
      <c r="BG308" s="4"/>
      <c r="BH308" s="4"/>
      <c r="BI308" s="4"/>
      <c r="BJ308" s="4"/>
      <c r="BK308" s="4"/>
      <c r="BL308" s="4"/>
      <c r="BM308" s="4"/>
      <c r="BN308" s="4"/>
      <c r="BO308" s="4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</row>
    <row r="309" spans="1:100" ht="16.5" customHeight="1" x14ac:dyDescent="0.2">
      <c r="A309" s="3"/>
      <c r="B309" s="4"/>
      <c r="C309" s="4"/>
      <c r="D309" s="4"/>
      <c r="E309" s="23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  <c r="AM309" s="4"/>
      <c r="AN309" s="4"/>
      <c r="AO309" s="4"/>
      <c r="AP309" s="4"/>
      <c r="AQ309" s="4"/>
      <c r="AR309" s="4"/>
      <c r="AS309" s="4"/>
      <c r="AT309" s="4"/>
      <c r="AU309" s="4"/>
      <c r="AV309" s="4"/>
      <c r="AW309" s="4"/>
      <c r="AX309" s="4"/>
      <c r="AY309" s="4"/>
      <c r="AZ309" s="4"/>
      <c r="BA309" s="4"/>
      <c r="BB309" s="4"/>
      <c r="BC309" s="4"/>
      <c r="BD309" s="4"/>
      <c r="BE309" s="4"/>
      <c r="BF309" s="4"/>
      <c r="BG309" s="4"/>
      <c r="BH309" s="4"/>
      <c r="BI309" s="4"/>
      <c r="BJ309" s="4"/>
      <c r="BK309" s="4"/>
      <c r="BL309" s="4"/>
      <c r="BM309" s="4"/>
      <c r="BN309" s="4"/>
      <c r="BO309" s="4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</row>
    <row r="310" spans="1:100" ht="16.5" customHeight="1" x14ac:dyDescent="0.2">
      <c r="A310" s="3"/>
      <c r="B310" s="4"/>
      <c r="C310" s="4"/>
      <c r="D310" s="4"/>
      <c r="E310" s="23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  <c r="AM310" s="4"/>
      <c r="AN310" s="4"/>
      <c r="AO310" s="4"/>
      <c r="AP310" s="4"/>
      <c r="AQ310" s="4"/>
      <c r="AR310" s="4"/>
      <c r="AS310" s="4"/>
      <c r="AT310" s="4"/>
      <c r="AU310" s="4"/>
      <c r="AV310" s="4"/>
      <c r="AW310" s="4"/>
      <c r="AX310" s="4"/>
      <c r="AY310" s="4"/>
      <c r="AZ310" s="4"/>
      <c r="BA310" s="4"/>
      <c r="BB310" s="4"/>
      <c r="BC310" s="4"/>
      <c r="BD310" s="4"/>
      <c r="BE310" s="4"/>
      <c r="BF310" s="4"/>
      <c r="BG310" s="4"/>
      <c r="BH310" s="4"/>
      <c r="BI310" s="4"/>
      <c r="BJ310" s="4"/>
      <c r="BK310" s="4"/>
      <c r="BL310" s="4"/>
      <c r="BM310" s="4"/>
      <c r="BN310" s="4"/>
      <c r="BO310" s="4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</row>
    <row r="311" spans="1:100" ht="16.5" customHeight="1" x14ac:dyDescent="0.2">
      <c r="A311" s="3"/>
      <c r="B311" s="4"/>
      <c r="C311" s="4"/>
      <c r="D311" s="4"/>
      <c r="E311" s="23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  <c r="AM311" s="4"/>
      <c r="AN311" s="4"/>
      <c r="AO311" s="4"/>
      <c r="AP311" s="4"/>
      <c r="AQ311" s="4"/>
      <c r="AR311" s="4"/>
      <c r="AS311" s="4"/>
      <c r="AT311" s="4"/>
      <c r="AU311" s="4"/>
      <c r="AV311" s="4"/>
      <c r="AW311" s="4"/>
      <c r="AX311" s="4"/>
      <c r="AY311" s="4"/>
      <c r="AZ311" s="4"/>
      <c r="BA311" s="4"/>
      <c r="BB311" s="4"/>
      <c r="BC311" s="4"/>
      <c r="BD311" s="4"/>
      <c r="BE311" s="4"/>
      <c r="BF311" s="4"/>
      <c r="BG311" s="4"/>
      <c r="BH311" s="4"/>
      <c r="BI311" s="4"/>
      <c r="BJ311" s="4"/>
      <c r="BK311" s="4"/>
      <c r="BL311" s="4"/>
      <c r="BM311" s="4"/>
      <c r="BN311" s="4"/>
      <c r="BO311" s="4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</row>
    <row r="312" spans="1:100" ht="16.5" customHeight="1" x14ac:dyDescent="0.2">
      <c r="A312" s="3"/>
      <c r="B312" s="4"/>
      <c r="C312" s="4"/>
      <c r="D312" s="4"/>
      <c r="E312" s="23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  <c r="AM312" s="4"/>
      <c r="AN312" s="4"/>
      <c r="AO312" s="4"/>
      <c r="AP312" s="4"/>
      <c r="AQ312" s="4"/>
      <c r="AR312" s="4"/>
      <c r="AS312" s="4"/>
      <c r="AT312" s="4"/>
      <c r="AU312" s="4"/>
      <c r="AV312" s="4"/>
      <c r="AW312" s="4"/>
      <c r="AX312" s="4"/>
      <c r="AY312" s="4"/>
      <c r="AZ312" s="4"/>
      <c r="BA312" s="4"/>
      <c r="BB312" s="4"/>
      <c r="BC312" s="4"/>
      <c r="BD312" s="4"/>
      <c r="BE312" s="4"/>
      <c r="BF312" s="4"/>
      <c r="BG312" s="4"/>
      <c r="BH312" s="4"/>
      <c r="BI312" s="4"/>
      <c r="BJ312" s="4"/>
      <c r="BK312" s="4"/>
      <c r="BL312" s="4"/>
      <c r="BM312" s="4"/>
      <c r="BN312" s="4"/>
      <c r="BO312" s="4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</row>
    <row r="313" spans="1:100" ht="16.5" customHeight="1" x14ac:dyDescent="0.2">
      <c r="A313" s="3"/>
      <c r="B313" s="4"/>
      <c r="C313" s="4"/>
      <c r="D313" s="4"/>
      <c r="E313" s="23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  <c r="AM313" s="4"/>
      <c r="AN313" s="4"/>
      <c r="AO313" s="4"/>
      <c r="AP313" s="4"/>
      <c r="AQ313" s="4"/>
      <c r="AR313" s="4"/>
      <c r="AS313" s="4"/>
      <c r="AT313" s="4"/>
      <c r="AU313" s="4"/>
      <c r="AV313" s="4"/>
      <c r="AW313" s="4"/>
      <c r="AX313" s="4"/>
      <c r="AY313" s="4"/>
      <c r="AZ313" s="4"/>
      <c r="BA313" s="4"/>
      <c r="BB313" s="4"/>
      <c r="BC313" s="4"/>
      <c r="BD313" s="4"/>
      <c r="BE313" s="4"/>
      <c r="BF313" s="4"/>
      <c r="BG313" s="4"/>
      <c r="BH313" s="4"/>
      <c r="BI313" s="4"/>
      <c r="BJ313" s="4"/>
      <c r="BK313" s="4"/>
      <c r="BL313" s="4"/>
      <c r="BM313" s="4"/>
      <c r="BN313" s="4"/>
      <c r="BO313" s="4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</row>
    <row r="314" spans="1:100" ht="16.5" customHeight="1" x14ac:dyDescent="0.2">
      <c r="A314" s="3"/>
      <c r="B314" s="4"/>
      <c r="C314" s="4"/>
      <c r="D314" s="4"/>
      <c r="E314" s="23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  <c r="AM314" s="4"/>
      <c r="AN314" s="4"/>
      <c r="AO314" s="4"/>
      <c r="AP314" s="4"/>
      <c r="AQ314" s="4"/>
      <c r="AR314" s="4"/>
      <c r="AS314" s="4"/>
      <c r="AT314" s="4"/>
      <c r="AU314" s="4"/>
      <c r="AV314" s="4"/>
      <c r="AW314" s="4"/>
      <c r="AX314" s="4"/>
      <c r="AY314" s="4"/>
      <c r="AZ314" s="4"/>
      <c r="BA314" s="4"/>
      <c r="BB314" s="4"/>
      <c r="BC314" s="4"/>
      <c r="BD314" s="4"/>
      <c r="BE314" s="4"/>
      <c r="BF314" s="4"/>
      <c r="BG314" s="4"/>
      <c r="BH314" s="4"/>
      <c r="BI314" s="4"/>
      <c r="BJ314" s="4"/>
      <c r="BK314" s="4"/>
      <c r="BL314" s="4"/>
      <c r="BM314" s="4"/>
      <c r="BN314" s="4"/>
      <c r="BO314" s="4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</row>
    <row r="315" spans="1:100" ht="16.5" customHeight="1" x14ac:dyDescent="0.2">
      <c r="A315" s="3"/>
      <c r="B315" s="4"/>
      <c r="C315" s="4"/>
      <c r="D315" s="4"/>
      <c r="E315" s="23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  <c r="AM315" s="4"/>
      <c r="AN315" s="4"/>
      <c r="AO315" s="4"/>
      <c r="AP315" s="4"/>
      <c r="AQ315" s="4"/>
      <c r="AR315" s="4"/>
      <c r="AS315" s="4"/>
      <c r="AT315" s="4"/>
      <c r="AU315" s="4"/>
      <c r="AV315" s="4"/>
      <c r="AW315" s="4"/>
      <c r="AX315" s="4"/>
      <c r="AY315" s="4"/>
      <c r="AZ315" s="4"/>
      <c r="BA315" s="4"/>
      <c r="BB315" s="4"/>
      <c r="BC315" s="4"/>
      <c r="BD315" s="4"/>
      <c r="BE315" s="4"/>
      <c r="BF315" s="4"/>
      <c r="BG315" s="4"/>
      <c r="BH315" s="4"/>
      <c r="BI315" s="4"/>
      <c r="BJ315" s="4"/>
      <c r="BK315" s="4"/>
      <c r="BL315" s="4"/>
      <c r="BM315" s="4"/>
      <c r="BN315" s="4"/>
      <c r="BO315" s="4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</row>
    <row r="316" spans="1:100" ht="16.5" customHeight="1" x14ac:dyDescent="0.2">
      <c r="A316" s="3"/>
      <c r="B316" s="4"/>
      <c r="C316" s="4"/>
      <c r="D316" s="4"/>
      <c r="E316" s="23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  <c r="AM316" s="4"/>
      <c r="AN316" s="4"/>
      <c r="AO316" s="4"/>
      <c r="AP316" s="4"/>
      <c r="AQ316" s="4"/>
      <c r="AR316" s="4"/>
      <c r="AS316" s="4"/>
      <c r="AT316" s="4"/>
      <c r="AU316" s="4"/>
      <c r="AV316" s="4"/>
      <c r="AW316" s="4"/>
      <c r="AX316" s="4"/>
      <c r="AY316" s="4"/>
      <c r="AZ316" s="4"/>
      <c r="BA316" s="4"/>
      <c r="BB316" s="4"/>
      <c r="BC316" s="4"/>
      <c r="BD316" s="4"/>
      <c r="BE316" s="4"/>
      <c r="BF316" s="4"/>
      <c r="BG316" s="4"/>
      <c r="BH316" s="4"/>
      <c r="BI316" s="4"/>
      <c r="BJ316" s="4"/>
      <c r="BK316" s="4"/>
      <c r="BL316" s="4"/>
      <c r="BM316" s="4"/>
      <c r="BN316" s="4"/>
      <c r="BO316" s="4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</row>
    <row r="317" spans="1:100" ht="16.5" customHeight="1" x14ac:dyDescent="0.2">
      <c r="A317" s="3"/>
      <c r="B317" s="4"/>
      <c r="C317" s="4"/>
      <c r="D317" s="4"/>
      <c r="E317" s="23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  <c r="AM317" s="4"/>
      <c r="AN317" s="4"/>
      <c r="AO317" s="4"/>
      <c r="AP317" s="4"/>
      <c r="AQ317" s="4"/>
      <c r="AR317" s="4"/>
      <c r="AS317" s="4"/>
      <c r="AT317" s="4"/>
      <c r="AU317" s="4"/>
      <c r="AV317" s="4"/>
      <c r="AW317" s="4"/>
      <c r="AX317" s="4"/>
      <c r="AY317" s="4"/>
      <c r="AZ317" s="4"/>
      <c r="BA317" s="4"/>
      <c r="BB317" s="4"/>
      <c r="BC317" s="4"/>
      <c r="BD317" s="4"/>
      <c r="BE317" s="4"/>
      <c r="BF317" s="4"/>
      <c r="BG317" s="4"/>
      <c r="BH317" s="4"/>
      <c r="BI317" s="4"/>
      <c r="BJ317" s="4"/>
      <c r="BK317" s="4"/>
      <c r="BL317" s="4"/>
      <c r="BM317" s="4"/>
      <c r="BN317" s="4"/>
      <c r="BO317" s="4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</row>
    <row r="318" spans="1:100" ht="16.5" customHeight="1" x14ac:dyDescent="0.2">
      <c r="A318" s="3"/>
      <c r="B318" s="4"/>
      <c r="C318" s="4"/>
      <c r="D318" s="4"/>
      <c r="E318" s="23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  <c r="AM318" s="4"/>
      <c r="AN318" s="4"/>
      <c r="AO318" s="4"/>
      <c r="AP318" s="4"/>
      <c r="AQ318" s="4"/>
      <c r="AR318" s="4"/>
      <c r="AS318" s="4"/>
      <c r="AT318" s="4"/>
      <c r="AU318" s="4"/>
      <c r="AV318" s="4"/>
      <c r="AW318" s="4"/>
      <c r="AX318" s="4"/>
      <c r="AY318" s="4"/>
      <c r="AZ318" s="4"/>
      <c r="BA318" s="4"/>
      <c r="BB318" s="4"/>
      <c r="BC318" s="4"/>
      <c r="BD318" s="4"/>
      <c r="BE318" s="4"/>
      <c r="BF318" s="4"/>
      <c r="BG318" s="4"/>
      <c r="BH318" s="4"/>
      <c r="BI318" s="4"/>
      <c r="BJ318" s="4"/>
      <c r="BK318" s="4"/>
      <c r="BL318" s="4"/>
      <c r="BM318" s="4"/>
      <c r="BN318" s="4"/>
      <c r="BO318" s="4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</row>
    <row r="319" spans="1:100" ht="16.5" customHeight="1" x14ac:dyDescent="0.2">
      <c r="A319" s="3"/>
      <c r="B319" s="4"/>
      <c r="C319" s="4"/>
      <c r="D319" s="4"/>
      <c r="E319" s="23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  <c r="AM319" s="4"/>
      <c r="AN319" s="4"/>
      <c r="AO319" s="4"/>
      <c r="AP319" s="4"/>
      <c r="AQ319" s="4"/>
      <c r="AR319" s="4"/>
      <c r="AS319" s="4"/>
      <c r="AT319" s="4"/>
      <c r="AU319" s="4"/>
      <c r="AV319" s="4"/>
      <c r="AW319" s="4"/>
      <c r="AX319" s="4"/>
      <c r="AY319" s="4"/>
      <c r="AZ319" s="4"/>
      <c r="BA319" s="4"/>
      <c r="BB319" s="4"/>
      <c r="BC319" s="4"/>
      <c r="BD319" s="4"/>
      <c r="BE319" s="4"/>
      <c r="BF319" s="4"/>
      <c r="BG319" s="4"/>
      <c r="BH319" s="4"/>
      <c r="BI319" s="4"/>
      <c r="BJ319" s="4"/>
      <c r="BK319" s="4"/>
      <c r="BL319" s="4"/>
      <c r="BM319" s="4"/>
      <c r="BN319" s="4"/>
      <c r="BO319" s="4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</row>
    <row r="320" spans="1:100" ht="16.5" customHeight="1" x14ac:dyDescent="0.2">
      <c r="A320" s="3"/>
      <c r="B320" s="4"/>
      <c r="C320" s="4"/>
      <c r="D320" s="4"/>
      <c r="E320" s="23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  <c r="AM320" s="4"/>
      <c r="AN320" s="4"/>
      <c r="AO320" s="4"/>
      <c r="AP320" s="4"/>
      <c r="AQ320" s="4"/>
      <c r="AR320" s="4"/>
      <c r="AS320" s="4"/>
      <c r="AT320" s="4"/>
      <c r="AU320" s="4"/>
      <c r="AV320" s="4"/>
      <c r="AW320" s="4"/>
      <c r="AX320" s="4"/>
      <c r="AY320" s="4"/>
      <c r="AZ320" s="4"/>
      <c r="BA320" s="4"/>
      <c r="BB320" s="4"/>
      <c r="BC320" s="4"/>
      <c r="BD320" s="4"/>
      <c r="BE320" s="4"/>
      <c r="BF320" s="4"/>
      <c r="BG320" s="4"/>
      <c r="BH320" s="4"/>
      <c r="BI320" s="4"/>
      <c r="BJ320" s="4"/>
      <c r="BK320" s="4"/>
      <c r="BL320" s="4"/>
      <c r="BM320" s="4"/>
      <c r="BN320" s="4"/>
      <c r="BO320" s="4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</row>
    <row r="321" spans="1:100" ht="16.5" customHeight="1" x14ac:dyDescent="0.2">
      <c r="A321" s="3"/>
      <c r="B321" s="4"/>
      <c r="C321" s="4"/>
      <c r="D321" s="4"/>
      <c r="E321" s="23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  <c r="AM321" s="4"/>
      <c r="AN321" s="4"/>
      <c r="AO321" s="4"/>
      <c r="AP321" s="4"/>
      <c r="AQ321" s="4"/>
      <c r="AR321" s="4"/>
      <c r="AS321" s="4"/>
      <c r="AT321" s="4"/>
      <c r="AU321" s="4"/>
      <c r="AV321" s="4"/>
      <c r="AW321" s="4"/>
      <c r="AX321" s="4"/>
      <c r="AY321" s="4"/>
      <c r="AZ321" s="4"/>
      <c r="BA321" s="4"/>
      <c r="BB321" s="4"/>
      <c r="BC321" s="4"/>
      <c r="BD321" s="4"/>
      <c r="BE321" s="4"/>
      <c r="BF321" s="4"/>
      <c r="BG321" s="4"/>
      <c r="BH321" s="4"/>
      <c r="BI321" s="4"/>
      <c r="BJ321" s="4"/>
      <c r="BK321" s="4"/>
      <c r="BL321" s="4"/>
      <c r="BM321" s="4"/>
      <c r="BN321" s="4"/>
      <c r="BO321" s="4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</row>
    <row r="322" spans="1:100" ht="16.5" customHeight="1" x14ac:dyDescent="0.2">
      <c r="A322" s="3"/>
      <c r="B322" s="4"/>
      <c r="C322" s="4"/>
      <c r="D322" s="4"/>
      <c r="E322" s="23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  <c r="AM322" s="4"/>
      <c r="AN322" s="4"/>
      <c r="AO322" s="4"/>
      <c r="AP322" s="4"/>
      <c r="AQ322" s="4"/>
      <c r="AR322" s="4"/>
      <c r="AS322" s="4"/>
      <c r="AT322" s="4"/>
      <c r="AU322" s="4"/>
      <c r="AV322" s="4"/>
      <c r="AW322" s="4"/>
      <c r="AX322" s="4"/>
      <c r="AY322" s="4"/>
      <c r="AZ322" s="4"/>
      <c r="BA322" s="4"/>
      <c r="BB322" s="4"/>
      <c r="BC322" s="4"/>
      <c r="BD322" s="4"/>
      <c r="BE322" s="4"/>
      <c r="BF322" s="4"/>
      <c r="BG322" s="4"/>
      <c r="BH322" s="4"/>
      <c r="BI322" s="4"/>
      <c r="BJ322" s="4"/>
      <c r="BK322" s="4"/>
      <c r="BL322" s="4"/>
      <c r="BM322" s="4"/>
      <c r="BN322" s="4"/>
      <c r="BO322" s="4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</row>
    <row r="323" spans="1:100" ht="16.5" customHeight="1" x14ac:dyDescent="0.2">
      <c r="A323" s="3"/>
      <c r="B323" s="4"/>
      <c r="C323" s="4"/>
      <c r="D323" s="4"/>
      <c r="E323" s="23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  <c r="AM323" s="4"/>
      <c r="AN323" s="4"/>
      <c r="AO323" s="4"/>
      <c r="AP323" s="4"/>
      <c r="AQ323" s="4"/>
      <c r="AR323" s="4"/>
      <c r="AS323" s="4"/>
      <c r="AT323" s="4"/>
      <c r="AU323" s="4"/>
      <c r="AV323" s="4"/>
      <c r="AW323" s="4"/>
      <c r="AX323" s="4"/>
      <c r="AY323" s="4"/>
      <c r="AZ323" s="4"/>
      <c r="BA323" s="4"/>
      <c r="BB323" s="4"/>
      <c r="BC323" s="4"/>
      <c r="BD323" s="4"/>
      <c r="BE323" s="4"/>
      <c r="BF323" s="4"/>
      <c r="BG323" s="4"/>
      <c r="BH323" s="4"/>
      <c r="BI323" s="4"/>
      <c r="BJ323" s="4"/>
      <c r="BK323" s="4"/>
      <c r="BL323" s="4"/>
      <c r="BM323" s="4"/>
      <c r="BN323" s="4"/>
      <c r="BO323" s="4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</row>
    <row r="324" spans="1:100" ht="16.5" customHeight="1" x14ac:dyDescent="0.2">
      <c r="A324" s="3"/>
      <c r="B324" s="4"/>
      <c r="C324" s="4"/>
      <c r="D324" s="4"/>
      <c r="E324" s="23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  <c r="AM324" s="4"/>
      <c r="AN324" s="4"/>
      <c r="AO324" s="4"/>
      <c r="AP324" s="4"/>
      <c r="AQ324" s="4"/>
      <c r="AR324" s="4"/>
      <c r="AS324" s="4"/>
      <c r="AT324" s="4"/>
      <c r="AU324" s="4"/>
      <c r="AV324" s="4"/>
      <c r="AW324" s="4"/>
      <c r="AX324" s="4"/>
      <c r="AY324" s="4"/>
      <c r="AZ324" s="4"/>
      <c r="BA324" s="4"/>
      <c r="BB324" s="4"/>
      <c r="BC324" s="4"/>
      <c r="BD324" s="4"/>
      <c r="BE324" s="4"/>
      <c r="BF324" s="4"/>
      <c r="BG324" s="4"/>
      <c r="BH324" s="4"/>
      <c r="BI324" s="4"/>
      <c r="BJ324" s="4"/>
      <c r="BK324" s="4"/>
      <c r="BL324" s="4"/>
      <c r="BM324" s="4"/>
      <c r="BN324" s="4"/>
      <c r="BO324" s="4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</row>
    <row r="325" spans="1:100" ht="16.5" customHeight="1" x14ac:dyDescent="0.2">
      <c r="A325" s="3"/>
      <c r="B325" s="4"/>
      <c r="C325" s="4"/>
      <c r="D325" s="4"/>
      <c r="E325" s="23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  <c r="AM325" s="4"/>
      <c r="AN325" s="4"/>
      <c r="AO325" s="4"/>
      <c r="AP325" s="4"/>
      <c r="AQ325" s="4"/>
      <c r="AR325" s="4"/>
      <c r="AS325" s="4"/>
      <c r="AT325" s="4"/>
      <c r="AU325" s="4"/>
      <c r="AV325" s="4"/>
      <c r="AW325" s="4"/>
      <c r="AX325" s="4"/>
      <c r="AY325" s="4"/>
      <c r="AZ325" s="4"/>
      <c r="BA325" s="4"/>
      <c r="BB325" s="4"/>
      <c r="BC325" s="4"/>
      <c r="BD325" s="4"/>
      <c r="BE325" s="4"/>
      <c r="BF325" s="4"/>
      <c r="BG325" s="4"/>
      <c r="BH325" s="4"/>
      <c r="BI325" s="4"/>
      <c r="BJ325" s="4"/>
      <c r="BK325" s="4"/>
      <c r="BL325" s="4"/>
      <c r="BM325" s="4"/>
      <c r="BN325" s="4"/>
      <c r="BO325" s="4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</row>
    <row r="326" spans="1:100" ht="16.5" customHeight="1" x14ac:dyDescent="0.2">
      <c r="A326" s="3"/>
      <c r="B326" s="4"/>
      <c r="C326" s="4"/>
      <c r="D326" s="4"/>
      <c r="E326" s="23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  <c r="AM326" s="4"/>
      <c r="AN326" s="4"/>
      <c r="AO326" s="4"/>
      <c r="AP326" s="4"/>
      <c r="AQ326" s="4"/>
      <c r="AR326" s="4"/>
      <c r="AS326" s="4"/>
      <c r="AT326" s="4"/>
      <c r="AU326" s="4"/>
      <c r="AV326" s="4"/>
      <c r="AW326" s="4"/>
      <c r="AX326" s="4"/>
      <c r="AY326" s="4"/>
      <c r="AZ326" s="4"/>
      <c r="BA326" s="4"/>
      <c r="BB326" s="4"/>
      <c r="BC326" s="4"/>
      <c r="BD326" s="4"/>
      <c r="BE326" s="4"/>
      <c r="BF326" s="4"/>
      <c r="BG326" s="4"/>
      <c r="BH326" s="4"/>
      <c r="BI326" s="4"/>
      <c r="BJ326" s="4"/>
      <c r="BK326" s="4"/>
      <c r="BL326" s="4"/>
      <c r="BM326" s="4"/>
      <c r="BN326" s="4"/>
      <c r="BO326" s="4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</row>
    <row r="327" spans="1:100" ht="16.5" customHeight="1" x14ac:dyDescent="0.2">
      <c r="A327" s="3"/>
      <c r="B327" s="4"/>
      <c r="C327" s="4"/>
      <c r="D327" s="4"/>
      <c r="E327" s="23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  <c r="AM327" s="4"/>
      <c r="AN327" s="4"/>
      <c r="AO327" s="4"/>
      <c r="AP327" s="4"/>
      <c r="AQ327" s="4"/>
      <c r="AR327" s="4"/>
      <c r="AS327" s="4"/>
      <c r="AT327" s="4"/>
      <c r="AU327" s="4"/>
      <c r="AV327" s="4"/>
      <c r="AW327" s="4"/>
      <c r="AX327" s="4"/>
      <c r="AY327" s="4"/>
      <c r="AZ327" s="4"/>
      <c r="BA327" s="4"/>
      <c r="BB327" s="4"/>
      <c r="BC327" s="4"/>
      <c r="BD327" s="4"/>
      <c r="BE327" s="4"/>
      <c r="BF327" s="4"/>
      <c r="BG327" s="4"/>
      <c r="BH327" s="4"/>
      <c r="BI327" s="4"/>
      <c r="BJ327" s="4"/>
      <c r="BK327" s="4"/>
      <c r="BL327" s="4"/>
      <c r="BM327" s="4"/>
      <c r="BN327" s="4"/>
      <c r="BO327" s="4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</row>
    <row r="328" spans="1:100" ht="16.5" customHeight="1" x14ac:dyDescent="0.2">
      <c r="A328" s="3"/>
      <c r="B328" s="4"/>
      <c r="C328" s="4"/>
      <c r="D328" s="4"/>
      <c r="E328" s="23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  <c r="AM328" s="4"/>
      <c r="AN328" s="4"/>
      <c r="AO328" s="4"/>
      <c r="AP328" s="4"/>
      <c r="AQ328" s="4"/>
      <c r="AR328" s="4"/>
      <c r="AS328" s="4"/>
      <c r="AT328" s="4"/>
      <c r="AU328" s="4"/>
      <c r="AV328" s="4"/>
      <c r="AW328" s="4"/>
      <c r="AX328" s="4"/>
      <c r="AY328" s="4"/>
      <c r="AZ328" s="4"/>
      <c r="BA328" s="4"/>
      <c r="BB328" s="4"/>
      <c r="BC328" s="4"/>
      <c r="BD328" s="4"/>
      <c r="BE328" s="4"/>
      <c r="BF328" s="4"/>
      <c r="BG328" s="4"/>
      <c r="BH328" s="4"/>
      <c r="BI328" s="4"/>
      <c r="BJ328" s="4"/>
      <c r="BK328" s="4"/>
      <c r="BL328" s="4"/>
      <c r="BM328" s="4"/>
      <c r="BN328" s="4"/>
      <c r="BO328" s="4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</row>
    <row r="329" spans="1:100" ht="16.5" customHeight="1" x14ac:dyDescent="0.2">
      <c r="A329" s="3"/>
      <c r="B329" s="4"/>
      <c r="C329" s="4"/>
      <c r="D329" s="4"/>
      <c r="E329" s="23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  <c r="AM329" s="4"/>
      <c r="AN329" s="4"/>
      <c r="AO329" s="4"/>
      <c r="AP329" s="4"/>
      <c r="AQ329" s="4"/>
      <c r="AR329" s="4"/>
      <c r="AS329" s="4"/>
      <c r="AT329" s="4"/>
      <c r="AU329" s="4"/>
      <c r="AV329" s="4"/>
      <c r="AW329" s="4"/>
      <c r="AX329" s="4"/>
      <c r="AY329" s="4"/>
      <c r="AZ329" s="4"/>
      <c r="BA329" s="4"/>
      <c r="BB329" s="4"/>
      <c r="BC329" s="4"/>
      <c r="BD329" s="4"/>
      <c r="BE329" s="4"/>
      <c r="BF329" s="4"/>
      <c r="BG329" s="4"/>
      <c r="BH329" s="4"/>
      <c r="BI329" s="4"/>
      <c r="BJ329" s="4"/>
      <c r="BK329" s="4"/>
      <c r="BL329" s="4"/>
      <c r="BM329" s="4"/>
      <c r="BN329" s="4"/>
      <c r="BO329" s="4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</row>
    <row r="330" spans="1:100" ht="16.5" customHeight="1" x14ac:dyDescent="0.2">
      <c r="A330" s="3"/>
      <c r="B330" s="4"/>
      <c r="C330" s="4"/>
      <c r="D330" s="4"/>
      <c r="E330" s="23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  <c r="AM330" s="4"/>
      <c r="AN330" s="4"/>
      <c r="AO330" s="4"/>
      <c r="AP330" s="4"/>
      <c r="AQ330" s="4"/>
      <c r="AR330" s="4"/>
      <c r="AS330" s="4"/>
      <c r="AT330" s="4"/>
      <c r="AU330" s="4"/>
      <c r="AV330" s="4"/>
      <c r="AW330" s="4"/>
      <c r="AX330" s="4"/>
      <c r="AY330" s="4"/>
      <c r="AZ330" s="4"/>
      <c r="BA330" s="4"/>
      <c r="BB330" s="4"/>
      <c r="BC330" s="4"/>
      <c r="BD330" s="4"/>
      <c r="BE330" s="4"/>
      <c r="BF330" s="4"/>
      <c r="BG330" s="4"/>
      <c r="BH330" s="4"/>
      <c r="BI330" s="4"/>
      <c r="BJ330" s="4"/>
      <c r="BK330" s="4"/>
      <c r="BL330" s="4"/>
      <c r="BM330" s="4"/>
      <c r="BN330" s="4"/>
      <c r="BO330" s="4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</row>
    <row r="331" spans="1:100" ht="16.5" customHeight="1" x14ac:dyDescent="0.2">
      <c r="A331" s="3"/>
      <c r="B331" s="4"/>
      <c r="C331" s="4"/>
      <c r="D331" s="4"/>
      <c r="E331" s="23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  <c r="AM331" s="4"/>
      <c r="AN331" s="4"/>
      <c r="AO331" s="4"/>
      <c r="AP331" s="4"/>
      <c r="AQ331" s="4"/>
      <c r="AR331" s="4"/>
      <c r="AS331" s="4"/>
      <c r="AT331" s="4"/>
      <c r="AU331" s="4"/>
      <c r="AV331" s="4"/>
      <c r="AW331" s="4"/>
      <c r="AX331" s="4"/>
      <c r="AY331" s="4"/>
      <c r="AZ331" s="4"/>
      <c r="BA331" s="4"/>
      <c r="BB331" s="4"/>
      <c r="BC331" s="4"/>
      <c r="BD331" s="4"/>
      <c r="BE331" s="4"/>
      <c r="BF331" s="4"/>
      <c r="BG331" s="4"/>
      <c r="BH331" s="4"/>
      <c r="BI331" s="4"/>
      <c r="BJ331" s="4"/>
      <c r="BK331" s="4"/>
      <c r="BL331" s="4"/>
      <c r="BM331" s="4"/>
      <c r="BN331" s="4"/>
      <c r="BO331" s="4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</row>
    <row r="332" spans="1:100" ht="16.5" customHeight="1" x14ac:dyDescent="0.2">
      <c r="A332" s="3"/>
      <c r="B332" s="4"/>
      <c r="C332" s="4"/>
      <c r="D332" s="4"/>
      <c r="E332" s="23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  <c r="AM332" s="4"/>
      <c r="AN332" s="4"/>
      <c r="AO332" s="4"/>
      <c r="AP332" s="4"/>
      <c r="AQ332" s="4"/>
      <c r="AR332" s="4"/>
      <c r="AS332" s="4"/>
      <c r="AT332" s="4"/>
      <c r="AU332" s="4"/>
      <c r="AV332" s="4"/>
      <c r="AW332" s="4"/>
      <c r="AX332" s="4"/>
      <c r="AY332" s="4"/>
      <c r="AZ332" s="4"/>
      <c r="BA332" s="4"/>
      <c r="BB332" s="4"/>
      <c r="BC332" s="4"/>
      <c r="BD332" s="4"/>
      <c r="BE332" s="4"/>
      <c r="BF332" s="4"/>
      <c r="BG332" s="4"/>
      <c r="BH332" s="4"/>
      <c r="BI332" s="4"/>
      <c r="BJ332" s="4"/>
      <c r="BK332" s="4"/>
      <c r="BL332" s="4"/>
      <c r="BM332" s="4"/>
      <c r="BN332" s="4"/>
      <c r="BO332" s="4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</row>
    <row r="333" spans="1:100" ht="16.5" customHeight="1" x14ac:dyDescent="0.2">
      <c r="A333" s="3"/>
      <c r="B333" s="4"/>
      <c r="C333" s="4"/>
      <c r="D333" s="4"/>
      <c r="E333" s="23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  <c r="AM333" s="4"/>
      <c r="AN333" s="4"/>
      <c r="AO333" s="4"/>
      <c r="AP333" s="4"/>
      <c r="AQ333" s="4"/>
      <c r="AR333" s="4"/>
      <c r="AS333" s="4"/>
      <c r="AT333" s="4"/>
      <c r="AU333" s="4"/>
      <c r="AV333" s="4"/>
      <c r="AW333" s="4"/>
      <c r="AX333" s="4"/>
      <c r="AY333" s="4"/>
      <c r="AZ333" s="4"/>
      <c r="BA333" s="4"/>
      <c r="BB333" s="4"/>
      <c r="BC333" s="4"/>
      <c r="BD333" s="4"/>
      <c r="BE333" s="4"/>
      <c r="BF333" s="4"/>
      <c r="BG333" s="4"/>
      <c r="BH333" s="4"/>
      <c r="BI333" s="4"/>
      <c r="BJ333" s="4"/>
      <c r="BK333" s="4"/>
      <c r="BL333" s="4"/>
      <c r="BM333" s="4"/>
      <c r="BN333" s="4"/>
      <c r="BO333" s="4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</row>
    <row r="334" spans="1:100" ht="16.5" customHeight="1" x14ac:dyDescent="0.2">
      <c r="A334" s="3"/>
      <c r="B334" s="4"/>
      <c r="C334" s="4"/>
      <c r="D334" s="4"/>
      <c r="E334" s="23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  <c r="AM334" s="4"/>
      <c r="AN334" s="4"/>
      <c r="AO334" s="4"/>
      <c r="AP334" s="4"/>
      <c r="AQ334" s="4"/>
      <c r="AR334" s="4"/>
      <c r="AS334" s="4"/>
      <c r="AT334" s="4"/>
      <c r="AU334" s="4"/>
      <c r="AV334" s="4"/>
      <c r="AW334" s="4"/>
      <c r="AX334" s="4"/>
      <c r="AY334" s="4"/>
      <c r="AZ334" s="4"/>
      <c r="BA334" s="4"/>
      <c r="BB334" s="4"/>
      <c r="BC334" s="4"/>
      <c r="BD334" s="4"/>
      <c r="BE334" s="4"/>
      <c r="BF334" s="4"/>
      <c r="BG334" s="4"/>
      <c r="BH334" s="4"/>
      <c r="BI334" s="4"/>
      <c r="BJ334" s="4"/>
      <c r="BK334" s="4"/>
      <c r="BL334" s="4"/>
      <c r="BM334" s="4"/>
      <c r="BN334" s="4"/>
      <c r="BO334" s="4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</row>
    <row r="335" spans="1:100" ht="16.5" customHeight="1" x14ac:dyDescent="0.2">
      <c r="A335" s="3"/>
      <c r="B335" s="4"/>
      <c r="C335" s="4"/>
      <c r="D335" s="4"/>
      <c r="E335" s="23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  <c r="AM335" s="4"/>
      <c r="AN335" s="4"/>
      <c r="AO335" s="4"/>
      <c r="AP335" s="4"/>
      <c r="AQ335" s="4"/>
      <c r="AR335" s="4"/>
      <c r="AS335" s="4"/>
      <c r="AT335" s="4"/>
      <c r="AU335" s="4"/>
      <c r="AV335" s="4"/>
      <c r="AW335" s="4"/>
      <c r="AX335" s="4"/>
      <c r="AY335" s="4"/>
      <c r="AZ335" s="4"/>
      <c r="BA335" s="4"/>
      <c r="BB335" s="4"/>
      <c r="BC335" s="4"/>
      <c r="BD335" s="4"/>
      <c r="BE335" s="4"/>
      <c r="BF335" s="4"/>
      <c r="BG335" s="4"/>
      <c r="BH335" s="4"/>
      <c r="BI335" s="4"/>
      <c r="BJ335" s="4"/>
      <c r="BK335" s="4"/>
      <c r="BL335" s="4"/>
      <c r="BM335" s="4"/>
      <c r="BN335" s="4"/>
      <c r="BO335" s="4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</row>
    <row r="336" spans="1:100" ht="16.5" customHeight="1" x14ac:dyDescent="0.2">
      <c r="A336" s="3"/>
      <c r="B336" s="4"/>
      <c r="C336" s="4"/>
      <c r="D336" s="4"/>
      <c r="E336" s="23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  <c r="AM336" s="4"/>
      <c r="AN336" s="4"/>
      <c r="AO336" s="4"/>
      <c r="AP336" s="4"/>
      <c r="AQ336" s="4"/>
      <c r="AR336" s="4"/>
      <c r="AS336" s="4"/>
      <c r="AT336" s="4"/>
      <c r="AU336" s="4"/>
      <c r="AV336" s="4"/>
      <c r="AW336" s="4"/>
      <c r="AX336" s="4"/>
      <c r="AY336" s="4"/>
      <c r="AZ336" s="4"/>
      <c r="BA336" s="4"/>
      <c r="BB336" s="4"/>
      <c r="BC336" s="4"/>
      <c r="BD336" s="4"/>
      <c r="BE336" s="4"/>
      <c r="BF336" s="4"/>
      <c r="BG336" s="4"/>
      <c r="BH336" s="4"/>
      <c r="BI336" s="4"/>
      <c r="BJ336" s="4"/>
      <c r="BK336" s="4"/>
      <c r="BL336" s="4"/>
      <c r="BM336" s="4"/>
      <c r="BN336" s="4"/>
      <c r="BO336" s="4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</row>
    <row r="337" spans="1:67" ht="16.5" customHeight="1" x14ac:dyDescent="0.2">
      <c r="A337" s="3"/>
      <c r="B337" s="3"/>
      <c r="C337" s="3"/>
      <c r="D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</row>
    <row r="338" spans="1:67" ht="16.5" customHeight="1" x14ac:dyDescent="0.2">
      <c r="A338" s="3"/>
      <c r="B338" s="3"/>
      <c r="C338" s="3"/>
      <c r="D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</row>
    <row r="339" spans="1:67" ht="16.5" customHeight="1" x14ac:dyDescent="0.2">
      <c r="A339" s="3"/>
      <c r="B339" s="3"/>
      <c r="C339" s="3"/>
      <c r="D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</row>
    <row r="340" spans="1:67" ht="16.5" customHeight="1" x14ac:dyDescent="0.2">
      <c r="A340" s="3"/>
      <c r="B340" s="3"/>
      <c r="C340" s="3"/>
      <c r="D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</row>
    <row r="341" spans="1:67" ht="16.5" customHeight="1" x14ac:dyDescent="0.2">
      <c r="A341" s="3"/>
      <c r="B341" s="3"/>
      <c r="C341" s="3"/>
      <c r="D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</row>
    <row r="342" spans="1:67" ht="16.5" customHeight="1" x14ac:dyDescent="0.2">
      <c r="A342" s="3"/>
      <c r="B342" s="3"/>
      <c r="C342" s="3"/>
      <c r="D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</row>
    <row r="343" spans="1:67" ht="16.5" customHeight="1" x14ac:dyDescent="0.2">
      <c r="A343" s="3"/>
      <c r="B343" s="3"/>
      <c r="C343" s="3"/>
      <c r="D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</row>
    <row r="344" spans="1:67" ht="16.5" customHeight="1" x14ac:dyDescent="0.2">
      <c r="A344" s="3"/>
      <c r="B344" s="3"/>
      <c r="C344" s="3"/>
      <c r="D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</row>
    <row r="345" spans="1:67" ht="16.5" customHeight="1" x14ac:dyDescent="0.2">
      <c r="A345" s="3"/>
      <c r="B345" s="3"/>
      <c r="C345" s="3"/>
      <c r="D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</row>
    <row r="346" spans="1:67" ht="16.5" customHeight="1" x14ac:dyDescent="0.2">
      <c r="A346" s="3"/>
      <c r="B346" s="3"/>
      <c r="C346" s="3"/>
      <c r="D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</row>
    <row r="347" spans="1:67" ht="16.5" customHeight="1" x14ac:dyDescent="0.2">
      <c r="A347" s="3"/>
      <c r="B347" s="3"/>
      <c r="C347" s="3"/>
      <c r="D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</row>
    <row r="348" spans="1:67" ht="16.5" customHeight="1" x14ac:dyDescent="0.2">
      <c r="A348" s="3"/>
      <c r="B348" s="3"/>
      <c r="C348" s="3"/>
      <c r="D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</row>
    <row r="349" spans="1:67" ht="16.5" customHeight="1" x14ac:dyDescent="0.2">
      <c r="A349" s="3"/>
      <c r="B349" s="3"/>
      <c r="C349" s="3"/>
      <c r="D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  <c r="BK349" s="3"/>
      <c r="BL349" s="3"/>
      <c r="BM349" s="3"/>
      <c r="BN349" s="3"/>
      <c r="BO349" s="3"/>
    </row>
    <row r="350" spans="1:67" ht="16.5" customHeight="1" x14ac:dyDescent="0.2">
      <c r="A350" s="3"/>
      <c r="B350" s="3"/>
      <c r="C350" s="3"/>
      <c r="D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  <c r="BK350" s="3"/>
      <c r="BL350" s="3"/>
      <c r="BM350" s="3"/>
      <c r="BN350" s="3"/>
      <c r="BO350" s="3"/>
    </row>
    <row r="351" spans="1:67" ht="16.5" customHeight="1" x14ac:dyDescent="0.2">
      <c r="A351" s="3"/>
      <c r="B351" s="3"/>
      <c r="C351" s="3"/>
      <c r="D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  <c r="BK351" s="3"/>
      <c r="BL351" s="3"/>
      <c r="BM351" s="3"/>
      <c r="BN351" s="3"/>
      <c r="BO351" s="3"/>
    </row>
    <row r="352" spans="1:67" ht="16.5" customHeight="1" x14ac:dyDescent="0.2">
      <c r="A352" s="3"/>
      <c r="B352" s="3"/>
      <c r="C352" s="3"/>
      <c r="D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  <c r="BK352" s="3"/>
      <c r="BL352" s="3"/>
      <c r="BM352" s="3"/>
      <c r="BN352" s="3"/>
      <c r="BO352" s="3"/>
    </row>
    <row r="353" spans="1:67" ht="16.5" customHeight="1" x14ac:dyDescent="0.2">
      <c r="A353" s="3"/>
      <c r="B353" s="3"/>
      <c r="C353" s="3"/>
      <c r="D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  <c r="BK353" s="3"/>
      <c r="BL353" s="3"/>
      <c r="BM353" s="3"/>
      <c r="BN353" s="3"/>
      <c r="BO353" s="3"/>
    </row>
    <row r="354" spans="1:67" ht="16.5" customHeight="1" x14ac:dyDescent="0.2">
      <c r="A354" s="3"/>
      <c r="B354" s="3"/>
      <c r="C354" s="3"/>
      <c r="D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  <c r="BK354" s="3"/>
      <c r="BL354" s="3"/>
      <c r="BM354" s="3"/>
      <c r="BN354" s="3"/>
      <c r="BO354" s="3"/>
    </row>
    <row r="355" spans="1:67" ht="16.5" customHeight="1" x14ac:dyDescent="0.2">
      <c r="A355" s="3"/>
      <c r="B355" s="3"/>
      <c r="C355" s="3"/>
      <c r="D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  <c r="BK355" s="3"/>
      <c r="BL355" s="3"/>
      <c r="BM355" s="3"/>
      <c r="BN355" s="3"/>
      <c r="BO355" s="3"/>
    </row>
    <row r="356" spans="1:67" ht="16.5" customHeight="1" x14ac:dyDescent="0.2">
      <c r="A356" s="3"/>
      <c r="B356" s="3"/>
      <c r="C356" s="3"/>
      <c r="D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  <c r="BK356" s="3"/>
      <c r="BL356" s="3"/>
      <c r="BM356" s="3"/>
      <c r="BN356" s="3"/>
      <c r="BO356" s="3"/>
    </row>
    <row r="357" spans="1:67" ht="16.5" customHeight="1" x14ac:dyDescent="0.2">
      <c r="A357" s="3"/>
      <c r="B357" s="3"/>
      <c r="C357" s="3"/>
      <c r="D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  <c r="BK357" s="3"/>
      <c r="BL357" s="3"/>
      <c r="BM357" s="3"/>
      <c r="BN357" s="3"/>
      <c r="BO357" s="3"/>
    </row>
    <row r="358" spans="1:67" ht="16.5" customHeight="1" x14ac:dyDescent="0.2">
      <c r="A358" s="3"/>
      <c r="B358" s="3"/>
      <c r="C358" s="3"/>
      <c r="D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  <c r="BK358" s="3"/>
      <c r="BL358" s="3"/>
      <c r="BM358" s="3"/>
      <c r="BN358" s="3"/>
      <c r="BO358" s="3"/>
    </row>
    <row r="359" spans="1:67" ht="16.5" customHeight="1" x14ac:dyDescent="0.2">
      <c r="A359" s="3"/>
      <c r="B359" s="3"/>
      <c r="C359" s="3"/>
      <c r="D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  <c r="BK359" s="3"/>
      <c r="BL359" s="3"/>
      <c r="BM359" s="3"/>
      <c r="BN359" s="3"/>
      <c r="BO359" s="3"/>
    </row>
    <row r="360" spans="1:67" ht="16.5" customHeight="1" x14ac:dyDescent="0.2">
      <c r="A360" s="3"/>
      <c r="B360" s="3"/>
      <c r="C360" s="3"/>
      <c r="D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  <c r="BK360" s="3"/>
      <c r="BL360" s="3"/>
      <c r="BM360" s="3"/>
      <c r="BN360" s="3"/>
      <c r="BO360" s="3"/>
    </row>
    <row r="361" spans="1:67" ht="16.5" customHeight="1" x14ac:dyDescent="0.2">
      <c r="A361" s="3"/>
      <c r="B361" s="3"/>
      <c r="C361" s="3"/>
      <c r="D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  <c r="BK361" s="3"/>
      <c r="BL361" s="3"/>
      <c r="BM361" s="3"/>
      <c r="BN361" s="3"/>
      <c r="BO361" s="3"/>
    </row>
    <row r="362" spans="1:67" ht="16.5" customHeight="1" x14ac:dyDescent="0.2">
      <c r="A362" s="3"/>
      <c r="B362" s="3"/>
      <c r="C362" s="3"/>
      <c r="D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  <c r="BK362" s="3"/>
      <c r="BL362" s="3"/>
      <c r="BM362" s="3"/>
      <c r="BN362" s="3"/>
      <c r="BO362" s="3"/>
    </row>
    <row r="363" spans="1:67" ht="16.5" customHeight="1" x14ac:dyDescent="0.2">
      <c r="A363" s="3"/>
      <c r="B363" s="3"/>
      <c r="C363" s="3"/>
      <c r="D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  <c r="BK363" s="3"/>
      <c r="BL363" s="3"/>
      <c r="BM363" s="3"/>
      <c r="BN363" s="3"/>
      <c r="BO363" s="3"/>
    </row>
    <row r="364" spans="1:67" ht="16.5" customHeight="1" x14ac:dyDescent="0.2">
      <c r="A364" s="3"/>
      <c r="B364" s="3"/>
      <c r="C364" s="3"/>
      <c r="D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  <c r="BK364" s="3"/>
      <c r="BL364" s="3"/>
      <c r="BM364" s="3"/>
      <c r="BN364" s="3"/>
      <c r="BO364" s="3"/>
    </row>
    <row r="365" spans="1:67" ht="16.5" customHeight="1" x14ac:dyDescent="0.2">
      <c r="A365" s="3"/>
      <c r="B365" s="3"/>
      <c r="C365" s="3"/>
      <c r="D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  <c r="BK365" s="3"/>
      <c r="BL365" s="3"/>
      <c r="BM365" s="3"/>
      <c r="BN365" s="3"/>
      <c r="BO365" s="3"/>
    </row>
    <row r="366" spans="1:67" ht="16.5" customHeight="1" x14ac:dyDescent="0.2">
      <c r="A366" s="3"/>
      <c r="B366" s="3"/>
      <c r="C366" s="3"/>
      <c r="D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  <c r="BK366" s="3"/>
      <c r="BL366" s="3"/>
      <c r="BM366" s="3"/>
      <c r="BN366" s="3"/>
      <c r="BO366" s="3"/>
    </row>
    <row r="367" spans="1:67" ht="16.5" customHeight="1" x14ac:dyDescent="0.2">
      <c r="A367" s="3"/>
      <c r="B367" s="3"/>
      <c r="C367" s="3"/>
      <c r="D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  <c r="BK367" s="3"/>
      <c r="BL367" s="3"/>
      <c r="BM367" s="3"/>
      <c r="BN367" s="3"/>
      <c r="BO367" s="3"/>
    </row>
    <row r="368" spans="1:67" ht="16.5" customHeight="1" x14ac:dyDescent="0.2">
      <c r="A368" s="3"/>
      <c r="B368" s="3"/>
      <c r="C368" s="3"/>
      <c r="D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  <c r="BK368" s="3"/>
      <c r="BL368" s="3"/>
      <c r="BM368" s="3"/>
      <c r="BN368" s="3"/>
      <c r="BO368" s="3"/>
    </row>
    <row r="369" spans="1:67" ht="16.5" customHeight="1" x14ac:dyDescent="0.2">
      <c r="A369" s="3"/>
      <c r="B369" s="3"/>
      <c r="C369" s="3"/>
      <c r="D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  <c r="BK369" s="3"/>
      <c r="BL369" s="3"/>
      <c r="BM369" s="3"/>
      <c r="BN369" s="3"/>
      <c r="BO369" s="3"/>
    </row>
    <row r="370" spans="1:67" ht="16.5" customHeight="1" x14ac:dyDescent="0.2">
      <c r="A370" s="3"/>
      <c r="B370" s="3"/>
      <c r="C370" s="3"/>
      <c r="D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  <c r="BK370" s="3"/>
      <c r="BL370" s="3"/>
      <c r="BM370" s="3"/>
      <c r="BN370" s="3"/>
      <c r="BO370" s="3"/>
    </row>
    <row r="371" spans="1:67" ht="16.5" customHeight="1" x14ac:dyDescent="0.2">
      <c r="A371" s="3"/>
      <c r="B371" s="3"/>
      <c r="C371" s="3"/>
      <c r="D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  <c r="BK371" s="3"/>
      <c r="BL371" s="3"/>
      <c r="BM371" s="3"/>
      <c r="BN371" s="3"/>
      <c r="BO371" s="3"/>
    </row>
    <row r="372" spans="1:67" ht="16.5" customHeight="1" x14ac:dyDescent="0.2">
      <c r="A372" s="3"/>
      <c r="B372" s="3"/>
      <c r="C372" s="3"/>
      <c r="D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  <c r="BK372" s="3"/>
      <c r="BL372" s="3"/>
      <c r="BM372" s="3"/>
      <c r="BN372" s="3"/>
      <c r="BO372" s="3"/>
    </row>
    <row r="373" spans="1:67" ht="16.5" customHeight="1" x14ac:dyDescent="0.2">
      <c r="A373" s="3"/>
      <c r="B373" s="3"/>
      <c r="C373" s="3"/>
      <c r="D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  <c r="BK373" s="3"/>
      <c r="BL373" s="3"/>
      <c r="BM373" s="3"/>
      <c r="BN373" s="3"/>
      <c r="BO373" s="3"/>
    </row>
    <row r="374" spans="1:67" ht="16.5" customHeight="1" x14ac:dyDescent="0.2">
      <c r="A374" s="3"/>
      <c r="B374" s="3"/>
      <c r="C374" s="3"/>
      <c r="D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  <c r="BK374" s="3"/>
      <c r="BL374" s="3"/>
      <c r="BM374" s="3"/>
      <c r="BN374" s="3"/>
      <c r="BO374" s="3"/>
    </row>
    <row r="375" spans="1:67" ht="16.5" customHeight="1" x14ac:dyDescent="0.2">
      <c r="A375" s="3"/>
      <c r="B375" s="3"/>
      <c r="C375" s="3"/>
      <c r="D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  <c r="BK375" s="3"/>
      <c r="BL375" s="3"/>
      <c r="BM375" s="3"/>
      <c r="BN375" s="3"/>
      <c r="BO375" s="3"/>
    </row>
    <row r="376" spans="1:67" ht="16.5" customHeight="1" x14ac:dyDescent="0.2">
      <c r="A376" s="3"/>
      <c r="B376" s="3"/>
      <c r="C376" s="3"/>
      <c r="D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  <c r="BK376" s="3"/>
      <c r="BL376" s="3"/>
      <c r="BM376" s="3"/>
      <c r="BN376" s="3"/>
      <c r="BO376" s="3"/>
    </row>
    <row r="377" spans="1:67" ht="16.5" customHeight="1" x14ac:dyDescent="0.2">
      <c r="A377" s="3"/>
      <c r="B377" s="3"/>
      <c r="C377" s="3"/>
      <c r="D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  <c r="BK377" s="3"/>
      <c r="BL377" s="3"/>
      <c r="BM377" s="3"/>
      <c r="BN377" s="3"/>
      <c r="BO377" s="3"/>
    </row>
    <row r="378" spans="1:67" ht="16.5" customHeight="1" x14ac:dyDescent="0.2">
      <c r="A378" s="3"/>
      <c r="B378" s="3"/>
      <c r="C378" s="3"/>
      <c r="D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  <c r="BK378" s="3"/>
      <c r="BL378" s="3"/>
      <c r="BM378" s="3"/>
      <c r="BN378" s="3"/>
      <c r="BO378" s="3"/>
    </row>
    <row r="379" spans="1:67" ht="16.5" customHeight="1" x14ac:dyDescent="0.2">
      <c r="A379" s="3"/>
      <c r="B379" s="3"/>
      <c r="C379" s="3"/>
      <c r="D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  <c r="BK379" s="3"/>
      <c r="BL379" s="3"/>
      <c r="BM379" s="3"/>
      <c r="BN379" s="3"/>
      <c r="BO379" s="3"/>
    </row>
    <row r="380" spans="1:67" ht="16.5" customHeight="1" x14ac:dyDescent="0.2">
      <c r="A380" s="3"/>
      <c r="B380" s="3"/>
      <c r="C380" s="3"/>
      <c r="D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  <c r="BK380" s="3"/>
      <c r="BL380" s="3"/>
      <c r="BM380" s="3"/>
      <c r="BN380" s="3"/>
      <c r="BO380" s="3"/>
    </row>
    <row r="381" spans="1:67" ht="16.5" customHeight="1" x14ac:dyDescent="0.2">
      <c r="A381" s="3"/>
      <c r="B381" s="3"/>
      <c r="C381" s="3"/>
      <c r="D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  <c r="BK381" s="3"/>
      <c r="BL381" s="3"/>
      <c r="BM381" s="3"/>
      <c r="BN381" s="3"/>
      <c r="BO381" s="3"/>
    </row>
    <row r="382" spans="1:67" ht="16.5" customHeight="1" x14ac:dyDescent="0.2">
      <c r="A382" s="3"/>
      <c r="B382" s="3"/>
      <c r="C382" s="3"/>
      <c r="D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  <c r="BK382" s="3"/>
      <c r="BL382" s="3"/>
      <c r="BM382" s="3"/>
      <c r="BN382" s="3"/>
      <c r="BO382" s="3"/>
    </row>
    <row r="383" spans="1:67" ht="16.5" customHeight="1" x14ac:dyDescent="0.2">
      <c r="A383" s="3"/>
      <c r="B383" s="3"/>
      <c r="C383" s="3"/>
      <c r="D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  <c r="BK383" s="3"/>
      <c r="BL383" s="3"/>
      <c r="BM383" s="3"/>
      <c r="BN383" s="3"/>
      <c r="BO383" s="3"/>
    </row>
    <row r="384" spans="1:67" ht="16.5" customHeight="1" x14ac:dyDescent="0.2">
      <c r="A384" s="3"/>
      <c r="B384" s="3"/>
      <c r="C384" s="3"/>
      <c r="D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  <c r="BK384" s="3"/>
      <c r="BL384" s="3"/>
      <c r="BM384" s="3"/>
      <c r="BN384" s="3"/>
      <c r="BO384" s="3"/>
    </row>
    <row r="385" spans="1:67" ht="16.5" customHeight="1" x14ac:dyDescent="0.2">
      <c r="A385" s="3"/>
      <c r="B385" s="3"/>
      <c r="C385" s="3"/>
      <c r="D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  <c r="BK385" s="3"/>
      <c r="BL385" s="3"/>
      <c r="BM385" s="3"/>
      <c r="BN385" s="3"/>
      <c r="BO385" s="3"/>
    </row>
    <row r="386" spans="1:67" ht="16.5" customHeight="1" x14ac:dyDescent="0.2">
      <c r="A386" s="3"/>
      <c r="B386" s="3"/>
      <c r="C386" s="3"/>
      <c r="D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  <c r="BK386" s="3"/>
      <c r="BL386" s="3"/>
      <c r="BM386" s="3"/>
      <c r="BN386" s="3"/>
      <c r="BO386" s="3"/>
    </row>
    <row r="387" spans="1:67" ht="16.5" customHeight="1" x14ac:dyDescent="0.2">
      <c r="A387" s="3"/>
      <c r="B387" s="3"/>
      <c r="C387" s="3"/>
      <c r="D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  <c r="BK387" s="3"/>
      <c r="BL387" s="3"/>
      <c r="BM387" s="3"/>
      <c r="BN387" s="3"/>
      <c r="BO387" s="3"/>
    </row>
    <row r="388" spans="1:67" ht="16.5" customHeight="1" x14ac:dyDescent="0.2">
      <c r="A388" s="3"/>
      <c r="B388" s="3"/>
      <c r="C388" s="3"/>
      <c r="D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  <c r="BK388" s="3"/>
      <c r="BL388" s="3"/>
      <c r="BM388" s="3"/>
      <c r="BN388" s="3"/>
      <c r="BO388" s="3"/>
    </row>
    <row r="389" spans="1:67" ht="16.5" customHeight="1" x14ac:dyDescent="0.2">
      <c r="A389" s="3"/>
      <c r="B389" s="3"/>
      <c r="C389" s="3"/>
      <c r="D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  <c r="BK389" s="3"/>
      <c r="BL389" s="3"/>
      <c r="BM389" s="3"/>
      <c r="BN389" s="3"/>
      <c r="BO389" s="3"/>
    </row>
    <row r="390" spans="1:67" ht="16.5" customHeight="1" x14ac:dyDescent="0.2">
      <c r="A390" s="3"/>
      <c r="B390" s="3"/>
      <c r="C390" s="3"/>
      <c r="D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  <c r="BK390" s="3"/>
      <c r="BL390" s="3"/>
      <c r="BM390" s="3"/>
      <c r="BN390" s="3"/>
      <c r="BO390" s="3"/>
    </row>
    <row r="391" spans="1:67" ht="16.5" customHeight="1" x14ac:dyDescent="0.2">
      <c r="A391" s="3"/>
      <c r="B391" s="3"/>
      <c r="C391" s="3"/>
      <c r="D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  <c r="BK391" s="3"/>
      <c r="BL391" s="3"/>
      <c r="BM391" s="3"/>
      <c r="BN391" s="3"/>
      <c r="BO391" s="3"/>
    </row>
    <row r="392" spans="1:67" ht="16.5" customHeight="1" x14ac:dyDescent="0.2">
      <c r="A392" s="3"/>
      <c r="B392" s="3"/>
      <c r="C392" s="3"/>
      <c r="D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  <c r="BK392" s="3"/>
      <c r="BL392" s="3"/>
      <c r="BM392" s="3"/>
      <c r="BN392" s="3"/>
      <c r="BO392" s="3"/>
    </row>
    <row r="393" spans="1:67" ht="16.5" customHeight="1" x14ac:dyDescent="0.2">
      <c r="A393" s="3"/>
      <c r="B393" s="3"/>
      <c r="C393" s="3"/>
      <c r="D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  <c r="BK393" s="3"/>
      <c r="BL393" s="3"/>
      <c r="BM393" s="3"/>
      <c r="BN393" s="3"/>
      <c r="BO393" s="3"/>
    </row>
    <row r="394" spans="1:67" ht="16.5" customHeight="1" x14ac:dyDescent="0.2">
      <c r="A394" s="3"/>
      <c r="B394" s="3"/>
      <c r="C394" s="3"/>
      <c r="D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  <c r="BK394" s="3"/>
      <c r="BL394" s="3"/>
      <c r="BM394" s="3"/>
      <c r="BN394" s="3"/>
      <c r="BO394" s="3"/>
    </row>
    <row r="395" spans="1:67" ht="16.5" customHeight="1" x14ac:dyDescent="0.2">
      <c r="A395" s="3"/>
      <c r="B395" s="3"/>
      <c r="C395" s="3"/>
      <c r="D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  <c r="BK395" s="3"/>
      <c r="BL395" s="3"/>
      <c r="BM395" s="3"/>
      <c r="BN395" s="3"/>
      <c r="BO395" s="3"/>
    </row>
    <row r="396" spans="1:67" ht="16.5" customHeight="1" x14ac:dyDescent="0.2">
      <c r="A396" s="3"/>
      <c r="B396" s="3"/>
      <c r="C396" s="3"/>
      <c r="D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  <c r="BK396" s="3"/>
      <c r="BL396" s="3"/>
      <c r="BM396" s="3"/>
      <c r="BN396" s="3"/>
      <c r="BO396" s="3"/>
    </row>
    <row r="397" spans="1:67" ht="16.5" customHeight="1" x14ac:dyDescent="0.2">
      <c r="A397" s="3"/>
      <c r="B397" s="3"/>
      <c r="C397" s="3"/>
      <c r="D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  <c r="BK397" s="3"/>
      <c r="BL397" s="3"/>
      <c r="BM397" s="3"/>
      <c r="BN397" s="3"/>
      <c r="BO397" s="3"/>
    </row>
    <row r="398" spans="1:67" ht="16.5" customHeight="1" x14ac:dyDescent="0.2">
      <c r="A398" s="3"/>
      <c r="B398" s="3"/>
      <c r="C398" s="3"/>
      <c r="D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  <c r="BK398" s="3"/>
      <c r="BL398" s="3"/>
      <c r="BM398" s="3"/>
      <c r="BN398" s="3"/>
      <c r="BO398" s="3"/>
    </row>
    <row r="399" spans="1:67" ht="16.5" customHeight="1" x14ac:dyDescent="0.2">
      <c r="A399" s="3"/>
      <c r="B399" s="3"/>
      <c r="C399" s="3"/>
      <c r="D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  <c r="BK399" s="3"/>
      <c r="BL399" s="3"/>
      <c r="BM399" s="3"/>
      <c r="BN399" s="3"/>
      <c r="BO399" s="3"/>
    </row>
    <row r="400" spans="1:67" ht="16.5" customHeight="1" x14ac:dyDescent="0.2">
      <c r="A400" s="3"/>
      <c r="B400" s="3"/>
      <c r="C400" s="3"/>
      <c r="D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  <c r="BK400" s="3"/>
      <c r="BL400" s="3"/>
      <c r="BM400" s="3"/>
      <c r="BN400" s="3"/>
      <c r="BO400" s="3"/>
    </row>
    <row r="401" spans="1:67" ht="16.5" customHeight="1" x14ac:dyDescent="0.2">
      <c r="A401" s="3"/>
      <c r="B401" s="3"/>
      <c r="C401" s="3"/>
      <c r="D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  <c r="BK401" s="3"/>
      <c r="BL401" s="3"/>
      <c r="BM401" s="3"/>
      <c r="BN401" s="3"/>
      <c r="BO401" s="3"/>
    </row>
    <row r="402" spans="1:67" ht="16.5" customHeight="1" x14ac:dyDescent="0.2">
      <c r="A402" s="3"/>
      <c r="B402" s="3"/>
      <c r="C402" s="3"/>
      <c r="D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  <c r="BK402" s="3"/>
      <c r="BL402" s="3"/>
      <c r="BM402" s="3"/>
      <c r="BN402" s="3"/>
      <c r="BO402" s="3"/>
    </row>
    <row r="403" spans="1:67" ht="16.5" customHeight="1" x14ac:dyDescent="0.2">
      <c r="A403" s="3"/>
      <c r="B403" s="3"/>
      <c r="C403" s="3"/>
      <c r="D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  <c r="BK403" s="3"/>
      <c r="BL403" s="3"/>
      <c r="BM403" s="3"/>
      <c r="BN403" s="3"/>
      <c r="BO403" s="3"/>
    </row>
    <row r="404" spans="1:67" ht="16.5" customHeight="1" x14ac:dyDescent="0.2">
      <c r="A404" s="3"/>
      <c r="B404" s="3"/>
      <c r="C404" s="3"/>
      <c r="D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  <c r="BK404" s="3"/>
      <c r="BL404" s="3"/>
      <c r="BM404" s="3"/>
      <c r="BN404" s="3"/>
      <c r="BO404" s="3"/>
    </row>
    <row r="405" spans="1:67" ht="16.5" customHeight="1" x14ac:dyDescent="0.2">
      <c r="A405" s="3"/>
      <c r="B405" s="3"/>
      <c r="C405" s="3"/>
      <c r="D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  <c r="BK405" s="3"/>
      <c r="BL405" s="3"/>
      <c r="BM405" s="3"/>
      <c r="BN405" s="3"/>
      <c r="BO405" s="3"/>
    </row>
    <row r="406" spans="1:67" ht="16.5" customHeight="1" x14ac:dyDescent="0.2">
      <c r="A406" s="3"/>
      <c r="B406" s="3"/>
      <c r="C406" s="3"/>
      <c r="D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  <c r="BK406" s="3"/>
      <c r="BL406" s="3"/>
      <c r="BM406" s="3"/>
      <c r="BN406" s="3"/>
      <c r="BO406" s="3"/>
    </row>
    <row r="407" spans="1:67" ht="16.5" customHeight="1" x14ac:dyDescent="0.2">
      <c r="A407" s="3"/>
      <c r="B407" s="3"/>
      <c r="C407" s="3"/>
      <c r="D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  <c r="BK407" s="3"/>
      <c r="BL407" s="3"/>
      <c r="BM407" s="3"/>
      <c r="BN407" s="3"/>
      <c r="BO407" s="3"/>
    </row>
    <row r="408" spans="1:67" ht="16.5" customHeight="1" x14ac:dyDescent="0.2">
      <c r="A408" s="3"/>
      <c r="B408" s="3"/>
      <c r="C408" s="3"/>
      <c r="D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  <c r="BK408" s="3"/>
      <c r="BL408" s="3"/>
      <c r="BM408" s="3"/>
      <c r="BN408" s="3"/>
      <c r="BO408" s="3"/>
    </row>
    <row r="409" spans="1:67" ht="16.5" customHeight="1" x14ac:dyDescent="0.2">
      <c r="A409" s="3"/>
      <c r="B409" s="3"/>
      <c r="C409" s="3"/>
      <c r="D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  <c r="BK409" s="3"/>
      <c r="BL409" s="3"/>
      <c r="BM409" s="3"/>
      <c r="BN409" s="3"/>
      <c r="BO409" s="3"/>
    </row>
    <row r="410" spans="1:67" ht="16.5" customHeight="1" x14ac:dyDescent="0.2">
      <c r="A410" s="3"/>
      <c r="B410" s="3"/>
      <c r="C410" s="3"/>
      <c r="D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  <c r="BK410" s="3"/>
      <c r="BL410" s="3"/>
      <c r="BM410" s="3"/>
      <c r="BN410" s="3"/>
      <c r="BO410" s="3"/>
    </row>
    <row r="411" spans="1:67" ht="16.5" customHeight="1" x14ac:dyDescent="0.2">
      <c r="A411" s="3"/>
      <c r="B411" s="3"/>
      <c r="C411" s="3"/>
      <c r="D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  <c r="BK411" s="3"/>
      <c r="BL411" s="3"/>
      <c r="BM411" s="3"/>
      <c r="BN411" s="3"/>
      <c r="BO411" s="3"/>
    </row>
    <row r="412" spans="1:67" ht="16.5" customHeight="1" x14ac:dyDescent="0.2">
      <c r="A412" s="3"/>
      <c r="B412" s="3"/>
      <c r="C412" s="3"/>
      <c r="D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  <c r="BK412" s="3"/>
      <c r="BL412" s="3"/>
      <c r="BM412" s="3"/>
      <c r="BN412" s="3"/>
      <c r="BO412" s="3"/>
    </row>
    <row r="413" spans="1:67" ht="16.5" customHeight="1" x14ac:dyDescent="0.2">
      <c r="A413" s="3"/>
      <c r="B413" s="3"/>
      <c r="C413" s="3"/>
      <c r="D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  <c r="BK413" s="3"/>
      <c r="BL413" s="3"/>
      <c r="BM413" s="3"/>
      <c r="BN413" s="3"/>
      <c r="BO413" s="3"/>
    </row>
    <row r="414" spans="1:67" ht="16.5" customHeight="1" x14ac:dyDescent="0.2">
      <c r="A414" s="3"/>
      <c r="B414" s="3"/>
      <c r="C414" s="3"/>
      <c r="D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  <c r="BK414" s="3"/>
      <c r="BL414" s="3"/>
      <c r="BM414" s="3"/>
      <c r="BN414" s="3"/>
      <c r="BO414" s="3"/>
    </row>
    <row r="415" spans="1:67" ht="16.5" customHeight="1" x14ac:dyDescent="0.2">
      <c r="A415" s="3"/>
      <c r="B415" s="3"/>
      <c r="C415" s="3"/>
      <c r="D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  <c r="BK415" s="3"/>
      <c r="BL415" s="3"/>
      <c r="BM415" s="3"/>
      <c r="BN415" s="3"/>
      <c r="BO415" s="3"/>
    </row>
    <row r="416" spans="1:67" ht="16.5" customHeight="1" x14ac:dyDescent="0.2">
      <c r="A416" s="3"/>
      <c r="B416" s="3"/>
      <c r="C416" s="3"/>
      <c r="D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  <c r="BK416" s="3"/>
      <c r="BL416" s="3"/>
      <c r="BM416" s="3"/>
      <c r="BN416" s="3"/>
      <c r="BO416" s="3"/>
    </row>
    <row r="417" spans="1:67" ht="16.5" customHeight="1" x14ac:dyDescent="0.2">
      <c r="A417" s="3"/>
      <c r="B417" s="3"/>
      <c r="C417" s="3"/>
      <c r="D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  <c r="BK417" s="3"/>
      <c r="BL417" s="3"/>
      <c r="BM417" s="3"/>
      <c r="BN417" s="3"/>
      <c r="BO417" s="3"/>
    </row>
    <row r="418" spans="1:67" ht="16.5" customHeight="1" x14ac:dyDescent="0.2">
      <c r="A418" s="3"/>
      <c r="B418" s="3"/>
      <c r="C418" s="3"/>
      <c r="D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  <c r="BK418" s="3"/>
      <c r="BL418" s="3"/>
      <c r="BM418" s="3"/>
      <c r="BN418" s="3"/>
      <c r="BO418" s="3"/>
    </row>
    <row r="419" spans="1:67" ht="16.5" customHeight="1" x14ac:dyDescent="0.2">
      <c r="A419" s="3"/>
      <c r="B419" s="3"/>
      <c r="C419" s="3"/>
      <c r="D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  <c r="BK419" s="3"/>
      <c r="BL419" s="3"/>
      <c r="BM419" s="3"/>
      <c r="BN419" s="3"/>
      <c r="BO419" s="3"/>
    </row>
    <row r="420" spans="1:67" ht="16.5" customHeight="1" x14ac:dyDescent="0.2">
      <c r="A420" s="3"/>
      <c r="B420" s="3"/>
      <c r="C420" s="3"/>
      <c r="D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  <c r="BK420" s="3"/>
      <c r="BL420" s="3"/>
      <c r="BM420" s="3"/>
      <c r="BN420" s="3"/>
      <c r="BO420" s="3"/>
    </row>
    <row r="421" spans="1:67" ht="16.5" customHeight="1" x14ac:dyDescent="0.2">
      <c r="A421" s="3"/>
      <c r="B421" s="3"/>
      <c r="C421" s="3"/>
      <c r="D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  <c r="BK421" s="3"/>
      <c r="BL421" s="3"/>
      <c r="BM421" s="3"/>
      <c r="BN421" s="3"/>
      <c r="BO421" s="3"/>
    </row>
    <row r="422" spans="1:67" ht="16.5" customHeight="1" x14ac:dyDescent="0.2">
      <c r="A422" s="3"/>
      <c r="B422" s="3"/>
      <c r="C422" s="3"/>
      <c r="D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  <c r="BK422" s="3"/>
      <c r="BL422" s="3"/>
      <c r="BM422" s="3"/>
      <c r="BN422" s="3"/>
      <c r="BO422" s="3"/>
    </row>
    <row r="423" spans="1:67" ht="16.5" customHeight="1" x14ac:dyDescent="0.2">
      <c r="A423" s="3"/>
      <c r="B423" s="3"/>
      <c r="C423" s="3"/>
      <c r="D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  <c r="BK423" s="3"/>
      <c r="BL423" s="3"/>
      <c r="BM423" s="3"/>
      <c r="BN423" s="3"/>
      <c r="BO423" s="3"/>
    </row>
    <row r="424" spans="1:67" ht="16.5" customHeight="1" x14ac:dyDescent="0.2">
      <c r="A424" s="3"/>
      <c r="B424" s="3"/>
      <c r="C424" s="3"/>
      <c r="D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  <c r="BK424" s="3"/>
      <c r="BL424" s="3"/>
      <c r="BM424" s="3"/>
      <c r="BN424" s="3"/>
      <c r="BO424" s="3"/>
    </row>
    <row r="425" spans="1:67" ht="16.5" customHeight="1" x14ac:dyDescent="0.2">
      <c r="A425" s="3"/>
      <c r="B425" s="3"/>
      <c r="C425" s="3"/>
      <c r="D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  <c r="BK425" s="3"/>
      <c r="BL425" s="3"/>
      <c r="BM425" s="3"/>
      <c r="BN425" s="3"/>
      <c r="BO425" s="3"/>
    </row>
    <row r="426" spans="1:67" ht="16.5" customHeight="1" x14ac:dyDescent="0.2">
      <c r="A426" s="3"/>
      <c r="B426" s="3"/>
      <c r="C426" s="3"/>
      <c r="D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  <c r="BK426" s="3"/>
      <c r="BL426" s="3"/>
      <c r="BM426" s="3"/>
      <c r="BN426" s="3"/>
      <c r="BO426" s="3"/>
    </row>
    <row r="427" spans="1:67" ht="16.5" customHeight="1" x14ac:dyDescent="0.2">
      <c r="A427" s="3"/>
      <c r="B427" s="3"/>
      <c r="C427" s="3"/>
      <c r="D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  <c r="BK427" s="3"/>
      <c r="BL427" s="3"/>
      <c r="BM427" s="3"/>
      <c r="BN427" s="3"/>
      <c r="BO427" s="3"/>
    </row>
    <row r="428" spans="1:67" ht="16.5" customHeight="1" x14ac:dyDescent="0.2">
      <c r="A428" s="3"/>
      <c r="B428" s="3"/>
      <c r="C428" s="3"/>
      <c r="D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  <c r="BK428" s="3"/>
      <c r="BL428" s="3"/>
      <c r="BM428" s="3"/>
      <c r="BN428" s="3"/>
      <c r="BO428" s="3"/>
    </row>
    <row r="429" spans="1:67" ht="16.5" customHeight="1" x14ac:dyDescent="0.2">
      <c r="A429" s="3"/>
      <c r="B429" s="3"/>
      <c r="C429" s="3"/>
      <c r="D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  <c r="BK429" s="3"/>
      <c r="BL429" s="3"/>
      <c r="BM429" s="3"/>
      <c r="BN429" s="3"/>
      <c r="BO429" s="3"/>
    </row>
    <row r="430" spans="1:67" ht="16.5" customHeight="1" x14ac:dyDescent="0.2">
      <c r="A430" s="3"/>
      <c r="B430" s="3"/>
      <c r="C430" s="3"/>
      <c r="D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  <c r="BK430" s="3"/>
      <c r="BL430" s="3"/>
      <c r="BM430" s="3"/>
      <c r="BN430" s="3"/>
      <c r="BO430" s="3"/>
    </row>
    <row r="431" spans="1:67" ht="16.5" customHeight="1" x14ac:dyDescent="0.2">
      <c r="A431" s="3"/>
      <c r="B431" s="3"/>
      <c r="C431" s="3"/>
      <c r="D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  <c r="BK431" s="3"/>
      <c r="BL431" s="3"/>
      <c r="BM431" s="3"/>
      <c r="BN431" s="3"/>
      <c r="BO431" s="3"/>
    </row>
    <row r="432" spans="1:67" ht="16.5" customHeight="1" x14ac:dyDescent="0.2">
      <c r="A432" s="3"/>
      <c r="B432" s="3"/>
      <c r="C432" s="3"/>
      <c r="D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  <c r="BK432" s="3"/>
      <c r="BL432" s="3"/>
      <c r="BM432" s="3"/>
      <c r="BN432" s="3"/>
      <c r="BO432" s="3"/>
    </row>
    <row r="433" spans="1:67" ht="16.5" customHeight="1" x14ac:dyDescent="0.2">
      <c r="A433" s="3"/>
      <c r="B433" s="3"/>
      <c r="C433" s="3"/>
      <c r="D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  <c r="BK433" s="3"/>
      <c r="BL433" s="3"/>
      <c r="BM433" s="3"/>
      <c r="BN433" s="3"/>
      <c r="BO433" s="3"/>
    </row>
    <row r="434" spans="1:67" ht="16.5" customHeight="1" x14ac:dyDescent="0.2">
      <c r="A434" s="3"/>
      <c r="B434" s="3"/>
      <c r="C434" s="3"/>
      <c r="D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  <c r="BK434" s="3"/>
      <c r="BL434" s="3"/>
      <c r="BM434" s="3"/>
      <c r="BN434" s="3"/>
      <c r="BO434" s="3"/>
    </row>
    <row r="435" spans="1:67" ht="16.5" customHeight="1" x14ac:dyDescent="0.2">
      <c r="A435" s="3"/>
      <c r="B435" s="3"/>
      <c r="C435" s="3"/>
      <c r="D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  <c r="BK435" s="3"/>
      <c r="BL435" s="3"/>
      <c r="BM435" s="3"/>
      <c r="BN435" s="3"/>
      <c r="BO435" s="3"/>
    </row>
    <row r="436" spans="1:67" ht="16.5" customHeight="1" x14ac:dyDescent="0.2">
      <c r="A436" s="3"/>
      <c r="B436" s="3"/>
      <c r="C436" s="3"/>
      <c r="D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  <c r="BK436" s="3"/>
      <c r="BL436" s="3"/>
      <c r="BM436" s="3"/>
      <c r="BN436" s="3"/>
      <c r="BO436" s="3"/>
    </row>
    <row r="437" spans="1:67" ht="16.5" customHeight="1" x14ac:dyDescent="0.2">
      <c r="A437" s="3"/>
      <c r="B437" s="3"/>
      <c r="C437" s="3"/>
      <c r="D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  <c r="BK437" s="3"/>
      <c r="BL437" s="3"/>
      <c r="BM437" s="3"/>
      <c r="BN437" s="3"/>
      <c r="BO437" s="3"/>
    </row>
    <row r="438" spans="1:67" ht="16.5" customHeight="1" x14ac:dyDescent="0.2">
      <c r="A438" s="3"/>
      <c r="B438" s="3"/>
      <c r="C438" s="3"/>
      <c r="D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  <c r="BK438" s="3"/>
      <c r="BL438" s="3"/>
      <c r="BM438" s="3"/>
      <c r="BN438" s="3"/>
      <c r="BO438" s="3"/>
    </row>
    <row r="439" spans="1:67" ht="16.5" customHeight="1" x14ac:dyDescent="0.2">
      <c r="A439" s="3"/>
      <c r="B439" s="3"/>
      <c r="C439" s="3"/>
      <c r="D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  <c r="BK439" s="3"/>
      <c r="BL439" s="3"/>
      <c r="BM439" s="3"/>
      <c r="BN439" s="3"/>
      <c r="BO439" s="3"/>
    </row>
    <row r="440" spans="1:67" ht="16.5" customHeight="1" x14ac:dyDescent="0.2">
      <c r="A440" s="3"/>
      <c r="B440" s="3"/>
      <c r="C440" s="3"/>
      <c r="D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  <c r="BK440" s="3"/>
      <c r="BL440" s="3"/>
      <c r="BM440" s="3"/>
      <c r="BN440" s="3"/>
      <c r="BO440" s="3"/>
    </row>
    <row r="441" spans="1:67" ht="16.5" customHeight="1" x14ac:dyDescent="0.2">
      <c r="A441" s="3"/>
      <c r="B441" s="3"/>
      <c r="C441" s="3"/>
      <c r="D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  <c r="BK441" s="3"/>
      <c r="BL441" s="3"/>
      <c r="BM441" s="3"/>
      <c r="BN441" s="3"/>
      <c r="BO441" s="3"/>
    </row>
    <row r="442" spans="1:67" ht="16.5" customHeight="1" x14ac:dyDescent="0.2">
      <c r="A442" s="3"/>
      <c r="B442" s="3"/>
      <c r="C442" s="3"/>
      <c r="D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  <c r="BK442" s="3"/>
      <c r="BL442" s="3"/>
      <c r="BM442" s="3"/>
      <c r="BN442" s="3"/>
      <c r="BO442" s="3"/>
    </row>
    <row r="443" spans="1:67" ht="16.5" customHeight="1" x14ac:dyDescent="0.2">
      <c r="A443" s="3"/>
      <c r="B443" s="3"/>
      <c r="C443" s="3"/>
      <c r="D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  <c r="BK443" s="3"/>
      <c r="BL443" s="3"/>
      <c r="BM443" s="3"/>
      <c r="BN443" s="3"/>
      <c r="BO443" s="3"/>
    </row>
    <row r="444" spans="1:67" ht="16.5" customHeight="1" x14ac:dyDescent="0.2">
      <c r="A444" s="3"/>
      <c r="B444" s="3"/>
      <c r="C444" s="3"/>
      <c r="D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  <c r="BK444" s="3"/>
      <c r="BL444" s="3"/>
      <c r="BM444" s="3"/>
      <c r="BN444" s="3"/>
      <c r="BO444" s="3"/>
    </row>
    <row r="445" spans="1:67" ht="16.5" customHeight="1" x14ac:dyDescent="0.2">
      <c r="A445" s="3"/>
      <c r="B445" s="3"/>
      <c r="C445" s="3"/>
      <c r="D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  <c r="BK445" s="3"/>
      <c r="BL445" s="3"/>
      <c r="BM445" s="3"/>
      <c r="BN445" s="3"/>
      <c r="BO445" s="3"/>
    </row>
    <row r="446" spans="1:67" ht="16.5" customHeight="1" x14ac:dyDescent="0.2">
      <c r="A446" s="3"/>
      <c r="B446" s="3"/>
      <c r="C446" s="3"/>
      <c r="D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  <c r="BK446" s="3"/>
      <c r="BL446" s="3"/>
      <c r="BM446" s="3"/>
      <c r="BN446" s="3"/>
      <c r="BO446" s="3"/>
    </row>
    <row r="447" spans="1:67" ht="16.5" customHeight="1" x14ac:dyDescent="0.2">
      <c r="A447" s="3"/>
      <c r="B447" s="3"/>
      <c r="C447" s="3"/>
      <c r="D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  <c r="BK447" s="3"/>
      <c r="BL447" s="3"/>
      <c r="BM447" s="3"/>
      <c r="BN447" s="3"/>
      <c r="BO447" s="3"/>
    </row>
    <row r="448" spans="1:67" ht="16.5" customHeight="1" x14ac:dyDescent="0.2">
      <c r="A448" s="3"/>
      <c r="B448" s="3"/>
      <c r="C448" s="3"/>
      <c r="D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  <c r="BK448" s="3"/>
      <c r="BL448" s="3"/>
      <c r="BM448" s="3"/>
      <c r="BN448" s="3"/>
      <c r="BO448" s="3"/>
    </row>
    <row r="449" spans="1:67" ht="16.5" customHeight="1" x14ac:dyDescent="0.2">
      <c r="A449" s="3"/>
      <c r="B449" s="3"/>
      <c r="C449" s="3"/>
      <c r="D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  <c r="BK449" s="3"/>
      <c r="BL449" s="3"/>
      <c r="BM449" s="3"/>
      <c r="BN449" s="3"/>
      <c r="BO449" s="3"/>
    </row>
    <row r="450" spans="1:67" ht="16.5" customHeight="1" x14ac:dyDescent="0.2">
      <c r="A450" s="3"/>
      <c r="B450" s="3"/>
      <c r="C450" s="3"/>
      <c r="D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  <c r="BK450" s="3"/>
      <c r="BL450" s="3"/>
      <c r="BM450" s="3"/>
      <c r="BN450" s="3"/>
      <c r="BO450" s="3"/>
    </row>
    <row r="451" spans="1:67" ht="16.5" customHeight="1" x14ac:dyDescent="0.2">
      <c r="A451" s="3"/>
      <c r="B451" s="3"/>
      <c r="C451" s="3"/>
      <c r="D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  <c r="BK451" s="3"/>
      <c r="BL451" s="3"/>
      <c r="BM451" s="3"/>
      <c r="BN451" s="3"/>
      <c r="BO451" s="3"/>
    </row>
    <row r="452" spans="1:67" ht="16.5" customHeight="1" x14ac:dyDescent="0.2">
      <c r="A452" s="3"/>
      <c r="B452" s="3"/>
      <c r="C452" s="3"/>
      <c r="D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  <c r="BK452" s="3"/>
      <c r="BL452" s="3"/>
      <c r="BM452" s="3"/>
      <c r="BN452" s="3"/>
      <c r="BO452" s="3"/>
    </row>
    <row r="453" spans="1:67" ht="16.5" customHeight="1" x14ac:dyDescent="0.2">
      <c r="A453" s="3"/>
      <c r="B453" s="3"/>
      <c r="C453" s="3"/>
      <c r="D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  <c r="BK453" s="3"/>
      <c r="BL453" s="3"/>
      <c r="BM453" s="3"/>
      <c r="BN453" s="3"/>
      <c r="BO453" s="3"/>
    </row>
    <row r="454" spans="1:67" ht="16.5" customHeight="1" x14ac:dyDescent="0.2">
      <c r="A454" s="3"/>
      <c r="B454" s="3"/>
      <c r="C454" s="3"/>
      <c r="D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  <c r="BK454" s="3"/>
      <c r="BL454" s="3"/>
      <c r="BM454" s="3"/>
      <c r="BN454" s="3"/>
      <c r="BO454" s="3"/>
    </row>
    <row r="455" spans="1:67" ht="16.5" customHeight="1" x14ac:dyDescent="0.2">
      <c r="A455" s="3"/>
      <c r="B455" s="3"/>
      <c r="C455" s="3"/>
      <c r="D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  <c r="BK455" s="3"/>
      <c r="BL455" s="3"/>
      <c r="BM455" s="3"/>
      <c r="BN455" s="3"/>
      <c r="BO455" s="3"/>
    </row>
    <row r="456" spans="1:67" ht="16.5" customHeight="1" x14ac:dyDescent="0.2">
      <c r="A456" s="3"/>
      <c r="B456" s="3"/>
      <c r="C456" s="3"/>
      <c r="D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  <c r="BK456" s="3"/>
      <c r="BL456" s="3"/>
      <c r="BM456" s="3"/>
      <c r="BN456" s="3"/>
      <c r="BO456" s="3"/>
    </row>
    <row r="457" spans="1:67" ht="16.5" customHeight="1" x14ac:dyDescent="0.2">
      <c r="A457" s="3"/>
      <c r="B457" s="3"/>
      <c r="C457" s="3"/>
      <c r="D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  <c r="BK457" s="3"/>
      <c r="BL457" s="3"/>
      <c r="BM457" s="3"/>
      <c r="BN457" s="3"/>
      <c r="BO457" s="3"/>
    </row>
    <row r="458" spans="1:67" ht="16.5" customHeight="1" x14ac:dyDescent="0.2">
      <c r="A458" s="3"/>
      <c r="B458" s="3"/>
      <c r="C458" s="3"/>
      <c r="D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  <c r="BK458" s="3"/>
      <c r="BL458" s="3"/>
      <c r="BM458" s="3"/>
      <c r="BN458" s="3"/>
      <c r="BO458" s="3"/>
    </row>
    <row r="459" spans="1:67" ht="16.5" customHeight="1" x14ac:dyDescent="0.2">
      <c r="A459" s="3"/>
      <c r="B459" s="3"/>
      <c r="C459" s="3"/>
      <c r="D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  <c r="BK459" s="3"/>
      <c r="BL459" s="3"/>
      <c r="BM459" s="3"/>
      <c r="BN459" s="3"/>
      <c r="BO459" s="3"/>
    </row>
    <row r="460" spans="1:67" ht="16.5" customHeight="1" x14ac:dyDescent="0.2">
      <c r="A460" s="3"/>
      <c r="B460" s="3"/>
      <c r="C460" s="3"/>
      <c r="D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  <c r="BK460" s="3"/>
      <c r="BL460" s="3"/>
      <c r="BM460" s="3"/>
      <c r="BN460" s="3"/>
      <c r="BO460" s="3"/>
    </row>
    <row r="461" spans="1:67" ht="16.5" customHeight="1" x14ac:dyDescent="0.2">
      <c r="A461" s="3"/>
      <c r="B461" s="3"/>
      <c r="C461" s="3"/>
      <c r="D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  <c r="BK461" s="3"/>
      <c r="BL461" s="3"/>
      <c r="BM461" s="3"/>
      <c r="BN461" s="3"/>
      <c r="BO461" s="3"/>
    </row>
    <row r="462" spans="1:67" ht="16.5" customHeight="1" x14ac:dyDescent="0.2">
      <c r="A462" s="3"/>
      <c r="B462" s="3"/>
      <c r="C462" s="3"/>
      <c r="D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  <c r="BK462" s="3"/>
      <c r="BL462" s="3"/>
      <c r="BM462" s="3"/>
      <c r="BN462" s="3"/>
      <c r="BO462" s="3"/>
    </row>
    <row r="463" spans="1:67" ht="16.5" customHeight="1" x14ac:dyDescent="0.2">
      <c r="A463" s="3"/>
      <c r="B463" s="3"/>
      <c r="C463" s="3"/>
      <c r="D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  <c r="BK463" s="3"/>
      <c r="BL463" s="3"/>
      <c r="BM463" s="3"/>
      <c r="BN463" s="3"/>
      <c r="BO463" s="3"/>
    </row>
    <row r="464" spans="1:67" ht="16.5" customHeight="1" x14ac:dyDescent="0.2">
      <c r="A464" s="3"/>
      <c r="B464" s="3"/>
      <c r="C464" s="3"/>
      <c r="D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  <c r="BK464" s="3"/>
      <c r="BL464" s="3"/>
      <c r="BM464" s="3"/>
      <c r="BN464" s="3"/>
      <c r="BO464" s="3"/>
    </row>
    <row r="465" spans="1:67" ht="16.5" customHeight="1" x14ac:dyDescent="0.2">
      <c r="A465" s="3"/>
      <c r="B465" s="3"/>
      <c r="C465" s="3"/>
      <c r="D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  <c r="BK465" s="3"/>
      <c r="BL465" s="3"/>
      <c r="BM465" s="3"/>
      <c r="BN465" s="3"/>
      <c r="BO465" s="3"/>
    </row>
    <row r="466" spans="1:67" ht="16.5" customHeight="1" x14ac:dyDescent="0.2">
      <c r="A466" s="3"/>
      <c r="B466" s="3"/>
      <c r="C466" s="3"/>
      <c r="D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  <c r="BK466" s="3"/>
      <c r="BL466" s="3"/>
      <c r="BM466" s="3"/>
      <c r="BN466" s="3"/>
      <c r="BO466" s="3"/>
    </row>
    <row r="467" spans="1:67" ht="16.5" customHeight="1" x14ac:dyDescent="0.2">
      <c r="A467" s="3"/>
      <c r="B467" s="3"/>
      <c r="C467" s="3"/>
      <c r="D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  <c r="BK467" s="3"/>
      <c r="BL467" s="3"/>
      <c r="BM467" s="3"/>
      <c r="BN467" s="3"/>
      <c r="BO467" s="3"/>
    </row>
    <row r="468" spans="1:67" ht="16.5" customHeight="1" x14ac:dyDescent="0.2">
      <c r="A468" s="3"/>
      <c r="B468" s="3"/>
      <c r="C468" s="3"/>
      <c r="D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  <c r="BK468" s="3"/>
      <c r="BL468" s="3"/>
      <c r="BM468" s="3"/>
      <c r="BN468" s="3"/>
      <c r="BO468" s="3"/>
    </row>
    <row r="469" spans="1:67" ht="16.5" customHeight="1" x14ac:dyDescent="0.2">
      <c r="A469" s="3"/>
      <c r="B469" s="3"/>
      <c r="C469" s="3"/>
      <c r="D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  <c r="BK469" s="3"/>
      <c r="BL469" s="3"/>
      <c r="BM469" s="3"/>
      <c r="BN469" s="3"/>
      <c r="BO469" s="3"/>
    </row>
    <row r="470" spans="1:67" ht="16.5" customHeight="1" x14ac:dyDescent="0.2">
      <c r="A470" s="3"/>
      <c r="B470" s="3"/>
      <c r="C470" s="3"/>
      <c r="D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  <c r="BK470" s="3"/>
      <c r="BL470" s="3"/>
      <c r="BM470" s="3"/>
      <c r="BN470" s="3"/>
      <c r="BO470" s="3"/>
    </row>
    <row r="471" spans="1:67" ht="16.5" customHeight="1" x14ac:dyDescent="0.2">
      <c r="A471" s="3"/>
      <c r="B471" s="3"/>
      <c r="C471" s="3"/>
      <c r="D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  <c r="BK471" s="3"/>
      <c r="BL471" s="3"/>
      <c r="BM471" s="3"/>
      <c r="BN471" s="3"/>
      <c r="BO471" s="3"/>
    </row>
    <row r="472" spans="1:67" ht="16.5" customHeight="1" x14ac:dyDescent="0.2">
      <c r="A472" s="3"/>
      <c r="B472" s="3"/>
      <c r="C472" s="3"/>
      <c r="D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  <c r="BK472" s="3"/>
      <c r="BL472" s="3"/>
      <c r="BM472" s="3"/>
      <c r="BN472" s="3"/>
      <c r="BO472" s="3"/>
    </row>
    <row r="473" spans="1:67" ht="16.5" customHeight="1" x14ac:dyDescent="0.2">
      <c r="A473" s="3"/>
      <c r="B473" s="3"/>
      <c r="C473" s="3"/>
      <c r="D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  <c r="BK473" s="3"/>
      <c r="BL473" s="3"/>
      <c r="BM473" s="3"/>
      <c r="BN473" s="3"/>
      <c r="BO473" s="3"/>
    </row>
    <row r="474" spans="1:67" ht="16.5" customHeight="1" x14ac:dyDescent="0.2">
      <c r="A474" s="3"/>
      <c r="B474" s="3"/>
      <c r="C474" s="3"/>
      <c r="D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  <c r="BK474" s="3"/>
      <c r="BL474" s="3"/>
      <c r="BM474" s="3"/>
      <c r="BN474" s="3"/>
      <c r="BO474" s="3"/>
    </row>
    <row r="475" spans="1:67" ht="16.5" customHeight="1" x14ac:dyDescent="0.2">
      <c r="A475" s="3"/>
      <c r="B475" s="3"/>
      <c r="C475" s="3"/>
      <c r="D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  <c r="BK475" s="3"/>
      <c r="BL475" s="3"/>
      <c r="BM475" s="3"/>
      <c r="BN475" s="3"/>
      <c r="BO475" s="3"/>
    </row>
    <row r="476" spans="1:67" ht="16.5" customHeight="1" x14ac:dyDescent="0.2">
      <c r="A476" s="3"/>
      <c r="B476" s="3"/>
      <c r="C476" s="3"/>
      <c r="D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  <c r="BK476" s="3"/>
      <c r="BL476" s="3"/>
      <c r="BM476" s="3"/>
      <c r="BN476" s="3"/>
      <c r="BO476" s="3"/>
    </row>
    <row r="477" spans="1:67" ht="16.5" customHeight="1" x14ac:dyDescent="0.2">
      <c r="A477" s="3"/>
      <c r="B477" s="3"/>
      <c r="C477" s="3"/>
      <c r="D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  <c r="BK477" s="3"/>
      <c r="BL477" s="3"/>
      <c r="BM477" s="3"/>
      <c r="BN477" s="3"/>
      <c r="BO477" s="3"/>
    </row>
    <row r="478" spans="1:67" ht="16.5" customHeight="1" x14ac:dyDescent="0.2">
      <c r="A478" s="3"/>
      <c r="B478" s="3"/>
      <c r="C478" s="3"/>
      <c r="D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  <c r="BK478" s="3"/>
      <c r="BL478" s="3"/>
      <c r="BM478" s="3"/>
      <c r="BN478" s="3"/>
      <c r="BO478" s="3"/>
    </row>
    <row r="479" spans="1:67" ht="16.5" customHeight="1" x14ac:dyDescent="0.2">
      <c r="A479" s="3"/>
      <c r="B479" s="3"/>
      <c r="C479" s="3"/>
      <c r="D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  <c r="BK479" s="3"/>
      <c r="BL479" s="3"/>
      <c r="BM479" s="3"/>
      <c r="BN479" s="3"/>
      <c r="BO479" s="3"/>
    </row>
    <row r="480" spans="1:67" ht="16.5" customHeight="1" x14ac:dyDescent="0.2">
      <c r="A480" s="3"/>
      <c r="B480" s="3"/>
      <c r="C480" s="3"/>
      <c r="D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  <c r="BK480" s="3"/>
      <c r="BL480" s="3"/>
      <c r="BM480" s="3"/>
      <c r="BN480" s="3"/>
      <c r="BO480" s="3"/>
    </row>
    <row r="481" spans="1:67" ht="16.5" customHeight="1" x14ac:dyDescent="0.2">
      <c r="A481" s="3"/>
      <c r="B481" s="3"/>
      <c r="C481" s="3"/>
      <c r="D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  <c r="BK481" s="3"/>
      <c r="BL481" s="3"/>
      <c r="BM481" s="3"/>
      <c r="BN481" s="3"/>
      <c r="BO481" s="3"/>
    </row>
    <row r="482" spans="1:67" ht="16.5" customHeight="1" x14ac:dyDescent="0.2">
      <c r="A482" s="3"/>
      <c r="B482" s="3"/>
      <c r="C482" s="3"/>
      <c r="D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  <c r="BK482" s="3"/>
      <c r="BL482" s="3"/>
      <c r="BM482" s="3"/>
      <c r="BN482" s="3"/>
      <c r="BO482" s="3"/>
    </row>
    <row r="483" spans="1:67" ht="16.5" customHeight="1" x14ac:dyDescent="0.2">
      <c r="A483" s="3"/>
      <c r="B483" s="3"/>
      <c r="C483" s="3"/>
      <c r="D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  <c r="BK483" s="3"/>
      <c r="BL483" s="3"/>
      <c r="BM483" s="3"/>
      <c r="BN483" s="3"/>
      <c r="BO483" s="3"/>
    </row>
    <row r="484" spans="1:67" ht="16.5" customHeight="1" x14ac:dyDescent="0.2">
      <c r="A484" s="3"/>
      <c r="B484" s="3"/>
      <c r="C484" s="3"/>
      <c r="D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  <c r="BK484" s="3"/>
      <c r="BL484" s="3"/>
      <c r="BM484" s="3"/>
      <c r="BN484" s="3"/>
      <c r="BO484" s="3"/>
    </row>
    <row r="485" spans="1:67" ht="16.5" customHeight="1" x14ac:dyDescent="0.2">
      <c r="A485" s="3"/>
      <c r="B485" s="3"/>
      <c r="C485" s="3"/>
      <c r="D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  <c r="BK485" s="3"/>
      <c r="BL485" s="3"/>
      <c r="BM485" s="3"/>
      <c r="BN485" s="3"/>
      <c r="BO485" s="3"/>
    </row>
    <row r="486" spans="1:67" ht="16.5" customHeight="1" x14ac:dyDescent="0.2">
      <c r="A486" s="3"/>
      <c r="B486" s="3"/>
      <c r="C486" s="3"/>
      <c r="D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  <c r="BK486" s="3"/>
      <c r="BL486" s="3"/>
      <c r="BM486" s="3"/>
      <c r="BN486" s="3"/>
      <c r="BO486" s="3"/>
    </row>
    <row r="487" spans="1:67" ht="16.5" customHeight="1" x14ac:dyDescent="0.2">
      <c r="A487" s="3"/>
      <c r="B487" s="3"/>
      <c r="C487" s="3"/>
      <c r="D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  <c r="BK487" s="3"/>
      <c r="BL487" s="3"/>
      <c r="BM487" s="3"/>
      <c r="BN487" s="3"/>
      <c r="BO487" s="3"/>
    </row>
    <row r="488" spans="1:67" ht="16.5" customHeight="1" x14ac:dyDescent="0.2">
      <c r="A488" s="3"/>
      <c r="B488" s="3"/>
      <c r="C488" s="3"/>
      <c r="D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  <c r="BK488" s="3"/>
      <c r="BL488" s="3"/>
      <c r="BM488" s="3"/>
      <c r="BN488" s="3"/>
      <c r="BO488" s="3"/>
    </row>
    <row r="489" spans="1:67" ht="16.5" customHeight="1" x14ac:dyDescent="0.2">
      <c r="A489" s="3"/>
      <c r="B489" s="3"/>
      <c r="C489" s="3"/>
      <c r="D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  <c r="BK489" s="3"/>
      <c r="BL489" s="3"/>
      <c r="BM489" s="3"/>
      <c r="BN489" s="3"/>
      <c r="BO489" s="3"/>
    </row>
    <row r="490" spans="1:67" ht="16.5" customHeight="1" x14ac:dyDescent="0.2">
      <c r="A490" s="3"/>
      <c r="B490" s="3"/>
      <c r="C490" s="3"/>
      <c r="D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  <c r="BK490" s="3"/>
      <c r="BL490" s="3"/>
      <c r="BM490" s="3"/>
      <c r="BN490" s="3"/>
      <c r="BO490" s="3"/>
    </row>
    <row r="491" spans="1:67" ht="16.5" customHeight="1" x14ac:dyDescent="0.2">
      <c r="A491" s="3"/>
      <c r="B491" s="3"/>
      <c r="C491" s="3"/>
      <c r="D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  <c r="BK491" s="3"/>
      <c r="BL491" s="3"/>
      <c r="BM491" s="3"/>
      <c r="BN491" s="3"/>
      <c r="BO491" s="3"/>
    </row>
    <row r="492" spans="1:67" ht="16.5" customHeight="1" x14ac:dyDescent="0.2">
      <c r="A492" s="3"/>
      <c r="B492" s="3"/>
      <c r="C492" s="3"/>
      <c r="D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  <c r="BK492" s="3"/>
      <c r="BL492" s="3"/>
      <c r="BM492" s="3"/>
      <c r="BN492" s="3"/>
      <c r="BO492" s="3"/>
    </row>
    <row r="493" spans="1:67" ht="16.5" customHeight="1" x14ac:dyDescent="0.2">
      <c r="A493" s="3"/>
      <c r="B493" s="3"/>
      <c r="C493" s="3"/>
      <c r="D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  <c r="BK493" s="3"/>
      <c r="BL493" s="3"/>
      <c r="BM493" s="3"/>
      <c r="BN493" s="3"/>
      <c r="BO493" s="3"/>
    </row>
    <row r="494" spans="1:67" ht="16.5" customHeight="1" x14ac:dyDescent="0.2">
      <c r="A494" s="3"/>
      <c r="B494" s="3"/>
      <c r="C494" s="3"/>
      <c r="D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  <c r="BK494" s="3"/>
      <c r="BL494" s="3"/>
      <c r="BM494" s="3"/>
      <c r="BN494" s="3"/>
      <c r="BO494" s="3"/>
    </row>
    <row r="495" spans="1:67" ht="16.5" customHeight="1" x14ac:dyDescent="0.2">
      <c r="A495" s="3"/>
      <c r="B495" s="3"/>
      <c r="C495" s="3"/>
      <c r="D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  <c r="BK495" s="3"/>
      <c r="BL495" s="3"/>
      <c r="BM495" s="3"/>
      <c r="BN495" s="3"/>
      <c r="BO495" s="3"/>
    </row>
    <row r="496" spans="1:67" ht="16.5" customHeight="1" x14ac:dyDescent="0.2">
      <c r="A496" s="3"/>
      <c r="B496" s="3"/>
      <c r="C496" s="3"/>
      <c r="D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  <c r="BK496" s="3"/>
      <c r="BL496" s="3"/>
      <c r="BM496" s="3"/>
      <c r="BN496" s="3"/>
      <c r="BO496" s="3"/>
    </row>
    <row r="497" spans="1:67" ht="16.5" customHeight="1" x14ac:dyDescent="0.2">
      <c r="A497" s="3"/>
      <c r="B497" s="3"/>
      <c r="C497" s="3"/>
      <c r="D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  <c r="BK497" s="3"/>
      <c r="BL497" s="3"/>
      <c r="BM497" s="3"/>
      <c r="BN497" s="3"/>
      <c r="BO497" s="3"/>
    </row>
    <row r="498" spans="1:67" ht="16.5" customHeight="1" x14ac:dyDescent="0.2">
      <c r="A498" s="3"/>
      <c r="B498" s="3"/>
      <c r="C498" s="3"/>
      <c r="D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  <c r="BK498" s="3"/>
      <c r="BL498" s="3"/>
      <c r="BM498" s="3"/>
      <c r="BN498" s="3"/>
      <c r="BO498" s="3"/>
    </row>
    <row r="499" spans="1:67" ht="16.5" customHeight="1" x14ac:dyDescent="0.2">
      <c r="A499" s="3"/>
      <c r="B499" s="3"/>
      <c r="C499" s="3"/>
      <c r="D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  <c r="BK499" s="3"/>
      <c r="BL499" s="3"/>
      <c r="BM499" s="3"/>
      <c r="BN499" s="3"/>
      <c r="BO499" s="3"/>
    </row>
    <row r="500" spans="1:67" ht="16.5" customHeight="1" x14ac:dyDescent="0.2">
      <c r="A500" s="3"/>
      <c r="B500" s="3"/>
      <c r="C500" s="3"/>
      <c r="D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  <c r="BK500" s="3"/>
      <c r="BL500" s="3"/>
      <c r="BM500" s="3"/>
      <c r="BN500" s="3"/>
      <c r="BO500" s="3"/>
    </row>
    <row r="501" spans="1:67" ht="16.5" customHeight="1" x14ac:dyDescent="0.2">
      <c r="A501" s="3"/>
      <c r="B501" s="3"/>
      <c r="C501" s="3"/>
      <c r="D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  <c r="BK501" s="3"/>
      <c r="BL501" s="3"/>
      <c r="BM501" s="3"/>
      <c r="BN501" s="3"/>
      <c r="BO501" s="3"/>
    </row>
    <row r="502" spans="1:67" ht="16.5" customHeight="1" x14ac:dyDescent="0.2">
      <c r="A502" s="3"/>
      <c r="B502" s="3"/>
      <c r="C502" s="3"/>
      <c r="D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  <c r="BK502" s="3"/>
      <c r="BL502" s="3"/>
      <c r="BM502" s="3"/>
      <c r="BN502" s="3"/>
      <c r="BO502" s="3"/>
    </row>
    <row r="503" spans="1:67" ht="16.5" customHeight="1" x14ac:dyDescent="0.2">
      <c r="A503" s="3"/>
      <c r="B503" s="3"/>
      <c r="C503" s="3"/>
      <c r="D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  <c r="BK503" s="3"/>
      <c r="BL503" s="3"/>
      <c r="BM503" s="3"/>
      <c r="BN503" s="3"/>
      <c r="BO503" s="3"/>
    </row>
    <row r="504" spans="1:67" ht="16.5" customHeight="1" x14ac:dyDescent="0.2">
      <c r="A504" s="3"/>
      <c r="B504" s="3"/>
      <c r="C504" s="3"/>
      <c r="D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  <c r="BK504" s="3"/>
      <c r="BL504" s="3"/>
      <c r="BM504" s="3"/>
      <c r="BN504" s="3"/>
      <c r="BO504" s="3"/>
    </row>
    <row r="505" spans="1:67" ht="16.5" customHeight="1" x14ac:dyDescent="0.2">
      <c r="A505" s="3"/>
      <c r="B505" s="3"/>
      <c r="C505" s="3"/>
      <c r="D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  <c r="BK505" s="3"/>
      <c r="BL505" s="3"/>
      <c r="BM505" s="3"/>
      <c r="BN505" s="3"/>
      <c r="BO505" s="3"/>
    </row>
    <row r="506" spans="1:67" ht="16.5" customHeight="1" x14ac:dyDescent="0.2">
      <c r="A506" s="3"/>
      <c r="B506" s="3"/>
      <c r="C506" s="3"/>
      <c r="D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  <c r="BK506" s="3"/>
      <c r="BL506" s="3"/>
      <c r="BM506" s="3"/>
      <c r="BN506" s="3"/>
      <c r="BO506" s="3"/>
    </row>
    <row r="507" spans="1:67" ht="16.5" customHeight="1" x14ac:dyDescent="0.2">
      <c r="A507" s="3"/>
      <c r="B507" s="3"/>
      <c r="C507" s="3"/>
      <c r="D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  <c r="BK507" s="3"/>
      <c r="BL507" s="3"/>
      <c r="BM507" s="3"/>
      <c r="BN507" s="3"/>
      <c r="BO507" s="3"/>
    </row>
    <row r="508" spans="1:67" ht="16.5" customHeight="1" x14ac:dyDescent="0.2">
      <c r="A508" s="3"/>
      <c r="B508" s="3"/>
      <c r="C508" s="3"/>
      <c r="D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  <c r="BK508" s="3"/>
      <c r="BL508" s="3"/>
      <c r="BM508" s="3"/>
      <c r="BN508" s="3"/>
      <c r="BO508" s="3"/>
    </row>
    <row r="509" spans="1:67" ht="16.5" customHeight="1" x14ac:dyDescent="0.2">
      <c r="A509" s="3"/>
      <c r="B509" s="3"/>
      <c r="C509" s="3"/>
      <c r="D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  <c r="BK509" s="3"/>
      <c r="BL509" s="3"/>
      <c r="BM509" s="3"/>
      <c r="BN509" s="3"/>
      <c r="BO509" s="3"/>
    </row>
    <row r="510" spans="1:67" ht="16.5" customHeight="1" x14ac:dyDescent="0.2">
      <c r="A510" s="3"/>
      <c r="B510" s="3"/>
      <c r="C510" s="3"/>
      <c r="D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  <c r="BK510" s="3"/>
      <c r="BL510" s="3"/>
      <c r="BM510" s="3"/>
      <c r="BN510" s="3"/>
      <c r="BO510" s="3"/>
    </row>
    <row r="511" spans="1:67" ht="16.5" customHeight="1" x14ac:dyDescent="0.2">
      <c r="A511" s="3"/>
      <c r="B511" s="3"/>
      <c r="C511" s="3"/>
      <c r="D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  <c r="BK511" s="3"/>
      <c r="BL511" s="3"/>
      <c r="BM511" s="3"/>
      <c r="BN511" s="3"/>
      <c r="BO511" s="3"/>
    </row>
    <row r="512" spans="1:67" ht="16.5" customHeight="1" x14ac:dyDescent="0.2">
      <c r="A512" s="3"/>
      <c r="B512" s="3"/>
      <c r="C512" s="3"/>
      <c r="D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  <c r="BK512" s="3"/>
      <c r="BL512" s="3"/>
      <c r="BM512" s="3"/>
      <c r="BN512" s="3"/>
      <c r="BO512" s="3"/>
    </row>
    <row r="513" spans="1:67" ht="16.5" customHeight="1" x14ac:dyDescent="0.2">
      <c r="A513" s="3"/>
      <c r="B513" s="3"/>
      <c r="C513" s="3"/>
      <c r="D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  <c r="BK513" s="3"/>
      <c r="BL513" s="3"/>
      <c r="BM513" s="3"/>
      <c r="BN513" s="3"/>
      <c r="BO513" s="3"/>
    </row>
    <row r="514" spans="1:67" ht="16.5" customHeight="1" x14ac:dyDescent="0.2">
      <c r="A514" s="3"/>
      <c r="B514" s="3"/>
      <c r="C514" s="3"/>
      <c r="D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  <c r="BK514" s="3"/>
      <c r="BL514" s="3"/>
      <c r="BM514" s="3"/>
      <c r="BN514" s="3"/>
      <c r="BO514" s="3"/>
    </row>
    <row r="515" spans="1:67" ht="16.5" customHeight="1" x14ac:dyDescent="0.2">
      <c r="A515" s="3"/>
      <c r="B515" s="3"/>
      <c r="C515" s="3"/>
      <c r="D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  <c r="BK515" s="3"/>
      <c r="BL515" s="3"/>
      <c r="BM515" s="3"/>
      <c r="BN515" s="3"/>
      <c r="BO515" s="3"/>
    </row>
    <row r="516" spans="1:67" ht="16.5" customHeight="1" x14ac:dyDescent="0.2">
      <c r="A516" s="3"/>
      <c r="B516" s="3"/>
      <c r="C516" s="3"/>
      <c r="D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  <c r="BK516" s="3"/>
      <c r="BL516" s="3"/>
      <c r="BM516" s="3"/>
      <c r="BN516" s="3"/>
      <c r="BO516" s="3"/>
    </row>
    <row r="517" spans="1:67" ht="16.5" customHeight="1" x14ac:dyDescent="0.2">
      <c r="A517" s="3"/>
      <c r="B517" s="3"/>
      <c r="C517" s="3"/>
      <c r="D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  <c r="BK517" s="3"/>
      <c r="BL517" s="3"/>
      <c r="BM517" s="3"/>
      <c r="BN517" s="3"/>
      <c r="BO517" s="3"/>
    </row>
    <row r="518" spans="1:67" ht="16.5" customHeight="1" x14ac:dyDescent="0.2">
      <c r="A518" s="3"/>
      <c r="B518" s="3"/>
      <c r="C518" s="3"/>
      <c r="D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  <c r="BK518" s="3"/>
      <c r="BL518" s="3"/>
      <c r="BM518" s="3"/>
      <c r="BN518" s="3"/>
      <c r="BO518" s="3"/>
    </row>
    <row r="519" spans="1:67" ht="16.5" customHeight="1" x14ac:dyDescent="0.2">
      <c r="A519" s="3"/>
      <c r="B519" s="3"/>
      <c r="C519" s="3"/>
      <c r="D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  <c r="BK519" s="3"/>
      <c r="BL519" s="3"/>
      <c r="BM519" s="3"/>
      <c r="BN519" s="3"/>
      <c r="BO519" s="3"/>
    </row>
    <row r="520" spans="1:67" ht="16.5" customHeight="1" x14ac:dyDescent="0.2">
      <c r="A520" s="3"/>
      <c r="B520" s="3"/>
      <c r="C520" s="3"/>
      <c r="D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  <c r="BK520" s="3"/>
      <c r="BL520" s="3"/>
      <c r="BM520" s="3"/>
      <c r="BN520" s="3"/>
      <c r="BO520" s="3"/>
    </row>
    <row r="521" spans="1:67" ht="16.5" customHeight="1" x14ac:dyDescent="0.2">
      <c r="A521" s="3"/>
      <c r="B521" s="3"/>
      <c r="C521" s="3"/>
      <c r="D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  <c r="BK521" s="3"/>
      <c r="BL521" s="3"/>
      <c r="BM521" s="3"/>
      <c r="BN521" s="3"/>
      <c r="BO521" s="3"/>
    </row>
    <row r="522" spans="1:67" ht="16.5" customHeight="1" x14ac:dyDescent="0.2">
      <c r="A522" s="3"/>
      <c r="B522" s="3"/>
      <c r="C522" s="3"/>
      <c r="D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  <c r="BK522" s="3"/>
      <c r="BL522" s="3"/>
      <c r="BM522" s="3"/>
      <c r="BN522" s="3"/>
      <c r="BO522" s="3"/>
    </row>
    <row r="523" spans="1:67" ht="16.5" customHeight="1" x14ac:dyDescent="0.2">
      <c r="A523" s="3"/>
      <c r="B523" s="3"/>
      <c r="C523" s="3"/>
      <c r="D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  <c r="BK523" s="3"/>
      <c r="BL523" s="3"/>
      <c r="BM523" s="3"/>
      <c r="BN523" s="3"/>
      <c r="BO523" s="3"/>
    </row>
    <row r="524" spans="1:67" ht="16.5" customHeight="1" x14ac:dyDescent="0.2">
      <c r="A524" s="3"/>
      <c r="B524" s="3"/>
      <c r="C524" s="3"/>
      <c r="D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  <c r="BK524" s="3"/>
      <c r="BL524" s="3"/>
      <c r="BM524" s="3"/>
      <c r="BN524" s="3"/>
      <c r="BO524" s="3"/>
    </row>
    <row r="525" spans="1:67" ht="16.5" customHeight="1" x14ac:dyDescent="0.2">
      <c r="A525" s="3"/>
      <c r="B525" s="3"/>
      <c r="C525" s="3"/>
      <c r="D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  <c r="BK525" s="3"/>
      <c r="BL525" s="3"/>
      <c r="BM525" s="3"/>
      <c r="BN525" s="3"/>
      <c r="BO525" s="3"/>
    </row>
    <row r="526" spans="1:67" ht="16.5" customHeight="1" x14ac:dyDescent="0.2">
      <c r="A526" s="3"/>
      <c r="B526" s="3"/>
      <c r="C526" s="3"/>
      <c r="D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  <c r="BK526" s="3"/>
      <c r="BL526" s="3"/>
      <c r="BM526" s="3"/>
      <c r="BN526" s="3"/>
      <c r="BO526" s="3"/>
    </row>
    <row r="527" spans="1:67" ht="16.5" customHeight="1" x14ac:dyDescent="0.2">
      <c r="A527" s="3"/>
      <c r="B527" s="3"/>
      <c r="C527" s="3"/>
      <c r="D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  <c r="BK527" s="3"/>
      <c r="BL527" s="3"/>
      <c r="BM527" s="3"/>
      <c r="BN527" s="3"/>
      <c r="BO527" s="3"/>
    </row>
    <row r="528" spans="1:67" ht="16.5" customHeight="1" x14ac:dyDescent="0.2">
      <c r="A528" s="3"/>
      <c r="B528" s="3"/>
      <c r="C528" s="3"/>
      <c r="D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  <c r="BK528" s="3"/>
      <c r="BL528" s="3"/>
      <c r="BM528" s="3"/>
      <c r="BN528" s="3"/>
      <c r="BO528" s="3"/>
    </row>
    <row r="529" spans="1:67" ht="16.5" customHeight="1" x14ac:dyDescent="0.2">
      <c r="A529" s="3"/>
      <c r="B529" s="3"/>
      <c r="C529" s="3"/>
      <c r="D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  <c r="BK529" s="3"/>
      <c r="BL529" s="3"/>
      <c r="BM529" s="3"/>
      <c r="BN529" s="3"/>
      <c r="BO529" s="3"/>
    </row>
    <row r="530" spans="1:67" ht="16.5" customHeight="1" x14ac:dyDescent="0.2">
      <c r="A530" s="3"/>
      <c r="B530" s="3"/>
      <c r="C530" s="3"/>
      <c r="D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  <c r="BK530" s="3"/>
      <c r="BL530" s="3"/>
      <c r="BM530" s="3"/>
      <c r="BN530" s="3"/>
      <c r="BO530" s="3"/>
    </row>
    <row r="531" spans="1:67" ht="16.5" customHeight="1" x14ac:dyDescent="0.2">
      <c r="A531" s="3"/>
      <c r="B531" s="3"/>
      <c r="C531" s="3"/>
      <c r="D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  <c r="BK531" s="3"/>
      <c r="BL531" s="3"/>
      <c r="BM531" s="3"/>
      <c r="BN531" s="3"/>
      <c r="BO531" s="3"/>
    </row>
    <row r="532" spans="1:67" ht="16.5" customHeight="1" x14ac:dyDescent="0.2">
      <c r="A532" s="3"/>
      <c r="B532" s="3"/>
      <c r="C532" s="3"/>
      <c r="D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  <c r="BK532" s="3"/>
      <c r="BL532" s="3"/>
      <c r="BM532" s="3"/>
      <c r="BN532" s="3"/>
      <c r="BO532" s="3"/>
    </row>
    <row r="533" spans="1:67" ht="16.5" customHeight="1" x14ac:dyDescent="0.2">
      <c r="A533" s="3"/>
      <c r="B533" s="3"/>
      <c r="C533" s="3"/>
      <c r="D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  <c r="BK533" s="3"/>
      <c r="BL533" s="3"/>
      <c r="BM533" s="3"/>
      <c r="BN533" s="3"/>
      <c r="BO533" s="3"/>
    </row>
    <row r="534" spans="1:67" ht="16.5" customHeight="1" x14ac:dyDescent="0.2">
      <c r="A534" s="3"/>
      <c r="B534" s="3"/>
      <c r="C534" s="3"/>
      <c r="D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  <c r="BK534" s="3"/>
      <c r="BL534" s="3"/>
      <c r="BM534" s="3"/>
      <c r="BN534" s="3"/>
      <c r="BO534" s="3"/>
    </row>
    <row r="535" spans="1:67" ht="16.5" customHeight="1" x14ac:dyDescent="0.2">
      <c r="A535" s="3"/>
      <c r="B535" s="3"/>
      <c r="C535" s="3"/>
      <c r="D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  <c r="BK535" s="3"/>
      <c r="BL535" s="3"/>
      <c r="BM535" s="3"/>
      <c r="BN535" s="3"/>
      <c r="BO535" s="3"/>
    </row>
    <row r="536" spans="1:67" ht="16.5" customHeight="1" x14ac:dyDescent="0.2">
      <c r="A536" s="3"/>
      <c r="B536" s="3"/>
      <c r="C536" s="3"/>
      <c r="D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  <c r="BK536" s="3"/>
      <c r="BL536" s="3"/>
      <c r="BM536" s="3"/>
      <c r="BN536" s="3"/>
      <c r="BO536" s="3"/>
    </row>
    <row r="537" spans="1:67" ht="16.5" customHeight="1" x14ac:dyDescent="0.2">
      <c r="A537" s="3"/>
      <c r="B537" s="3"/>
      <c r="C537" s="3"/>
      <c r="D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  <c r="BK537" s="3"/>
      <c r="BL537" s="3"/>
      <c r="BM537" s="3"/>
      <c r="BN537" s="3"/>
      <c r="BO537" s="3"/>
    </row>
    <row r="538" spans="1:67" ht="16.5" customHeight="1" x14ac:dyDescent="0.2">
      <c r="A538" s="3"/>
      <c r="B538" s="3"/>
      <c r="C538" s="3"/>
      <c r="D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  <c r="BK538" s="3"/>
      <c r="BL538" s="3"/>
      <c r="BM538" s="3"/>
      <c r="BN538" s="3"/>
      <c r="BO538" s="3"/>
    </row>
    <row r="539" spans="1:67" ht="16.5" customHeight="1" x14ac:dyDescent="0.2">
      <c r="A539" s="3"/>
      <c r="B539" s="3"/>
      <c r="C539" s="3"/>
      <c r="D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  <c r="BK539" s="3"/>
      <c r="BL539" s="3"/>
      <c r="BM539" s="3"/>
      <c r="BN539" s="3"/>
      <c r="BO539" s="3"/>
    </row>
    <row r="540" spans="1:67" ht="16.5" customHeight="1" x14ac:dyDescent="0.2">
      <c r="A540" s="3"/>
      <c r="B540" s="3"/>
      <c r="C540" s="3"/>
      <c r="D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  <c r="BK540" s="3"/>
      <c r="BL540" s="3"/>
      <c r="BM540" s="3"/>
      <c r="BN540" s="3"/>
      <c r="BO540" s="3"/>
    </row>
    <row r="541" spans="1:67" ht="16.5" customHeight="1" x14ac:dyDescent="0.2">
      <c r="A541" s="3"/>
      <c r="B541" s="3"/>
      <c r="C541" s="3"/>
      <c r="D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  <c r="BK541" s="3"/>
      <c r="BL541" s="3"/>
      <c r="BM541" s="3"/>
      <c r="BN541" s="3"/>
      <c r="BO541" s="3"/>
    </row>
    <row r="542" spans="1:67" ht="16.5" customHeight="1" x14ac:dyDescent="0.2">
      <c r="A542" s="3"/>
      <c r="B542" s="3"/>
      <c r="C542" s="3"/>
      <c r="D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  <c r="BK542" s="3"/>
      <c r="BL542" s="3"/>
      <c r="BM542" s="3"/>
      <c r="BN542" s="3"/>
      <c r="BO542" s="3"/>
    </row>
    <row r="543" spans="1:67" ht="16.5" customHeight="1" x14ac:dyDescent="0.2">
      <c r="A543" s="3"/>
      <c r="B543" s="3"/>
      <c r="C543" s="3"/>
      <c r="D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  <c r="BK543" s="3"/>
      <c r="BL543" s="3"/>
      <c r="BM543" s="3"/>
      <c r="BN543" s="3"/>
      <c r="BO543" s="3"/>
    </row>
    <row r="544" spans="1:67" ht="16.5" customHeight="1" x14ac:dyDescent="0.2">
      <c r="A544" s="3"/>
      <c r="B544" s="3"/>
      <c r="C544" s="3"/>
      <c r="D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  <c r="BK544" s="3"/>
      <c r="BL544" s="3"/>
      <c r="BM544" s="3"/>
      <c r="BN544" s="3"/>
      <c r="BO544" s="3"/>
    </row>
    <row r="545" spans="1:67" ht="16.5" customHeight="1" x14ac:dyDescent="0.2">
      <c r="A545" s="3"/>
      <c r="B545" s="3"/>
      <c r="C545" s="3"/>
      <c r="D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  <c r="BK545" s="3"/>
      <c r="BL545" s="3"/>
      <c r="BM545" s="3"/>
      <c r="BN545" s="3"/>
      <c r="BO545" s="3"/>
    </row>
    <row r="546" spans="1:67" ht="16.5" customHeight="1" x14ac:dyDescent="0.2">
      <c r="A546" s="3"/>
      <c r="B546" s="3"/>
      <c r="C546" s="3"/>
      <c r="D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  <c r="BK546" s="3"/>
      <c r="BL546" s="3"/>
      <c r="BM546" s="3"/>
      <c r="BN546" s="3"/>
      <c r="BO546" s="3"/>
    </row>
    <row r="547" spans="1:67" ht="16.5" customHeight="1" x14ac:dyDescent="0.2">
      <c r="A547" s="3"/>
      <c r="B547" s="3"/>
      <c r="C547" s="3"/>
      <c r="D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  <c r="BK547" s="3"/>
      <c r="BL547" s="3"/>
      <c r="BM547" s="3"/>
      <c r="BN547" s="3"/>
      <c r="BO547" s="3"/>
    </row>
    <row r="548" spans="1:67" ht="16.5" customHeight="1" x14ac:dyDescent="0.2">
      <c r="A548" s="3"/>
      <c r="B548" s="3"/>
      <c r="C548" s="3"/>
      <c r="D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  <c r="BK548" s="3"/>
      <c r="BL548" s="3"/>
      <c r="BM548" s="3"/>
      <c r="BN548" s="3"/>
      <c r="BO548" s="3"/>
    </row>
    <row r="549" spans="1:67" ht="16.5" customHeight="1" x14ac:dyDescent="0.2">
      <c r="A549" s="3"/>
      <c r="B549" s="3"/>
      <c r="C549" s="3"/>
      <c r="D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  <c r="BK549" s="3"/>
      <c r="BL549" s="3"/>
      <c r="BM549" s="3"/>
      <c r="BN549" s="3"/>
      <c r="BO549" s="3"/>
    </row>
    <row r="550" spans="1:67" ht="16.5" customHeight="1" x14ac:dyDescent="0.2">
      <c r="A550" s="3"/>
      <c r="B550" s="3"/>
      <c r="C550" s="3"/>
      <c r="D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  <c r="BK550" s="3"/>
      <c r="BL550" s="3"/>
      <c r="BM550" s="3"/>
      <c r="BN550" s="3"/>
      <c r="BO550" s="3"/>
    </row>
    <row r="551" spans="1:67" ht="16.5" customHeight="1" x14ac:dyDescent="0.2">
      <c r="A551" s="3"/>
      <c r="B551" s="3"/>
      <c r="C551" s="3"/>
      <c r="D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  <c r="BK551" s="3"/>
      <c r="BL551" s="3"/>
      <c r="BM551" s="3"/>
      <c r="BN551" s="3"/>
      <c r="BO551" s="3"/>
    </row>
    <row r="552" spans="1:67" ht="16.5" customHeight="1" x14ac:dyDescent="0.2">
      <c r="A552" s="3"/>
      <c r="B552" s="3"/>
      <c r="C552" s="3"/>
      <c r="D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  <c r="BK552" s="3"/>
      <c r="BL552" s="3"/>
      <c r="BM552" s="3"/>
      <c r="BN552" s="3"/>
      <c r="BO552" s="3"/>
    </row>
    <row r="553" spans="1:67" ht="16.5" customHeight="1" x14ac:dyDescent="0.2">
      <c r="A553" s="3"/>
      <c r="B553" s="3"/>
      <c r="C553" s="3"/>
      <c r="D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  <c r="BK553" s="3"/>
      <c r="BL553" s="3"/>
      <c r="BM553" s="3"/>
      <c r="BN553" s="3"/>
      <c r="BO553" s="3"/>
    </row>
    <row r="554" spans="1:67" ht="16.5" customHeight="1" x14ac:dyDescent="0.2">
      <c r="A554" s="3"/>
      <c r="B554" s="3"/>
      <c r="C554" s="3"/>
      <c r="D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  <c r="BK554" s="3"/>
      <c r="BL554" s="3"/>
      <c r="BM554" s="3"/>
      <c r="BN554" s="3"/>
      <c r="BO554" s="3"/>
    </row>
    <row r="555" spans="1:67" ht="16.5" customHeight="1" x14ac:dyDescent="0.2">
      <c r="A555" s="3"/>
      <c r="B555" s="3"/>
      <c r="C555" s="3"/>
      <c r="D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  <c r="BK555" s="3"/>
      <c r="BL555" s="3"/>
      <c r="BM555" s="3"/>
      <c r="BN555" s="3"/>
      <c r="BO555" s="3"/>
    </row>
    <row r="556" spans="1:67" ht="16.5" customHeight="1" x14ac:dyDescent="0.2">
      <c r="A556" s="3"/>
      <c r="B556" s="3"/>
      <c r="C556" s="3"/>
      <c r="D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  <c r="BK556" s="3"/>
      <c r="BL556" s="3"/>
      <c r="BM556" s="3"/>
      <c r="BN556" s="3"/>
      <c r="BO556" s="3"/>
    </row>
    <row r="557" spans="1:67" ht="16.5" customHeight="1" x14ac:dyDescent="0.2">
      <c r="A557" s="3"/>
      <c r="B557" s="3"/>
      <c r="C557" s="3"/>
      <c r="D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  <c r="BK557" s="3"/>
      <c r="BL557" s="3"/>
      <c r="BM557" s="3"/>
      <c r="BN557" s="3"/>
      <c r="BO557" s="3"/>
    </row>
    <row r="558" spans="1:67" ht="16.5" customHeight="1" x14ac:dyDescent="0.2">
      <c r="A558" s="3"/>
      <c r="B558" s="3"/>
      <c r="C558" s="3"/>
      <c r="D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  <c r="BK558" s="3"/>
      <c r="BL558" s="3"/>
      <c r="BM558" s="3"/>
      <c r="BN558" s="3"/>
      <c r="BO558" s="3"/>
    </row>
    <row r="559" spans="1:67" ht="16.5" customHeight="1" x14ac:dyDescent="0.2">
      <c r="A559" s="3"/>
      <c r="B559" s="3"/>
      <c r="C559" s="3"/>
      <c r="D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  <c r="BK559" s="3"/>
      <c r="BL559" s="3"/>
      <c r="BM559" s="3"/>
      <c r="BN559" s="3"/>
      <c r="BO559" s="3"/>
    </row>
    <row r="560" spans="1:67" ht="16.5" customHeight="1" x14ac:dyDescent="0.2">
      <c r="A560" s="3"/>
      <c r="B560" s="3"/>
      <c r="C560" s="3"/>
      <c r="D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  <c r="BK560" s="3"/>
      <c r="BL560" s="3"/>
      <c r="BM560" s="3"/>
      <c r="BN560" s="3"/>
      <c r="BO560" s="3"/>
    </row>
    <row r="561" spans="1:67" ht="16.5" customHeight="1" x14ac:dyDescent="0.2">
      <c r="A561" s="3"/>
      <c r="B561" s="3"/>
      <c r="C561" s="3"/>
      <c r="D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  <c r="BK561" s="3"/>
      <c r="BL561" s="3"/>
      <c r="BM561" s="3"/>
      <c r="BN561" s="3"/>
      <c r="BO561" s="3"/>
    </row>
    <row r="562" spans="1:67" ht="16.5" customHeight="1" x14ac:dyDescent="0.2">
      <c r="A562" s="3"/>
      <c r="B562" s="3"/>
      <c r="C562" s="3"/>
      <c r="D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  <c r="BK562" s="3"/>
      <c r="BL562" s="3"/>
      <c r="BM562" s="3"/>
      <c r="BN562" s="3"/>
      <c r="BO562" s="3"/>
    </row>
    <row r="563" spans="1:67" ht="16.5" customHeight="1" x14ac:dyDescent="0.2">
      <c r="A563" s="3"/>
      <c r="B563" s="3"/>
      <c r="C563" s="3"/>
      <c r="D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  <c r="BK563" s="3"/>
      <c r="BL563" s="3"/>
      <c r="BM563" s="3"/>
      <c r="BN563" s="3"/>
      <c r="BO563" s="3"/>
    </row>
    <row r="564" spans="1:67" ht="16.5" customHeight="1" x14ac:dyDescent="0.2">
      <c r="A564" s="3"/>
      <c r="B564" s="3"/>
      <c r="C564" s="3"/>
      <c r="D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  <c r="BK564" s="3"/>
      <c r="BL564" s="3"/>
      <c r="BM564" s="3"/>
      <c r="BN564" s="3"/>
      <c r="BO564" s="3"/>
    </row>
    <row r="565" spans="1:67" ht="16.5" customHeight="1" x14ac:dyDescent="0.2">
      <c r="A565" s="3"/>
      <c r="B565" s="3"/>
      <c r="C565" s="3"/>
      <c r="D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  <c r="BK565" s="3"/>
      <c r="BL565" s="3"/>
      <c r="BM565" s="3"/>
      <c r="BN565" s="3"/>
      <c r="BO565" s="3"/>
    </row>
    <row r="566" spans="1:67" ht="16.5" customHeight="1" x14ac:dyDescent="0.2">
      <c r="A566" s="3"/>
      <c r="B566" s="3"/>
      <c r="C566" s="3"/>
      <c r="D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  <c r="BK566" s="3"/>
      <c r="BL566" s="3"/>
      <c r="BM566" s="3"/>
      <c r="BN566" s="3"/>
      <c r="BO566" s="3"/>
    </row>
    <row r="567" spans="1:67" ht="16.5" customHeight="1" x14ac:dyDescent="0.2">
      <c r="A567" s="3"/>
      <c r="B567" s="3"/>
      <c r="C567" s="3"/>
      <c r="D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  <c r="BK567" s="3"/>
      <c r="BL567" s="3"/>
      <c r="BM567" s="3"/>
      <c r="BN567" s="3"/>
      <c r="BO567" s="3"/>
    </row>
    <row r="568" spans="1:67" ht="16.5" customHeight="1" x14ac:dyDescent="0.2">
      <c r="A568" s="3"/>
      <c r="B568" s="3"/>
      <c r="C568" s="3"/>
      <c r="D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  <c r="BK568" s="3"/>
      <c r="BL568" s="3"/>
      <c r="BM568" s="3"/>
      <c r="BN568" s="3"/>
      <c r="BO568" s="3"/>
    </row>
    <row r="569" spans="1:67" ht="16.5" customHeight="1" x14ac:dyDescent="0.2">
      <c r="A569" s="3"/>
      <c r="B569" s="3"/>
      <c r="C569" s="3"/>
      <c r="D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  <c r="BK569" s="3"/>
      <c r="BL569" s="3"/>
      <c r="BM569" s="3"/>
      <c r="BN569" s="3"/>
      <c r="BO569" s="3"/>
    </row>
    <row r="570" spans="1:67" ht="16.5" customHeight="1" x14ac:dyDescent="0.2">
      <c r="A570" s="3"/>
      <c r="B570" s="3"/>
      <c r="C570" s="3"/>
      <c r="D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  <c r="BK570" s="3"/>
      <c r="BL570" s="3"/>
      <c r="BM570" s="3"/>
      <c r="BN570" s="3"/>
      <c r="BO570" s="3"/>
    </row>
    <row r="571" spans="1:67" ht="16.5" customHeight="1" x14ac:dyDescent="0.2">
      <c r="A571" s="3"/>
      <c r="B571" s="3"/>
      <c r="C571" s="3"/>
      <c r="D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  <c r="BK571" s="3"/>
      <c r="BL571" s="3"/>
      <c r="BM571" s="3"/>
      <c r="BN571" s="3"/>
      <c r="BO571" s="3"/>
    </row>
    <row r="572" spans="1:67" ht="16.5" customHeight="1" x14ac:dyDescent="0.2">
      <c r="A572" s="3"/>
      <c r="B572" s="3"/>
      <c r="C572" s="3"/>
      <c r="D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  <c r="BK572" s="3"/>
      <c r="BL572" s="3"/>
      <c r="BM572" s="3"/>
      <c r="BN572" s="3"/>
      <c r="BO572" s="3"/>
    </row>
    <row r="573" spans="1:67" ht="16.5" customHeight="1" x14ac:dyDescent="0.2">
      <c r="A573" s="3"/>
      <c r="B573" s="3"/>
      <c r="C573" s="3"/>
      <c r="D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  <c r="BK573" s="3"/>
      <c r="BL573" s="3"/>
      <c r="BM573" s="3"/>
      <c r="BN573" s="3"/>
      <c r="BO573" s="3"/>
    </row>
    <row r="574" spans="1:67" ht="16.5" customHeight="1" x14ac:dyDescent="0.2">
      <c r="A574" s="3"/>
      <c r="B574" s="3"/>
      <c r="C574" s="3"/>
      <c r="D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  <c r="BK574" s="3"/>
      <c r="BL574" s="3"/>
      <c r="BM574" s="3"/>
      <c r="BN574" s="3"/>
      <c r="BO574" s="3"/>
    </row>
    <row r="575" spans="1:67" ht="16.5" customHeight="1" x14ac:dyDescent="0.2">
      <c r="A575" s="3"/>
      <c r="B575" s="3"/>
      <c r="C575" s="3"/>
      <c r="D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  <c r="BK575" s="3"/>
      <c r="BL575" s="3"/>
      <c r="BM575" s="3"/>
      <c r="BN575" s="3"/>
      <c r="BO575" s="3"/>
    </row>
    <row r="576" spans="1:67" ht="16.5" customHeight="1" x14ac:dyDescent="0.2">
      <c r="A576" s="3"/>
      <c r="B576" s="3"/>
      <c r="C576" s="3"/>
      <c r="D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  <c r="BK576" s="3"/>
      <c r="BL576" s="3"/>
      <c r="BM576" s="3"/>
      <c r="BN576" s="3"/>
      <c r="BO576" s="3"/>
    </row>
    <row r="577" spans="1:67" ht="16.5" customHeight="1" x14ac:dyDescent="0.2">
      <c r="A577" s="3"/>
      <c r="B577" s="3"/>
      <c r="C577" s="3"/>
      <c r="D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  <c r="BK577" s="3"/>
      <c r="BL577" s="3"/>
      <c r="BM577" s="3"/>
      <c r="BN577" s="3"/>
      <c r="BO577" s="3"/>
    </row>
    <row r="578" spans="1:67" ht="16.5" customHeight="1" x14ac:dyDescent="0.2">
      <c r="A578" s="3"/>
      <c r="B578" s="3"/>
      <c r="C578" s="3"/>
      <c r="D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  <c r="BK578" s="3"/>
      <c r="BL578" s="3"/>
      <c r="BM578" s="3"/>
      <c r="BN578" s="3"/>
      <c r="BO578" s="3"/>
    </row>
    <row r="579" spans="1:67" ht="16.5" customHeight="1" x14ac:dyDescent="0.2">
      <c r="A579" s="3"/>
      <c r="B579" s="3"/>
      <c r="C579" s="3"/>
      <c r="D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  <c r="BK579" s="3"/>
      <c r="BL579" s="3"/>
      <c r="BM579" s="3"/>
      <c r="BN579" s="3"/>
      <c r="BO579" s="3"/>
    </row>
    <row r="580" spans="1:67" ht="16.5" customHeight="1" x14ac:dyDescent="0.2">
      <c r="A580" s="3"/>
      <c r="B580" s="3"/>
      <c r="C580" s="3"/>
      <c r="D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  <c r="BK580" s="3"/>
      <c r="BL580" s="3"/>
      <c r="BM580" s="3"/>
      <c r="BN580" s="3"/>
      <c r="BO580" s="3"/>
    </row>
    <row r="581" spans="1:67" ht="16.5" customHeight="1" x14ac:dyDescent="0.2">
      <c r="A581" s="3"/>
      <c r="B581" s="3"/>
      <c r="C581" s="3"/>
      <c r="D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  <c r="BK581" s="3"/>
      <c r="BL581" s="3"/>
      <c r="BM581" s="3"/>
      <c r="BN581" s="3"/>
      <c r="BO581" s="3"/>
    </row>
    <row r="582" spans="1:67" ht="16.5" customHeight="1" x14ac:dyDescent="0.2">
      <c r="A582" s="3"/>
      <c r="B582" s="3"/>
      <c r="C582" s="3"/>
      <c r="D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  <c r="BK582" s="3"/>
      <c r="BL582" s="3"/>
      <c r="BM582" s="3"/>
      <c r="BN582" s="3"/>
      <c r="BO582" s="3"/>
    </row>
    <row r="583" spans="1:67" ht="16.5" customHeight="1" x14ac:dyDescent="0.2">
      <c r="A583" s="3"/>
      <c r="B583" s="3"/>
      <c r="C583" s="3"/>
      <c r="D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  <c r="BK583" s="3"/>
      <c r="BL583" s="3"/>
      <c r="BM583" s="3"/>
      <c r="BN583" s="3"/>
      <c r="BO583" s="3"/>
    </row>
    <row r="584" spans="1:67" ht="16.5" customHeight="1" x14ac:dyDescent="0.2">
      <c r="A584" s="3"/>
      <c r="B584" s="3"/>
      <c r="C584" s="3"/>
      <c r="D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  <c r="BK584" s="3"/>
      <c r="BL584" s="3"/>
      <c r="BM584" s="3"/>
      <c r="BN584" s="3"/>
      <c r="BO584" s="3"/>
    </row>
    <row r="585" spans="1:67" ht="16.5" customHeight="1" x14ac:dyDescent="0.2">
      <c r="A585" s="3"/>
      <c r="B585" s="3"/>
      <c r="C585" s="3"/>
      <c r="D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  <c r="BK585" s="3"/>
      <c r="BL585" s="3"/>
      <c r="BM585" s="3"/>
      <c r="BN585" s="3"/>
      <c r="BO585" s="3"/>
    </row>
    <row r="586" spans="1:67" ht="16.5" customHeight="1" x14ac:dyDescent="0.2">
      <c r="A586" s="3"/>
      <c r="B586" s="3"/>
      <c r="C586" s="3"/>
      <c r="D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  <c r="BK586" s="3"/>
      <c r="BL586" s="3"/>
      <c r="BM586" s="3"/>
      <c r="BN586" s="3"/>
      <c r="BO586" s="3"/>
    </row>
    <row r="587" spans="1:67" ht="16.5" customHeight="1" x14ac:dyDescent="0.2">
      <c r="A587" s="3"/>
      <c r="B587" s="3"/>
      <c r="C587" s="3"/>
      <c r="D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  <c r="BK587" s="3"/>
      <c r="BL587" s="3"/>
      <c r="BM587" s="3"/>
      <c r="BN587" s="3"/>
      <c r="BO587" s="3"/>
    </row>
    <row r="588" spans="1:67" ht="16.5" customHeight="1" x14ac:dyDescent="0.2">
      <c r="A588" s="3"/>
      <c r="B588" s="3"/>
      <c r="C588" s="3"/>
      <c r="D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  <c r="BK588" s="3"/>
      <c r="BL588" s="3"/>
      <c r="BM588" s="3"/>
      <c r="BN588" s="3"/>
      <c r="BO588" s="3"/>
    </row>
    <row r="589" spans="1:67" ht="16.5" customHeight="1" x14ac:dyDescent="0.2">
      <c r="A589" s="3"/>
      <c r="B589" s="3"/>
      <c r="C589" s="3"/>
      <c r="D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  <c r="BK589" s="3"/>
      <c r="BL589" s="3"/>
      <c r="BM589" s="3"/>
      <c r="BN589" s="3"/>
      <c r="BO589" s="3"/>
    </row>
    <row r="590" spans="1:67" ht="16.5" customHeight="1" x14ac:dyDescent="0.2">
      <c r="A590" s="3"/>
      <c r="B590" s="3"/>
      <c r="C590" s="3"/>
      <c r="D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  <c r="BK590" s="3"/>
      <c r="BL590" s="3"/>
      <c r="BM590" s="3"/>
      <c r="BN590" s="3"/>
      <c r="BO590" s="3"/>
    </row>
    <row r="591" spans="1:67" ht="16.5" customHeight="1" x14ac:dyDescent="0.2">
      <c r="A591" s="3"/>
      <c r="B591" s="3"/>
      <c r="C591" s="3"/>
      <c r="D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  <c r="BK591" s="3"/>
      <c r="BL591" s="3"/>
      <c r="BM591" s="3"/>
      <c r="BN591" s="3"/>
      <c r="BO591" s="3"/>
    </row>
    <row r="592" spans="1:67" ht="16.5" customHeight="1" x14ac:dyDescent="0.2">
      <c r="A592" s="3"/>
      <c r="B592" s="3"/>
      <c r="C592" s="3"/>
      <c r="D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  <c r="BK592" s="3"/>
      <c r="BL592" s="3"/>
      <c r="BM592" s="3"/>
      <c r="BN592" s="3"/>
      <c r="BO592" s="3"/>
    </row>
    <row r="593" spans="1:67" ht="16.5" customHeight="1" x14ac:dyDescent="0.2">
      <c r="A593" s="3"/>
      <c r="B593" s="3"/>
      <c r="C593" s="3"/>
      <c r="D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  <c r="BK593" s="3"/>
      <c r="BL593" s="3"/>
      <c r="BM593" s="3"/>
      <c r="BN593" s="3"/>
      <c r="BO593" s="3"/>
    </row>
    <row r="594" spans="1:67" ht="16.5" customHeight="1" x14ac:dyDescent="0.2">
      <c r="A594" s="3"/>
      <c r="B594" s="3"/>
      <c r="C594" s="3"/>
      <c r="D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  <c r="BK594" s="3"/>
      <c r="BL594" s="3"/>
      <c r="BM594" s="3"/>
      <c r="BN594" s="3"/>
      <c r="BO594" s="3"/>
    </row>
    <row r="595" spans="1:67" ht="16.5" customHeight="1" x14ac:dyDescent="0.2">
      <c r="A595" s="3"/>
      <c r="B595" s="3"/>
      <c r="C595" s="3"/>
      <c r="D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  <c r="BK595" s="3"/>
      <c r="BL595" s="3"/>
      <c r="BM595" s="3"/>
      <c r="BN595" s="3"/>
      <c r="BO595" s="3"/>
    </row>
    <row r="596" spans="1:67" ht="16.5" customHeight="1" x14ac:dyDescent="0.2">
      <c r="A596" s="3"/>
      <c r="B596" s="3"/>
      <c r="C596" s="3"/>
      <c r="D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  <c r="BK596" s="3"/>
      <c r="BL596" s="3"/>
      <c r="BM596" s="3"/>
      <c r="BN596" s="3"/>
      <c r="BO596" s="3"/>
    </row>
    <row r="597" spans="1:67" ht="16.5" customHeight="1" x14ac:dyDescent="0.2">
      <c r="A597" s="3"/>
      <c r="B597" s="3"/>
      <c r="C597" s="3"/>
      <c r="D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  <c r="BK597" s="3"/>
      <c r="BL597" s="3"/>
      <c r="BM597" s="3"/>
      <c r="BN597" s="3"/>
      <c r="BO597" s="3"/>
    </row>
    <row r="598" spans="1:67" ht="16.5" customHeight="1" x14ac:dyDescent="0.2">
      <c r="A598" s="3"/>
      <c r="B598" s="3"/>
      <c r="C598" s="3"/>
      <c r="D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  <c r="BK598" s="3"/>
      <c r="BL598" s="3"/>
      <c r="BM598" s="3"/>
      <c r="BN598" s="3"/>
      <c r="BO598" s="3"/>
    </row>
    <row r="599" spans="1:67" ht="16.5" customHeight="1" x14ac:dyDescent="0.2">
      <c r="A599" s="3"/>
      <c r="B599" s="3"/>
      <c r="C599" s="3"/>
      <c r="D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  <c r="BK599" s="3"/>
      <c r="BL599" s="3"/>
      <c r="BM599" s="3"/>
      <c r="BN599" s="3"/>
      <c r="BO599" s="3"/>
    </row>
    <row r="600" spans="1:67" ht="16.5" customHeight="1" x14ac:dyDescent="0.2">
      <c r="A600" s="3"/>
      <c r="B600" s="3"/>
      <c r="C600" s="3"/>
      <c r="D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  <c r="BK600" s="3"/>
      <c r="BL600" s="3"/>
      <c r="BM600" s="3"/>
      <c r="BN600" s="3"/>
      <c r="BO600" s="3"/>
    </row>
    <row r="601" spans="1:67" ht="16.5" customHeight="1" x14ac:dyDescent="0.2">
      <c r="A601" s="3"/>
      <c r="B601" s="3"/>
      <c r="C601" s="3"/>
      <c r="D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  <c r="BK601" s="3"/>
      <c r="BL601" s="3"/>
      <c r="BM601" s="3"/>
      <c r="BN601" s="3"/>
      <c r="BO601" s="3"/>
    </row>
    <row r="602" spans="1:67" ht="16.5" customHeight="1" x14ac:dyDescent="0.2">
      <c r="A602" s="3"/>
      <c r="B602" s="3"/>
      <c r="C602" s="3"/>
      <c r="D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  <c r="BK602" s="3"/>
      <c r="BL602" s="3"/>
      <c r="BM602" s="3"/>
      <c r="BN602" s="3"/>
      <c r="BO602" s="3"/>
    </row>
    <row r="603" spans="1:67" ht="16.5" customHeight="1" x14ac:dyDescent="0.2">
      <c r="A603" s="3"/>
      <c r="B603" s="3"/>
      <c r="C603" s="3"/>
      <c r="D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  <c r="BK603" s="3"/>
      <c r="BL603" s="3"/>
      <c r="BM603" s="3"/>
      <c r="BN603" s="3"/>
      <c r="BO603" s="3"/>
    </row>
    <row r="604" spans="1:67" ht="16.5" customHeight="1" x14ac:dyDescent="0.2">
      <c r="A604" s="3"/>
      <c r="B604" s="3"/>
      <c r="C604" s="3"/>
      <c r="D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  <c r="BK604" s="3"/>
      <c r="BL604" s="3"/>
      <c r="BM604" s="3"/>
      <c r="BN604" s="3"/>
      <c r="BO604" s="3"/>
    </row>
    <row r="605" spans="1:67" ht="16.5" customHeight="1" x14ac:dyDescent="0.2">
      <c r="A605" s="3"/>
      <c r="B605" s="3"/>
      <c r="C605" s="3"/>
      <c r="D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  <c r="BK605" s="3"/>
      <c r="BL605" s="3"/>
      <c r="BM605" s="3"/>
      <c r="BN605" s="3"/>
      <c r="BO605" s="3"/>
    </row>
    <row r="606" spans="1:67" ht="16.5" customHeight="1" x14ac:dyDescent="0.2">
      <c r="A606" s="3"/>
      <c r="B606" s="3"/>
      <c r="C606" s="3"/>
      <c r="D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  <c r="BK606" s="3"/>
      <c r="BL606" s="3"/>
      <c r="BM606" s="3"/>
      <c r="BN606" s="3"/>
      <c r="BO606" s="3"/>
    </row>
    <row r="607" spans="1:67" ht="16.5" customHeight="1" x14ac:dyDescent="0.2">
      <c r="A607" s="3"/>
      <c r="B607" s="3"/>
      <c r="C607" s="3"/>
      <c r="D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  <c r="BK607" s="3"/>
      <c r="BL607" s="3"/>
      <c r="BM607" s="3"/>
      <c r="BN607" s="3"/>
      <c r="BO607" s="3"/>
    </row>
    <row r="608" spans="1:67" ht="16.5" customHeight="1" x14ac:dyDescent="0.2">
      <c r="A608" s="3"/>
      <c r="B608" s="3"/>
      <c r="C608" s="3"/>
      <c r="D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  <c r="BK608" s="3"/>
      <c r="BL608" s="3"/>
      <c r="BM608" s="3"/>
      <c r="BN608" s="3"/>
      <c r="BO608" s="3"/>
    </row>
    <row r="609" spans="1:67" ht="16.5" customHeight="1" x14ac:dyDescent="0.2">
      <c r="A609" s="3"/>
      <c r="B609" s="3"/>
      <c r="C609" s="3"/>
      <c r="D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  <c r="BK609" s="3"/>
      <c r="BL609" s="3"/>
      <c r="BM609" s="3"/>
      <c r="BN609" s="3"/>
      <c r="BO609" s="3"/>
    </row>
    <row r="610" spans="1:67" ht="16.5" customHeight="1" x14ac:dyDescent="0.2">
      <c r="A610" s="3"/>
      <c r="B610" s="3"/>
      <c r="C610" s="3"/>
      <c r="D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  <c r="BK610" s="3"/>
      <c r="BL610" s="3"/>
      <c r="BM610" s="3"/>
      <c r="BN610" s="3"/>
      <c r="BO610" s="3"/>
    </row>
    <row r="611" spans="1:67" ht="16.5" customHeight="1" x14ac:dyDescent="0.2">
      <c r="A611" s="3"/>
      <c r="B611" s="3"/>
      <c r="C611" s="3"/>
      <c r="D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  <c r="BK611" s="3"/>
      <c r="BL611" s="3"/>
      <c r="BM611" s="3"/>
      <c r="BN611" s="3"/>
      <c r="BO611" s="3"/>
    </row>
    <row r="612" spans="1:67" ht="16.5" customHeight="1" x14ac:dyDescent="0.2">
      <c r="A612" s="3"/>
      <c r="B612" s="3"/>
      <c r="C612" s="3"/>
      <c r="D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  <c r="BK612" s="3"/>
      <c r="BL612" s="3"/>
      <c r="BM612" s="3"/>
      <c r="BN612" s="3"/>
      <c r="BO612" s="3"/>
    </row>
    <row r="613" spans="1:67" ht="16.5" customHeight="1" x14ac:dyDescent="0.2">
      <c r="A613" s="3"/>
      <c r="B613" s="3"/>
      <c r="C613" s="3"/>
      <c r="D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  <c r="BK613" s="3"/>
      <c r="BL613" s="3"/>
      <c r="BM613" s="3"/>
      <c r="BN613" s="3"/>
      <c r="BO613" s="3"/>
    </row>
    <row r="614" spans="1:67" ht="16.5" customHeight="1" x14ac:dyDescent="0.2">
      <c r="A614" s="3"/>
      <c r="B614" s="3"/>
      <c r="C614" s="3"/>
      <c r="D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  <c r="BK614" s="3"/>
      <c r="BL614" s="3"/>
      <c r="BM614" s="3"/>
      <c r="BN614" s="3"/>
      <c r="BO614" s="3"/>
    </row>
    <row r="615" spans="1:67" ht="16.5" customHeight="1" x14ac:dyDescent="0.2">
      <c r="A615" s="3"/>
      <c r="B615" s="3"/>
      <c r="C615" s="3"/>
      <c r="D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  <c r="BK615" s="3"/>
      <c r="BL615" s="3"/>
      <c r="BM615" s="3"/>
      <c r="BN615" s="3"/>
      <c r="BO615" s="3"/>
    </row>
    <row r="616" spans="1:67" ht="16.5" customHeight="1" x14ac:dyDescent="0.2">
      <c r="A616" s="3"/>
      <c r="B616" s="3"/>
      <c r="C616" s="3"/>
      <c r="D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  <c r="BK616" s="3"/>
      <c r="BL616" s="3"/>
      <c r="BM616" s="3"/>
      <c r="BN616" s="3"/>
      <c r="BO616" s="3"/>
    </row>
    <row r="617" spans="1:67" ht="16.5" customHeight="1" x14ac:dyDescent="0.2">
      <c r="A617" s="3"/>
      <c r="B617" s="3"/>
      <c r="C617" s="3"/>
      <c r="D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  <c r="BK617" s="3"/>
      <c r="BL617" s="3"/>
      <c r="BM617" s="3"/>
      <c r="BN617" s="3"/>
      <c r="BO617" s="3"/>
    </row>
    <row r="618" spans="1:67" ht="16.5" customHeight="1" x14ac:dyDescent="0.2">
      <c r="A618" s="3"/>
      <c r="B618" s="3"/>
      <c r="C618" s="3"/>
      <c r="D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  <c r="BK618" s="3"/>
      <c r="BL618" s="3"/>
      <c r="BM618" s="3"/>
      <c r="BN618" s="3"/>
      <c r="BO618" s="3"/>
    </row>
    <row r="619" spans="1:67" ht="16.5" customHeight="1" x14ac:dyDescent="0.2">
      <c r="A619" s="3"/>
      <c r="B619" s="3"/>
      <c r="C619" s="3"/>
      <c r="D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  <c r="BK619" s="3"/>
      <c r="BL619" s="3"/>
      <c r="BM619" s="3"/>
      <c r="BN619" s="3"/>
      <c r="BO619" s="3"/>
    </row>
    <row r="620" spans="1:67" ht="16.5" customHeight="1" x14ac:dyDescent="0.2">
      <c r="A620" s="3"/>
      <c r="B620" s="3"/>
      <c r="C620" s="3"/>
      <c r="D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  <c r="BK620" s="3"/>
      <c r="BL620" s="3"/>
      <c r="BM620" s="3"/>
      <c r="BN620" s="3"/>
      <c r="BO620" s="3"/>
    </row>
    <row r="621" spans="1:67" ht="16.5" customHeight="1" x14ac:dyDescent="0.2">
      <c r="A621" s="3"/>
      <c r="B621" s="3"/>
      <c r="C621" s="3"/>
      <c r="D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  <c r="BK621" s="3"/>
      <c r="BL621" s="3"/>
      <c r="BM621" s="3"/>
      <c r="BN621" s="3"/>
      <c r="BO621" s="3"/>
    </row>
    <row r="622" spans="1:67" ht="16.5" customHeight="1" x14ac:dyDescent="0.2">
      <c r="A622" s="3"/>
      <c r="B622" s="3"/>
      <c r="C622" s="3"/>
      <c r="D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  <c r="BK622" s="3"/>
      <c r="BL622" s="3"/>
      <c r="BM622" s="3"/>
      <c r="BN622" s="3"/>
      <c r="BO622" s="3"/>
    </row>
    <row r="623" spans="1:67" ht="16.5" customHeight="1" x14ac:dyDescent="0.2">
      <c r="A623" s="3"/>
      <c r="B623" s="3"/>
      <c r="C623" s="3"/>
      <c r="D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  <c r="BK623" s="3"/>
      <c r="BL623" s="3"/>
      <c r="BM623" s="3"/>
      <c r="BN623" s="3"/>
      <c r="BO623" s="3"/>
    </row>
    <row r="624" spans="1:67" ht="16.5" customHeight="1" x14ac:dyDescent="0.2">
      <c r="A624" s="3"/>
      <c r="B624" s="3"/>
      <c r="C624" s="3"/>
      <c r="D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  <c r="BK624" s="3"/>
      <c r="BL624" s="3"/>
      <c r="BM624" s="3"/>
      <c r="BN624" s="3"/>
      <c r="BO624" s="3"/>
    </row>
    <row r="625" spans="1:67" ht="16.5" customHeight="1" x14ac:dyDescent="0.2">
      <c r="A625" s="3"/>
      <c r="B625" s="3"/>
      <c r="C625" s="3"/>
      <c r="D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  <c r="BK625" s="3"/>
      <c r="BL625" s="3"/>
      <c r="BM625" s="3"/>
      <c r="BN625" s="3"/>
      <c r="BO625" s="3"/>
    </row>
    <row r="626" spans="1:67" ht="16.5" customHeight="1" x14ac:dyDescent="0.2">
      <c r="A626" s="3"/>
      <c r="B626" s="3"/>
      <c r="C626" s="3"/>
      <c r="D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  <c r="BK626" s="3"/>
      <c r="BL626" s="3"/>
      <c r="BM626" s="3"/>
      <c r="BN626" s="3"/>
      <c r="BO626" s="3"/>
    </row>
    <row r="627" spans="1:67" ht="16.5" customHeight="1" x14ac:dyDescent="0.2">
      <c r="A627" s="3"/>
      <c r="B627" s="3"/>
      <c r="C627" s="3"/>
      <c r="D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  <c r="BK627" s="3"/>
      <c r="BL627" s="3"/>
      <c r="BM627" s="3"/>
      <c r="BN627" s="3"/>
      <c r="BO627" s="3"/>
    </row>
    <row r="628" spans="1:67" ht="16.5" customHeight="1" x14ac:dyDescent="0.2">
      <c r="A628" s="3"/>
      <c r="B628" s="3"/>
      <c r="C628" s="3"/>
      <c r="D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  <c r="BK628" s="3"/>
      <c r="BL628" s="3"/>
      <c r="BM628" s="3"/>
      <c r="BN628" s="3"/>
      <c r="BO628" s="3"/>
    </row>
    <row r="629" spans="1:67" ht="16.5" customHeight="1" x14ac:dyDescent="0.2">
      <c r="A629" s="3"/>
      <c r="B629" s="3"/>
      <c r="C629" s="3"/>
      <c r="D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  <c r="BK629" s="3"/>
      <c r="BL629" s="3"/>
      <c r="BM629" s="3"/>
      <c r="BN629" s="3"/>
      <c r="BO629" s="3"/>
    </row>
    <row r="630" spans="1:67" ht="16.5" customHeight="1" x14ac:dyDescent="0.2">
      <c r="A630" s="3"/>
      <c r="B630" s="3"/>
      <c r="C630" s="3"/>
      <c r="D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  <c r="BK630" s="3"/>
      <c r="BL630" s="3"/>
      <c r="BM630" s="3"/>
      <c r="BN630" s="3"/>
      <c r="BO630" s="3"/>
    </row>
    <row r="631" spans="1:67" ht="16.5" customHeight="1" x14ac:dyDescent="0.2">
      <c r="A631" s="3"/>
      <c r="B631" s="3"/>
      <c r="C631" s="3"/>
      <c r="D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  <c r="BK631" s="3"/>
      <c r="BL631" s="3"/>
      <c r="BM631" s="3"/>
      <c r="BN631" s="3"/>
      <c r="BO631" s="3"/>
    </row>
    <row r="632" spans="1:67" ht="16.5" customHeight="1" x14ac:dyDescent="0.2">
      <c r="A632" s="3"/>
      <c r="B632" s="3"/>
      <c r="C632" s="3"/>
      <c r="D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  <c r="BK632" s="3"/>
      <c r="BL632" s="3"/>
      <c r="BM632" s="3"/>
      <c r="BN632" s="3"/>
      <c r="BO632" s="3"/>
    </row>
    <row r="633" spans="1:67" ht="16.5" customHeight="1" x14ac:dyDescent="0.2">
      <c r="A633" s="3"/>
      <c r="B633" s="3"/>
      <c r="C633" s="3"/>
      <c r="D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  <c r="BK633" s="3"/>
      <c r="BL633" s="3"/>
      <c r="BM633" s="3"/>
      <c r="BN633" s="3"/>
      <c r="BO633" s="3"/>
    </row>
    <row r="634" spans="1:67" ht="16.5" customHeight="1" x14ac:dyDescent="0.2">
      <c r="A634" s="3"/>
      <c r="B634" s="3"/>
      <c r="C634" s="3"/>
      <c r="D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  <c r="BK634" s="3"/>
      <c r="BL634" s="3"/>
      <c r="BM634" s="3"/>
      <c r="BN634" s="3"/>
      <c r="BO634" s="3"/>
    </row>
    <row r="635" spans="1:67" ht="16.5" customHeight="1" x14ac:dyDescent="0.2">
      <c r="A635" s="3"/>
      <c r="B635" s="3"/>
      <c r="C635" s="3"/>
      <c r="D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  <c r="BK635" s="3"/>
      <c r="BL635" s="3"/>
      <c r="BM635" s="3"/>
      <c r="BN635" s="3"/>
      <c r="BO635" s="3"/>
    </row>
    <row r="636" spans="1:67" ht="16.5" customHeight="1" x14ac:dyDescent="0.2">
      <c r="A636" s="3"/>
      <c r="B636" s="3"/>
      <c r="C636" s="3"/>
      <c r="D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  <c r="BK636" s="3"/>
      <c r="BL636" s="3"/>
      <c r="BM636" s="3"/>
      <c r="BN636" s="3"/>
      <c r="BO636" s="3"/>
    </row>
    <row r="637" spans="1:67" ht="16.5" customHeight="1" x14ac:dyDescent="0.2">
      <c r="A637" s="3"/>
      <c r="B637" s="3"/>
      <c r="C637" s="3"/>
      <c r="D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  <c r="BK637" s="3"/>
      <c r="BL637" s="3"/>
      <c r="BM637" s="3"/>
      <c r="BN637" s="3"/>
      <c r="BO637" s="3"/>
    </row>
    <row r="638" spans="1:67" ht="16.5" customHeight="1" x14ac:dyDescent="0.2">
      <c r="A638" s="3"/>
      <c r="B638" s="3"/>
      <c r="C638" s="3"/>
      <c r="D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  <c r="BK638" s="3"/>
      <c r="BL638" s="3"/>
      <c r="BM638" s="3"/>
      <c r="BN638" s="3"/>
      <c r="BO638" s="3"/>
    </row>
    <row r="639" spans="1:67" ht="16.5" customHeight="1" x14ac:dyDescent="0.2">
      <c r="A639" s="3"/>
      <c r="B639" s="3"/>
      <c r="C639" s="3"/>
      <c r="D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  <c r="BK639" s="3"/>
      <c r="BL639" s="3"/>
      <c r="BM639" s="3"/>
      <c r="BN639" s="3"/>
      <c r="BO639" s="3"/>
    </row>
    <row r="640" spans="1:67" ht="16.5" customHeight="1" x14ac:dyDescent="0.2">
      <c r="A640" s="3"/>
      <c r="B640" s="3"/>
      <c r="C640" s="3"/>
      <c r="D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  <c r="BK640" s="3"/>
      <c r="BL640" s="3"/>
      <c r="BM640" s="3"/>
      <c r="BN640" s="3"/>
      <c r="BO640" s="3"/>
    </row>
    <row r="641" spans="1:67" ht="16.5" customHeight="1" x14ac:dyDescent="0.2">
      <c r="A641" s="3"/>
      <c r="B641" s="3"/>
      <c r="C641" s="3"/>
      <c r="D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  <c r="BK641" s="3"/>
      <c r="BL641" s="3"/>
      <c r="BM641" s="3"/>
      <c r="BN641" s="3"/>
      <c r="BO641" s="3"/>
    </row>
    <row r="642" spans="1:67" ht="16.5" customHeight="1" x14ac:dyDescent="0.2">
      <c r="A642" s="3"/>
      <c r="B642" s="3"/>
      <c r="C642" s="3"/>
      <c r="D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  <c r="BK642" s="3"/>
      <c r="BL642" s="3"/>
      <c r="BM642" s="3"/>
      <c r="BN642" s="3"/>
      <c r="BO642" s="3"/>
    </row>
    <row r="643" spans="1:67" ht="16.5" customHeight="1" x14ac:dyDescent="0.2">
      <c r="A643" s="3"/>
      <c r="B643" s="3"/>
      <c r="C643" s="3"/>
      <c r="D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  <c r="BK643" s="3"/>
      <c r="BL643" s="3"/>
      <c r="BM643" s="3"/>
      <c r="BN643" s="3"/>
      <c r="BO643" s="3"/>
    </row>
    <row r="644" spans="1:67" ht="16.5" customHeight="1" x14ac:dyDescent="0.2">
      <c r="A644" s="3"/>
      <c r="B644" s="3"/>
      <c r="C644" s="3"/>
      <c r="D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  <c r="BK644" s="3"/>
      <c r="BL644" s="3"/>
      <c r="BM644" s="3"/>
      <c r="BN644" s="3"/>
      <c r="BO644" s="3"/>
    </row>
    <row r="645" spans="1:67" ht="16.5" customHeight="1" x14ac:dyDescent="0.2">
      <c r="A645" s="3"/>
      <c r="B645" s="3"/>
      <c r="C645" s="3"/>
      <c r="D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  <c r="BK645" s="3"/>
      <c r="BL645" s="3"/>
      <c r="BM645" s="3"/>
      <c r="BN645" s="3"/>
      <c r="BO645" s="3"/>
    </row>
    <row r="646" spans="1:67" ht="16.5" customHeight="1" x14ac:dyDescent="0.2">
      <c r="A646" s="3"/>
      <c r="B646" s="3"/>
      <c r="C646" s="3"/>
      <c r="D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  <c r="BK646" s="3"/>
      <c r="BL646" s="3"/>
      <c r="BM646" s="3"/>
      <c r="BN646" s="3"/>
      <c r="BO646" s="3"/>
    </row>
    <row r="647" spans="1:67" ht="16.5" customHeight="1" x14ac:dyDescent="0.2">
      <c r="A647" s="3"/>
      <c r="B647" s="3"/>
      <c r="C647" s="3"/>
      <c r="D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  <c r="BK647" s="3"/>
      <c r="BL647" s="3"/>
      <c r="BM647" s="3"/>
      <c r="BN647" s="3"/>
      <c r="BO647" s="3"/>
    </row>
    <row r="648" spans="1:67" ht="16.5" customHeight="1" x14ac:dyDescent="0.2">
      <c r="A648" s="3"/>
      <c r="B648" s="3"/>
      <c r="C648" s="3"/>
      <c r="D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  <c r="BK648" s="3"/>
      <c r="BL648" s="3"/>
      <c r="BM648" s="3"/>
      <c r="BN648" s="3"/>
      <c r="BO648" s="3"/>
    </row>
    <row r="649" spans="1:67" ht="16.5" customHeight="1" x14ac:dyDescent="0.2">
      <c r="A649" s="3"/>
      <c r="B649" s="3"/>
      <c r="C649" s="3"/>
      <c r="D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  <c r="BK649" s="3"/>
      <c r="BL649" s="3"/>
      <c r="BM649" s="3"/>
      <c r="BN649" s="3"/>
      <c r="BO649" s="3"/>
    </row>
    <row r="650" spans="1:67" ht="16.5" customHeight="1" x14ac:dyDescent="0.2">
      <c r="A650" s="3"/>
      <c r="B650" s="3"/>
      <c r="C650" s="3"/>
      <c r="D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  <c r="BK650" s="3"/>
      <c r="BL650" s="3"/>
      <c r="BM650" s="3"/>
      <c r="BN650" s="3"/>
      <c r="BO650" s="3"/>
    </row>
    <row r="651" spans="1:67" ht="16.5" customHeight="1" x14ac:dyDescent="0.2">
      <c r="A651" s="3"/>
      <c r="B651" s="3"/>
      <c r="C651" s="3"/>
      <c r="D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  <c r="BK651" s="3"/>
      <c r="BL651" s="3"/>
      <c r="BM651" s="3"/>
      <c r="BN651" s="3"/>
      <c r="BO651" s="3"/>
    </row>
    <row r="652" spans="1:67" ht="16.5" customHeight="1" x14ac:dyDescent="0.2">
      <c r="A652" s="3"/>
      <c r="B652" s="3"/>
      <c r="C652" s="3"/>
      <c r="D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  <c r="BK652" s="3"/>
      <c r="BL652" s="3"/>
      <c r="BM652" s="3"/>
      <c r="BN652" s="3"/>
      <c r="BO652" s="3"/>
    </row>
    <row r="653" spans="1:67" ht="16.5" customHeight="1" x14ac:dyDescent="0.2">
      <c r="A653" s="3"/>
      <c r="B653" s="3"/>
      <c r="C653" s="3"/>
      <c r="D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  <c r="BK653" s="3"/>
      <c r="BL653" s="3"/>
      <c r="BM653" s="3"/>
      <c r="BN653" s="3"/>
      <c r="BO653" s="3"/>
    </row>
    <row r="654" spans="1:67" ht="16.5" customHeight="1" x14ac:dyDescent="0.2">
      <c r="A654" s="3"/>
      <c r="B654" s="3"/>
      <c r="C654" s="3"/>
      <c r="D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  <c r="BK654" s="3"/>
      <c r="BL654" s="3"/>
      <c r="BM654" s="3"/>
      <c r="BN654" s="3"/>
      <c r="BO654" s="3"/>
    </row>
    <row r="655" spans="1:67" ht="16.5" customHeight="1" x14ac:dyDescent="0.2">
      <c r="A655" s="3"/>
      <c r="B655" s="3"/>
      <c r="C655" s="3"/>
      <c r="D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  <c r="BK655" s="3"/>
      <c r="BL655" s="3"/>
      <c r="BM655" s="3"/>
      <c r="BN655" s="3"/>
      <c r="BO655" s="3"/>
    </row>
    <row r="656" spans="1:67" ht="16.5" customHeight="1" x14ac:dyDescent="0.2">
      <c r="A656" s="3"/>
      <c r="B656" s="3"/>
      <c r="C656" s="3"/>
      <c r="D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  <c r="BK656" s="3"/>
      <c r="BL656" s="3"/>
      <c r="BM656" s="3"/>
      <c r="BN656" s="3"/>
      <c r="BO656" s="3"/>
    </row>
    <row r="657" spans="1:67" ht="16.5" customHeight="1" x14ac:dyDescent="0.2">
      <c r="A657" s="3"/>
      <c r="B657" s="3"/>
      <c r="C657" s="3"/>
      <c r="D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  <c r="BK657" s="3"/>
      <c r="BL657" s="3"/>
      <c r="BM657" s="3"/>
      <c r="BN657" s="3"/>
      <c r="BO657" s="3"/>
    </row>
    <row r="658" spans="1:67" ht="16.5" customHeight="1" x14ac:dyDescent="0.2">
      <c r="A658" s="3"/>
      <c r="B658" s="3"/>
      <c r="C658" s="3"/>
      <c r="D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  <c r="BK658" s="3"/>
      <c r="BL658" s="3"/>
      <c r="BM658" s="3"/>
      <c r="BN658" s="3"/>
      <c r="BO658" s="3"/>
    </row>
    <row r="659" spans="1:67" ht="16.5" customHeight="1" x14ac:dyDescent="0.2">
      <c r="A659" s="3"/>
      <c r="B659" s="3"/>
      <c r="C659" s="3"/>
      <c r="D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  <c r="BK659" s="3"/>
      <c r="BL659" s="3"/>
      <c r="BM659" s="3"/>
      <c r="BN659" s="3"/>
      <c r="BO659" s="3"/>
    </row>
    <row r="660" spans="1:67" ht="16.5" customHeight="1" x14ac:dyDescent="0.2">
      <c r="A660" s="3"/>
      <c r="B660" s="3"/>
      <c r="C660" s="3"/>
      <c r="D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  <c r="BK660" s="3"/>
      <c r="BL660" s="3"/>
      <c r="BM660" s="3"/>
      <c r="BN660" s="3"/>
      <c r="BO660" s="3"/>
    </row>
    <row r="661" spans="1:67" ht="16.5" customHeight="1" x14ac:dyDescent="0.2">
      <c r="A661" s="3"/>
      <c r="B661" s="3"/>
      <c r="C661" s="3"/>
      <c r="D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  <c r="BK661" s="3"/>
      <c r="BL661" s="3"/>
      <c r="BM661" s="3"/>
      <c r="BN661" s="3"/>
      <c r="BO661" s="3"/>
    </row>
    <row r="662" spans="1:67" ht="16.5" customHeight="1" x14ac:dyDescent="0.2">
      <c r="A662" s="3"/>
      <c r="B662" s="3"/>
      <c r="C662" s="3"/>
      <c r="D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  <c r="BK662" s="3"/>
      <c r="BL662" s="3"/>
      <c r="BM662" s="3"/>
      <c r="BN662" s="3"/>
      <c r="BO662" s="3"/>
    </row>
    <row r="663" spans="1:67" ht="16.5" customHeight="1" x14ac:dyDescent="0.2">
      <c r="A663" s="3"/>
      <c r="B663" s="3"/>
      <c r="C663" s="3"/>
      <c r="D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  <c r="BK663" s="3"/>
      <c r="BL663" s="3"/>
      <c r="BM663" s="3"/>
      <c r="BN663" s="3"/>
      <c r="BO663" s="3"/>
    </row>
    <row r="664" spans="1:67" ht="16.5" customHeight="1" x14ac:dyDescent="0.2">
      <c r="A664" s="3"/>
      <c r="B664" s="3"/>
      <c r="C664" s="3"/>
      <c r="D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  <c r="BK664" s="3"/>
      <c r="BL664" s="3"/>
      <c r="BM664" s="3"/>
      <c r="BN664" s="3"/>
      <c r="BO664" s="3"/>
    </row>
    <row r="665" spans="1:67" ht="16.5" customHeight="1" x14ac:dyDescent="0.2">
      <c r="A665" s="3"/>
      <c r="B665" s="3"/>
      <c r="C665" s="3"/>
      <c r="D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  <c r="BK665" s="3"/>
      <c r="BL665" s="3"/>
      <c r="BM665" s="3"/>
      <c r="BN665" s="3"/>
      <c r="BO665" s="3"/>
    </row>
    <row r="666" spans="1:67" ht="16.5" customHeight="1" x14ac:dyDescent="0.2">
      <c r="A666" s="3"/>
      <c r="B666" s="3"/>
      <c r="C666" s="3"/>
      <c r="D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  <c r="BK666" s="3"/>
      <c r="BL666" s="3"/>
      <c r="BM666" s="3"/>
      <c r="BN666" s="3"/>
      <c r="BO666" s="3"/>
    </row>
    <row r="667" spans="1:67" ht="16.5" customHeight="1" x14ac:dyDescent="0.2">
      <c r="A667" s="3"/>
      <c r="B667" s="3"/>
      <c r="C667" s="3"/>
      <c r="D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  <c r="BK667" s="3"/>
      <c r="BL667" s="3"/>
      <c r="BM667" s="3"/>
      <c r="BN667" s="3"/>
      <c r="BO667" s="3"/>
    </row>
    <row r="668" spans="1:67" ht="16.5" customHeight="1" x14ac:dyDescent="0.2">
      <c r="A668" s="3"/>
      <c r="B668" s="3"/>
      <c r="C668" s="3"/>
      <c r="D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  <c r="BK668" s="3"/>
      <c r="BL668" s="3"/>
      <c r="BM668" s="3"/>
      <c r="BN668" s="3"/>
      <c r="BO668" s="3"/>
    </row>
    <row r="669" spans="1:67" ht="16.5" customHeight="1" x14ac:dyDescent="0.2">
      <c r="A669" s="3"/>
      <c r="B669" s="3"/>
      <c r="C669" s="3"/>
      <c r="D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  <c r="BK669" s="3"/>
      <c r="BL669" s="3"/>
      <c r="BM669" s="3"/>
      <c r="BN669" s="3"/>
      <c r="BO669" s="3"/>
    </row>
    <row r="670" spans="1:67" ht="16.5" customHeight="1" x14ac:dyDescent="0.2">
      <c r="A670" s="3"/>
      <c r="B670" s="3"/>
      <c r="C670" s="3"/>
      <c r="D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  <c r="BK670" s="3"/>
      <c r="BL670" s="3"/>
      <c r="BM670" s="3"/>
      <c r="BN670" s="3"/>
      <c r="BO670" s="3"/>
    </row>
    <row r="671" spans="1:67" ht="16.5" customHeight="1" x14ac:dyDescent="0.2">
      <c r="A671" s="3"/>
      <c r="B671" s="3"/>
      <c r="C671" s="3"/>
      <c r="D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  <c r="BK671" s="3"/>
      <c r="BL671" s="3"/>
      <c r="BM671" s="3"/>
      <c r="BN671" s="3"/>
      <c r="BO671" s="3"/>
    </row>
    <row r="672" spans="1:67" ht="16.5" customHeight="1" x14ac:dyDescent="0.2">
      <c r="A672" s="3"/>
      <c r="B672" s="3"/>
      <c r="C672" s="3"/>
      <c r="D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  <c r="BK672" s="3"/>
      <c r="BL672" s="3"/>
      <c r="BM672" s="3"/>
      <c r="BN672" s="3"/>
      <c r="BO672" s="3"/>
    </row>
    <row r="673" spans="1:67" ht="16.5" customHeight="1" x14ac:dyDescent="0.2">
      <c r="A673" s="3"/>
      <c r="B673" s="3"/>
      <c r="C673" s="3"/>
      <c r="D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  <c r="BK673" s="3"/>
      <c r="BL673" s="3"/>
      <c r="BM673" s="3"/>
      <c r="BN673" s="3"/>
      <c r="BO673" s="3"/>
    </row>
    <row r="674" spans="1:67" ht="16.5" customHeight="1" x14ac:dyDescent="0.2">
      <c r="A674" s="3"/>
      <c r="B674" s="3"/>
      <c r="C674" s="3"/>
      <c r="D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  <c r="BK674" s="3"/>
      <c r="BL674" s="3"/>
      <c r="BM674" s="3"/>
      <c r="BN674" s="3"/>
      <c r="BO674" s="3"/>
    </row>
    <row r="675" spans="1:67" ht="16.5" customHeight="1" x14ac:dyDescent="0.2">
      <c r="A675" s="3"/>
      <c r="B675" s="3"/>
      <c r="C675" s="3"/>
      <c r="D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  <c r="BK675" s="3"/>
      <c r="BL675" s="3"/>
      <c r="BM675" s="3"/>
      <c r="BN675" s="3"/>
      <c r="BO675" s="3"/>
    </row>
    <row r="676" spans="1:67" ht="16.5" customHeight="1" x14ac:dyDescent="0.2">
      <c r="A676" s="3"/>
      <c r="B676" s="3"/>
      <c r="C676" s="3"/>
      <c r="D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  <c r="BK676" s="3"/>
      <c r="BL676" s="3"/>
      <c r="BM676" s="3"/>
      <c r="BN676" s="3"/>
      <c r="BO676" s="3"/>
    </row>
    <row r="677" spans="1:67" ht="16.5" customHeight="1" x14ac:dyDescent="0.2">
      <c r="A677" s="3"/>
      <c r="B677" s="3"/>
      <c r="C677" s="3"/>
      <c r="D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  <c r="BK677" s="3"/>
      <c r="BL677" s="3"/>
      <c r="BM677" s="3"/>
      <c r="BN677" s="3"/>
      <c r="BO677" s="3"/>
    </row>
    <row r="678" spans="1:67" ht="16.5" customHeight="1" x14ac:dyDescent="0.2">
      <c r="A678" s="3"/>
      <c r="B678" s="3"/>
      <c r="C678" s="3"/>
      <c r="D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  <c r="BK678" s="3"/>
      <c r="BL678" s="3"/>
      <c r="BM678" s="3"/>
      <c r="BN678" s="3"/>
      <c r="BO678" s="3"/>
    </row>
    <row r="679" spans="1:67" ht="16.5" customHeight="1" x14ac:dyDescent="0.2">
      <c r="A679" s="3"/>
      <c r="B679" s="3"/>
      <c r="C679" s="3"/>
      <c r="D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  <c r="BK679" s="3"/>
      <c r="BL679" s="3"/>
      <c r="BM679" s="3"/>
      <c r="BN679" s="3"/>
      <c r="BO679" s="3"/>
    </row>
    <row r="680" spans="1:67" ht="16.5" customHeight="1" x14ac:dyDescent="0.2">
      <c r="A680" s="3"/>
      <c r="B680" s="3"/>
      <c r="C680" s="3"/>
      <c r="D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  <c r="BK680" s="3"/>
      <c r="BL680" s="3"/>
      <c r="BM680" s="3"/>
      <c r="BN680" s="3"/>
      <c r="BO680" s="3"/>
    </row>
    <row r="681" spans="1:67" ht="16.5" customHeight="1" x14ac:dyDescent="0.2">
      <c r="A681" s="3"/>
      <c r="B681" s="3"/>
      <c r="C681" s="3"/>
      <c r="D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  <c r="BK681" s="3"/>
      <c r="BL681" s="3"/>
      <c r="BM681" s="3"/>
      <c r="BN681" s="3"/>
      <c r="BO681" s="3"/>
    </row>
    <row r="682" spans="1:67" ht="16.5" customHeight="1" x14ac:dyDescent="0.2">
      <c r="A682" s="3"/>
      <c r="B682" s="3"/>
      <c r="C682" s="3"/>
      <c r="D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  <c r="BK682" s="3"/>
      <c r="BL682" s="3"/>
      <c r="BM682" s="3"/>
      <c r="BN682" s="3"/>
      <c r="BO682" s="3"/>
    </row>
    <row r="683" spans="1:67" ht="16.5" customHeight="1" x14ac:dyDescent="0.2">
      <c r="A683" s="3"/>
      <c r="B683" s="3"/>
      <c r="C683" s="3"/>
      <c r="D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  <c r="BK683" s="3"/>
      <c r="BL683" s="3"/>
      <c r="BM683" s="3"/>
      <c r="BN683" s="3"/>
      <c r="BO683" s="3"/>
    </row>
    <row r="684" spans="1:67" ht="16.5" customHeight="1" x14ac:dyDescent="0.2">
      <c r="A684" s="3"/>
      <c r="B684" s="3"/>
      <c r="C684" s="3"/>
      <c r="D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  <c r="BK684" s="3"/>
      <c r="BL684" s="3"/>
      <c r="BM684" s="3"/>
      <c r="BN684" s="3"/>
      <c r="BO684" s="3"/>
    </row>
    <row r="685" spans="1:67" ht="16.5" customHeight="1" x14ac:dyDescent="0.2">
      <c r="A685" s="3"/>
      <c r="B685" s="3"/>
      <c r="C685" s="3"/>
      <c r="D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  <c r="BK685" s="3"/>
      <c r="BL685" s="3"/>
      <c r="BM685" s="3"/>
      <c r="BN685" s="3"/>
      <c r="BO685" s="3"/>
    </row>
    <row r="686" spans="1:67" ht="16.5" customHeight="1" x14ac:dyDescent="0.2">
      <c r="A686" s="3"/>
      <c r="B686" s="3"/>
      <c r="C686" s="3"/>
      <c r="D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  <c r="BK686" s="3"/>
      <c r="BL686" s="3"/>
      <c r="BM686" s="3"/>
      <c r="BN686" s="3"/>
      <c r="BO686" s="3"/>
    </row>
    <row r="687" spans="1:67" ht="16.5" customHeight="1" x14ac:dyDescent="0.2">
      <c r="A687" s="3"/>
      <c r="B687" s="3"/>
      <c r="C687" s="3"/>
      <c r="D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  <c r="BK687" s="3"/>
      <c r="BL687" s="3"/>
      <c r="BM687" s="3"/>
      <c r="BN687" s="3"/>
      <c r="BO687" s="3"/>
    </row>
    <row r="688" spans="1:67" ht="16.5" customHeight="1" x14ac:dyDescent="0.2">
      <c r="A688" s="3"/>
      <c r="B688" s="3"/>
      <c r="C688" s="3"/>
      <c r="D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  <c r="BK688" s="3"/>
      <c r="BL688" s="3"/>
      <c r="BM688" s="3"/>
      <c r="BN688" s="3"/>
      <c r="BO688" s="3"/>
    </row>
    <row r="689" spans="1:67" ht="16.5" customHeight="1" x14ac:dyDescent="0.2">
      <c r="A689" s="3"/>
      <c r="B689" s="3"/>
      <c r="C689" s="3"/>
      <c r="D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  <c r="BK689" s="3"/>
      <c r="BL689" s="3"/>
      <c r="BM689" s="3"/>
      <c r="BN689" s="3"/>
      <c r="BO689" s="3"/>
    </row>
    <row r="690" spans="1:67" ht="16.5" customHeight="1" x14ac:dyDescent="0.2">
      <c r="A690" s="3"/>
      <c r="B690" s="3"/>
      <c r="C690" s="3"/>
      <c r="D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  <c r="BK690" s="3"/>
      <c r="BL690" s="3"/>
      <c r="BM690" s="3"/>
      <c r="BN690" s="3"/>
      <c r="BO690" s="3"/>
    </row>
    <row r="691" spans="1:67" ht="16.5" customHeight="1" x14ac:dyDescent="0.2">
      <c r="A691" s="3"/>
      <c r="B691" s="3"/>
      <c r="C691" s="3"/>
      <c r="D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  <c r="BK691" s="3"/>
      <c r="BL691" s="3"/>
      <c r="BM691" s="3"/>
      <c r="BN691" s="3"/>
      <c r="BO691" s="3"/>
    </row>
    <row r="692" spans="1:67" ht="16.5" customHeight="1" x14ac:dyDescent="0.2">
      <c r="A692" s="3"/>
      <c r="B692" s="3"/>
      <c r="C692" s="3"/>
      <c r="D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  <c r="BK692" s="3"/>
      <c r="BL692" s="3"/>
      <c r="BM692" s="3"/>
      <c r="BN692" s="3"/>
      <c r="BO692" s="3"/>
    </row>
    <row r="693" spans="1:67" ht="16.5" customHeight="1" x14ac:dyDescent="0.2">
      <c r="A693" s="3"/>
      <c r="B693" s="3"/>
      <c r="C693" s="3"/>
      <c r="D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  <c r="BK693" s="3"/>
      <c r="BL693" s="3"/>
      <c r="BM693" s="3"/>
      <c r="BN693" s="3"/>
      <c r="BO693" s="3"/>
    </row>
    <row r="694" spans="1:67" ht="16.5" customHeight="1" x14ac:dyDescent="0.2">
      <c r="A694" s="3"/>
      <c r="B694" s="3"/>
      <c r="C694" s="3"/>
      <c r="D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  <c r="BK694" s="3"/>
      <c r="BL694" s="3"/>
      <c r="BM694" s="3"/>
      <c r="BN694" s="3"/>
      <c r="BO694" s="3"/>
    </row>
    <row r="695" spans="1:67" ht="16.5" customHeight="1" x14ac:dyDescent="0.2">
      <c r="A695" s="3"/>
      <c r="B695" s="3"/>
      <c r="C695" s="3"/>
      <c r="D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  <c r="BK695" s="3"/>
      <c r="BL695" s="3"/>
      <c r="BM695" s="3"/>
      <c r="BN695" s="3"/>
      <c r="BO695" s="3"/>
    </row>
    <row r="696" spans="1:67" ht="16.5" customHeight="1" x14ac:dyDescent="0.2">
      <c r="A696" s="3"/>
      <c r="B696" s="3"/>
      <c r="C696" s="3"/>
      <c r="D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  <c r="BK696" s="3"/>
      <c r="BL696" s="3"/>
      <c r="BM696" s="3"/>
      <c r="BN696" s="3"/>
      <c r="BO696" s="3"/>
    </row>
    <row r="697" spans="1:67" ht="16.5" customHeight="1" x14ac:dyDescent="0.2">
      <c r="A697" s="3"/>
      <c r="B697" s="3"/>
      <c r="C697" s="3"/>
      <c r="D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  <c r="BK697" s="3"/>
      <c r="BL697" s="3"/>
      <c r="BM697" s="3"/>
      <c r="BN697" s="3"/>
      <c r="BO697" s="3"/>
    </row>
    <row r="698" spans="1:67" ht="16.5" customHeight="1" x14ac:dyDescent="0.2">
      <c r="A698" s="3"/>
      <c r="B698" s="3"/>
      <c r="C698" s="3"/>
      <c r="D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  <c r="BK698" s="3"/>
      <c r="BL698" s="3"/>
      <c r="BM698" s="3"/>
      <c r="BN698" s="3"/>
      <c r="BO698" s="3"/>
    </row>
    <row r="699" spans="1:67" ht="16.5" customHeight="1" x14ac:dyDescent="0.2">
      <c r="A699" s="3"/>
      <c r="B699" s="3"/>
      <c r="C699" s="3"/>
      <c r="D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  <c r="BK699" s="3"/>
      <c r="BL699" s="3"/>
      <c r="BM699" s="3"/>
      <c r="BN699" s="3"/>
      <c r="BO699" s="3"/>
    </row>
    <row r="700" spans="1:67" ht="16.5" customHeight="1" x14ac:dyDescent="0.2">
      <c r="A700" s="3"/>
      <c r="B700" s="3"/>
      <c r="C700" s="3"/>
      <c r="D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  <c r="BK700" s="3"/>
      <c r="BL700" s="3"/>
      <c r="BM700" s="3"/>
      <c r="BN700" s="3"/>
      <c r="BO700" s="3"/>
    </row>
    <row r="701" spans="1:67" ht="16.5" customHeight="1" x14ac:dyDescent="0.2">
      <c r="A701" s="3"/>
      <c r="B701" s="3"/>
      <c r="C701" s="3"/>
      <c r="D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  <c r="BK701" s="3"/>
      <c r="BL701" s="3"/>
      <c r="BM701" s="3"/>
      <c r="BN701" s="3"/>
      <c r="BO701" s="3"/>
    </row>
    <row r="702" spans="1:67" ht="16.5" customHeight="1" x14ac:dyDescent="0.2">
      <c r="A702" s="3"/>
      <c r="B702" s="3"/>
      <c r="C702" s="3"/>
      <c r="D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  <c r="BK702" s="3"/>
      <c r="BL702" s="3"/>
      <c r="BM702" s="3"/>
      <c r="BN702" s="3"/>
      <c r="BO702" s="3"/>
    </row>
    <row r="703" spans="1:67" ht="16.5" customHeight="1" x14ac:dyDescent="0.2">
      <c r="A703" s="3"/>
      <c r="B703" s="3"/>
      <c r="C703" s="3"/>
      <c r="D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  <c r="BK703" s="3"/>
      <c r="BL703" s="3"/>
      <c r="BM703" s="3"/>
      <c r="BN703" s="3"/>
      <c r="BO703" s="3"/>
    </row>
    <row r="704" spans="1:67" ht="16.5" customHeight="1" x14ac:dyDescent="0.2">
      <c r="A704" s="3"/>
      <c r="B704" s="3"/>
      <c r="C704" s="3"/>
      <c r="D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  <c r="BK704" s="3"/>
      <c r="BL704" s="3"/>
      <c r="BM704" s="3"/>
      <c r="BN704" s="3"/>
      <c r="BO704" s="3"/>
    </row>
    <row r="705" spans="1:67" ht="16.5" customHeight="1" x14ac:dyDescent="0.2">
      <c r="A705" s="3"/>
      <c r="B705" s="3"/>
      <c r="C705" s="3"/>
      <c r="D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  <c r="BK705" s="3"/>
      <c r="BL705" s="3"/>
      <c r="BM705" s="3"/>
      <c r="BN705" s="3"/>
      <c r="BO705" s="3"/>
    </row>
    <row r="706" spans="1:67" ht="16.5" customHeight="1" x14ac:dyDescent="0.2">
      <c r="A706" s="3"/>
      <c r="B706" s="3"/>
      <c r="C706" s="3"/>
      <c r="D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  <c r="BK706" s="3"/>
      <c r="BL706" s="3"/>
      <c r="BM706" s="3"/>
      <c r="BN706" s="3"/>
      <c r="BO706" s="3"/>
    </row>
    <row r="707" spans="1:67" ht="16.5" customHeight="1" x14ac:dyDescent="0.2">
      <c r="A707" s="3"/>
      <c r="B707" s="3"/>
      <c r="C707" s="3"/>
      <c r="D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  <c r="BK707" s="3"/>
      <c r="BL707" s="3"/>
      <c r="BM707" s="3"/>
      <c r="BN707" s="3"/>
      <c r="BO707" s="3"/>
    </row>
    <row r="708" spans="1:67" ht="16.5" customHeight="1" x14ac:dyDescent="0.2">
      <c r="A708" s="3"/>
      <c r="B708" s="3"/>
      <c r="C708" s="3"/>
      <c r="D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  <c r="BK708" s="3"/>
      <c r="BL708" s="3"/>
      <c r="BM708" s="3"/>
      <c r="BN708" s="3"/>
      <c r="BO708" s="3"/>
    </row>
    <row r="709" spans="1:67" ht="16.5" customHeight="1" x14ac:dyDescent="0.2">
      <c r="A709" s="3"/>
      <c r="B709" s="3"/>
      <c r="C709" s="3"/>
      <c r="D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  <c r="BK709" s="3"/>
      <c r="BL709" s="3"/>
      <c r="BM709" s="3"/>
      <c r="BN709" s="3"/>
      <c r="BO709" s="3"/>
    </row>
    <row r="710" spans="1:67" ht="16.5" customHeight="1" x14ac:dyDescent="0.2">
      <c r="A710" s="3"/>
      <c r="B710" s="3"/>
      <c r="C710" s="3"/>
      <c r="D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  <c r="BK710" s="3"/>
      <c r="BL710" s="3"/>
      <c r="BM710" s="3"/>
      <c r="BN710" s="3"/>
      <c r="BO710" s="3"/>
    </row>
    <row r="711" spans="1:67" ht="16.5" customHeight="1" x14ac:dyDescent="0.2">
      <c r="A711" s="3"/>
      <c r="B711" s="3"/>
      <c r="C711" s="3"/>
      <c r="D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  <c r="BK711" s="3"/>
      <c r="BL711" s="3"/>
      <c r="BM711" s="3"/>
      <c r="BN711" s="3"/>
      <c r="BO711" s="3"/>
    </row>
    <row r="712" spans="1:67" ht="16.5" customHeight="1" x14ac:dyDescent="0.2">
      <c r="A712" s="3"/>
      <c r="B712" s="3"/>
      <c r="C712" s="3"/>
      <c r="D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  <c r="BK712" s="3"/>
      <c r="BL712" s="3"/>
      <c r="BM712" s="3"/>
      <c r="BN712" s="3"/>
      <c r="BO712" s="3"/>
    </row>
    <row r="713" spans="1:67" ht="16.5" customHeight="1" x14ac:dyDescent="0.2">
      <c r="A713" s="3"/>
      <c r="B713" s="3"/>
      <c r="C713" s="3"/>
      <c r="D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  <c r="BK713" s="3"/>
      <c r="BL713" s="3"/>
      <c r="BM713" s="3"/>
      <c r="BN713" s="3"/>
      <c r="BO713" s="3"/>
    </row>
    <row r="714" spans="1:67" ht="16.5" customHeight="1" x14ac:dyDescent="0.2">
      <c r="A714" s="3"/>
      <c r="B714" s="3"/>
      <c r="C714" s="3"/>
      <c r="D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  <c r="BK714" s="3"/>
      <c r="BL714" s="3"/>
      <c r="BM714" s="3"/>
      <c r="BN714" s="3"/>
      <c r="BO714" s="3"/>
    </row>
    <row r="715" spans="1:67" ht="16.5" customHeight="1" x14ac:dyDescent="0.2">
      <c r="A715" s="3"/>
      <c r="B715" s="3"/>
      <c r="C715" s="3"/>
      <c r="D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  <c r="BK715" s="3"/>
      <c r="BL715" s="3"/>
      <c r="BM715" s="3"/>
      <c r="BN715" s="3"/>
      <c r="BO715" s="3"/>
    </row>
    <row r="716" spans="1:67" ht="16.5" customHeight="1" x14ac:dyDescent="0.2">
      <c r="A716" s="3"/>
      <c r="B716" s="3"/>
      <c r="C716" s="3"/>
      <c r="D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  <c r="BK716" s="3"/>
      <c r="BL716" s="3"/>
      <c r="BM716" s="3"/>
      <c r="BN716" s="3"/>
      <c r="BO716" s="3"/>
    </row>
    <row r="717" spans="1:67" ht="16.5" customHeight="1" x14ac:dyDescent="0.2">
      <c r="A717" s="3"/>
      <c r="B717" s="3"/>
      <c r="C717" s="3"/>
      <c r="D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  <c r="BK717" s="3"/>
      <c r="BL717" s="3"/>
      <c r="BM717" s="3"/>
      <c r="BN717" s="3"/>
      <c r="BO717" s="3"/>
    </row>
    <row r="718" spans="1:67" ht="16.5" customHeight="1" x14ac:dyDescent="0.2">
      <c r="A718" s="3"/>
      <c r="B718" s="3"/>
      <c r="C718" s="3"/>
      <c r="D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  <c r="BK718" s="3"/>
      <c r="BL718" s="3"/>
      <c r="BM718" s="3"/>
      <c r="BN718" s="3"/>
      <c r="BO718" s="3"/>
    </row>
    <row r="719" spans="1:67" ht="16.5" customHeight="1" x14ac:dyDescent="0.2">
      <c r="A719" s="3"/>
      <c r="B719" s="3"/>
      <c r="C719" s="3"/>
      <c r="D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  <c r="BK719" s="3"/>
      <c r="BL719" s="3"/>
      <c r="BM719" s="3"/>
      <c r="BN719" s="3"/>
      <c r="BO719" s="3"/>
    </row>
    <row r="720" spans="1:67" ht="16.5" customHeight="1" x14ac:dyDescent="0.2">
      <c r="A720" s="3"/>
      <c r="B720" s="3"/>
      <c r="C720" s="3"/>
      <c r="D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  <c r="BK720" s="3"/>
      <c r="BL720" s="3"/>
      <c r="BM720" s="3"/>
      <c r="BN720" s="3"/>
      <c r="BO720" s="3"/>
    </row>
    <row r="721" spans="1:67" ht="16.5" customHeight="1" x14ac:dyDescent="0.2">
      <c r="A721" s="3"/>
      <c r="B721" s="3"/>
      <c r="C721" s="3"/>
      <c r="D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  <c r="BK721" s="3"/>
      <c r="BL721" s="3"/>
      <c r="BM721" s="3"/>
      <c r="BN721" s="3"/>
      <c r="BO721" s="3"/>
    </row>
    <row r="722" spans="1:67" ht="16.5" customHeight="1" x14ac:dyDescent="0.2">
      <c r="A722" s="3"/>
      <c r="B722" s="3"/>
      <c r="C722" s="3"/>
      <c r="D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  <c r="BK722" s="3"/>
      <c r="BL722" s="3"/>
      <c r="BM722" s="3"/>
      <c r="BN722" s="3"/>
      <c r="BO722" s="3"/>
    </row>
    <row r="723" spans="1:67" ht="16.5" customHeight="1" x14ac:dyDescent="0.2">
      <c r="A723" s="3"/>
      <c r="B723" s="3"/>
      <c r="C723" s="3"/>
      <c r="D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  <c r="BK723" s="3"/>
      <c r="BL723" s="3"/>
      <c r="BM723" s="3"/>
      <c r="BN723" s="3"/>
      <c r="BO723" s="3"/>
    </row>
    <row r="724" spans="1:67" ht="16.5" customHeight="1" x14ac:dyDescent="0.2">
      <c r="A724" s="3"/>
      <c r="B724" s="3"/>
      <c r="C724" s="3"/>
      <c r="D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  <c r="BK724" s="3"/>
      <c r="BL724" s="3"/>
      <c r="BM724" s="3"/>
      <c r="BN724" s="3"/>
      <c r="BO724" s="3"/>
    </row>
    <row r="725" spans="1:67" ht="16.5" customHeight="1" x14ac:dyDescent="0.2">
      <c r="A725" s="3"/>
      <c r="B725" s="3"/>
      <c r="C725" s="3"/>
      <c r="D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  <c r="BK725" s="3"/>
      <c r="BL725" s="3"/>
      <c r="BM725" s="3"/>
      <c r="BN725" s="3"/>
      <c r="BO725" s="3"/>
    </row>
    <row r="726" spans="1:67" ht="16.5" customHeight="1" x14ac:dyDescent="0.2">
      <c r="A726" s="3"/>
      <c r="B726" s="3"/>
      <c r="C726" s="3"/>
      <c r="D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  <c r="BK726" s="3"/>
      <c r="BL726" s="3"/>
      <c r="BM726" s="3"/>
      <c r="BN726" s="3"/>
      <c r="BO726" s="3"/>
    </row>
    <row r="727" spans="1:67" ht="16.5" customHeight="1" x14ac:dyDescent="0.2">
      <c r="A727" s="3"/>
      <c r="B727" s="3"/>
      <c r="C727" s="3"/>
      <c r="D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  <c r="BK727" s="3"/>
      <c r="BL727" s="3"/>
      <c r="BM727" s="3"/>
      <c r="BN727" s="3"/>
      <c r="BO727" s="3"/>
    </row>
    <row r="728" spans="1:67" ht="16.5" customHeight="1" x14ac:dyDescent="0.2">
      <c r="A728" s="3"/>
      <c r="B728" s="3"/>
      <c r="C728" s="3"/>
      <c r="D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  <c r="BK728" s="3"/>
      <c r="BL728" s="3"/>
      <c r="BM728" s="3"/>
      <c r="BN728" s="3"/>
      <c r="BO728" s="3"/>
    </row>
    <row r="729" spans="1:67" ht="16.5" customHeight="1" x14ac:dyDescent="0.2">
      <c r="A729" s="3"/>
      <c r="B729" s="3"/>
      <c r="C729" s="3"/>
      <c r="D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  <c r="BK729" s="3"/>
      <c r="BL729" s="3"/>
      <c r="BM729" s="3"/>
      <c r="BN729" s="3"/>
      <c r="BO729" s="3"/>
    </row>
    <row r="730" spans="1:67" ht="16.5" customHeight="1" x14ac:dyDescent="0.2">
      <c r="A730" s="3"/>
      <c r="B730" s="3"/>
      <c r="C730" s="3"/>
      <c r="D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  <c r="BK730" s="3"/>
      <c r="BL730" s="3"/>
      <c r="BM730" s="3"/>
      <c r="BN730" s="3"/>
      <c r="BO730" s="3"/>
    </row>
    <row r="731" spans="1:67" ht="16.5" customHeight="1" x14ac:dyDescent="0.2">
      <c r="A731" s="3"/>
      <c r="B731" s="3"/>
      <c r="C731" s="3"/>
      <c r="D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  <c r="BK731" s="3"/>
      <c r="BL731" s="3"/>
      <c r="BM731" s="3"/>
      <c r="BN731" s="3"/>
      <c r="BO731" s="3"/>
    </row>
    <row r="732" spans="1:67" ht="16.5" customHeight="1" x14ac:dyDescent="0.2">
      <c r="A732" s="3"/>
      <c r="B732" s="3"/>
      <c r="C732" s="3"/>
      <c r="D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  <c r="BK732" s="3"/>
      <c r="BL732" s="3"/>
      <c r="BM732" s="3"/>
      <c r="BN732" s="3"/>
      <c r="BO732" s="3"/>
    </row>
    <row r="733" spans="1:67" ht="16.5" customHeight="1" x14ac:dyDescent="0.2">
      <c r="A733" s="3"/>
      <c r="B733" s="3"/>
      <c r="C733" s="3"/>
      <c r="D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  <c r="BK733" s="3"/>
      <c r="BL733" s="3"/>
      <c r="BM733" s="3"/>
      <c r="BN733" s="3"/>
      <c r="BO733" s="3"/>
    </row>
    <row r="734" spans="1:67" ht="16.5" customHeight="1" x14ac:dyDescent="0.2">
      <c r="A734" s="3"/>
      <c r="B734" s="3"/>
      <c r="C734" s="3"/>
      <c r="D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  <c r="BK734" s="3"/>
      <c r="BL734" s="3"/>
      <c r="BM734" s="3"/>
      <c r="BN734" s="3"/>
      <c r="BO734" s="3"/>
    </row>
    <row r="735" spans="1:67" ht="16.5" customHeight="1" x14ac:dyDescent="0.2">
      <c r="A735" s="3"/>
      <c r="B735" s="3"/>
      <c r="C735" s="3"/>
      <c r="D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  <c r="BK735" s="3"/>
      <c r="BL735" s="3"/>
      <c r="BM735" s="3"/>
      <c r="BN735" s="3"/>
      <c r="BO735" s="3"/>
    </row>
    <row r="736" spans="1:67" ht="16.5" customHeight="1" x14ac:dyDescent="0.2">
      <c r="A736" s="3"/>
      <c r="B736" s="3"/>
      <c r="C736" s="3"/>
      <c r="D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  <c r="BK736" s="3"/>
      <c r="BL736" s="3"/>
      <c r="BM736" s="3"/>
      <c r="BN736" s="3"/>
      <c r="BO736" s="3"/>
    </row>
    <row r="737" spans="1:67" ht="16.5" customHeight="1" x14ac:dyDescent="0.2">
      <c r="A737" s="3"/>
      <c r="B737" s="3"/>
      <c r="C737" s="3"/>
      <c r="D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  <c r="BK737" s="3"/>
      <c r="BL737" s="3"/>
      <c r="BM737" s="3"/>
      <c r="BN737" s="3"/>
      <c r="BO737" s="3"/>
    </row>
    <row r="738" spans="1:67" ht="16.5" customHeight="1" x14ac:dyDescent="0.2">
      <c r="A738" s="3"/>
      <c r="B738" s="3"/>
      <c r="C738" s="3"/>
      <c r="D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  <c r="BK738" s="3"/>
      <c r="BL738" s="3"/>
      <c r="BM738" s="3"/>
      <c r="BN738" s="3"/>
      <c r="BO738" s="3"/>
    </row>
    <row r="739" spans="1:67" ht="16.5" customHeight="1" x14ac:dyDescent="0.2">
      <c r="A739" s="3"/>
      <c r="B739" s="3"/>
      <c r="C739" s="3"/>
      <c r="D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  <c r="BK739" s="3"/>
      <c r="BL739" s="3"/>
      <c r="BM739" s="3"/>
      <c r="BN739" s="3"/>
      <c r="BO739" s="3"/>
    </row>
    <row r="740" spans="1:67" ht="16.5" customHeight="1" x14ac:dyDescent="0.2">
      <c r="A740" s="3"/>
      <c r="B740" s="3"/>
      <c r="C740" s="3"/>
      <c r="D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  <c r="BK740" s="3"/>
      <c r="BL740" s="3"/>
      <c r="BM740" s="3"/>
      <c r="BN740" s="3"/>
      <c r="BO740" s="3"/>
    </row>
    <row r="741" spans="1:67" ht="16.5" customHeight="1" x14ac:dyDescent="0.2">
      <c r="A741" s="3"/>
      <c r="B741" s="3"/>
      <c r="C741" s="3"/>
      <c r="D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  <c r="BK741" s="3"/>
      <c r="BL741" s="3"/>
      <c r="BM741" s="3"/>
      <c r="BN741" s="3"/>
      <c r="BO741" s="3"/>
    </row>
    <row r="742" spans="1:67" ht="16.5" customHeight="1" x14ac:dyDescent="0.2">
      <c r="A742" s="3"/>
      <c r="B742" s="3"/>
      <c r="C742" s="3"/>
      <c r="D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  <c r="BK742" s="3"/>
      <c r="BL742" s="3"/>
      <c r="BM742" s="3"/>
      <c r="BN742" s="3"/>
      <c r="BO742" s="3"/>
    </row>
    <row r="743" spans="1:67" ht="16.5" customHeight="1" x14ac:dyDescent="0.2">
      <c r="A743" s="3"/>
      <c r="B743" s="3"/>
      <c r="C743" s="3"/>
      <c r="D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  <c r="BK743" s="3"/>
      <c r="BL743" s="3"/>
      <c r="BM743" s="3"/>
      <c r="BN743" s="3"/>
      <c r="BO743" s="3"/>
    </row>
    <row r="744" spans="1:67" ht="16.5" customHeight="1" x14ac:dyDescent="0.2">
      <c r="A744" s="3"/>
      <c r="B744" s="3"/>
      <c r="C744" s="3"/>
      <c r="D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  <c r="BK744" s="3"/>
      <c r="BL744" s="3"/>
      <c r="BM744" s="3"/>
      <c r="BN744" s="3"/>
      <c r="BO744" s="3"/>
    </row>
    <row r="745" spans="1:67" ht="16.5" customHeight="1" x14ac:dyDescent="0.2">
      <c r="A745" s="3"/>
      <c r="B745" s="3"/>
      <c r="C745" s="3"/>
      <c r="D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  <c r="BK745" s="3"/>
      <c r="BL745" s="3"/>
      <c r="BM745" s="3"/>
      <c r="BN745" s="3"/>
      <c r="BO745" s="3"/>
    </row>
    <row r="746" spans="1:67" ht="16.5" customHeight="1" x14ac:dyDescent="0.2">
      <c r="A746" s="3"/>
      <c r="B746" s="3"/>
      <c r="C746" s="3"/>
      <c r="D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  <c r="BK746" s="3"/>
      <c r="BL746" s="3"/>
      <c r="BM746" s="3"/>
      <c r="BN746" s="3"/>
      <c r="BO746" s="3"/>
    </row>
    <row r="747" spans="1:67" ht="16.5" customHeight="1" x14ac:dyDescent="0.2">
      <c r="A747" s="3"/>
      <c r="B747" s="3"/>
      <c r="C747" s="3"/>
      <c r="D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  <c r="BK747" s="3"/>
      <c r="BL747" s="3"/>
      <c r="BM747" s="3"/>
      <c r="BN747" s="3"/>
      <c r="BO747" s="3"/>
    </row>
    <row r="748" spans="1:67" ht="16.5" customHeight="1" x14ac:dyDescent="0.2">
      <c r="A748" s="3"/>
      <c r="B748" s="3"/>
      <c r="C748" s="3"/>
      <c r="D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  <c r="BK748" s="3"/>
      <c r="BL748" s="3"/>
      <c r="BM748" s="3"/>
      <c r="BN748" s="3"/>
      <c r="BO748" s="3"/>
    </row>
    <row r="749" spans="1:67" ht="16.5" customHeight="1" x14ac:dyDescent="0.2">
      <c r="A749" s="3"/>
      <c r="B749" s="3"/>
      <c r="C749" s="3"/>
      <c r="D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  <c r="BK749" s="3"/>
      <c r="BL749" s="3"/>
      <c r="BM749" s="3"/>
      <c r="BN749" s="3"/>
      <c r="BO749" s="3"/>
    </row>
    <row r="750" spans="1:67" ht="16.5" customHeight="1" x14ac:dyDescent="0.2">
      <c r="A750" s="3"/>
      <c r="B750" s="3"/>
      <c r="C750" s="3"/>
      <c r="D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  <c r="BK750" s="3"/>
      <c r="BL750" s="3"/>
      <c r="BM750" s="3"/>
      <c r="BN750" s="3"/>
      <c r="BO750" s="3"/>
    </row>
    <row r="751" spans="1:67" ht="16.5" customHeight="1" x14ac:dyDescent="0.2">
      <c r="A751" s="3"/>
      <c r="B751" s="3"/>
      <c r="C751" s="3"/>
      <c r="D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  <c r="BK751" s="3"/>
      <c r="BL751" s="3"/>
      <c r="BM751" s="3"/>
      <c r="BN751" s="3"/>
      <c r="BO751" s="3"/>
    </row>
    <row r="752" spans="1:67" ht="16.5" customHeight="1" x14ac:dyDescent="0.2">
      <c r="A752" s="3"/>
      <c r="B752" s="3"/>
      <c r="C752" s="3"/>
      <c r="D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  <c r="BK752" s="3"/>
      <c r="BL752" s="3"/>
      <c r="BM752" s="3"/>
      <c r="BN752" s="3"/>
      <c r="BO752" s="3"/>
    </row>
    <row r="753" spans="1:67" ht="16.5" customHeight="1" x14ac:dyDescent="0.2">
      <c r="A753" s="3"/>
      <c r="B753" s="3"/>
      <c r="C753" s="3"/>
      <c r="D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  <c r="BK753" s="3"/>
      <c r="BL753" s="3"/>
      <c r="BM753" s="3"/>
      <c r="BN753" s="3"/>
      <c r="BO753" s="3"/>
    </row>
    <row r="754" spans="1:67" ht="16.5" customHeight="1" x14ac:dyDescent="0.2">
      <c r="A754" s="3"/>
      <c r="B754" s="3"/>
      <c r="C754" s="3"/>
      <c r="D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  <c r="BK754" s="3"/>
      <c r="BL754" s="3"/>
      <c r="BM754" s="3"/>
      <c r="BN754" s="3"/>
      <c r="BO754" s="3"/>
    </row>
    <row r="755" spans="1:67" ht="16.5" customHeight="1" x14ac:dyDescent="0.2">
      <c r="A755" s="3"/>
      <c r="B755" s="3"/>
      <c r="C755" s="3"/>
      <c r="D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  <c r="BK755" s="3"/>
      <c r="BL755" s="3"/>
      <c r="BM755" s="3"/>
      <c r="BN755" s="3"/>
      <c r="BO755" s="3"/>
    </row>
    <row r="756" spans="1:67" ht="16.5" customHeight="1" x14ac:dyDescent="0.2">
      <c r="A756" s="3"/>
      <c r="B756" s="3"/>
      <c r="C756" s="3"/>
      <c r="D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  <c r="BK756" s="3"/>
      <c r="BL756" s="3"/>
      <c r="BM756" s="3"/>
      <c r="BN756" s="3"/>
      <c r="BO756" s="3"/>
    </row>
    <row r="757" spans="1:67" ht="16.5" customHeight="1" x14ac:dyDescent="0.2">
      <c r="A757" s="3"/>
      <c r="B757" s="3"/>
      <c r="C757" s="3"/>
      <c r="D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  <c r="BK757" s="3"/>
      <c r="BL757" s="3"/>
      <c r="BM757" s="3"/>
      <c r="BN757" s="3"/>
      <c r="BO757" s="3"/>
    </row>
    <row r="758" spans="1:67" ht="16.5" customHeight="1" x14ac:dyDescent="0.2">
      <c r="A758" s="3"/>
      <c r="B758" s="3"/>
      <c r="C758" s="3"/>
      <c r="D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  <c r="BK758" s="3"/>
      <c r="BL758" s="3"/>
      <c r="BM758" s="3"/>
      <c r="BN758" s="3"/>
      <c r="BO758" s="3"/>
    </row>
    <row r="759" spans="1:67" ht="16.5" customHeight="1" x14ac:dyDescent="0.2">
      <c r="A759" s="3"/>
      <c r="B759" s="3"/>
      <c r="C759" s="3"/>
      <c r="D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  <c r="BK759" s="3"/>
      <c r="BL759" s="3"/>
      <c r="BM759" s="3"/>
      <c r="BN759" s="3"/>
      <c r="BO759" s="3"/>
    </row>
    <row r="760" spans="1:67" ht="16.5" customHeight="1" x14ac:dyDescent="0.2">
      <c r="A760" s="3"/>
      <c r="B760" s="3"/>
      <c r="C760" s="3"/>
      <c r="D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  <c r="BK760" s="3"/>
      <c r="BL760" s="3"/>
      <c r="BM760" s="3"/>
      <c r="BN760" s="3"/>
      <c r="BO760" s="3"/>
    </row>
    <row r="761" spans="1:67" ht="16.5" customHeight="1" x14ac:dyDescent="0.2">
      <c r="A761" s="3"/>
      <c r="B761" s="3"/>
      <c r="C761" s="3"/>
      <c r="D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  <c r="BK761" s="3"/>
      <c r="BL761" s="3"/>
      <c r="BM761" s="3"/>
      <c r="BN761" s="3"/>
      <c r="BO761" s="3"/>
    </row>
    <row r="762" spans="1:67" ht="16.5" customHeight="1" x14ac:dyDescent="0.2">
      <c r="A762" s="3"/>
      <c r="B762" s="3"/>
      <c r="C762" s="3"/>
      <c r="D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  <c r="BK762" s="3"/>
      <c r="BL762" s="3"/>
      <c r="BM762" s="3"/>
      <c r="BN762" s="3"/>
      <c r="BO762" s="3"/>
    </row>
    <row r="763" spans="1:67" ht="16.5" customHeight="1" x14ac:dyDescent="0.2">
      <c r="A763" s="3"/>
      <c r="B763" s="3"/>
      <c r="C763" s="3"/>
      <c r="D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  <c r="BK763" s="3"/>
      <c r="BL763" s="3"/>
      <c r="BM763" s="3"/>
      <c r="BN763" s="3"/>
      <c r="BO763" s="3"/>
    </row>
    <row r="764" spans="1:67" ht="16.5" customHeight="1" x14ac:dyDescent="0.2">
      <c r="A764" s="3"/>
      <c r="B764" s="3"/>
      <c r="C764" s="3"/>
      <c r="D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  <c r="BK764" s="3"/>
      <c r="BL764" s="3"/>
      <c r="BM764" s="3"/>
      <c r="BN764" s="3"/>
      <c r="BO764" s="3"/>
    </row>
    <row r="765" spans="1:67" ht="16.5" customHeight="1" x14ac:dyDescent="0.2">
      <c r="A765" s="3"/>
      <c r="B765" s="3"/>
      <c r="C765" s="3"/>
      <c r="D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  <c r="BK765" s="3"/>
      <c r="BL765" s="3"/>
      <c r="BM765" s="3"/>
      <c r="BN765" s="3"/>
      <c r="BO765" s="3"/>
    </row>
    <row r="766" spans="1:67" ht="16.5" customHeight="1" x14ac:dyDescent="0.2">
      <c r="A766" s="3"/>
      <c r="B766" s="3"/>
      <c r="C766" s="3"/>
      <c r="D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  <c r="BK766" s="3"/>
      <c r="BL766" s="3"/>
      <c r="BM766" s="3"/>
      <c r="BN766" s="3"/>
      <c r="BO766" s="3"/>
    </row>
    <row r="767" spans="1:67" ht="16.5" customHeight="1" x14ac:dyDescent="0.2">
      <c r="A767" s="3"/>
      <c r="B767" s="3"/>
      <c r="C767" s="3"/>
      <c r="D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  <c r="BK767" s="3"/>
      <c r="BL767" s="3"/>
      <c r="BM767" s="3"/>
      <c r="BN767" s="3"/>
      <c r="BO767" s="3"/>
    </row>
    <row r="768" spans="1:67" ht="16.5" customHeight="1" x14ac:dyDescent="0.2">
      <c r="A768" s="3"/>
      <c r="B768" s="3"/>
      <c r="C768" s="3"/>
      <c r="D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  <c r="BK768" s="3"/>
      <c r="BL768" s="3"/>
      <c r="BM768" s="3"/>
      <c r="BN768" s="3"/>
      <c r="BO768" s="3"/>
    </row>
    <row r="769" spans="1:67" ht="16.5" customHeight="1" x14ac:dyDescent="0.2">
      <c r="A769" s="3"/>
      <c r="B769" s="3"/>
      <c r="C769" s="3"/>
      <c r="D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  <c r="BK769" s="3"/>
      <c r="BL769" s="3"/>
      <c r="BM769" s="3"/>
      <c r="BN769" s="3"/>
      <c r="BO769" s="3"/>
    </row>
    <row r="770" spans="1:67" ht="16.5" customHeight="1" x14ac:dyDescent="0.2">
      <c r="A770" s="3"/>
      <c r="B770" s="3"/>
      <c r="C770" s="3"/>
      <c r="D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  <c r="BK770" s="3"/>
      <c r="BL770" s="3"/>
      <c r="BM770" s="3"/>
      <c r="BN770" s="3"/>
      <c r="BO770" s="3"/>
    </row>
    <row r="771" spans="1:67" ht="16.5" customHeight="1" x14ac:dyDescent="0.2">
      <c r="A771" s="3"/>
      <c r="B771" s="3"/>
      <c r="C771" s="3"/>
      <c r="D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  <c r="BK771" s="3"/>
      <c r="BL771" s="3"/>
      <c r="BM771" s="3"/>
      <c r="BN771" s="3"/>
      <c r="BO771" s="3"/>
    </row>
    <row r="772" spans="1:67" ht="16.5" customHeight="1" x14ac:dyDescent="0.2">
      <c r="A772" s="3"/>
      <c r="B772" s="3"/>
      <c r="C772" s="3"/>
      <c r="D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  <c r="BK772" s="3"/>
      <c r="BL772" s="3"/>
      <c r="BM772" s="3"/>
      <c r="BN772" s="3"/>
      <c r="BO772" s="3"/>
    </row>
    <row r="773" spans="1:67" ht="16.5" customHeight="1" x14ac:dyDescent="0.2">
      <c r="A773" s="3"/>
      <c r="B773" s="3"/>
      <c r="C773" s="3"/>
      <c r="D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  <c r="BK773" s="3"/>
      <c r="BL773" s="3"/>
      <c r="BM773" s="3"/>
      <c r="BN773" s="3"/>
      <c r="BO773" s="3"/>
    </row>
    <row r="774" spans="1:67" ht="16.5" customHeight="1" x14ac:dyDescent="0.2">
      <c r="A774" s="3"/>
      <c r="B774" s="3"/>
      <c r="C774" s="3"/>
      <c r="D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  <c r="BK774" s="3"/>
      <c r="BL774" s="3"/>
      <c r="BM774" s="3"/>
      <c r="BN774" s="3"/>
      <c r="BO774" s="3"/>
    </row>
    <row r="775" spans="1:67" ht="16.5" customHeight="1" x14ac:dyDescent="0.2">
      <c r="A775" s="3"/>
      <c r="B775" s="3"/>
      <c r="C775" s="3"/>
      <c r="D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  <c r="BK775" s="3"/>
      <c r="BL775" s="3"/>
      <c r="BM775" s="3"/>
      <c r="BN775" s="3"/>
      <c r="BO775" s="3"/>
    </row>
    <row r="776" spans="1:67" ht="16.5" customHeight="1" x14ac:dyDescent="0.2">
      <c r="A776" s="3"/>
      <c r="B776" s="3"/>
      <c r="C776" s="3"/>
      <c r="D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  <c r="BK776" s="3"/>
      <c r="BL776" s="3"/>
      <c r="BM776" s="3"/>
      <c r="BN776" s="3"/>
      <c r="BO776" s="3"/>
    </row>
    <row r="777" spans="1:67" ht="16.5" customHeight="1" x14ac:dyDescent="0.2">
      <c r="A777" s="3"/>
      <c r="B777" s="3"/>
      <c r="C777" s="3"/>
      <c r="D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  <c r="BK777" s="3"/>
      <c r="BL777" s="3"/>
      <c r="BM777" s="3"/>
      <c r="BN777" s="3"/>
      <c r="BO777" s="3"/>
    </row>
    <row r="778" spans="1:67" ht="16.5" customHeight="1" x14ac:dyDescent="0.2">
      <c r="A778" s="3"/>
      <c r="B778" s="3"/>
      <c r="C778" s="3"/>
      <c r="D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  <c r="BK778" s="3"/>
      <c r="BL778" s="3"/>
      <c r="BM778" s="3"/>
      <c r="BN778" s="3"/>
      <c r="BO778" s="3"/>
    </row>
    <row r="779" spans="1:67" ht="16.5" customHeight="1" x14ac:dyDescent="0.2">
      <c r="A779" s="3"/>
      <c r="B779" s="3"/>
      <c r="C779" s="3"/>
      <c r="D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  <c r="BK779" s="3"/>
      <c r="BL779" s="3"/>
      <c r="BM779" s="3"/>
      <c r="BN779" s="3"/>
      <c r="BO779" s="3"/>
    </row>
    <row r="780" spans="1:67" ht="16.5" customHeight="1" x14ac:dyDescent="0.2">
      <c r="A780" s="3"/>
      <c r="B780" s="3"/>
      <c r="C780" s="3"/>
      <c r="D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  <c r="BK780" s="3"/>
      <c r="BL780" s="3"/>
      <c r="BM780" s="3"/>
      <c r="BN780" s="3"/>
      <c r="BO780" s="3"/>
    </row>
    <row r="781" spans="1:67" ht="16.5" customHeight="1" x14ac:dyDescent="0.2">
      <c r="A781" s="3"/>
      <c r="B781" s="3"/>
      <c r="C781" s="3"/>
      <c r="D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  <c r="BK781" s="3"/>
      <c r="BL781" s="3"/>
      <c r="BM781" s="3"/>
      <c r="BN781" s="3"/>
      <c r="BO781" s="3"/>
    </row>
    <row r="782" spans="1:67" ht="16.5" customHeight="1" x14ac:dyDescent="0.2">
      <c r="A782" s="3"/>
      <c r="B782" s="3"/>
      <c r="C782" s="3"/>
      <c r="D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  <c r="BK782" s="3"/>
      <c r="BL782" s="3"/>
      <c r="BM782" s="3"/>
      <c r="BN782" s="3"/>
      <c r="BO782" s="3"/>
    </row>
    <row r="783" spans="1:67" ht="16.5" customHeight="1" x14ac:dyDescent="0.2">
      <c r="A783" s="3"/>
      <c r="B783" s="3"/>
      <c r="C783" s="3"/>
      <c r="D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  <c r="BK783" s="3"/>
      <c r="BL783" s="3"/>
      <c r="BM783" s="3"/>
      <c r="BN783" s="3"/>
      <c r="BO783" s="3"/>
    </row>
    <row r="784" spans="1:67" ht="16.5" customHeight="1" x14ac:dyDescent="0.2">
      <c r="A784" s="3"/>
      <c r="B784" s="3"/>
      <c r="C784" s="3"/>
      <c r="D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  <c r="BK784" s="3"/>
      <c r="BL784" s="3"/>
      <c r="BM784" s="3"/>
      <c r="BN784" s="3"/>
      <c r="BO784" s="3"/>
    </row>
    <row r="785" spans="1:67" ht="16.5" customHeight="1" x14ac:dyDescent="0.2">
      <c r="A785" s="3"/>
      <c r="B785" s="3"/>
      <c r="C785" s="3"/>
      <c r="D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  <c r="BK785" s="3"/>
      <c r="BL785" s="3"/>
      <c r="BM785" s="3"/>
      <c r="BN785" s="3"/>
      <c r="BO785" s="3"/>
    </row>
    <row r="786" spans="1:67" ht="16.5" customHeight="1" x14ac:dyDescent="0.2">
      <c r="A786" s="3"/>
      <c r="B786" s="3"/>
      <c r="C786" s="3"/>
      <c r="D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  <c r="BK786" s="3"/>
      <c r="BL786" s="3"/>
      <c r="BM786" s="3"/>
      <c r="BN786" s="3"/>
      <c r="BO786" s="3"/>
    </row>
    <row r="787" spans="1:67" ht="16.5" customHeight="1" x14ac:dyDescent="0.2">
      <c r="A787" s="3"/>
      <c r="B787" s="3"/>
      <c r="C787" s="3"/>
      <c r="D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  <c r="BK787" s="3"/>
      <c r="BL787" s="3"/>
      <c r="BM787" s="3"/>
      <c r="BN787" s="3"/>
      <c r="BO787" s="3"/>
    </row>
    <row r="788" spans="1:67" ht="16.5" customHeight="1" x14ac:dyDescent="0.2">
      <c r="A788" s="3"/>
      <c r="B788" s="3"/>
      <c r="C788" s="3"/>
      <c r="D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  <c r="BK788" s="3"/>
      <c r="BL788" s="3"/>
      <c r="BM788" s="3"/>
      <c r="BN788" s="3"/>
      <c r="BO788" s="3"/>
    </row>
    <row r="789" spans="1:67" ht="16.5" customHeight="1" x14ac:dyDescent="0.2">
      <c r="A789" s="3"/>
      <c r="B789" s="3"/>
      <c r="C789" s="3"/>
      <c r="D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  <c r="BK789" s="3"/>
      <c r="BL789" s="3"/>
      <c r="BM789" s="3"/>
      <c r="BN789" s="3"/>
      <c r="BO789" s="3"/>
    </row>
    <row r="790" spans="1:67" ht="16.5" customHeight="1" x14ac:dyDescent="0.2">
      <c r="A790" s="3"/>
      <c r="B790" s="3"/>
      <c r="C790" s="3"/>
      <c r="D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  <c r="BK790" s="3"/>
      <c r="BL790" s="3"/>
      <c r="BM790" s="3"/>
      <c r="BN790" s="3"/>
      <c r="BO790" s="3"/>
    </row>
    <row r="791" spans="1:67" ht="16.5" customHeight="1" x14ac:dyDescent="0.2">
      <c r="A791" s="3"/>
      <c r="B791" s="3"/>
      <c r="C791" s="3"/>
      <c r="D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  <c r="BK791" s="3"/>
      <c r="BL791" s="3"/>
      <c r="BM791" s="3"/>
      <c r="BN791" s="3"/>
      <c r="BO791" s="3"/>
    </row>
    <row r="792" spans="1:67" ht="16.5" customHeight="1" x14ac:dyDescent="0.2">
      <c r="A792" s="3"/>
      <c r="B792" s="3"/>
      <c r="C792" s="3"/>
      <c r="D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  <c r="BK792" s="3"/>
      <c r="BL792" s="3"/>
      <c r="BM792" s="3"/>
      <c r="BN792" s="3"/>
      <c r="BO792" s="3"/>
    </row>
    <row r="793" spans="1:67" ht="16.5" customHeight="1" x14ac:dyDescent="0.2">
      <c r="A793" s="3"/>
      <c r="B793" s="3"/>
      <c r="C793" s="3"/>
      <c r="D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  <c r="BK793" s="3"/>
      <c r="BL793" s="3"/>
      <c r="BM793" s="3"/>
      <c r="BN793" s="3"/>
      <c r="BO793" s="3"/>
    </row>
    <row r="794" spans="1:67" ht="16.5" customHeight="1" x14ac:dyDescent="0.2">
      <c r="A794" s="3"/>
      <c r="B794" s="3"/>
      <c r="C794" s="3"/>
      <c r="D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  <c r="BK794" s="3"/>
      <c r="BL794" s="3"/>
      <c r="BM794" s="3"/>
      <c r="BN794" s="3"/>
      <c r="BO794" s="3"/>
    </row>
    <row r="795" spans="1:67" ht="16.5" customHeight="1" x14ac:dyDescent="0.2">
      <c r="A795" s="3"/>
      <c r="B795" s="3"/>
      <c r="C795" s="3"/>
      <c r="D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  <c r="BK795" s="3"/>
      <c r="BL795" s="3"/>
      <c r="BM795" s="3"/>
      <c r="BN795" s="3"/>
      <c r="BO795" s="3"/>
    </row>
    <row r="796" spans="1:67" ht="16.5" customHeight="1" x14ac:dyDescent="0.2">
      <c r="A796" s="3"/>
      <c r="B796" s="3"/>
      <c r="C796" s="3"/>
      <c r="D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  <c r="BK796" s="3"/>
      <c r="BL796" s="3"/>
      <c r="BM796" s="3"/>
      <c r="BN796" s="3"/>
      <c r="BO796" s="3"/>
    </row>
    <row r="797" spans="1:67" ht="16.5" customHeight="1" x14ac:dyDescent="0.2">
      <c r="A797" s="3"/>
      <c r="B797" s="3"/>
      <c r="C797" s="3"/>
      <c r="D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  <c r="BK797" s="3"/>
      <c r="BL797" s="3"/>
      <c r="BM797" s="3"/>
      <c r="BN797" s="3"/>
      <c r="BO797" s="3"/>
    </row>
    <row r="798" spans="1:67" ht="16.5" customHeight="1" x14ac:dyDescent="0.2">
      <c r="A798" s="3"/>
      <c r="B798" s="3"/>
      <c r="C798" s="3"/>
      <c r="D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  <c r="BK798" s="3"/>
      <c r="BL798" s="3"/>
      <c r="BM798" s="3"/>
      <c r="BN798" s="3"/>
      <c r="BO798" s="3"/>
    </row>
    <row r="799" spans="1:67" ht="16.5" customHeight="1" x14ac:dyDescent="0.2">
      <c r="A799" s="3"/>
      <c r="B799" s="3"/>
      <c r="C799" s="3"/>
      <c r="D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  <c r="BK799" s="3"/>
      <c r="BL799" s="3"/>
      <c r="BM799" s="3"/>
      <c r="BN799" s="3"/>
      <c r="BO799" s="3"/>
    </row>
    <row r="800" spans="1:67" ht="16.5" customHeight="1" x14ac:dyDescent="0.2">
      <c r="A800" s="3"/>
      <c r="B800" s="3"/>
      <c r="C800" s="3"/>
      <c r="D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  <c r="BK800" s="3"/>
      <c r="BL800" s="3"/>
      <c r="BM800" s="3"/>
      <c r="BN800" s="3"/>
      <c r="BO800" s="3"/>
    </row>
    <row r="801" spans="1:67" ht="16.5" customHeight="1" x14ac:dyDescent="0.2">
      <c r="A801" s="3"/>
      <c r="B801" s="3"/>
      <c r="C801" s="3"/>
      <c r="D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  <c r="BK801" s="3"/>
      <c r="BL801" s="3"/>
      <c r="BM801" s="3"/>
      <c r="BN801" s="3"/>
      <c r="BO801" s="3"/>
    </row>
    <row r="802" spans="1:67" ht="16.5" customHeight="1" x14ac:dyDescent="0.2">
      <c r="A802" s="3"/>
      <c r="B802" s="3"/>
      <c r="C802" s="3"/>
      <c r="D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  <c r="BK802" s="3"/>
      <c r="BL802" s="3"/>
      <c r="BM802" s="3"/>
      <c r="BN802" s="3"/>
      <c r="BO802" s="3"/>
    </row>
    <row r="803" spans="1:67" ht="16.5" customHeight="1" x14ac:dyDescent="0.2">
      <c r="A803" s="3"/>
      <c r="B803" s="3"/>
      <c r="C803" s="3"/>
      <c r="D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  <c r="BK803" s="3"/>
      <c r="BL803" s="3"/>
      <c r="BM803" s="3"/>
      <c r="BN803" s="3"/>
      <c r="BO803" s="3"/>
    </row>
    <row r="804" spans="1:67" ht="16.5" customHeight="1" x14ac:dyDescent="0.2">
      <c r="A804" s="3"/>
      <c r="B804" s="3"/>
      <c r="C804" s="3"/>
      <c r="D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  <c r="BK804" s="3"/>
      <c r="BL804" s="3"/>
      <c r="BM804" s="3"/>
      <c r="BN804" s="3"/>
      <c r="BO804" s="3"/>
    </row>
    <row r="805" spans="1:67" ht="16.5" customHeight="1" x14ac:dyDescent="0.2">
      <c r="A805" s="3"/>
      <c r="B805" s="3"/>
      <c r="C805" s="3"/>
      <c r="D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  <c r="BK805" s="3"/>
      <c r="BL805" s="3"/>
      <c r="BM805" s="3"/>
      <c r="BN805" s="3"/>
      <c r="BO805" s="3"/>
    </row>
    <row r="806" spans="1:67" ht="16.5" customHeight="1" x14ac:dyDescent="0.2">
      <c r="A806" s="3"/>
      <c r="B806" s="3"/>
      <c r="C806" s="3"/>
      <c r="D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  <c r="BK806" s="3"/>
      <c r="BL806" s="3"/>
      <c r="BM806" s="3"/>
      <c r="BN806" s="3"/>
      <c r="BO806" s="3"/>
    </row>
    <row r="807" spans="1:67" ht="16.5" customHeight="1" x14ac:dyDescent="0.2">
      <c r="A807" s="3"/>
      <c r="B807" s="3"/>
      <c r="C807" s="3"/>
      <c r="D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  <c r="BK807" s="3"/>
      <c r="BL807" s="3"/>
      <c r="BM807" s="3"/>
      <c r="BN807" s="3"/>
      <c r="BO807" s="3"/>
    </row>
    <row r="808" spans="1:67" ht="16.5" customHeight="1" x14ac:dyDescent="0.2">
      <c r="A808" s="3"/>
      <c r="B808" s="3"/>
      <c r="C808" s="3"/>
      <c r="D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  <c r="BK808" s="3"/>
      <c r="BL808" s="3"/>
      <c r="BM808" s="3"/>
      <c r="BN808" s="3"/>
      <c r="BO808" s="3"/>
    </row>
    <row r="809" spans="1:67" ht="16.5" customHeight="1" x14ac:dyDescent="0.2">
      <c r="A809" s="3"/>
      <c r="B809" s="3"/>
      <c r="C809" s="3"/>
      <c r="D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  <c r="BK809" s="3"/>
      <c r="BL809" s="3"/>
      <c r="BM809" s="3"/>
      <c r="BN809" s="3"/>
      <c r="BO809" s="3"/>
    </row>
    <row r="810" spans="1:67" ht="16.5" customHeight="1" x14ac:dyDescent="0.2">
      <c r="A810" s="3"/>
      <c r="B810" s="3"/>
      <c r="C810" s="3"/>
      <c r="D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  <c r="BK810" s="3"/>
      <c r="BL810" s="3"/>
      <c r="BM810" s="3"/>
      <c r="BN810" s="3"/>
      <c r="BO810" s="3"/>
    </row>
    <row r="811" spans="1:67" ht="16.5" customHeight="1" x14ac:dyDescent="0.2">
      <c r="A811" s="3"/>
      <c r="B811" s="3"/>
      <c r="C811" s="3"/>
      <c r="D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  <c r="BK811" s="3"/>
      <c r="BL811" s="3"/>
      <c r="BM811" s="3"/>
      <c r="BN811" s="3"/>
      <c r="BO811" s="3"/>
    </row>
    <row r="812" spans="1:67" ht="16.5" customHeight="1" x14ac:dyDescent="0.2">
      <c r="A812" s="3"/>
      <c r="B812" s="3"/>
      <c r="C812" s="3"/>
      <c r="D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  <c r="BK812" s="3"/>
      <c r="BL812" s="3"/>
      <c r="BM812" s="3"/>
      <c r="BN812" s="3"/>
      <c r="BO812" s="3"/>
    </row>
    <row r="813" spans="1:67" ht="16.5" customHeight="1" x14ac:dyDescent="0.2">
      <c r="A813" s="3"/>
      <c r="B813" s="3"/>
      <c r="C813" s="3"/>
      <c r="D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  <c r="BK813" s="3"/>
      <c r="BL813" s="3"/>
      <c r="BM813" s="3"/>
      <c r="BN813" s="3"/>
      <c r="BO813" s="3"/>
    </row>
    <row r="814" spans="1:67" ht="16.5" customHeight="1" x14ac:dyDescent="0.2">
      <c r="A814" s="3"/>
      <c r="B814" s="3"/>
      <c r="C814" s="3"/>
      <c r="D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  <c r="BK814" s="3"/>
      <c r="BL814" s="3"/>
      <c r="BM814" s="3"/>
      <c r="BN814" s="3"/>
      <c r="BO814" s="3"/>
    </row>
    <row r="815" spans="1:67" ht="16.5" customHeight="1" x14ac:dyDescent="0.2">
      <c r="A815" s="3"/>
      <c r="B815" s="3"/>
      <c r="C815" s="3"/>
      <c r="D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  <c r="BK815" s="3"/>
      <c r="BL815" s="3"/>
      <c r="BM815" s="3"/>
      <c r="BN815" s="3"/>
      <c r="BO815" s="3"/>
    </row>
    <row r="816" spans="1:67" ht="16.5" customHeight="1" x14ac:dyDescent="0.2">
      <c r="A816" s="3"/>
      <c r="B816" s="3"/>
      <c r="C816" s="3"/>
      <c r="D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  <c r="BK816" s="3"/>
      <c r="BL816" s="3"/>
      <c r="BM816" s="3"/>
      <c r="BN816" s="3"/>
      <c r="BO816" s="3"/>
    </row>
    <row r="817" spans="1:67" ht="16.5" customHeight="1" x14ac:dyDescent="0.2">
      <c r="A817" s="3"/>
      <c r="B817" s="3"/>
      <c r="C817" s="3"/>
      <c r="D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  <c r="BK817" s="3"/>
      <c r="BL817" s="3"/>
      <c r="BM817" s="3"/>
      <c r="BN817" s="3"/>
      <c r="BO817" s="3"/>
    </row>
    <row r="818" spans="1:67" ht="16.5" customHeight="1" x14ac:dyDescent="0.2">
      <c r="A818" s="3"/>
      <c r="B818" s="3"/>
      <c r="C818" s="3"/>
      <c r="D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  <c r="BK818" s="3"/>
      <c r="BL818" s="3"/>
      <c r="BM818" s="3"/>
      <c r="BN818" s="3"/>
      <c r="BO818" s="3"/>
    </row>
    <row r="819" spans="1:67" ht="16.5" customHeight="1" x14ac:dyDescent="0.2">
      <c r="A819" s="3"/>
      <c r="B819" s="3"/>
      <c r="C819" s="3"/>
      <c r="D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  <c r="BK819" s="3"/>
      <c r="BL819" s="3"/>
      <c r="BM819" s="3"/>
      <c r="BN819" s="3"/>
      <c r="BO819" s="3"/>
    </row>
    <row r="820" spans="1:67" ht="16.5" customHeight="1" x14ac:dyDescent="0.2">
      <c r="A820" s="3"/>
      <c r="B820" s="3"/>
      <c r="C820" s="3"/>
      <c r="D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  <c r="BK820" s="3"/>
      <c r="BL820" s="3"/>
      <c r="BM820" s="3"/>
      <c r="BN820" s="3"/>
      <c r="BO820" s="3"/>
    </row>
    <row r="821" spans="1:67" ht="16.5" customHeight="1" x14ac:dyDescent="0.2">
      <c r="A821" s="3"/>
      <c r="B821" s="3"/>
      <c r="C821" s="3"/>
      <c r="D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  <c r="BK821" s="3"/>
      <c r="BL821" s="3"/>
      <c r="BM821" s="3"/>
      <c r="BN821" s="3"/>
      <c r="BO821" s="3"/>
    </row>
    <row r="822" spans="1:67" ht="16.5" customHeight="1" x14ac:dyDescent="0.2">
      <c r="A822" s="3"/>
      <c r="B822" s="3"/>
      <c r="C822" s="3"/>
      <c r="D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  <c r="BK822" s="3"/>
      <c r="BL822" s="3"/>
      <c r="BM822" s="3"/>
      <c r="BN822" s="3"/>
      <c r="BO822" s="3"/>
    </row>
    <row r="823" spans="1:67" ht="16.5" customHeight="1" x14ac:dyDescent="0.2">
      <c r="A823" s="3"/>
      <c r="B823" s="3"/>
      <c r="C823" s="3"/>
      <c r="D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  <c r="BK823" s="3"/>
      <c r="BL823" s="3"/>
      <c r="BM823" s="3"/>
      <c r="BN823" s="3"/>
      <c r="BO823" s="3"/>
    </row>
    <row r="824" spans="1:67" ht="16.5" customHeight="1" x14ac:dyDescent="0.2">
      <c r="A824" s="3"/>
      <c r="B824" s="3"/>
      <c r="C824" s="3"/>
      <c r="D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  <c r="BK824" s="3"/>
      <c r="BL824" s="3"/>
      <c r="BM824" s="3"/>
      <c r="BN824" s="3"/>
      <c r="BO824" s="3"/>
    </row>
    <row r="825" spans="1:67" ht="16.5" customHeight="1" x14ac:dyDescent="0.2">
      <c r="A825" s="3"/>
      <c r="B825" s="3"/>
      <c r="C825" s="3"/>
      <c r="D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  <c r="BK825" s="3"/>
      <c r="BL825" s="3"/>
      <c r="BM825" s="3"/>
      <c r="BN825" s="3"/>
      <c r="BO825" s="3"/>
    </row>
    <row r="826" spans="1:67" ht="16.5" customHeight="1" x14ac:dyDescent="0.2">
      <c r="A826" s="3"/>
      <c r="B826" s="3"/>
      <c r="C826" s="3"/>
      <c r="D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  <c r="BK826" s="3"/>
      <c r="BL826" s="3"/>
      <c r="BM826" s="3"/>
      <c r="BN826" s="3"/>
      <c r="BO826" s="3"/>
    </row>
    <row r="827" spans="1:67" ht="16.5" customHeight="1" x14ac:dyDescent="0.2">
      <c r="A827" s="3"/>
      <c r="B827" s="3"/>
      <c r="C827" s="3"/>
      <c r="D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  <c r="BK827" s="3"/>
      <c r="BL827" s="3"/>
      <c r="BM827" s="3"/>
      <c r="BN827" s="3"/>
      <c r="BO827" s="3"/>
    </row>
    <row r="828" spans="1:67" ht="16.5" customHeight="1" x14ac:dyDescent="0.2">
      <c r="A828" s="3"/>
      <c r="B828" s="3"/>
      <c r="C828" s="3"/>
      <c r="D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  <c r="BK828" s="3"/>
      <c r="BL828" s="3"/>
      <c r="BM828" s="3"/>
      <c r="BN828" s="3"/>
      <c r="BO828" s="3"/>
    </row>
    <row r="829" spans="1:67" ht="16.5" customHeight="1" x14ac:dyDescent="0.2">
      <c r="A829" s="3"/>
      <c r="B829" s="3"/>
      <c r="C829" s="3"/>
      <c r="D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  <c r="BK829" s="3"/>
      <c r="BL829" s="3"/>
      <c r="BM829" s="3"/>
      <c r="BN829" s="3"/>
      <c r="BO829" s="3"/>
    </row>
    <row r="830" spans="1:67" ht="16.5" customHeight="1" x14ac:dyDescent="0.2">
      <c r="A830" s="3"/>
      <c r="B830" s="3"/>
      <c r="C830" s="3"/>
      <c r="D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  <c r="BK830" s="3"/>
      <c r="BL830" s="3"/>
      <c r="BM830" s="3"/>
      <c r="BN830" s="3"/>
      <c r="BO830" s="3"/>
    </row>
    <row r="831" spans="1:67" ht="16.5" customHeight="1" x14ac:dyDescent="0.2">
      <c r="A831" s="3"/>
      <c r="B831" s="3"/>
      <c r="C831" s="3"/>
      <c r="D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  <c r="BK831" s="3"/>
      <c r="BL831" s="3"/>
      <c r="BM831" s="3"/>
      <c r="BN831" s="3"/>
      <c r="BO831" s="3"/>
    </row>
    <row r="832" spans="1:67" ht="16.5" customHeight="1" x14ac:dyDescent="0.2">
      <c r="A832" s="3"/>
      <c r="B832" s="3"/>
      <c r="C832" s="3"/>
      <c r="D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  <c r="BK832" s="3"/>
      <c r="BL832" s="3"/>
      <c r="BM832" s="3"/>
      <c r="BN832" s="3"/>
      <c r="BO832" s="3"/>
    </row>
    <row r="833" spans="1:67" ht="16.5" customHeight="1" x14ac:dyDescent="0.2">
      <c r="A833" s="3"/>
      <c r="B833" s="3"/>
      <c r="C833" s="3"/>
      <c r="D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  <c r="BK833" s="3"/>
      <c r="BL833" s="3"/>
      <c r="BM833" s="3"/>
      <c r="BN833" s="3"/>
      <c r="BO833" s="3"/>
    </row>
    <row r="834" spans="1:67" ht="16.5" customHeight="1" x14ac:dyDescent="0.2">
      <c r="A834" s="3"/>
      <c r="B834" s="3"/>
      <c r="C834" s="3"/>
      <c r="D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  <c r="BK834" s="3"/>
      <c r="BL834" s="3"/>
      <c r="BM834" s="3"/>
      <c r="BN834" s="3"/>
      <c r="BO834" s="3"/>
    </row>
    <row r="835" spans="1:67" ht="16.5" customHeight="1" x14ac:dyDescent="0.2">
      <c r="A835" s="3"/>
      <c r="B835" s="3"/>
      <c r="C835" s="3"/>
      <c r="D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  <c r="BK835" s="3"/>
      <c r="BL835" s="3"/>
      <c r="BM835" s="3"/>
      <c r="BN835" s="3"/>
      <c r="BO835" s="3"/>
    </row>
    <row r="836" spans="1:67" ht="16.5" customHeight="1" x14ac:dyDescent="0.2">
      <c r="A836" s="3"/>
      <c r="B836" s="3"/>
      <c r="C836" s="3"/>
      <c r="D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  <c r="BK836" s="3"/>
      <c r="BL836" s="3"/>
      <c r="BM836" s="3"/>
      <c r="BN836" s="3"/>
      <c r="BO836" s="3"/>
    </row>
    <row r="837" spans="1:67" ht="16.5" customHeight="1" x14ac:dyDescent="0.2">
      <c r="A837" s="3"/>
      <c r="B837" s="3"/>
      <c r="C837" s="3"/>
      <c r="D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  <c r="BK837" s="3"/>
      <c r="BL837" s="3"/>
      <c r="BM837" s="3"/>
      <c r="BN837" s="3"/>
      <c r="BO837" s="3"/>
    </row>
    <row r="838" spans="1:67" ht="16.5" customHeight="1" x14ac:dyDescent="0.2">
      <c r="A838" s="3"/>
      <c r="B838" s="3"/>
      <c r="C838" s="3"/>
      <c r="D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  <c r="BK838" s="3"/>
      <c r="BL838" s="3"/>
      <c r="BM838" s="3"/>
      <c r="BN838" s="3"/>
      <c r="BO838" s="3"/>
    </row>
    <row r="839" spans="1:67" ht="16.5" customHeight="1" x14ac:dyDescent="0.2">
      <c r="A839" s="3"/>
      <c r="B839" s="3"/>
      <c r="C839" s="3"/>
      <c r="D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  <c r="BK839" s="3"/>
      <c r="BL839" s="3"/>
      <c r="BM839" s="3"/>
      <c r="BN839" s="3"/>
      <c r="BO839" s="3"/>
    </row>
    <row r="840" spans="1:67" ht="16.5" customHeight="1" x14ac:dyDescent="0.2">
      <c r="A840" s="3"/>
      <c r="B840" s="3"/>
      <c r="C840" s="3"/>
      <c r="D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  <c r="BK840" s="3"/>
      <c r="BL840" s="3"/>
      <c r="BM840" s="3"/>
      <c r="BN840" s="3"/>
      <c r="BO840" s="3"/>
    </row>
    <row r="841" spans="1:67" ht="16.5" customHeight="1" x14ac:dyDescent="0.2">
      <c r="A841" s="3"/>
      <c r="B841" s="3"/>
      <c r="C841" s="3"/>
      <c r="D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  <c r="BK841" s="3"/>
      <c r="BL841" s="3"/>
      <c r="BM841" s="3"/>
      <c r="BN841" s="3"/>
      <c r="BO841" s="3"/>
    </row>
    <row r="842" spans="1:67" ht="16.5" customHeight="1" x14ac:dyDescent="0.2">
      <c r="A842" s="3"/>
      <c r="B842" s="3"/>
      <c r="C842" s="3"/>
      <c r="D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  <c r="BK842" s="3"/>
      <c r="BL842" s="3"/>
      <c r="BM842" s="3"/>
      <c r="BN842" s="3"/>
      <c r="BO842" s="3"/>
    </row>
    <row r="843" spans="1:67" ht="16.5" customHeight="1" x14ac:dyDescent="0.2">
      <c r="A843" s="3"/>
      <c r="B843" s="3"/>
      <c r="C843" s="3"/>
      <c r="D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  <c r="BK843" s="3"/>
      <c r="BL843" s="3"/>
      <c r="BM843" s="3"/>
      <c r="BN843" s="3"/>
      <c r="BO843" s="3"/>
    </row>
    <row r="844" spans="1:67" ht="16.5" customHeight="1" x14ac:dyDescent="0.2">
      <c r="A844" s="3"/>
      <c r="B844" s="3"/>
      <c r="C844" s="3"/>
      <c r="D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  <c r="BK844" s="3"/>
      <c r="BL844" s="3"/>
      <c r="BM844" s="3"/>
      <c r="BN844" s="3"/>
      <c r="BO844" s="3"/>
    </row>
    <row r="845" spans="1:67" ht="16.5" customHeight="1" x14ac:dyDescent="0.2">
      <c r="A845" s="3"/>
      <c r="B845" s="3"/>
      <c r="C845" s="3"/>
      <c r="D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  <c r="BK845" s="3"/>
      <c r="BL845" s="3"/>
      <c r="BM845" s="3"/>
      <c r="BN845" s="3"/>
      <c r="BO845" s="3"/>
    </row>
    <row r="846" spans="1:67" ht="16.5" customHeight="1" x14ac:dyDescent="0.2">
      <c r="A846" s="3"/>
      <c r="B846" s="3"/>
      <c r="C846" s="3"/>
      <c r="D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  <c r="BK846" s="3"/>
      <c r="BL846" s="3"/>
      <c r="BM846" s="3"/>
      <c r="BN846" s="3"/>
      <c r="BO846" s="3"/>
    </row>
    <row r="847" spans="1:67" ht="16.5" customHeight="1" x14ac:dyDescent="0.2">
      <c r="A847" s="3"/>
      <c r="B847" s="3"/>
      <c r="C847" s="3"/>
      <c r="D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  <c r="BK847" s="3"/>
      <c r="BL847" s="3"/>
      <c r="BM847" s="3"/>
      <c r="BN847" s="3"/>
      <c r="BO847" s="3"/>
    </row>
    <row r="848" spans="1:67" ht="16.5" customHeight="1" x14ac:dyDescent="0.2">
      <c r="A848" s="3"/>
      <c r="B848" s="3"/>
      <c r="C848" s="3"/>
      <c r="D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  <c r="BK848" s="3"/>
      <c r="BL848" s="3"/>
      <c r="BM848" s="3"/>
      <c r="BN848" s="3"/>
      <c r="BO848" s="3"/>
    </row>
    <row r="849" spans="1:67" ht="16.5" customHeight="1" x14ac:dyDescent="0.2">
      <c r="A849" s="3"/>
      <c r="B849" s="3"/>
      <c r="C849" s="3"/>
      <c r="D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  <c r="BK849" s="3"/>
      <c r="BL849" s="3"/>
      <c r="BM849" s="3"/>
      <c r="BN849" s="3"/>
      <c r="BO849" s="3"/>
    </row>
    <row r="850" spans="1:67" ht="16.5" customHeight="1" x14ac:dyDescent="0.2">
      <c r="A850" s="3"/>
      <c r="B850" s="3"/>
      <c r="C850" s="3"/>
      <c r="D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  <c r="BK850" s="3"/>
      <c r="BL850" s="3"/>
      <c r="BM850" s="3"/>
      <c r="BN850" s="3"/>
      <c r="BO850" s="3"/>
    </row>
    <row r="851" spans="1:67" ht="16.5" customHeight="1" x14ac:dyDescent="0.2">
      <c r="A851" s="3"/>
      <c r="B851" s="3"/>
      <c r="C851" s="3"/>
      <c r="D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  <c r="BK851" s="3"/>
      <c r="BL851" s="3"/>
      <c r="BM851" s="3"/>
      <c r="BN851" s="3"/>
      <c r="BO851" s="3"/>
    </row>
    <row r="852" spans="1:67" ht="16.5" customHeight="1" x14ac:dyDescent="0.2">
      <c r="A852" s="3"/>
      <c r="B852" s="3"/>
      <c r="C852" s="3"/>
      <c r="D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  <c r="BK852" s="3"/>
      <c r="BL852" s="3"/>
      <c r="BM852" s="3"/>
      <c r="BN852" s="3"/>
      <c r="BO852" s="3"/>
    </row>
    <row r="853" spans="1:67" ht="16.5" customHeight="1" x14ac:dyDescent="0.2">
      <c r="A853" s="3"/>
      <c r="B853" s="3"/>
      <c r="C853" s="3"/>
      <c r="D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  <c r="BK853" s="3"/>
      <c r="BL853" s="3"/>
      <c r="BM853" s="3"/>
      <c r="BN853" s="3"/>
      <c r="BO853" s="3"/>
    </row>
    <row r="854" spans="1:67" ht="16.5" customHeight="1" x14ac:dyDescent="0.2">
      <c r="A854" s="3"/>
      <c r="B854" s="3"/>
      <c r="C854" s="3"/>
      <c r="D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  <c r="BK854" s="3"/>
      <c r="BL854" s="3"/>
      <c r="BM854" s="3"/>
      <c r="BN854" s="3"/>
      <c r="BO854" s="3"/>
    </row>
    <row r="855" spans="1:67" ht="16.5" customHeight="1" x14ac:dyDescent="0.2">
      <c r="A855" s="3"/>
      <c r="B855" s="3"/>
      <c r="C855" s="3"/>
      <c r="D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  <c r="BK855" s="3"/>
      <c r="BL855" s="3"/>
      <c r="BM855" s="3"/>
      <c r="BN855" s="3"/>
      <c r="BO855" s="3"/>
    </row>
    <row r="856" spans="1:67" ht="16.5" customHeight="1" x14ac:dyDescent="0.2">
      <c r="A856" s="3"/>
      <c r="B856" s="3"/>
      <c r="C856" s="3"/>
      <c r="D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  <c r="BK856" s="3"/>
      <c r="BL856" s="3"/>
      <c r="BM856" s="3"/>
      <c r="BN856" s="3"/>
      <c r="BO856" s="3"/>
    </row>
    <row r="857" spans="1:67" ht="16.5" customHeight="1" x14ac:dyDescent="0.2">
      <c r="A857" s="3"/>
      <c r="B857" s="3"/>
      <c r="C857" s="3"/>
      <c r="D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  <c r="BK857" s="3"/>
      <c r="BL857" s="3"/>
      <c r="BM857" s="3"/>
      <c r="BN857" s="3"/>
      <c r="BO857" s="3"/>
    </row>
    <row r="858" spans="1:67" ht="16.5" customHeight="1" x14ac:dyDescent="0.2">
      <c r="A858" s="3"/>
      <c r="B858" s="3"/>
      <c r="C858" s="3"/>
      <c r="D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  <c r="BK858" s="3"/>
      <c r="BL858" s="3"/>
      <c r="BM858" s="3"/>
      <c r="BN858" s="3"/>
      <c r="BO858" s="3"/>
    </row>
    <row r="859" spans="1:67" ht="16.5" customHeight="1" x14ac:dyDescent="0.2">
      <c r="A859" s="3"/>
      <c r="B859" s="3"/>
      <c r="C859" s="3"/>
      <c r="D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  <c r="BK859" s="3"/>
      <c r="BL859" s="3"/>
      <c r="BM859" s="3"/>
      <c r="BN859" s="3"/>
      <c r="BO859" s="3"/>
    </row>
    <row r="860" spans="1:67" ht="16.5" customHeight="1" x14ac:dyDescent="0.2">
      <c r="A860" s="3"/>
      <c r="B860" s="3"/>
      <c r="C860" s="3"/>
      <c r="D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  <c r="BK860" s="3"/>
      <c r="BL860" s="3"/>
      <c r="BM860" s="3"/>
      <c r="BN860" s="3"/>
      <c r="BO860" s="3"/>
    </row>
    <row r="861" spans="1:67" ht="16.5" customHeight="1" x14ac:dyDescent="0.2">
      <c r="A861" s="3"/>
      <c r="B861" s="3"/>
      <c r="C861" s="3"/>
      <c r="D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  <c r="BK861" s="3"/>
      <c r="BL861" s="3"/>
      <c r="BM861" s="3"/>
      <c r="BN861" s="3"/>
      <c r="BO861" s="3"/>
    </row>
    <row r="862" spans="1:67" ht="16.5" customHeight="1" x14ac:dyDescent="0.2">
      <c r="A862" s="3"/>
      <c r="B862" s="3"/>
      <c r="C862" s="3"/>
      <c r="D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  <c r="BK862" s="3"/>
      <c r="BL862" s="3"/>
      <c r="BM862" s="3"/>
      <c r="BN862" s="3"/>
      <c r="BO862" s="3"/>
    </row>
    <row r="863" spans="1:67" ht="16.5" customHeight="1" x14ac:dyDescent="0.2">
      <c r="A863" s="3"/>
      <c r="B863" s="3"/>
      <c r="C863" s="3"/>
      <c r="D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  <c r="BK863" s="3"/>
      <c r="BL863" s="3"/>
      <c r="BM863" s="3"/>
      <c r="BN863" s="3"/>
      <c r="BO863" s="3"/>
    </row>
    <row r="864" spans="1:67" ht="16.5" customHeight="1" x14ac:dyDescent="0.2">
      <c r="A864" s="3"/>
      <c r="B864" s="3"/>
      <c r="C864" s="3"/>
      <c r="D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  <c r="BK864" s="3"/>
      <c r="BL864" s="3"/>
      <c r="BM864" s="3"/>
      <c r="BN864" s="3"/>
      <c r="BO864" s="3"/>
    </row>
    <row r="865" spans="1:67" ht="16.5" customHeight="1" x14ac:dyDescent="0.2">
      <c r="A865" s="3"/>
      <c r="B865" s="3"/>
      <c r="C865" s="3"/>
      <c r="D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  <c r="BK865" s="3"/>
      <c r="BL865" s="3"/>
      <c r="BM865" s="3"/>
      <c r="BN865" s="3"/>
      <c r="BO865" s="3"/>
    </row>
    <row r="866" spans="1:67" ht="16.5" customHeight="1" x14ac:dyDescent="0.2">
      <c r="A866" s="3"/>
      <c r="B866" s="3"/>
      <c r="C866" s="3"/>
      <c r="D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  <c r="BK866" s="3"/>
      <c r="BL866" s="3"/>
      <c r="BM866" s="3"/>
      <c r="BN866" s="3"/>
      <c r="BO866" s="3"/>
    </row>
    <row r="867" spans="1:67" ht="16.5" customHeight="1" x14ac:dyDescent="0.2">
      <c r="A867" s="3"/>
      <c r="B867" s="3"/>
      <c r="C867" s="3"/>
      <c r="D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  <c r="BK867" s="3"/>
      <c r="BL867" s="3"/>
      <c r="BM867" s="3"/>
      <c r="BN867" s="3"/>
      <c r="BO867" s="3"/>
    </row>
    <row r="868" spans="1:67" ht="16.5" customHeight="1" x14ac:dyDescent="0.2">
      <c r="A868" s="3"/>
      <c r="B868" s="3"/>
      <c r="C868" s="3"/>
      <c r="D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  <c r="BK868" s="3"/>
      <c r="BL868" s="3"/>
      <c r="BM868" s="3"/>
      <c r="BN868" s="3"/>
      <c r="BO868" s="3"/>
    </row>
    <row r="869" spans="1:67" ht="16.5" customHeight="1" x14ac:dyDescent="0.2">
      <c r="A869" s="3"/>
      <c r="B869" s="3"/>
      <c r="C869" s="3"/>
      <c r="D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  <c r="BK869" s="3"/>
      <c r="BL869" s="3"/>
      <c r="BM869" s="3"/>
      <c r="BN869" s="3"/>
      <c r="BO869" s="3"/>
    </row>
    <row r="870" spans="1:67" ht="16.5" customHeight="1" x14ac:dyDescent="0.2">
      <c r="A870" s="3"/>
      <c r="B870" s="3"/>
      <c r="C870" s="3"/>
      <c r="D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  <c r="BK870" s="3"/>
      <c r="BL870" s="3"/>
      <c r="BM870" s="3"/>
      <c r="BN870" s="3"/>
      <c r="BO870" s="3"/>
    </row>
    <row r="871" spans="1:67" ht="16.5" customHeight="1" x14ac:dyDescent="0.2">
      <c r="A871" s="3"/>
      <c r="B871" s="3"/>
      <c r="C871" s="3"/>
      <c r="D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  <c r="BK871" s="3"/>
      <c r="BL871" s="3"/>
      <c r="BM871" s="3"/>
      <c r="BN871" s="3"/>
      <c r="BO871" s="3"/>
    </row>
    <row r="872" spans="1:67" ht="16.5" customHeight="1" x14ac:dyDescent="0.2">
      <c r="A872" s="3"/>
      <c r="B872" s="3"/>
      <c r="C872" s="3"/>
      <c r="D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  <c r="BK872" s="3"/>
      <c r="BL872" s="3"/>
      <c r="BM872" s="3"/>
      <c r="BN872" s="3"/>
      <c r="BO872" s="3"/>
    </row>
    <row r="873" spans="1:67" ht="16.5" customHeight="1" x14ac:dyDescent="0.2">
      <c r="A873" s="3"/>
      <c r="B873" s="3"/>
      <c r="C873" s="3"/>
      <c r="D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  <c r="BK873" s="3"/>
      <c r="BL873" s="3"/>
      <c r="BM873" s="3"/>
      <c r="BN873" s="3"/>
      <c r="BO873" s="3"/>
    </row>
    <row r="874" spans="1:67" ht="16.5" customHeight="1" x14ac:dyDescent="0.2">
      <c r="A874" s="3"/>
      <c r="B874" s="3"/>
      <c r="C874" s="3"/>
      <c r="D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  <c r="BK874" s="3"/>
      <c r="BL874" s="3"/>
      <c r="BM874" s="3"/>
      <c r="BN874" s="3"/>
      <c r="BO874" s="3"/>
    </row>
    <row r="875" spans="1:67" ht="16.5" customHeight="1" x14ac:dyDescent="0.2">
      <c r="A875" s="3"/>
      <c r="B875" s="3"/>
      <c r="C875" s="3"/>
      <c r="D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  <c r="BK875" s="3"/>
      <c r="BL875" s="3"/>
      <c r="BM875" s="3"/>
      <c r="BN875" s="3"/>
      <c r="BO875" s="3"/>
    </row>
    <row r="876" spans="1:67" ht="16.5" customHeight="1" x14ac:dyDescent="0.2">
      <c r="A876" s="3"/>
      <c r="B876" s="3"/>
      <c r="C876" s="3"/>
      <c r="D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  <c r="BK876" s="3"/>
      <c r="BL876" s="3"/>
      <c r="BM876" s="3"/>
      <c r="BN876" s="3"/>
      <c r="BO876" s="3"/>
    </row>
    <row r="877" spans="1:67" ht="16.5" customHeight="1" x14ac:dyDescent="0.2">
      <c r="A877" s="3"/>
      <c r="B877" s="3"/>
      <c r="C877" s="3"/>
      <c r="D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  <c r="BK877" s="3"/>
      <c r="BL877" s="3"/>
      <c r="BM877" s="3"/>
      <c r="BN877" s="3"/>
      <c r="BO877" s="3"/>
    </row>
    <row r="878" spans="1:67" ht="16.5" customHeight="1" x14ac:dyDescent="0.2">
      <c r="A878" s="3"/>
      <c r="B878" s="3"/>
      <c r="C878" s="3"/>
      <c r="D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  <c r="BK878" s="3"/>
      <c r="BL878" s="3"/>
      <c r="BM878" s="3"/>
      <c r="BN878" s="3"/>
      <c r="BO878" s="3"/>
    </row>
    <row r="879" spans="1:67" ht="16.5" customHeight="1" x14ac:dyDescent="0.2">
      <c r="A879" s="3"/>
      <c r="B879" s="3"/>
      <c r="C879" s="3"/>
      <c r="D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  <c r="BK879" s="3"/>
      <c r="BL879" s="3"/>
      <c r="BM879" s="3"/>
      <c r="BN879" s="3"/>
      <c r="BO879" s="3"/>
    </row>
    <row r="880" spans="1:67" ht="16.5" customHeight="1" x14ac:dyDescent="0.2">
      <c r="A880" s="3"/>
      <c r="B880" s="3"/>
      <c r="C880" s="3"/>
      <c r="D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  <c r="BK880" s="3"/>
      <c r="BL880" s="3"/>
      <c r="BM880" s="3"/>
      <c r="BN880" s="3"/>
      <c r="BO880" s="3"/>
    </row>
    <row r="881" spans="1:67" ht="16.5" customHeight="1" x14ac:dyDescent="0.2">
      <c r="A881" s="3"/>
      <c r="B881" s="3"/>
      <c r="C881" s="3"/>
      <c r="D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  <c r="BK881" s="3"/>
      <c r="BL881" s="3"/>
      <c r="BM881" s="3"/>
      <c r="BN881" s="3"/>
      <c r="BO881" s="3"/>
    </row>
    <row r="882" spans="1:67" ht="16.5" customHeight="1" x14ac:dyDescent="0.2">
      <c r="A882" s="3"/>
      <c r="B882" s="3"/>
      <c r="C882" s="3"/>
      <c r="D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  <c r="BK882" s="3"/>
      <c r="BL882" s="3"/>
      <c r="BM882" s="3"/>
      <c r="BN882" s="3"/>
      <c r="BO882" s="3"/>
    </row>
    <row r="883" spans="1:67" ht="16.5" customHeight="1" x14ac:dyDescent="0.2">
      <c r="A883" s="3"/>
      <c r="B883" s="3"/>
      <c r="C883" s="3"/>
      <c r="D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  <c r="BK883" s="3"/>
      <c r="BL883" s="3"/>
      <c r="BM883" s="3"/>
      <c r="BN883" s="3"/>
      <c r="BO883" s="3"/>
    </row>
    <row r="884" spans="1:67" ht="16.5" customHeight="1" x14ac:dyDescent="0.2">
      <c r="A884" s="3"/>
      <c r="B884" s="3"/>
      <c r="C884" s="3"/>
      <c r="D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  <c r="BK884" s="3"/>
      <c r="BL884" s="3"/>
      <c r="BM884" s="3"/>
      <c r="BN884" s="3"/>
      <c r="BO884" s="3"/>
    </row>
    <row r="885" spans="1:67" ht="16.5" customHeight="1" x14ac:dyDescent="0.2">
      <c r="A885" s="3"/>
      <c r="B885" s="3"/>
      <c r="C885" s="3"/>
      <c r="D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  <c r="BK885" s="3"/>
      <c r="BL885" s="3"/>
      <c r="BM885" s="3"/>
      <c r="BN885" s="3"/>
      <c r="BO885" s="3"/>
    </row>
    <row r="886" spans="1:67" ht="16.5" customHeight="1" x14ac:dyDescent="0.2">
      <c r="A886" s="3"/>
      <c r="B886" s="3"/>
      <c r="C886" s="3"/>
      <c r="D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  <c r="BK886" s="3"/>
      <c r="BL886" s="3"/>
      <c r="BM886" s="3"/>
      <c r="BN886" s="3"/>
      <c r="BO886" s="3"/>
    </row>
    <row r="887" spans="1:67" ht="16.5" customHeight="1" x14ac:dyDescent="0.2">
      <c r="A887" s="3"/>
      <c r="B887" s="3"/>
      <c r="C887" s="3"/>
      <c r="D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  <c r="BK887" s="3"/>
      <c r="BL887" s="3"/>
      <c r="BM887" s="3"/>
      <c r="BN887" s="3"/>
      <c r="BO887" s="3"/>
    </row>
    <row r="888" spans="1:67" ht="16.5" customHeight="1" x14ac:dyDescent="0.2">
      <c r="A888" s="3"/>
      <c r="B888" s="3"/>
      <c r="C888" s="3"/>
      <c r="D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  <c r="BK888" s="3"/>
      <c r="BL888" s="3"/>
      <c r="BM888" s="3"/>
      <c r="BN888" s="3"/>
      <c r="BO888" s="3"/>
    </row>
    <row r="889" spans="1:67" ht="16.5" customHeight="1" x14ac:dyDescent="0.2">
      <c r="A889" s="3"/>
      <c r="B889" s="3"/>
      <c r="C889" s="3"/>
      <c r="D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  <c r="BK889" s="3"/>
      <c r="BL889" s="3"/>
      <c r="BM889" s="3"/>
      <c r="BN889" s="3"/>
      <c r="BO889" s="3"/>
    </row>
    <row r="890" spans="1:67" ht="16.5" customHeight="1" x14ac:dyDescent="0.2">
      <c r="A890" s="3"/>
      <c r="B890" s="3"/>
      <c r="C890" s="3"/>
      <c r="D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  <c r="BK890" s="3"/>
      <c r="BL890" s="3"/>
      <c r="BM890" s="3"/>
      <c r="BN890" s="3"/>
      <c r="BO890" s="3"/>
    </row>
    <row r="891" spans="1:67" ht="16.5" customHeight="1" x14ac:dyDescent="0.2">
      <c r="A891" s="3"/>
      <c r="B891" s="3"/>
      <c r="C891" s="3"/>
      <c r="D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  <c r="BK891" s="3"/>
      <c r="BL891" s="3"/>
      <c r="BM891" s="3"/>
      <c r="BN891" s="3"/>
      <c r="BO891" s="3"/>
    </row>
    <row r="892" spans="1:67" ht="16.5" customHeight="1" x14ac:dyDescent="0.2">
      <c r="A892" s="3"/>
      <c r="B892" s="3"/>
      <c r="C892" s="3"/>
      <c r="D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  <c r="BK892" s="3"/>
      <c r="BL892" s="3"/>
      <c r="BM892" s="3"/>
      <c r="BN892" s="3"/>
      <c r="BO892" s="3"/>
    </row>
    <row r="893" spans="1:67" ht="16.5" customHeight="1" x14ac:dyDescent="0.2">
      <c r="A893" s="3"/>
      <c r="B893" s="3"/>
      <c r="C893" s="3"/>
      <c r="D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  <c r="BK893" s="3"/>
      <c r="BL893" s="3"/>
      <c r="BM893" s="3"/>
      <c r="BN893" s="3"/>
      <c r="BO893" s="3"/>
    </row>
    <row r="894" spans="1:67" ht="16.5" customHeight="1" x14ac:dyDescent="0.2">
      <c r="A894" s="3"/>
      <c r="B894" s="3"/>
      <c r="C894" s="3"/>
      <c r="D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  <c r="BK894" s="3"/>
      <c r="BL894" s="3"/>
      <c r="BM894" s="3"/>
      <c r="BN894" s="3"/>
      <c r="BO894" s="3"/>
    </row>
    <row r="895" spans="1:67" ht="16.5" customHeight="1" x14ac:dyDescent="0.2">
      <c r="A895" s="3"/>
      <c r="B895" s="3"/>
      <c r="C895" s="3"/>
      <c r="D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  <c r="BK895" s="3"/>
      <c r="BL895" s="3"/>
      <c r="BM895" s="3"/>
      <c r="BN895" s="3"/>
      <c r="BO895" s="3"/>
    </row>
    <row r="896" spans="1:67" ht="16.5" customHeight="1" x14ac:dyDescent="0.2">
      <c r="A896" s="3"/>
      <c r="B896" s="3"/>
      <c r="C896" s="3"/>
      <c r="D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  <c r="BK896" s="3"/>
      <c r="BL896" s="3"/>
      <c r="BM896" s="3"/>
      <c r="BN896" s="3"/>
      <c r="BO896" s="3"/>
    </row>
    <row r="897" spans="1:67" ht="16.5" customHeight="1" x14ac:dyDescent="0.2">
      <c r="A897" s="3"/>
      <c r="B897" s="3"/>
      <c r="C897" s="3"/>
      <c r="D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  <c r="BK897" s="3"/>
      <c r="BL897" s="3"/>
      <c r="BM897" s="3"/>
      <c r="BN897" s="3"/>
      <c r="BO897" s="3"/>
    </row>
    <row r="898" spans="1:67" ht="16.5" customHeight="1" x14ac:dyDescent="0.2">
      <c r="A898" s="3"/>
      <c r="B898" s="3"/>
      <c r="C898" s="3"/>
      <c r="D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  <c r="BK898" s="3"/>
      <c r="BL898" s="3"/>
      <c r="BM898" s="3"/>
      <c r="BN898" s="3"/>
      <c r="BO898" s="3"/>
    </row>
    <row r="899" spans="1:67" ht="16.5" customHeight="1" x14ac:dyDescent="0.2">
      <c r="A899" s="3"/>
      <c r="B899" s="3"/>
      <c r="C899" s="3"/>
      <c r="D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  <c r="BK899" s="3"/>
      <c r="BL899" s="3"/>
      <c r="BM899" s="3"/>
      <c r="BN899" s="3"/>
      <c r="BO899" s="3"/>
    </row>
    <row r="900" spans="1:67" ht="16.5" customHeight="1" x14ac:dyDescent="0.2">
      <c r="A900" s="3"/>
      <c r="B900" s="3"/>
      <c r="C900" s="3"/>
      <c r="D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  <c r="BK900" s="3"/>
      <c r="BL900" s="3"/>
      <c r="BM900" s="3"/>
      <c r="BN900" s="3"/>
      <c r="BO900" s="3"/>
    </row>
    <row r="901" spans="1:67" ht="16.5" customHeight="1" x14ac:dyDescent="0.2">
      <c r="A901" s="3"/>
      <c r="B901" s="3"/>
      <c r="C901" s="3"/>
      <c r="D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  <c r="BK901" s="3"/>
      <c r="BL901" s="3"/>
      <c r="BM901" s="3"/>
      <c r="BN901" s="3"/>
      <c r="BO901" s="3"/>
    </row>
    <row r="902" spans="1:67" ht="16.5" customHeight="1" x14ac:dyDescent="0.2">
      <c r="A902" s="3"/>
      <c r="B902" s="3"/>
      <c r="C902" s="3"/>
      <c r="D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  <c r="BK902" s="3"/>
      <c r="BL902" s="3"/>
      <c r="BM902" s="3"/>
      <c r="BN902" s="3"/>
      <c r="BO902" s="3"/>
    </row>
    <row r="903" spans="1:67" ht="16.5" customHeight="1" x14ac:dyDescent="0.2">
      <c r="A903" s="3"/>
      <c r="B903" s="3"/>
      <c r="C903" s="3"/>
      <c r="D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  <c r="BK903" s="3"/>
      <c r="BL903" s="3"/>
      <c r="BM903" s="3"/>
      <c r="BN903" s="3"/>
      <c r="BO903" s="3"/>
    </row>
    <row r="904" spans="1:67" ht="16.5" customHeight="1" x14ac:dyDescent="0.2">
      <c r="A904" s="3"/>
      <c r="B904" s="3"/>
      <c r="C904" s="3"/>
      <c r="D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  <c r="BK904" s="3"/>
      <c r="BL904" s="3"/>
      <c r="BM904" s="3"/>
      <c r="BN904" s="3"/>
      <c r="BO904" s="3"/>
    </row>
    <row r="905" spans="1:67" ht="16.5" customHeight="1" x14ac:dyDescent="0.2">
      <c r="A905" s="3"/>
      <c r="B905" s="3"/>
      <c r="C905" s="3"/>
      <c r="D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  <c r="BK905" s="3"/>
      <c r="BL905" s="3"/>
      <c r="BM905" s="3"/>
      <c r="BN905" s="3"/>
      <c r="BO905" s="3"/>
    </row>
    <row r="906" spans="1:67" ht="16.5" customHeight="1" x14ac:dyDescent="0.2">
      <c r="A906" s="3"/>
      <c r="B906" s="3"/>
      <c r="C906" s="3"/>
      <c r="D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  <c r="BK906" s="3"/>
      <c r="BL906" s="3"/>
      <c r="BM906" s="3"/>
      <c r="BN906" s="3"/>
      <c r="BO906" s="3"/>
    </row>
    <row r="907" spans="1:67" ht="16.5" customHeight="1" x14ac:dyDescent="0.2">
      <c r="A907" s="3"/>
      <c r="B907" s="3"/>
      <c r="C907" s="3"/>
      <c r="D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  <c r="BK907" s="3"/>
      <c r="BL907" s="3"/>
      <c r="BM907" s="3"/>
      <c r="BN907" s="3"/>
      <c r="BO907" s="3"/>
    </row>
    <row r="908" spans="1:67" ht="16.5" customHeight="1" x14ac:dyDescent="0.2">
      <c r="A908" s="3"/>
      <c r="B908" s="3"/>
      <c r="C908" s="3"/>
      <c r="D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  <c r="BK908" s="3"/>
      <c r="BL908" s="3"/>
      <c r="BM908" s="3"/>
      <c r="BN908" s="3"/>
      <c r="BO908" s="3"/>
    </row>
    <row r="909" spans="1:67" ht="16.5" customHeight="1" x14ac:dyDescent="0.2">
      <c r="A909" s="3"/>
      <c r="B909" s="3"/>
      <c r="C909" s="3"/>
      <c r="D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  <c r="BK909" s="3"/>
      <c r="BL909" s="3"/>
      <c r="BM909" s="3"/>
      <c r="BN909" s="3"/>
      <c r="BO909" s="3"/>
    </row>
    <row r="910" spans="1:67" ht="16.5" customHeight="1" x14ac:dyDescent="0.2">
      <c r="A910" s="3"/>
      <c r="B910" s="3"/>
      <c r="C910" s="3"/>
      <c r="D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  <c r="BK910" s="3"/>
      <c r="BL910" s="3"/>
      <c r="BM910" s="3"/>
      <c r="BN910" s="3"/>
      <c r="BO910" s="3"/>
    </row>
    <row r="911" spans="1:67" ht="16.5" customHeight="1" x14ac:dyDescent="0.2">
      <c r="A911" s="3"/>
      <c r="B911" s="3"/>
      <c r="C911" s="3"/>
      <c r="D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  <c r="BK911" s="3"/>
      <c r="BL911" s="3"/>
      <c r="BM911" s="3"/>
      <c r="BN911" s="3"/>
      <c r="BO911" s="3"/>
    </row>
    <row r="912" spans="1:67" ht="16.5" customHeight="1" x14ac:dyDescent="0.2">
      <c r="A912" s="3"/>
      <c r="B912" s="3"/>
      <c r="C912" s="3"/>
      <c r="D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  <c r="BK912" s="3"/>
      <c r="BL912" s="3"/>
      <c r="BM912" s="3"/>
      <c r="BN912" s="3"/>
      <c r="BO912" s="3"/>
    </row>
    <row r="913" spans="1:67" ht="16.5" customHeight="1" x14ac:dyDescent="0.2">
      <c r="A913" s="3"/>
      <c r="B913" s="3"/>
      <c r="C913" s="3"/>
      <c r="D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  <c r="BK913" s="3"/>
      <c r="BL913" s="3"/>
      <c r="BM913" s="3"/>
      <c r="BN913" s="3"/>
      <c r="BO913" s="3"/>
    </row>
    <row r="914" spans="1:67" ht="16.5" customHeight="1" x14ac:dyDescent="0.2">
      <c r="A914" s="3"/>
      <c r="B914" s="3"/>
      <c r="C914" s="3"/>
      <c r="D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  <c r="BK914" s="3"/>
      <c r="BL914" s="3"/>
      <c r="BM914" s="3"/>
      <c r="BN914" s="3"/>
      <c r="BO914" s="3"/>
    </row>
    <row r="915" spans="1:67" ht="16.5" customHeight="1" x14ac:dyDescent="0.2">
      <c r="A915" s="3"/>
      <c r="B915" s="3"/>
      <c r="C915" s="3"/>
      <c r="D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  <c r="BK915" s="3"/>
      <c r="BL915" s="3"/>
      <c r="BM915" s="3"/>
      <c r="BN915" s="3"/>
      <c r="BO915" s="3"/>
    </row>
    <row r="916" spans="1:67" ht="16.5" customHeight="1" x14ac:dyDescent="0.2">
      <c r="A916" s="3"/>
      <c r="B916" s="3"/>
      <c r="C916" s="3"/>
      <c r="D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  <c r="BK916" s="3"/>
      <c r="BL916" s="3"/>
      <c r="BM916" s="3"/>
      <c r="BN916" s="3"/>
      <c r="BO916" s="3"/>
    </row>
    <row r="917" spans="1:67" ht="16.5" customHeight="1" x14ac:dyDescent="0.2">
      <c r="A917" s="3"/>
      <c r="B917" s="3"/>
      <c r="C917" s="3"/>
      <c r="D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  <c r="BK917" s="3"/>
      <c r="BL917" s="3"/>
      <c r="BM917" s="3"/>
      <c r="BN917" s="3"/>
      <c r="BO917" s="3"/>
    </row>
    <row r="918" spans="1:67" ht="16.5" customHeight="1" x14ac:dyDescent="0.2">
      <c r="A918" s="3"/>
      <c r="B918" s="3"/>
      <c r="C918" s="3"/>
      <c r="D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  <c r="BK918" s="3"/>
      <c r="BL918" s="3"/>
      <c r="BM918" s="3"/>
      <c r="BN918" s="3"/>
      <c r="BO918" s="3"/>
    </row>
    <row r="919" spans="1:67" ht="16.5" customHeight="1" x14ac:dyDescent="0.2">
      <c r="A919" s="3"/>
      <c r="B919" s="3"/>
      <c r="C919" s="3"/>
      <c r="D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  <c r="BK919" s="3"/>
      <c r="BL919" s="3"/>
      <c r="BM919" s="3"/>
      <c r="BN919" s="3"/>
      <c r="BO919" s="3"/>
    </row>
    <row r="920" spans="1:67" ht="16.5" customHeight="1" x14ac:dyDescent="0.2">
      <c r="A920" s="3"/>
      <c r="B920" s="3"/>
      <c r="C920" s="3"/>
      <c r="D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  <c r="BK920" s="3"/>
      <c r="BL920" s="3"/>
      <c r="BM920" s="3"/>
      <c r="BN920" s="3"/>
      <c r="BO920" s="3"/>
    </row>
    <row r="921" spans="1:67" ht="16.5" customHeight="1" x14ac:dyDescent="0.2">
      <c r="A921" s="3"/>
      <c r="B921" s="3"/>
      <c r="C921" s="3"/>
      <c r="D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  <c r="BK921" s="3"/>
      <c r="BL921" s="3"/>
      <c r="BM921" s="3"/>
      <c r="BN921" s="3"/>
      <c r="BO921" s="3"/>
    </row>
    <row r="922" spans="1:67" ht="16.5" customHeight="1" x14ac:dyDescent="0.2">
      <c r="A922" s="3"/>
      <c r="B922" s="3"/>
      <c r="C922" s="3"/>
      <c r="D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  <c r="BK922" s="3"/>
      <c r="BL922" s="3"/>
      <c r="BM922" s="3"/>
      <c r="BN922" s="3"/>
      <c r="BO922" s="3"/>
    </row>
    <row r="923" spans="1:67" ht="16.5" customHeight="1" x14ac:dyDescent="0.2">
      <c r="A923" s="3"/>
      <c r="B923" s="3"/>
      <c r="C923" s="3"/>
      <c r="D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  <c r="BK923" s="3"/>
      <c r="BL923" s="3"/>
      <c r="BM923" s="3"/>
      <c r="BN923" s="3"/>
      <c r="BO923" s="3"/>
    </row>
    <row r="924" spans="1:67" ht="16.5" customHeight="1" x14ac:dyDescent="0.2">
      <c r="A924" s="3"/>
      <c r="B924" s="3"/>
      <c r="C924" s="3"/>
      <c r="D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  <c r="BK924" s="3"/>
      <c r="BL924" s="3"/>
      <c r="BM924" s="3"/>
      <c r="BN924" s="3"/>
      <c r="BO924" s="3"/>
    </row>
    <row r="925" spans="1:67" ht="16.5" customHeight="1" x14ac:dyDescent="0.2">
      <c r="A925" s="3"/>
      <c r="B925" s="3"/>
      <c r="C925" s="3"/>
      <c r="D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  <c r="BK925" s="3"/>
      <c r="BL925" s="3"/>
      <c r="BM925" s="3"/>
      <c r="BN925" s="3"/>
      <c r="BO925" s="3"/>
    </row>
    <row r="926" spans="1:67" ht="16.5" customHeight="1" x14ac:dyDescent="0.2">
      <c r="A926" s="3"/>
      <c r="B926" s="3"/>
      <c r="C926" s="3"/>
      <c r="D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  <c r="BK926" s="3"/>
      <c r="BL926" s="3"/>
      <c r="BM926" s="3"/>
      <c r="BN926" s="3"/>
      <c r="BO926" s="3"/>
    </row>
    <row r="927" spans="1:67" ht="16.5" customHeight="1" x14ac:dyDescent="0.2">
      <c r="A927" s="3"/>
      <c r="B927" s="3"/>
      <c r="C927" s="3"/>
      <c r="D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  <c r="BK927" s="3"/>
      <c r="BL927" s="3"/>
      <c r="BM927" s="3"/>
      <c r="BN927" s="3"/>
      <c r="BO927" s="3"/>
    </row>
    <row r="928" spans="1:67" ht="16.5" customHeight="1" x14ac:dyDescent="0.2">
      <c r="A928" s="3"/>
      <c r="B928" s="3"/>
      <c r="C928" s="3"/>
      <c r="D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  <c r="BK928" s="3"/>
      <c r="BL928" s="3"/>
      <c r="BM928" s="3"/>
      <c r="BN928" s="3"/>
      <c r="BO928" s="3"/>
    </row>
    <row r="929" spans="1:67" ht="16.5" customHeight="1" x14ac:dyDescent="0.2">
      <c r="A929" s="3"/>
      <c r="B929" s="3"/>
      <c r="C929" s="3"/>
      <c r="D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  <c r="BK929" s="3"/>
      <c r="BL929" s="3"/>
      <c r="BM929" s="3"/>
      <c r="BN929" s="3"/>
      <c r="BO929" s="3"/>
    </row>
    <row r="930" spans="1:67" ht="16.5" customHeight="1" x14ac:dyDescent="0.2">
      <c r="A930" s="3"/>
      <c r="B930" s="3"/>
      <c r="C930" s="3"/>
      <c r="D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  <c r="BK930" s="3"/>
      <c r="BL930" s="3"/>
      <c r="BM930" s="3"/>
      <c r="BN930" s="3"/>
      <c r="BO930" s="3"/>
    </row>
    <row r="931" spans="1:67" ht="16.5" customHeight="1" x14ac:dyDescent="0.2">
      <c r="A931" s="3"/>
      <c r="B931" s="3"/>
      <c r="C931" s="3"/>
      <c r="D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  <c r="BK931" s="3"/>
      <c r="BL931" s="3"/>
      <c r="BM931" s="3"/>
      <c r="BN931" s="3"/>
      <c r="BO931" s="3"/>
    </row>
    <row r="932" spans="1:67" ht="16.5" customHeight="1" x14ac:dyDescent="0.2">
      <c r="A932" s="3"/>
      <c r="B932" s="3"/>
      <c r="C932" s="3"/>
      <c r="D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  <c r="BK932" s="3"/>
      <c r="BL932" s="3"/>
      <c r="BM932" s="3"/>
      <c r="BN932" s="3"/>
      <c r="BO932" s="3"/>
    </row>
    <row r="933" spans="1:67" ht="16.5" customHeight="1" x14ac:dyDescent="0.2">
      <c r="A933" s="3"/>
      <c r="B933" s="3"/>
      <c r="C933" s="3"/>
      <c r="D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  <c r="BK933" s="3"/>
      <c r="BL933" s="3"/>
      <c r="BM933" s="3"/>
      <c r="BN933" s="3"/>
      <c r="BO933" s="3"/>
    </row>
    <row r="934" spans="1:67" ht="16.5" customHeight="1" x14ac:dyDescent="0.2">
      <c r="A934" s="3"/>
      <c r="B934" s="3"/>
      <c r="C934" s="3"/>
      <c r="D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  <c r="BK934" s="3"/>
      <c r="BL934" s="3"/>
      <c r="BM934" s="3"/>
      <c r="BN934" s="3"/>
      <c r="BO934" s="3"/>
    </row>
    <row r="935" spans="1:67" ht="16.5" customHeight="1" x14ac:dyDescent="0.2">
      <c r="A935" s="3"/>
      <c r="B935" s="3"/>
      <c r="C935" s="3"/>
      <c r="D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  <c r="BK935" s="3"/>
      <c r="BL935" s="3"/>
      <c r="BM935" s="3"/>
      <c r="BN935" s="3"/>
      <c r="BO935" s="3"/>
    </row>
    <row r="936" spans="1:67" ht="16.5" customHeight="1" x14ac:dyDescent="0.2">
      <c r="A936" s="3"/>
      <c r="B936" s="3"/>
      <c r="C936" s="3"/>
      <c r="D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  <c r="BK936" s="3"/>
      <c r="BL936" s="3"/>
      <c r="BM936" s="3"/>
      <c r="BN936" s="3"/>
      <c r="BO936" s="3"/>
    </row>
    <row r="937" spans="1:67" ht="16.5" customHeight="1" x14ac:dyDescent="0.2">
      <c r="A937" s="3"/>
      <c r="B937" s="3"/>
      <c r="C937" s="3"/>
      <c r="D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  <c r="BK937" s="3"/>
      <c r="BL937" s="3"/>
      <c r="BM937" s="3"/>
      <c r="BN937" s="3"/>
      <c r="BO937" s="3"/>
    </row>
    <row r="938" spans="1:67" ht="16.5" customHeight="1" x14ac:dyDescent="0.2">
      <c r="A938" s="3"/>
      <c r="B938" s="3"/>
      <c r="C938" s="3"/>
      <c r="D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  <c r="BK938" s="3"/>
      <c r="BL938" s="3"/>
      <c r="BM938" s="3"/>
      <c r="BN938" s="3"/>
      <c r="BO938" s="3"/>
    </row>
    <row r="939" spans="1:67" ht="16.5" customHeight="1" x14ac:dyDescent="0.2">
      <c r="A939" s="3"/>
      <c r="B939" s="3"/>
      <c r="C939" s="3"/>
      <c r="D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  <c r="BK939" s="3"/>
      <c r="BL939" s="3"/>
      <c r="BM939" s="3"/>
      <c r="BN939" s="3"/>
      <c r="BO939" s="3"/>
    </row>
    <row r="940" spans="1:67" ht="16.5" customHeight="1" x14ac:dyDescent="0.2">
      <c r="A940" s="3"/>
      <c r="B940" s="3"/>
      <c r="C940" s="3"/>
      <c r="D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  <c r="BK940" s="3"/>
      <c r="BL940" s="3"/>
      <c r="BM940" s="3"/>
      <c r="BN940" s="3"/>
      <c r="BO940" s="3"/>
    </row>
    <row r="941" spans="1:67" ht="16.5" customHeight="1" x14ac:dyDescent="0.2">
      <c r="A941" s="3"/>
      <c r="B941" s="3"/>
      <c r="C941" s="3"/>
      <c r="D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  <c r="BK941" s="3"/>
      <c r="BL941" s="3"/>
      <c r="BM941" s="3"/>
      <c r="BN941" s="3"/>
      <c r="BO941" s="3"/>
    </row>
    <row r="942" spans="1:67" ht="16.5" customHeight="1" x14ac:dyDescent="0.2">
      <c r="A942" s="3"/>
      <c r="B942" s="3"/>
      <c r="C942" s="3"/>
      <c r="D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  <c r="BK942" s="3"/>
      <c r="BL942" s="3"/>
      <c r="BM942" s="3"/>
      <c r="BN942" s="3"/>
      <c r="BO942" s="3"/>
    </row>
    <row r="943" spans="1:67" ht="16.5" customHeight="1" x14ac:dyDescent="0.2">
      <c r="A943" s="3"/>
      <c r="B943" s="3"/>
      <c r="C943" s="3"/>
      <c r="D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  <c r="BK943" s="3"/>
      <c r="BL943" s="3"/>
      <c r="BM943" s="3"/>
      <c r="BN943" s="3"/>
      <c r="BO943" s="3"/>
    </row>
    <row r="944" spans="1:67" ht="16.5" customHeight="1" x14ac:dyDescent="0.2">
      <c r="A944" s="3"/>
      <c r="B944" s="3"/>
      <c r="C944" s="3"/>
      <c r="D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  <c r="BK944" s="3"/>
      <c r="BL944" s="3"/>
      <c r="BM944" s="3"/>
      <c r="BN944" s="3"/>
      <c r="BO944" s="3"/>
    </row>
    <row r="945" spans="1:67" ht="16.5" customHeight="1" x14ac:dyDescent="0.2">
      <c r="A945" s="3"/>
      <c r="B945" s="3"/>
      <c r="C945" s="3"/>
      <c r="D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  <c r="BK945" s="3"/>
      <c r="BL945" s="3"/>
      <c r="BM945" s="3"/>
      <c r="BN945" s="3"/>
      <c r="BO945" s="3"/>
    </row>
    <row r="946" spans="1:67" ht="16.5" customHeight="1" x14ac:dyDescent="0.2">
      <c r="A946" s="3"/>
      <c r="B946" s="3"/>
      <c r="C946" s="3"/>
      <c r="D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  <c r="BK946" s="3"/>
      <c r="BL946" s="3"/>
      <c r="BM946" s="3"/>
      <c r="BN946" s="3"/>
      <c r="BO946" s="3"/>
    </row>
    <row r="947" spans="1:67" ht="16.5" customHeight="1" x14ac:dyDescent="0.2">
      <c r="A947" s="3"/>
      <c r="B947" s="3"/>
      <c r="C947" s="3"/>
      <c r="D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  <c r="BK947" s="3"/>
      <c r="BL947" s="3"/>
      <c r="BM947" s="3"/>
      <c r="BN947" s="3"/>
      <c r="BO947" s="3"/>
    </row>
    <row r="948" spans="1:67" ht="16.5" customHeight="1" x14ac:dyDescent="0.2">
      <c r="A948" s="3"/>
      <c r="B948" s="3"/>
      <c r="C948" s="3"/>
      <c r="D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  <c r="BK948" s="3"/>
      <c r="BL948" s="3"/>
      <c r="BM948" s="3"/>
      <c r="BN948" s="3"/>
      <c r="BO948" s="3"/>
    </row>
    <row r="949" spans="1:67" ht="16.5" customHeight="1" x14ac:dyDescent="0.2">
      <c r="A949" s="3"/>
      <c r="B949" s="3"/>
      <c r="C949" s="3"/>
      <c r="D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  <c r="BK949" s="3"/>
      <c r="BL949" s="3"/>
      <c r="BM949" s="3"/>
      <c r="BN949" s="3"/>
      <c r="BO949" s="3"/>
    </row>
    <row r="950" spans="1:67" ht="16.5" customHeight="1" x14ac:dyDescent="0.2">
      <c r="A950" s="3"/>
      <c r="B950" s="3"/>
      <c r="C950" s="3"/>
      <c r="D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  <c r="BK950" s="3"/>
      <c r="BL950" s="3"/>
      <c r="BM950" s="3"/>
      <c r="BN950" s="3"/>
      <c r="BO950" s="3"/>
    </row>
    <row r="951" spans="1:67" ht="16.5" customHeight="1" x14ac:dyDescent="0.2">
      <c r="A951" s="3"/>
      <c r="B951" s="3"/>
      <c r="C951" s="3"/>
      <c r="D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  <c r="BK951" s="3"/>
      <c r="BL951" s="3"/>
      <c r="BM951" s="3"/>
      <c r="BN951" s="3"/>
      <c r="BO951" s="3"/>
    </row>
    <row r="952" spans="1:67" ht="16.5" customHeight="1" x14ac:dyDescent="0.2">
      <c r="A952" s="3"/>
      <c r="B952" s="3"/>
      <c r="C952" s="3"/>
      <c r="D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  <c r="BK952" s="3"/>
      <c r="BL952" s="3"/>
      <c r="BM952" s="3"/>
      <c r="BN952" s="3"/>
      <c r="BO952" s="3"/>
    </row>
    <row r="953" spans="1:67" ht="16.5" customHeight="1" x14ac:dyDescent="0.2">
      <c r="A953" s="3"/>
      <c r="B953" s="3"/>
      <c r="C953" s="3"/>
      <c r="D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  <c r="BK953" s="3"/>
      <c r="BL953" s="3"/>
      <c r="BM953" s="3"/>
      <c r="BN953" s="3"/>
      <c r="BO953" s="3"/>
    </row>
    <row r="954" spans="1:67" ht="16.5" customHeight="1" x14ac:dyDescent="0.2">
      <c r="A954" s="3"/>
      <c r="B954" s="3"/>
      <c r="C954" s="3"/>
      <c r="D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  <c r="BK954" s="3"/>
      <c r="BL954" s="3"/>
      <c r="BM954" s="3"/>
      <c r="BN954" s="3"/>
      <c r="BO954" s="3"/>
    </row>
    <row r="955" spans="1:67" ht="16.5" customHeight="1" x14ac:dyDescent="0.2">
      <c r="A955" s="3"/>
      <c r="B955" s="3"/>
      <c r="C955" s="3"/>
      <c r="D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  <c r="BK955" s="3"/>
      <c r="BL955" s="3"/>
      <c r="BM955" s="3"/>
      <c r="BN955" s="3"/>
      <c r="BO955" s="3"/>
    </row>
    <row r="956" spans="1:67" ht="16.5" customHeight="1" x14ac:dyDescent="0.2">
      <c r="A956" s="3"/>
      <c r="B956" s="3"/>
      <c r="C956" s="3"/>
      <c r="D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  <c r="BK956" s="3"/>
      <c r="BL956" s="3"/>
      <c r="BM956" s="3"/>
      <c r="BN956" s="3"/>
      <c r="BO956" s="3"/>
    </row>
    <row r="957" spans="1:67" ht="16.5" customHeight="1" x14ac:dyDescent="0.2">
      <c r="A957" s="3"/>
      <c r="B957" s="3"/>
      <c r="C957" s="3"/>
      <c r="D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  <c r="BK957" s="3"/>
      <c r="BL957" s="3"/>
      <c r="BM957" s="3"/>
      <c r="BN957" s="3"/>
      <c r="BO957" s="3"/>
    </row>
    <row r="958" spans="1:67" ht="16.5" customHeight="1" x14ac:dyDescent="0.2">
      <c r="A958" s="3"/>
      <c r="B958" s="3"/>
      <c r="C958" s="3"/>
      <c r="D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  <c r="BK958" s="3"/>
      <c r="BL958" s="3"/>
      <c r="BM958" s="3"/>
      <c r="BN958" s="3"/>
      <c r="BO958" s="3"/>
    </row>
    <row r="959" spans="1:67" ht="16.5" customHeight="1" x14ac:dyDescent="0.2">
      <c r="A959" s="3"/>
      <c r="B959" s="3"/>
      <c r="C959" s="3"/>
      <c r="D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  <c r="BK959" s="3"/>
      <c r="BL959" s="3"/>
      <c r="BM959" s="3"/>
      <c r="BN959" s="3"/>
      <c r="BO959" s="3"/>
    </row>
    <row r="960" spans="1:67" ht="16.5" customHeight="1" x14ac:dyDescent="0.2">
      <c r="A960" s="3"/>
      <c r="B960" s="3"/>
      <c r="C960" s="3"/>
      <c r="D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  <c r="BK960" s="3"/>
      <c r="BL960" s="3"/>
      <c r="BM960" s="3"/>
      <c r="BN960" s="3"/>
      <c r="BO960" s="3"/>
    </row>
    <row r="961" spans="1:67" ht="16.5" customHeight="1" x14ac:dyDescent="0.2">
      <c r="A961" s="3"/>
      <c r="B961" s="3"/>
      <c r="C961" s="3"/>
      <c r="D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  <c r="BK961" s="3"/>
      <c r="BL961" s="3"/>
      <c r="BM961" s="3"/>
      <c r="BN961" s="3"/>
      <c r="BO961" s="3"/>
    </row>
    <row r="962" spans="1:67" ht="16.5" customHeight="1" x14ac:dyDescent="0.2">
      <c r="A962" s="3"/>
      <c r="B962" s="3"/>
      <c r="C962" s="3"/>
      <c r="D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  <c r="BK962" s="3"/>
      <c r="BL962" s="3"/>
      <c r="BM962" s="3"/>
      <c r="BN962" s="3"/>
      <c r="BO962" s="3"/>
    </row>
    <row r="963" spans="1:67" ht="16.5" customHeight="1" x14ac:dyDescent="0.2">
      <c r="A963" s="3"/>
      <c r="B963" s="3"/>
      <c r="C963" s="3"/>
      <c r="D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  <c r="BK963" s="3"/>
      <c r="BL963" s="3"/>
      <c r="BM963" s="3"/>
      <c r="BN963" s="3"/>
      <c r="BO963" s="3"/>
    </row>
    <row r="964" spans="1:67" ht="16.5" customHeight="1" x14ac:dyDescent="0.2">
      <c r="A964" s="3"/>
      <c r="B964" s="3"/>
      <c r="C964" s="3"/>
      <c r="D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  <c r="BK964" s="3"/>
      <c r="BL964" s="3"/>
      <c r="BM964" s="3"/>
      <c r="BN964" s="3"/>
      <c r="BO964" s="3"/>
    </row>
    <row r="965" spans="1:67" ht="16.5" customHeight="1" x14ac:dyDescent="0.2">
      <c r="A965" s="3"/>
      <c r="B965" s="3"/>
      <c r="C965" s="3"/>
      <c r="D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  <c r="BK965" s="3"/>
      <c r="BL965" s="3"/>
      <c r="BM965" s="3"/>
      <c r="BN965" s="3"/>
      <c r="BO965" s="3"/>
    </row>
    <row r="966" spans="1:67" ht="16.5" customHeight="1" x14ac:dyDescent="0.2">
      <c r="A966" s="3"/>
      <c r="B966" s="3"/>
      <c r="C966" s="3"/>
      <c r="D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  <c r="BK966" s="3"/>
      <c r="BL966" s="3"/>
      <c r="BM966" s="3"/>
      <c r="BN966" s="3"/>
      <c r="BO966" s="3"/>
    </row>
    <row r="967" spans="1:67" ht="16.5" customHeight="1" x14ac:dyDescent="0.2">
      <c r="A967" s="3"/>
      <c r="B967" s="3"/>
      <c r="C967" s="3"/>
      <c r="D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  <c r="BK967" s="3"/>
      <c r="BL967" s="3"/>
      <c r="BM967" s="3"/>
      <c r="BN967" s="3"/>
      <c r="BO967" s="3"/>
    </row>
    <row r="968" spans="1:67" ht="16.5" customHeight="1" x14ac:dyDescent="0.2">
      <c r="A968" s="3"/>
      <c r="B968" s="3"/>
      <c r="C968" s="3"/>
      <c r="D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  <c r="BK968" s="3"/>
      <c r="BL968" s="3"/>
      <c r="BM968" s="3"/>
      <c r="BN968" s="3"/>
      <c r="BO968" s="3"/>
    </row>
    <row r="969" spans="1:67" ht="16.5" customHeight="1" x14ac:dyDescent="0.2">
      <c r="A969" s="3"/>
      <c r="B969" s="3"/>
      <c r="C969" s="3"/>
      <c r="D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  <c r="BK969" s="3"/>
      <c r="BL969" s="3"/>
      <c r="BM969" s="3"/>
      <c r="BN969" s="3"/>
      <c r="BO969" s="3"/>
    </row>
    <row r="970" spans="1:67" ht="16.5" customHeight="1" x14ac:dyDescent="0.2">
      <c r="A970" s="3"/>
      <c r="B970" s="3"/>
      <c r="C970" s="3"/>
      <c r="D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  <c r="BK970" s="3"/>
      <c r="BL970" s="3"/>
      <c r="BM970" s="3"/>
      <c r="BN970" s="3"/>
      <c r="BO970" s="3"/>
    </row>
    <row r="971" spans="1:67" ht="16.5" customHeight="1" x14ac:dyDescent="0.2">
      <c r="A971" s="3"/>
      <c r="B971" s="3"/>
      <c r="C971" s="3"/>
      <c r="D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  <c r="BK971" s="3"/>
      <c r="BL971" s="3"/>
      <c r="BM971" s="3"/>
      <c r="BN971" s="3"/>
      <c r="BO971" s="3"/>
    </row>
    <row r="972" spans="1:67" ht="16.5" customHeight="1" x14ac:dyDescent="0.2">
      <c r="A972" s="3"/>
      <c r="B972" s="3"/>
      <c r="C972" s="3"/>
      <c r="D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  <c r="BK972" s="3"/>
      <c r="BL972" s="3"/>
      <c r="BM972" s="3"/>
      <c r="BN972" s="3"/>
      <c r="BO972" s="3"/>
    </row>
    <row r="973" spans="1:67" ht="16.5" customHeight="1" x14ac:dyDescent="0.2">
      <c r="A973" s="3"/>
      <c r="B973" s="3"/>
      <c r="C973" s="3"/>
      <c r="D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  <c r="BK973" s="3"/>
      <c r="BL973" s="3"/>
      <c r="BM973" s="3"/>
      <c r="BN973" s="3"/>
      <c r="BO973" s="3"/>
    </row>
    <row r="974" spans="1:67" ht="16.5" customHeight="1" x14ac:dyDescent="0.2">
      <c r="A974" s="3"/>
      <c r="B974" s="3"/>
      <c r="C974" s="3"/>
      <c r="D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  <c r="BK974" s="3"/>
      <c r="BL974" s="3"/>
      <c r="BM974" s="3"/>
      <c r="BN974" s="3"/>
      <c r="BO974" s="3"/>
    </row>
    <row r="975" spans="1:67" ht="16.5" customHeight="1" x14ac:dyDescent="0.2">
      <c r="A975" s="3"/>
      <c r="B975" s="3"/>
      <c r="C975" s="3"/>
      <c r="D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  <c r="BK975" s="3"/>
      <c r="BL975" s="3"/>
      <c r="BM975" s="3"/>
      <c r="BN975" s="3"/>
      <c r="BO975" s="3"/>
    </row>
    <row r="976" spans="1:67" ht="16.5" customHeight="1" x14ac:dyDescent="0.2">
      <c r="A976" s="3"/>
      <c r="B976" s="3"/>
      <c r="C976" s="3"/>
      <c r="D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  <c r="BK976" s="3"/>
      <c r="BL976" s="3"/>
      <c r="BM976" s="3"/>
      <c r="BN976" s="3"/>
      <c r="BO976" s="3"/>
    </row>
    <row r="977" spans="1:67" ht="16.5" customHeight="1" x14ac:dyDescent="0.2">
      <c r="A977" s="3"/>
      <c r="B977" s="3"/>
      <c r="C977" s="3"/>
      <c r="D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  <c r="BK977" s="3"/>
      <c r="BL977" s="3"/>
      <c r="BM977" s="3"/>
      <c r="BN977" s="3"/>
      <c r="BO977" s="3"/>
    </row>
    <row r="978" spans="1:67" ht="16.5" customHeight="1" x14ac:dyDescent="0.2">
      <c r="A978" s="3"/>
      <c r="B978" s="3"/>
      <c r="C978" s="3"/>
      <c r="D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  <c r="BK978" s="3"/>
      <c r="BL978" s="3"/>
      <c r="BM978" s="3"/>
      <c r="BN978" s="3"/>
      <c r="BO978" s="3"/>
    </row>
    <row r="979" spans="1:67" ht="16.5" customHeight="1" x14ac:dyDescent="0.2">
      <c r="A979" s="3"/>
      <c r="B979" s="3"/>
      <c r="C979" s="3"/>
      <c r="D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  <c r="BK979" s="3"/>
      <c r="BL979" s="3"/>
      <c r="BM979" s="3"/>
      <c r="BN979" s="3"/>
      <c r="BO979" s="3"/>
    </row>
    <row r="980" spans="1:67" ht="16.5" customHeight="1" x14ac:dyDescent="0.2">
      <c r="A980" s="3"/>
      <c r="B980" s="3"/>
      <c r="C980" s="3"/>
      <c r="D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  <c r="BK980" s="3"/>
      <c r="BL980" s="3"/>
      <c r="BM980" s="3"/>
      <c r="BN980" s="3"/>
      <c r="BO980" s="3"/>
    </row>
    <row r="981" spans="1:67" ht="16.5" customHeight="1" x14ac:dyDescent="0.2">
      <c r="A981" s="3"/>
      <c r="B981" s="3"/>
      <c r="C981" s="3"/>
      <c r="D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  <c r="BK981" s="3"/>
      <c r="BL981" s="3"/>
      <c r="BM981" s="3"/>
      <c r="BN981" s="3"/>
      <c r="BO981" s="3"/>
    </row>
    <row r="982" spans="1:67" ht="16.5" customHeight="1" x14ac:dyDescent="0.2">
      <c r="A982" s="3"/>
      <c r="B982" s="3"/>
      <c r="C982" s="3"/>
      <c r="D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  <c r="BK982" s="3"/>
      <c r="BL982" s="3"/>
      <c r="BM982" s="3"/>
      <c r="BN982" s="3"/>
      <c r="BO982" s="3"/>
    </row>
    <row r="983" spans="1:67" ht="16.5" customHeight="1" x14ac:dyDescent="0.2">
      <c r="A983" s="3"/>
      <c r="B983" s="3"/>
      <c r="C983" s="3"/>
      <c r="D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  <c r="BK983" s="3"/>
      <c r="BL983" s="3"/>
      <c r="BM983" s="3"/>
      <c r="BN983" s="3"/>
      <c r="BO983" s="3"/>
    </row>
    <row r="984" spans="1:67" ht="16.5" customHeight="1" x14ac:dyDescent="0.2">
      <c r="A984" s="3"/>
      <c r="B984" s="3"/>
      <c r="C984" s="3"/>
      <c r="D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  <c r="BK984" s="3"/>
      <c r="BL984" s="3"/>
      <c r="BM984" s="3"/>
      <c r="BN984" s="3"/>
      <c r="BO984" s="3"/>
    </row>
    <row r="985" spans="1:67" ht="16.5" customHeight="1" x14ac:dyDescent="0.2">
      <c r="A985" s="3"/>
      <c r="B985" s="3"/>
      <c r="C985" s="3"/>
      <c r="D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  <c r="BK985" s="3"/>
      <c r="BL985" s="3"/>
      <c r="BM985" s="3"/>
      <c r="BN985" s="3"/>
      <c r="BO985" s="3"/>
    </row>
    <row r="986" spans="1:67" ht="16.5" customHeight="1" x14ac:dyDescent="0.2">
      <c r="A986" s="3"/>
      <c r="B986" s="3"/>
      <c r="C986" s="3"/>
      <c r="D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  <c r="BK986" s="3"/>
      <c r="BL986" s="3"/>
      <c r="BM986" s="3"/>
      <c r="BN986" s="3"/>
      <c r="BO986" s="3"/>
    </row>
    <row r="987" spans="1:67" ht="16.5" customHeight="1" x14ac:dyDescent="0.2">
      <c r="A987" s="3"/>
      <c r="B987" s="3"/>
      <c r="C987" s="3"/>
      <c r="D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  <c r="BK987" s="3"/>
      <c r="BL987" s="3"/>
      <c r="BM987" s="3"/>
      <c r="BN987" s="3"/>
      <c r="BO987" s="3"/>
    </row>
    <row r="988" spans="1:67" ht="16.5" customHeight="1" x14ac:dyDescent="0.2">
      <c r="A988" s="3"/>
      <c r="B988" s="3"/>
      <c r="C988" s="3"/>
      <c r="D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  <c r="BK988" s="3"/>
      <c r="BL988" s="3"/>
      <c r="BM988" s="3"/>
      <c r="BN988" s="3"/>
      <c r="BO988" s="3"/>
    </row>
    <row r="989" spans="1:67" ht="16.5" customHeight="1" x14ac:dyDescent="0.2">
      <c r="A989" s="3"/>
      <c r="B989" s="3"/>
      <c r="C989" s="3"/>
      <c r="D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  <c r="BK989" s="3"/>
      <c r="BL989" s="3"/>
      <c r="BM989" s="3"/>
      <c r="BN989" s="3"/>
      <c r="BO989" s="3"/>
    </row>
    <row r="990" spans="1:67" ht="16.5" customHeight="1" x14ac:dyDescent="0.2">
      <c r="A990" s="3"/>
      <c r="B990" s="3"/>
      <c r="C990" s="3"/>
      <c r="D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  <c r="BK990" s="3"/>
      <c r="BL990" s="3"/>
      <c r="BM990" s="3"/>
      <c r="BN990" s="3"/>
      <c r="BO990" s="3"/>
    </row>
    <row r="991" spans="1:67" ht="16.5" customHeight="1" x14ac:dyDescent="0.2">
      <c r="A991" s="3"/>
      <c r="B991" s="3"/>
      <c r="C991" s="3"/>
      <c r="D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  <c r="BK991" s="3"/>
      <c r="BL991" s="3"/>
      <c r="BM991" s="3"/>
      <c r="BN991" s="3"/>
      <c r="BO991" s="3"/>
    </row>
    <row r="992" spans="1:67" ht="16.5" customHeight="1" x14ac:dyDescent="0.2">
      <c r="A992" s="3"/>
      <c r="B992" s="3"/>
      <c r="C992" s="3"/>
      <c r="D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  <c r="BK992" s="3"/>
      <c r="BL992" s="3"/>
      <c r="BM992" s="3"/>
      <c r="BN992" s="3"/>
      <c r="BO992" s="3"/>
    </row>
    <row r="993" spans="1:67" ht="16.5" customHeight="1" x14ac:dyDescent="0.2">
      <c r="A993" s="3"/>
      <c r="B993" s="3"/>
      <c r="C993" s="3"/>
      <c r="D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  <c r="BK993" s="3"/>
      <c r="BL993" s="3"/>
      <c r="BM993" s="3"/>
      <c r="BN993" s="3"/>
      <c r="BO993" s="3"/>
    </row>
    <row r="994" spans="1:67" ht="16.5" customHeight="1" x14ac:dyDescent="0.2">
      <c r="A994" s="3"/>
      <c r="B994" s="3"/>
      <c r="C994" s="3"/>
      <c r="D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  <c r="BK994" s="3"/>
      <c r="BL994" s="3"/>
      <c r="BM994" s="3"/>
      <c r="BN994" s="3"/>
      <c r="BO994" s="3"/>
    </row>
    <row r="995" spans="1:67" ht="16.5" customHeight="1" x14ac:dyDescent="0.2">
      <c r="A995" s="3"/>
      <c r="B995" s="3"/>
      <c r="C995" s="3"/>
      <c r="D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  <c r="BK995" s="3"/>
      <c r="BL995" s="3"/>
      <c r="BM995" s="3"/>
      <c r="BN995" s="3"/>
      <c r="BO995" s="3"/>
    </row>
    <row r="996" spans="1:67" ht="16.5" customHeight="1" x14ac:dyDescent="0.2">
      <c r="A996" s="3"/>
      <c r="B996" s="3"/>
      <c r="C996" s="3"/>
      <c r="D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  <c r="BK996" s="3"/>
      <c r="BL996" s="3"/>
      <c r="BM996" s="3"/>
      <c r="BN996" s="3"/>
      <c r="BO996" s="3"/>
    </row>
    <row r="997" spans="1:67" ht="16.5" customHeight="1" x14ac:dyDescent="0.2">
      <c r="A997" s="3"/>
      <c r="B997" s="3"/>
      <c r="C997" s="3"/>
      <c r="D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  <c r="BK997" s="3"/>
      <c r="BL997" s="3"/>
      <c r="BM997" s="3"/>
      <c r="BN997" s="3"/>
      <c r="BO997" s="3"/>
    </row>
    <row r="998" spans="1:67" ht="16.5" customHeight="1" x14ac:dyDescent="0.2">
      <c r="A998" s="3"/>
      <c r="B998" s="3"/>
      <c r="C998" s="3"/>
      <c r="D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  <c r="BK998" s="3"/>
      <c r="BL998" s="3"/>
      <c r="BM998" s="3"/>
      <c r="BN998" s="3"/>
      <c r="BO998" s="3"/>
    </row>
    <row r="999" spans="1:67" ht="16.5" customHeight="1" x14ac:dyDescent="0.2">
      <c r="A999" s="3"/>
      <c r="B999" s="3"/>
      <c r="C999" s="3"/>
      <c r="D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  <c r="BK999" s="3"/>
      <c r="BL999" s="3"/>
      <c r="BM999" s="3"/>
      <c r="BN999" s="3"/>
      <c r="BO999" s="3"/>
    </row>
    <row r="1000" spans="1:67" ht="16.5" customHeight="1" x14ac:dyDescent="0.2">
      <c r="A1000" s="3"/>
      <c r="B1000" s="3"/>
      <c r="C1000" s="3"/>
      <c r="D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  <c r="BD1000" s="3"/>
      <c r="BE1000" s="3"/>
      <c r="BF1000" s="3"/>
      <c r="BG1000" s="3"/>
      <c r="BH1000" s="3"/>
      <c r="BI1000" s="3"/>
      <c r="BJ1000" s="3"/>
      <c r="BK1000" s="3"/>
      <c r="BL1000" s="3"/>
      <c r="BM1000" s="3"/>
      <c r="BN1000" s="3"/>
      <c r="BO1000" s="3"/>
    </row>
  </sheetData>
  <pageMargins left="0.7" right="0.7" top="2.3250000000000002" bottom="2.3250000000000002" header="0.511811023622047" footer="0.511811023622047"/>
  <pageSetup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O1048576"/>
  <sheetViews>
    <sheetView zoomScale="60" zoomScaleNormal="60" workbookViewId="0">
      <selection activeCell="J198" sqref="J198"/>
    </sheetView>
  </sheetViews>
  <sheetFormatPr defaultColWidth="11.5703125" defaultRowHeight="15" customHeight="1" x14ac:dyDescent="0.25"/>
  <cols>
    <col min="1" max="1" width="10" customWidth="1"/>
    <col min="2" max="1024" width="10.85546875" customWidth="1"/>
  </cols>
  <sheetData>
    <row r="1" spans="1:67" ht="12.75" customHeight="1" x14ac:dyDescent="0.25">
      <c r="A1" s="26"/>
      <c r="B1" s="3" t="str">
        <f>rebio23_80ml!B2</f>
        <v>Alo.dadayi</v>
      </c>
      <c r="C1" s="3" t="str">
        <f>rebio23_80ml!C2</f>
        <v>Alo.hamulata</v>
      </c>
      <c r="D1" s="3" t="str">
        <f>rebio23_80ml!D2</f>
        <v>Alonella.sp</v>
      </c>
      <c r="E1" s="3" t="str">
        <f>rebio23_80ml!E2</f>
        <v>Bdelloidea</v>
      </c>
      <c r="F1" s="3" t="str">
        <f>rebio23_80ml!F2</f>
        <v>Bra.patulus</v>
      </c>
      <c r="G1" s="3" t="str">
        <f>rebio23_80ml!G2</f>
        <v>Cephalodella.sp</v>
      </c>
      <c r="H1" s="3" t="str">
        <f>rebio23_80ml!H2</f>
        <v>Colurella.sp</v>
      </c>
      <c r="I1" s="3" t="str">
        <f>rebio23_80ml!I2</f>
        <v>Copepodite</v>
      </c>
      <c r="J1" s="3" t="str">
        <f>rebio23_80ml!J2</f>
        <v>Chydorus.sp</v>
      </c>
      <c r="K1" s="3" t="str">
        <f>rebio23_80ml!K2</f>
        <v>Dicranophoroides.sp</v>
      </c>
      <c r="L1" s="3" t="str">
        <f>rebio23_80ml!L2</f>
        <v>Dia.birgei</v>
      </c>
      <c r="M1" s="3" t="str">
        <f>rebio23_80ml!M2</f>
        <v>Dia.spinulosum</v>
      </c>
      <c r="N1" s="3" t="str">
        <f>rebio23_80ml!N2</f>
        <v>Dis.aculeata</v>
      </c>
      <c r="O1" s="3" t="str">
        <f>rebio23_80ml!O2</f>
        <v>Euc.dilatata</v>
      </c>
      <c r="P1" s="3" t="str">
        <f>rebio23_80ml!P2</f>
        <v>Fil.longiseta</v>
      </c>
      <c r="Q1" s="3" t="str">
        <f>rebio23_80ml!Q2</f>
        <v>Ily.spinifer</v>
      </c>
      <c r="R1" s="3" t="str">
        <f>rebio23_80ml!R2</f>
        <v>Lec.aculeata</v>
      </c>
      <c r="S1" s="3" t="str">
        <f>rebio23_80ml!S2</f>
        <v>Lec.bulla</v>
      </c>
      <c r="T1" s="3" t="str">
        <f>rebio23_80ml!T2</f>
        <v>Lec.cornuta</v>
      </c>
      <c r="U1" s="3" t="str">
        <f>rebio23_80ml!U2</f>
        <v>Lec.crepida</v>
      </c>
      <c r="V1" s="3" t="str">
        <f>rebio23_80ml!V2</f>
        <v>Lec.curvicornis</v>
      </c>
      <c r="W1" s="3" t="str">
        <f>rebio23_80ml!W2</f>
        <v>Lec.furcata</v>
      </c>
      <c r="X1" s="3" t="str">
        <f>rebio23_80ml!X2</f>
        <v>Lecane.sp1</v>
      </c>
      <c r="Y1" s="3" t="str">
        <f>rebio23_80ml!Y2</f>
        <v>Lec.leontina</v>
      </c>
      <c r="Z1" s="3" t="str">
        <f>rebio23_80ml!Z2</f>
        <v>Lec.lunaris</v>
      </c>
      <c r="AA1" s="3" t="str">
        <f>rebio23_80ml!AA2</f>
        <v>Lec.luna</v>
      </c>
      <c r="AB1" s="3" t="str">
        <f>rebio23_80ml!AB2</f>
        <v>Lec.monostyla</v>
      </c>
      <c r="AC1" s="3" t="str">
        <f>rebio23_80ml!AC2</f>
        <v>Lecane.sp2</v>
      </c>
      <c r="AD1" s="3" t="str">
        <f>rebio23_80ml!AD2</f>
        <v>Lec.papuana</v>
      </c>
      <c r="AE1" s="3" t="str">
        <f>rebio23_80ml!AE2</f>
        <v>Lec.quadridentata</v>
      </c>
      <c r="AF1" s="3" t="str">
        <f>rebio23_80ml!AF2</f>
        <v>Lecane.sp3</v>
      </c>
      <c r="AG1" s="3" t="str">
        <f>rebio23_80ml!AG2</f>
        <v>Leydigia.sp</v>
      </c>
      <c r="AH1" s="3" t="str">
        <f>rebio23_80ml!AH2</f>
        <v>Lepadella.sp1</v>
      </c>
      <c r="AI1" s="3" t="str">
        <f>rebio23_80ml!AI2</f>
        <v>Lepadella.sp2</v>
      </c>
      <c r="AJ1" s="3" t="str">
        <f>rebio23_80ml!AJ2</f>
        <v>Lep.ovalis</v>
      </c>
      <c r="AK1" s="3" t="str">
        <f>rebio23_80ml!AK2</f>
        <v>Lep.patella</v>
      </c>
      <c r="AL1" s="3" t="str">
        <f>rebio23_80ml!AL2</f>
        <v>Mesocyclops.sp</v>
      </c>
      <c r="AM1" s="3" t="str">
        <f>rebio23_80ml!AM2</f>
        <v>Macrocyclops.sp</v>
      </c>
      <c r="AN1" s="3" t="str">
        <f>rebio23_80ml!AN2</f>
        <v>Macrochaetus.sp</v>
      </c>
      <c r="AO1" s="3" t="str">
        <f>rebio23_80ml!AO2</f>
        <v>Macrothrix.sp</v>
      </c>
      <c r="AP1" s="3" t="str">
        <f>rebio23_80ml!AP2</f>
        <v>Mac.mira</v>
      </c>
      <c r="AQ1" s="3" t="str">
        <f>rebio23_80ml!AQ2</f>
        <v>Mac.laticornis</v>
      </c>
      <c r="AR1" s="3" t="str">
        <f>rebio23_80ml!AR2</f>
        <v>Moi.minuta</v>
      </c>
      <c r="AS1" s="3" t="str">
        <f>rebio23_80ml!AS2</f>
        <v>Myt.crassipes</v>
      </c>
      <c r="AT1" s="3" t="str">
        <f>rebio23_80ml!AT2</f>
        <v>Mytilina.sp</v>
      </c>
      <c r="AU1" s="3" t="str">
        <f>rebio23_80ml!AU2</f>
        <v>Myt.bisulcata</v>
      </c>
      <c r="AV1" s="3" t="str">
        <f>rebio23_80ml!AV2</f>
        <v>Nauplii</v>
      </c>
      <c r="AW1" s="3" t="str">
        <f>rebio23_80ml!AW2</f>
        <v>Notodiaptomus.sp</v>
      </c>
      <c r="AX1" s="3" t="str">
        <f>rebio23_80ml!AX2</f>
        <v>Paracyclops.sp</v>
      </c>
      <c r="AY1" s="3" t="str">
        <f>rebio23_80ml!AY2</f>
        <v>Pla.quadricornis</v>
      </c>
      <c r="AZ1" s="3" t="str">
        <f>rebio23_80ml!AZ2</f>
        <v>Polyarthra.sp</v>
      </c>
      <c r="BA1" s="3" t="str">
        <f>rebio23_80ml!BA2</f>
        <v>Pol.bicerca</v>
      </c>
      <c r="BB1" s="3" t="str">
        <f>rebio23_80ml!BB2</f>
        <v>Pol.dolichoptera</v>
      </c>
      <c r="BC1" s="3" t="str">
        <f>rebio23_80ml!BC2</f>
        <v>Pol.vulgaris</v>
      </c>
      <c r="BD1" s="3" t="str">
        <f>rebio23_80ml!BD2</f>
        <v>Tes.patina</v>
      </c>
      <c r="BE1" s="3" t="str">
        <f>rebio23_80ml!BE2</f>
        <v>Tes.mucronata</v>
      </c>
      <c r="BF1" s="3" t="str">
        <f>rebio23_80ml!BF2</f>
        <v>Trichocerca.sp</v>
      </c>
      <c r="BG1" s="3" t="str">
        <f>rebio23_80ml!BG2</f>
        <v>Tri.tetractis</v>
      </c>
      <c r="BI1" s="3"/>
      <c r="BJ1" s="3"/>
      <c r="BK1" s="3"/>
      <c r="BL1" s="3"/>
      <c r="BM1" s="3"/>
      <c r="BN1" s="3"/>
      <c r="BO1" s="3"/>
    </row>
    <row r="2" spans="1:67" ht="12.75" customHeight="1" x14ac:dyDescent="0.25">
      <c r="A2" s="15" t="str">
        <f>rebio23_80ml!A3</f>
        <v>S-B-P05-H1</v>
      </c>
      <c r="B2" s="27">
        <f>rebio23_80ml!B3/50</f>
        <v>0</v>
      </c>
      <c r="C2" s="27">
        <f>rebio23_80ml!C3/50</f>
        <v>0</v>
      </c>
      <c r="D2" s="27">
        <f>rebio23_80ml!D3/50</f>
        <v>0</v>
      </c>
      <c r="E2" s="27">
        <f>rebio23_80ml!E3/50</f>
        <v>0.74</v>
      </c>
      <c r="F2" s="27">
        <f>rebio23_80ml!F3/50</f>
        <v>0</v>
      </c>
      <c r="G2" s="27">
        <f>rebio23_80ml!G3/50</f>
        <v>0</v>
      </c>
      <c r="H2" s="27">
        <f>rebio23_80ml!H3/50</f>
        <v>0</v>
      </c>
      <c r="I2" s="27">
        <f>rebio23_80ml!I3/50</f>
        <v>0</v>
      </c>
      <c r="J2" s="27">
        <f>rebio23_80ml!J3/50</f>
        <v>0</v>
      </c>
      <c r="K2" s="27">
        <f>rebio23_80ml!K3/50</f>
        <v>0</v>
      </c>
      <c r="L2" s="27">
        <f>rebio23_80ml!L3/50</f>
        <v>0</v>
      </c>
      <c r="M2" s="27">
        <f>rebio23_80ml!M3/50</f>
        <v>0</v>
      </c>
      <c r="N2" s="27">
        <f>rebio23_80ml!N3/50</f>
        <v>0</v>
      </c>
      <c r="O2" s="27">
        <f>rebio23_80ml!O3/50</f>
        <v>0</v>
      </c>
      <c r="P2" s="27">
        <f>rebio23_80ml!P3/50</f>
        <v>0</v>
      </c>
      <c r="Q2" s="27">
        <f>rebio23_80ml!Q3/50</f>
        <v>0</v>
      </c>
      <c r="R2" s="27">
        <f>rebio23_80ml!R3/50</f>
        <v>0</v>
      </c>
      <c r="S2" s="27">
        <f>rebio23_80ml!S3/50</f>
        <v>0.02</v>
      </c>
      <c r="T2" s="27">
        <f>rebio23_80ml!T3/50</f>
        <v>0</v>
      </c>
      <c r="U2" s="27">
        <f>rebio23_80ml!U3/50</f>
        <v>0</v>
      </c>
      <c r="V2" s="27">
        <f>rebio23_80ml!V3/50</f>
        <v>0</v>
      </c>
      <c r="W2" s="27">
        <f>rebio23_80ml!W3/50</f>
        <v>0</v>
      </c>
      <c r="X2" s="27">
        <f>rebio23_80ml!X3/50</f>
        <v>0</v>
      </c>
      <c r="Y2" s="27">
        <f>rebio23_80ml!Y3/50</f>
        <v>0</v>
      </c>
      <c r="Z2" s="27">
        <f>rebio23_80ml!Z3/50</f>
        <v>0</v>
      </c>
      <c r="AA2" s="27">
        <f>rebio23_80ml!AA3/50</f>
        <v>0</v>
      </c>
      <c r="AB2" s="27">
        <f>rebio23_80ml!AB3/50</f>
        <v>0</v>
      </c>
      <c r="AC2" s="27">
        <f>rebio23_80ml!AC3/50</f>
        <v>0</v>
      </c>
      <c r="AD2" s="27">
        <f>rebio23_80ml!AD3/50</f>
        <v>0</v>
      </c>
      <c r="AE2" s="27">
        <f>rebio23_80ml!AE3/50</f>
        <v>0</v>
      </c>
      <c r="AF2" s="27">
        <f>rebio23_80ml!AF3/50</f>
        <v>0</v>
      </c>
      <c r="AG2" s="27">
        <f>rebio23_80ml!AG3/50</f>
        <v>0</v>
      </c>
      <c r="AH2" s="27">
        <f>rebio23_80ml!AH3/50</f>
        <v>0</v>
      </c>
      <c r="AI2" s="27">
        <f>rebio23_80ml!AI3/50</f>
        <v>0</v>
      </c>
      <c r="AJ2" s="27">
        <f>rebio23_80ml!AJ3/50</f>
        <v>0</v>
      </c>
      <c r="AK2" s="27">
        <f>rebio23_80ml!AK3/50</f>
        <v>0</v>
      </c>
      <c r="AL2" s="27">
        <f>rebio23_80ml!AL3/50</f>
        <v>0</v>
      </c>
      <c r="AM2" s="27">
        <f>rebio23_80ml!AM3/50</f>
        <v>0</v>
      </c>
      <c r="AN2" s="27">
        <f>rebio23_80ml!AN3/50</f>
        <v>0</v>
      </c>
      <c r="AO2" s="27">
        <f>rebio23_80ml!AO3/50</f>
        <v>0</v>
      </c>
      <c r="AP2" s="27">
        <f>rebio23_80ml!AP3/50</f>
        <v>0</v>
      </c>
      <c r="AQ2" s="27">
        <f>rebio23_80ml!AQ3/50</f>
        <v>0</v>
      </c>
      <c r="AR2" s="27">
        <f>rebio23_80ml!AR3/50</f>
        <v>0</v>
      </c>
      <c r="AS2" s="27">
        <f>rebio23_80ml!AS3/50</f>
        <v>0</v>
      </c>
      <c r="AT2" s="27">
        <f>rebio23_80ml!AT3/50</f>
        <v>0</v>
      </c>
      <c r="AU2" s="27">
        <f>rebio23_80ml!AU3/50</f>
        <v>0</v>
      </c>
      <c r="AV2" s="27">
        <f>rebio23_80ml!AV3/50</f>
        <v>0.06</v>
      </c>
      <c r="AW2" s="27">
        <f>rebio23_80ml!AW3/50</f>
        <v>0</v>
      </c>
      <c r="AX2" s="27">
        <f>rebio23_80ml!AX3/50</f>
        <v>0.02</v>
      </c>
      <c r="AY2" s="27">
        <f>rebio23_80ml!AY3/50</f>
        <v>0</v>
      </c>
      <c r="AZ2" s="27">
        <f>rebio23_80ml!AZ3/50</f>
        <v>0.02</v>
      </c>
      <c r="BA2" s="27">
        <f>rebio23_80ml!BA3/50</f>
        <v>0</v>
      </c>
      <c r="BB2" s="27">
        <f>rebio23_80ml!BB3/50</f>
        <v>0.02</v>
      </c>
      <c r="BC2" s="27">
        <f>rebio23_80ml!BC3/50</f>
        <v>0</v>
      </c>
      <c r="BD2" s="27">
        <f>rebio23_80ml!BD3/50</f>
        <v>0</v>
      </c>
      <c r="BE2" s="27">
        <f>rebio23_80ml!BE3/50</f>
        <v>0</v>
      </c>
      <c r="BF2" s="27">
        <f>rebio23_80ml!BF3/50</f>
        <v>0</v>
      </c>
      <c r="BG2" s="27">
        <f>rebio23_80ml!BG3/50</f>
        <v>0</v>
      </c>
    </row>
    <row r="3" spans="1:67" ht="12.75" customHeight="1" x14ac:dyDescent="0.25">
      <c r="A3" s="15" t="str">
        <f>rebio23_80ml!A4</f>
        <v>S-B-P05-H2</v>
      </c>
      <c r="B3" s="27">
        <f>rebio23_80ml!B4/50</f>
        <v>0</v>
      </c>
      <c r="C3" s="27">
        <f>rebio23_80ml!C4/50</f>
        <v>0</v>
      </c>
      <c r="D3" s="27">
        <f>rebio23_80ml!D4/50</f>
        <v>0</v>
      </c>
      <c r="E3" s="27">
        <f>rebio23_80ml!E4/50</f>
        <v>0.46</v>
      </c>
      <c r="F3" s="27">
        <f>rebio23_80ml!F4/50</f>
        <v>0</v>
      </c>
      <c r="G3" s="27">
        <f>rebio23_80ml!G4/50</f>
        <v>0</v>
      </c>
      <c r="H3" s="27">
        <f>rebio23_80ml!H4/50</f>
        <v>0</v>
      </c>
      <c r="I3" s="27">
        <f>rebio23_80ml!I4/50</f>
        <v>0.08</v>
      </c>
      <c r="J3" s="27">
        <f>rebio23_80ml!J4/50</f>
        <v>0</v>
      </c>
      <c r="K3" s="27">
        <f>rebio23_80ml!K4/50</f>
        <v>0</v>
      </c>
      <c r="L3" s="27">
        <f>rebio23_80ml!L4/50</f>
        <v>0</v>
      </c>
      <c r="M3" s="27">
        <f>rebio23_80ml!M4/50</f>
        <v>0</v>
      </c>
      <c r="N3" s="27">
        <f>rebio23_80ml!N4/50</f>
        <v>0</v>
      </c>
      <c r="O3" s="27">
        <f>rebio23_80ml!O4/50</f>
        <v>0</v>
      </c>
      <c r="P3" s="27">
        <f>rebio23_80ml!P4/50</f>
        <v>0</v>
      </c>
      <c r="Q3" s="27">
        <f>rebio23_80ml!Q4/50</f>
        <v>0</v>
      </c>
      <c r="R3" s="27">
        <f>rebio23_80ml!R4/50</f>
        <v>0</v>
      </c>
      <c r="S3" s="27">
        <f>rebio23_80ml!S4/50</f>
        <v>0</v>
      </c>
      <c r="T3" s="27">
        <f>rebio23_80ml!T4/50</f>
        <v>0</v>
      </c>
      <c r="U3" s="27">
        <f>rebio23_80ml!U4/50</f>
        <v>0</v>
      </c>
      <c r="V3" s="27">
        <f>rebio23_80ml!V4/50</f>
        <v>0</v>
      </c>
      <c r="W3" s="27">
        <f>rebio23_80ml!W4/50</f>
        <v>0</v>
      </c>
      <c r="X3" s="27">
        <f>rebio23_80ml!X4/50</f>
        <v>0</v>
      </c>
      <c r="Y3" s="27">
        <f>rebio23_80ml!Y4/50</f>
        <v>0</v>
      </c>
      <c r="Z3" s="27">
        <f>rebio23_80ml!Z4/50</f>
        <v>0</v>
      </c>
      <c r="AA3" s="27">
        <f>rebio23_80ml!AA4/50</f>
        <v>0</v>
      </c>
      <c r="AB3" s="27">
        <f>rebio23_80ml!AB4/50</f>
        <v>0</v>
      </c>
      <c r="AC3" s="27">
        <f>rebio23_80ml!AC4/50</f>
        <v>0</v>
      </c>
      <c r="AD3" s="27">
        <f>rebio23_80ml!AD4/50</f>
        <v>0</v>
      </c>
      <c r="AE3" s="27">
        <f>rebio23_80ml!AE4/50</f>
        <v>0</v>
      </c>
      <c r="AF3" s="27">
        <f>rebio23_80ml!AF4/50</f>
        <v>0</v>
      </c>
      <c r="AG3" s="27">
        <f>rebio23_80ml!AG4/50</f>
        <v>0</v>
      </c>
      <c r="AH3" s="27">
        <f>rebio23_80ml!AH4/50</f>
        <v>0</v>
      </c>
      <c r="AI3" s="27">
        <f>rebio23_80ml!AI4/50</f>
        <v>0</v>
      </c>
      <c r="AJ3" s="27">
        <f>rebio23_80ml!AJ4/50</f>
        <v>0</v>
      </c>
      <c r="AK3" s="27">
        <f>rebio23_80ml!AK4/50</f>
        <v>0</v>
      </c>
      <c r="AL3" s="27">
        <f>rebio23_80ml!AL4/50</f>
        <v>0</v>
      </c>
      <c r="AM3" s="27">
        <f>rebio23_80ml!AM4/50</f>
        <v>0</v>
      </c>
      <c r="AN3" s="27">
        <f>rebio23_80ml!AN4/50</f>
        <v>0</v>
      </c>
      <c r="AO3" s="27">
        <f>rebio23_80ml!AO4/50</f>
        <v>0.02</v>
      </c>
      <c r="AP3" s="27">
        <f>rebio23_80ml!AP4/50</f>
        <v>0</v>
      </c>
      <c r="AQ3" s="27">
        <f>rebio23_80ml!AQ4/50</f>
        <v>0</v>
      </c>
      <c r="AR3" s="27">
        <f>rebio23_80ml!AR4/50</f>
        <v>0</v>
      </c>
      <c r="AS3" s="27">
        <f>rebio23_80ml!AS4/50</f>
        <v>0</v>
      </c>
      <c r="AT3" s="27">
        <f>rebio23_80ml!AT4/50</f>
        <v>0</v>
      </c>
      <c r="AU3" s="27">
        <f>rebio23_80ml!AU4/50</f>
        <v>0</v>
      </c>
      <c r="AV3" s="27">
        <f>rebio23_80ml!AV4/50</f>
        <v>0</v>
      </c>
      <c r="AW3" s="27">
        <f>rebio23_80ml!AW4/50</f>
        <v>0</v>
      </c>
      <c r="AX3" s="27">
        <f>rebio23_80ml!AX4/50</f>
        <v>0.02</v>
      </c>
      <c r="AY3" s="27">
        <f>rebio23_80ml!AY4/50</f>
        <v>0</v>
      </c>
      <c r="AZ3" s="27">
        <f>rebio23_80ml!AZ4/50</f>
        <v>0</v>
      </c>
      <c r="BA3" s="27">
        <f>rebio23_80ml!BA4/50</f>
        <v>0</v>
      </c>
      <c r="BB3" s="27">
        <f>rebio23_80ml!BB4/50</f>
        <v>0</v>
      </c>
      <c r="BC3" s="27">
        <f>rebio23_80ml!BC4/50</f>
        <v>0</v>
      </c>
      <c r="BD3" s="27">
        <f>rebio23_80ml!BD4/50</f>
        <v>0</v>
      </c>
      <c r="BE3" s="27">
        <f>rebio23_80ml!BE4/50</f>
        <v>0</v>
      </c>
      <c r="BF3" s="27">
        <f>rebio23_80ml!BF4/50</f>
        <v>0</v>
      </c>
      <c r="BG3" s="27">
        <f>rebio23_80ml!BG4/50</f>
        <v>0</v>
      </c>
    </row>
    <row r="4" spans="1:67" ht="12.75" customHeight="1" x14ac:dyDescent="0.25">
      <c r="A4" s="15" t="str">
        <f>rebio23_80ml!A5</f>
        <v>S-B-P05-H3</v>
      </c>
      <c r="B4" s="27">
        <f>rebio23_80ml!B5/50</f>
        <v>0</v>
      </c>
      <c r="C4" s="27">
        <f>rebio23_80ml!C5/50</f>
        <v>0</v>
      </c>
      <c r="D4" s="27">
        <f>rebio23_80ml!D5/50</f>
        <v>0</v>
      </c>
      <c r="E4" s="27">
        <f>rebio23_80ml!E5/50</f>
        <v>0.64</v>
      </c>
      <c r="F4" s="27">
        <f>rebio23_80ml!F5/50</f>
        <v>0</v>
      </c>
      <c r="G4" s="27">
        <f>rebio23_80ml!G5/50</f>
        <v>0</v>
      </c>
      <c r="H4" s="27">
        <f>rebio23_80ml!H5/50</f>
        <v>0</v>
      </c>
      <c r="I4" s="27">
        <f>rebio23_80ml!I5/50</f>
        <v>0.04</v>
      </c>
      <c r="J4" s="27">
        <f>rebio23_80ml!J5/50</f>
        <v>0</v>
      </c>
      <c r="K4" s="27">
        <f>rebio23_80ml!K5/50</f>
        <v>0</v>
      </c>
      <c r="L4" s="27">
        <f>rebio23_80ml!L5/50</f>
        <v>0</v>
      </c>
      <c r="M4" s="27">
        <f>rebio23_80ml!M5/50</f>
        <v>0</v>
      </c>
      <c r="N4" s="27">
        <f>rebio23_80ml!N5/50</f>
        <v>0</v>
      </c>
      <c r="O4" s="27">
        <f>rebio23_80ml!O5/50</f>
        <v>0</v>
      </c>
      <c r="P4" s="27">
        <f>rebio23_80ml!P5/50</f>
        <v>0</v>
      </c>
      <c r="Q4" s="27">
        <f>rebio23_80ml!Q5/50</f>
        <v>0</v>
      </c>
      <c r="R4" s="27">
        <f>rebio23_80ml!R5/50</f>
        <v>0</v>
      </c>
      <c r="S4" s="27">
        <f>rebio23_80ml!S5/50</f>
        <v>0.04</v>
      </c>
      <c r="T4" s="27">
        <f>rebio23_80ml!T5/50</f>
        <v>0</v>
      </c>
      <c r="U4" s="27">
        <f>rebio23_80ml!U5/50</f>
        <v>0</v>
      </c>
      <c r="V4" s="27">
        <f>rebio23_80ml!V5/50</f>
        <v>0</v>
      </c>
      <c r="W4" s="27">
        <f>rebio23_80ml!W5/50</f>
        <v>0</v>
      </c>
      <c r="X4" s="27">
        <f>rebio23_80ml!X5/50</f>
        <v>0</v>
      </c>
      <c r="Y4" s="27">
        <f>rebio23_80ml!Y5/50</f>
        <v>0</v>
      </c>
      <c r="Z4" s="27">
        <f>rebio23_80ml!Z5/50</f>
        <v>0</v>
      </c>
      <c r="AA4" s="27">
        <f>rebio23_80ml!AA5/50</f>
        <v>0</v>
      </c>
      <c r="AB4" s="27">
        <f>rebio23_80ml!AB5/50</f>
        <v>0</v>
      </c>
      <c r="AC4" s="27">
        <f>rebio23_80ml!AC5/50</f>
        <v>0</v>
      </c>
      <c r="AD4" s="27">
        <f>rebio23_80ml!AD5/50</f>
        <v>0</v>
      </c>
      <c r="AE4" s="27">
        <f>rebio23_80ml!AE5/50</f>
        <v>0</v>
      </c>
      <c r="AF4" s="27">
        <f>rebio23_80ml!AF5/50</f>
        <v>0</v>
      </c>
      <c r="AG4" s="27">
        <f>rebio23_80ml!AG5/50</f>
        <v>0</v>
      </c>
      <c r="AH4" s="27">
        <f>rebio23_80ml!AH5/50</f>
        <v>0</v>
      </c>
      <c r="AI4" s="27">
        <f>rebio23_80ml!AI5/50</f>
        <v>0</v>
      </c>
      <c r="AJ4" s="27">
        <f>rebio23_80ml!AJ5/50</f>
        <v>0</v>
      </c>
      <c r="AK4" s="27">
        <f>rebio23_80ml!AK5/50</f>
        <v>0</v>
      </c>
      <c r="AL4" s="27">
        <f>rebio23_80ml!AL5/50</f>
        <v>0</v>
      </c>
      <c r="AM4" s="27">
        <f>rebio23_80ml!AM5/50</f>
        <v>0</v>
      </c>
      <c r="AN4" s="27">
        <f>rebio23_80ml!AN5/50</f>
        <v>0</v>
      </c>
      <c r="AO4" s="27">
        <f>rebio23_80ml!AO5/50</f>
        <v>0</v>
      </c>
      <c r="AP4" s="27">
        <f>rebio23_80ml!AP5/50</f>
        <v>0</v>
      </c>
      <c r="AQ4" s="27">
        <f>rebio23_80ml!AQ5/50</f>
        <v>0</v>
      </c>
      <c r="AR4" s="27">
        <f>rebio23_80ml!AR5/50</f>
        <v>0</v>
      </c>
      <c r="AS4" s="27">
        <f>rebio23_80ml!AS5/50</f>
        <v>0</v>
      </c>
      <c r="AT4" s="27">
        <f>rebio23_80ml!AT5/50</f>
        <v>0</v>
      </c>
      <c r="AU4" s="27">
        <f>rebio23_80ml!AU5/50</f>
        <v>0</v>
      </c>
      <c r="AV4" s="27">
        <f>rebio23_80ml!AV5/50</f>
        <v>0.12</v>
      </c>
      <c r="AW4" s="27">
        <f>rebio23_80ml!AW5/50</f>
        <v>0</v>
      </c>
      <c r="AX4" s="27">
        <f>rebio23_80ml!AX5/50</f>
        <v>0</v>
      </c>
      <c r="AY4" s="27">
        <f>rebio23_80ml!AY5/50</f>
        <v>0</v>
      </c>
      <c r="AZ4" s="27">
        <f>rebio23_80ml!AZ5/50</f>
        <v>0</v>
      </c>
      <c r="BA4" s="27">
        <f>rebio23_80ml!BA5/50</f>
        <v>0</v>
      </c>
      <c r="BB4" s="27">
        <f>rebio23_80ml!BB5/50</f>
        <v>0</v>
      </c>
      <c r="BC4" s="27">
        <f>rebio23_80ml!BC5/50</f>
        <v>0</v>
      </c>
      <c r="BD4" s="27">
        <f>rebio23_80ml!BD5/50</f>
        <v>0</v>
      </c>
      <c r="BE4" s="27">
        <f>rebio23_80ml!BE5/50</f>
        <v>0</v>
      </c>
      <c r="BF4" s="27">
        <f>rebio23_80ml!BF5/50</f>
        <v>0</v>
      </c>
      <c r="BG4" s="27">
        <f>rebio23_80ml!BG5/50</f>
        <v>0</v>
      </c>
    </row>
    <row r="5" spans="1:67" ht="12.75" customHeight="1" x14ac:dyDescent="0.25">
      <c r="A5" s="15" t="str">
        <f>rebio23_80ml!A6</f>
        <v>S-B-P06-H1</v>
      </c>
      <c r="B5" s="27">
        <f>rebio23_80ml!B6/50</f>
        <v>0</v>
      </c>
      <c r="C5" s="27">
        <f>rebio23_80ml!C6/50</f>
        <v>0</v>
      </c>
      <c r="D5" s="27">
        <f>rebio23_80ml!D6/50</f>
        <v>0</v>
      </c>
      <c r="E5" s="27">
        <f>rebio23_80ml!E6/50</f>
        <v>0.64</v>
      </c>
      <c r="F5" s="27">
        <f>rebio23_80ml!F6/50</f>
        <v>0</v>
      </c>
      <c r="G5" s="27">
        <f>rebio23_80ml!G6/50</f>
        <v>0</v>
      </c>
      <c r="H5" s="27">
        <f>rebio23_80ml!H6/50</f>
        <v>0</v>
      </c>
      <c r="I5" s="27">
        <f>rebio23_80ml!I6/50</f>
        <v>0</v>
      </c>
      <c r="J5" s="27">
        <f>rebio23_80ml!J6/50</f>
        <v>0</v>
      </c>
      <c r="K5" s="27">
        <f>rebio23_80ml!K6/50</f>
        <v>0</v>
      </c>
      <c r="L5" s="27">
        <f>rebio23_80ml!L6/50</f>
        <v>0</v>
      </c>
      <c r="M5" s="27">
        <f>rebio23_80ml!M6/50</f>
        <v>0</v>
      </c>
      <c r="N5" s="27">
        <f>rebio23_80ml!N6/50</f>
        <v>0</v>
      </c>
      <c r="O5" s="27">
        <f>rebio23_80ml!O6/50</f>
        <v>0</v>
      </c>
      <c r="P5" s="27">
        <f>rebio23_80ml!P6/50</f>
        <v>0</v>
      </c>
      <c r="Q5" s="27">
        <f>rebio23_80ml!Q6/50</f>
        <v>0</v>
      </c>
      <c r="R5" s="27">
        <f>rebio23_80ml!R6/50</f>
        <v>0</v>
      </c>
      <c r="S5" s="27">
        <f>rebio23_80ml!S6/50</f>
        <v>0</v>
      </c>
      <c r="T5" s="27">
        <f>rebio23_80ml!T6/50</f>
        <v>0</v>
      </c>
      <c r="U5" s="27">
        <f>rebio23_80ml!U6/50</f>
        <v>0</v>
      </c>
      <c r="V5" s="27">
        <f>rebio23_80ml!V6/50</f>
        <v>0</v>
      </c>
      <c r="W5" s="27">
        <f>rebio23_80ml!W6/50</f>
        <v>0</v>
      </c>
      <c r="X5" s="27">
        <f>rebio23_80ml!X6/50</f>
        <v>0</v>
      </c>
      <c r="Y5" s="27">
        <f>rebio23_80ml!Y6/50</f>
        <v>0</v>
      </c>
      <c r="Z5" s="27">
        <f>rebio23_80ml!Z6/50</f>
        <v>0</v>
      </c>
      <c r="AA5" s="27">
        <f>rebio23_80ml!AA6/50</f>
        <v>0</v>
      </c>
      <c r="AB5" s="27">
        <f>rebio23_80ml!AB6/50</f>
        <v>0</v>
      </c>
      <c r="AC5" s="27">
        <f>rebio23_80ml!AC6/50</f>
        <v>0</v>
      </c>
      <c r="AD5" s="27">
        <f>rebio23_80ml!AD6/50</f>
        <v>0</v>
      </c>
      <c r="AE5" s="27">
        <f>rebio23_80ml!AE6/50</f>
        <v>0</v>
      </c>
      <c r="AF5" s="27">
        <f>rebio23_80ml!AF6/50</f>
        <v>0</v>
      </c>
      <c r="AG5" s="27">
        <f>rebio23_80ml!AG6/50</f>
        <v>0</v>
      </c>
      <c r="AH5" s="27">
        <f>rebio23_80ml!AH6/50</f>
        <v>0</v>
      </c>
      <c r="AI5" s="27">
        <f>rebio23_80ml!AI6/50</f>
        <v>0</v>
      </c>
      <c r="AJ5" s="27">
        <f>rebio23_80ml!AJ6/50</f>
        <v>0</v>
      </c>
      <c r="AK5" s="27">
        <f>rebio23_80ml!AK6/50</f>
        <v>0</v>
      </c>
      <c r="AL5" s="27">
        <f>rebio23_80ml!AL6/50</f>
        <v>0</v>
      </c>
      <c r="AM5" s="27">
        <f>rebio23_80ml!AM6/50</f>
        <v>0</v>
      </c>
      <c r="AN5" s="27">
        <f>rebio23_80ml!AN6/50</f>
        <v>0</v>
      </c>
      <c r="AO5" s="27">
        <f>rebio23_80ml!AO6/50</f>
        <v>0</v>
      </c>
      <c r="AP5" s="27">
        <f>rebio23_80ml!AP6/50</f>
        <v>0</v>
      </c>
      <c r="AQ5" s="27">
        <f>rebio23_80ml!AQ6/50</f>
        <v>0</v>
      </c>
      <c r="AR5" s="27">
        <f>rebio23_80ml!AR6/50</f>
        <v>0</v>
      </c>
      <c r="AS5" s="27">
        <f>rebio23_80ml!AS6/50</f>
        <v>0</v>
      </c>
      <c r="AT5" s="27">
        <f>rebio23_80ml!AT6/50</f>
        <v>0</v>
      </c>
      <c r="AU5" s="27">
        <f>rebio23_80ml!AU6/50</f>
        <v>0</v>
      </c>
      <c r="AV5" s="27">
        <f>rebio23_80ml!AV6/50</f>
        <v>0</v>
      </c>
      <c r="AW5" s="27">
        <f>rebio23_80ml!AW6/50</f>
        <v>0</v>
      </c>
      <c r="AX5" s="27">
        <f>rebio23_80ml!AX6/50</f>
        <v>0</v>
      </c>
      <c r="AY5" s="27">
        <f>rebio23_80ml!AY6/50</f>
        <v>0</v>
      </c>
      <c r="AZ5" s="27">
        <f>rebio23_80ml!AZ6/50</f>
        <v>0</v>
      </c>
      <c r="BA5" s="27">
        <f>rebio23_80ml!BA6/50</f>
        <v>0</v>
      </c>
      <c r="BB5" s="27">
        <f>rebio23_80ml!BB6/50</f>
        <v>0</v>
      </c>
      <c r="BC5" s="27">
        <f>rebio23_80ml!BC6/50</f>
        <v>0</v>
      </c>
      <c r="BD5" s="27">
        <f>rebio23_80ml!BD6/50</f>
        <v>0</v>
      </c>
      <c r="BE5" s="27">
        <f>rebio23_80ml!BE6/50</f>
        <v>0</v>
      </c>
      <c r="BF5" s="27">
        <f>rebio23_80ml!BF6/50</f>
        <v>0</v>
      </c>
      <c r="BG5" s="27">
        <f>rebio23_80ml!BG6/50</f>
        <v>0</v>
      </c>
    </row>
    <row r="6" spans="1:67" ht="12.75" customHeight="1" x14ac:dyDescent="0.25">
      <c r="A6" s="15" t="str">
        <f>rebio23_80ml!A7</f>
        <v>S-B-P06-H2</v>
      </c>
      <c r="B6" s="27">
        <f>rebio23_80ml!B7/50</f>
        <v>0.02</v>
      </c>
      <c r="C6" s="27">
        <f>rebio23_80ml!C7/50</f>
        <v>0</v>
      </c>
      <c r="D6" s="27">
        <f>rebio23_80ml!D7/50</f>
        <v>0</v>
      </c>
      <c r="E6" s="27">
        <f>rebio23_80ml!E7/50</f>
        <v>1.28</v>
      </c>
      <c r="F6" s="27">
        <f>rebio23_80ml!F7/50</f>
        <v>0</v>
      </c>
      <c r="G6" s="27">
        <f>rebio23_80ml!G7/50</f>
        <v>0</v>
      </c>
      <c r="H6" s="27">
        <f>rebio23_80ml!H7/50</f>
        <v>0</v>
      </c>
      <c r="I6" s="27">
        <f>rebio23_80ml!I7/50</f>
        <v>0.02</v>
      </c>
      <c r="J6" s="27">
        <f>rebio23_80ml!J7/50</f>
        <v>0</v>
      </c>
      <c r="K6" s="27">
        <f>rebio23_80ml!K7/50</f>
        <v>0</v>
      </c>
      <c r="L6" s="27">
        <f>rebio23_80ml!L7/50</f>
        <v>0</v>
      </c>
      <c r="M6" s="27">
        <f>rebio23_80ml!M7/50</f>
        <v>0</v>
      </c>
      <c r="N6" s="27">
        <f>rebio23_80ml!N7/50</f>
        <v>0</v>
      </c>
      <c r="O6" s="27">
        <f>rebio23_80ml!O7/50</f>
        <v>0</v>
      </c>
      <c r="P6" s="27">
        <f>rebio23_80ml!P7/50</f>
        <v>0</v>
      </c>
      <c r="Q6" s="27">
        <f>rebio23_80ml!Q7/50</f>
        <v>0</v>
      </c>
      <c r="R6" s="27">
        <f>rebio23_80ml!R7/50</f>
        <v>0</v>
      </c>
      <c r="S6" s="27">
        <f>rebio23_80ml!S7/50</f>
        <v>0</v>
      </c>
      <c r="T6" s="27">
        <f>rebio23_80ml!T7/50</f>
        <v>0</v>
      </c>
      <c r="U6" s="27">
        <f>rebio23_80ml!U7/50</f>
        <v>0</v>
      </c>
      <c r="V6" s="27">
        <f>rebio23_80ml!V7/50</f>
        <v>0</v>
      </c>
      <c r="W6" s="27">
        <f>rebio23_80ml!W7/50</f>
        <v>0</v>
      </c>
      <c r="X6" s="27">
        <f>rebio23_80ml!X7/50</f>
        <v>0</v>
      </c>
      <c r="Y6" s="27">
        <f>rebio23_80ml!Y7/50</f>
        <v>0</v>
      </c>
      <c r="Z6" s="27">
        <f>rebio23_80ml!Z7/50</f>
        <v>0</v>
      </c>
      <c r="AA6" s="27">
        <f>rebio23_80ml!AA7/50</f>
        <v>0</v>
      </c>
      <c r="AB6" s="27">
        <f>rebio23_80ml!AB7/50</f>
        <v>0</v>
      </c>
      <c r="AC6" s="27">
        <f>rebio23_80ml!AC7/50</f>
        <v>0</v>
      </c>
      <c r="AD6" s="27">
        <f>rebio23_80ml!AD7/50</f>
        <v>0</v>
      </c>
      <c r="AE6" s="27">
        <f>rebio23_80ml!AE7/50</f>
        <v>0</v>
      </c>
      <c r="AF6" s="27">
        <f>rebio23_80ml!AF7/50</f>
        <v>0</v>
      </c>
      <c r="AG6" s="27">
        <f>rebio23_80ml!AG7/50</f>
        <v>0</v>
      </c>
      <c r="AH6" s="27">
        <f>rebio23_80ml!AH7/50</f>
        <v>0</v>
      </c>
      <c r="AI6" s="27">
        <f>rebio23_80ml!AI7/50</f>
        <v>0</v>
      </c>
      <c r="AJ6" s="27">
        <f>rebio23_80ml!AJ7/50</f>
        <v>0</v>
      </c>
      <c r="AK6" s="27">
        <f>rebio23_80ml!AK7/50</f>
        <v>0</v>
      </c>
      <c r="AL6" s="27">
        <f>rebio23_80ml!AL7/50</f>
        <v>0</v>
      </c>
      <c r="AM6" s="27">
        <f>rebio23_80ml!AM7/50</f>
        <v>0</v>
      </c>
      <c r="AN6" s="27">
        <f>rebio23_80ml!AN7/50</f>
        <v>0</v>
      </c>
      <c r="AO6" s="27">
        <f>rebio23_80ml!AO7/50</f>
        <v>0</v>
      </c>
      <c r="AP6" s="27">
        <f>rebio23_80ml!AP7/50</f>
        <v>0</v>
      </c>
      <c r="AQ6" s="27">
        <f>rebio23_80ml!AQ7/50</f>
        <v>0</v>
      </c>
      <c r="AR6" s="27">
        <f>rebio23_80ml!AR7/50</f>
        <v>0</v>
      </c>
      <c r="AS6" s="27">
        <f>rebio23_80ml!AS7/50</f>
        <v>0</v>
      </c>
      <c r="AT6" s="27">
        <f>rebio23_80ml!AT7/50</f>
        <v>0</v>
      </c>
      <c r="AU6" s="27">
        <f>rebio23_80ml!AU7/50</f>
        <v>0</v>
      </c>
      <c r="AV6" s="27">
        <f>rebio23_80ml!AV7/50</f>
        <v>0.02</v>
      </c>
      <c r="AW6" s="27">
        <f>rebio23_80ml!AW7/50</f>
        <v>0</v>
      </c>
      <c r="AX6" s="27">
        <f>rebio23_80ml!AX7/50</f>
        <v>0</v>
      </c>
      <c r="AY6" s="27">
        <f>rebio23_80ml!AY7/50</f>
        <v>0</v>
      </c>
      <c r="AZ6" s="27">
        <f>rebio23_80ml!AZ7/50</f>
        <v>0</v>
      </c>
      <c r="BA6" s="27">
        <f>rebio23_80ml!BA7/50</f>
        <v>0</v>
      </c>
      <c r="BB6" s="27">
        <f>rebio23_80ml!BB7/50</f>
        <v>0</v>
      </c>
      <c r="BC6" s="27">
        <f>rebio23_80ml!BC7/50</f>
        <v>0</v>
      </c>
      <c r="BD6" s="27">
        <f>rebio23_80ml!BD7/50</f>
        <v>0</v>
      </c>
      <c r="BE6" s="27">
        <f>rebio23_80ml!BE7/50</f>
        <v>0</v>
      </c>
      <c r="BF6" s="27">
        <f>rebio23_80ml!BF7/50</f>
        <v>0</v>
      </c>
      <c r="BG6" s="27">
        <f>rebio23_80ml!BG7/50</f>
        <v>0</v>
      </c>
    </row>
    <row r="7" spans="1:67" ht="12.75" customHeight="1" x14ac:dyDescent="0.25">
      <c r="A7" s="15" t="str">
        <f>rebio23_80ml!A8</f>
        <v>S-B-P06-H3</v>
      </c>
      <c r="B7" s="27">
        <f>rebio23_80ml!B8/50</f>
        <v>0</v>
      </c>
      <c r="C7" s="27">
        <f>rebio23_80ml!C8/50</f>
        <v>0</v>
      </c>
      <c r="D7" s="27">
        <f>rebio23_80ml!D8/50</f>
        <v>0</v>
      </c>
      <c r="E7" s="27">
        <f>rebio23_80ml!E8/50</f>
        <v>1.54</v>
      </c>
      <c r="F7" s="27">
        <f>rebio23_80ml!F8/50</f>
        <v>0</v>
      </c>
      <c r="G7" s="27">
        <f>rebio23_80ml!G8/50</f>
        <v>0</v>
      </c>
      <c r="H7" s="27">
        <f>rebio23_80ml!H8/50</f>
        <v>0</v>
      </c>
      <c r="I7" s="27">
        <f>rebio23_80ml!I8/50</f>
        <v>0</v>
      </c>
      <c r="J7" s="27">
        <f>rebio23_80ml!J8/50</f>
        <v>0</v>
      </c>
      <c r="K7" s="27">
        <f>rebio23_80ml!K8/50</f>
        <v>0</v>
      </c>
      <c r="L7" s="27">
        <f>rebio23_80ml!L8/50</f>
        <v>0</v>
      </c>
      <c r="M7" s="27">
        <f>rebio23_80ml!M8/50</f>
        <v>0</v>
      </c>
      <c r="N7" s="27">
        <f>rebio23_80ml!N8/50</f>
        <v>0</v>
      </c>
      <c r="O7" s="27">
        <f>rebio23_80ml!O8/50</f>
        <v>0</v>
      </c>
      <c r="P7" s="27">
        <f>rebio23_80ml!P8/50</f>
        <v>0</v>
      </c>
      <c r="Q7" s="27">
        <f>rebio23_80ml!Q8/50</f>
        <v>0</v>
      </c>
      <c r="R7" s="27">
        <f>rebio23_80ml!R8/50</f>
        <v>0</v>
      </c>
      <c r="S7" s="27">
        <f>rebio23_80ml!S8/50</f>
        <v>0</v>
      </c>
      <c r="T7" s="27">
        <f>rebio23_80ml!T8/50</f>
        <v>0</v>
      </c>
      <c r="U7" s="27">
        <f>rebio23_80ml!U8/50</f>
        <v>0</v>
      </c>
      <c r="V7" s="27">
        <f>rebio23_80ml!V8/50</f>
        <v>0</v>
      </c>
      <c r="W7" s="27">
        <f>rebio23_80ml!W8/50</f>
        <v>0</v>
      </c>
      <c r="X7" s="27">
        <f>rebio23_80ml!X8/50</f>
        <v>0</v>
      </c>
      <c r="Y7" s="27">
        <f>rebio23_80ml!Y8/50</f>
        <v>0</v>
      </c>
      <c r="Z7" s="27">
        <f>rebio23_80ml!Z8/50</f>
        <v>0</v>
      </c>
      <c r="AA7" s="27">
        <f>rebio23_80ml!AA8/50</f>
        <v>0</v>
      </c>
      <c r="AB7" s="27">
        <f>rebio23_80ml!AB8/50</f>
        <v>0</v>
      </c>
      <c r="AC7" s="27">
        <f>rebio23_80ml!AC8/50</f>
        <v>0</v>
      </c>
      <c r="AD7" s="27">
        <f>rebio23_80ml!AD8/50</f>
        <v>0</v>
      </c>
      <c r="AE7" s="27">
        <f>rebio23_80ml!AE8/50</f>
        <v>0</v>
      </c>
      <c r="AF7" s="27">
        <f>rebio23_80ml!AF8/50</f>
        <v>0</v>
      </c>
      <c r="AG7" s="27">
        <f>rebio23_80ml!AG8/50</f>
        <v>0</v>
      </c>
      <c r="AH7" s="27">
        <f>rebio23_80ml!AH8/50</f>
        <v>0</v>
      </c>
      <c r="AI7" s="27">
        <f>rebio23_80ml!AI8/50</f>
        <v>0</v>
      </c>
      <c r="AJ7" s="27">
        <f>rebio23_80ml!AJ8/50</f>
        <v>0</v>
      </c>
      <c r="AK7" s="27">
        <f>rebio23_80ml!AK8/50</f>
        <v>0</v>
      </c>
      <c r="AL7" s="27">
        <f>rebio23_80ml!AL8/50</f>
        <v>0</v>
      </c>
      <c r="AM7" s="27">
        <f>rebio23_80ml!AM8/50</f>
        <v>0</v>
      </c>
      <c r="AN7" s="27">
        <f>rebio23_80ml!AN8/50</f>
        <v>0</v>
      </c>
      <c r="AO7" s="27">
        <f>rebio23_80ml!AO8/50</f>
        <v>0</v>
      </c>
      <c r="AP7" s="27">
        <f>rebio23_80ml!AP8/50</f>
        <v>0</v>
      </c>
      <c r="AQ7" s="27">
        <f>rebio23_80ml!AQ8/50</f>
        <v>0</v>
      </c>
      <c r="AR7" s="27">
        <f>rebio23_80ml!AR8/50</f>
        <v>0</v>
      </c>
      <c r="AS7" s="27">
        <f>rebio23_80ml!AS8/50</f>
        <v>0</v>
      </c>
      <c r="AT7" s="27">
        <f>rebio23_80ml!AT8/50</f>
        <v>0</v>
      </c>
      <c r="AU7" s="27">
        <f>rebio23_80ml!AU8/50</f>
        <v>0</v>
      </c>
      <c r="AV7" s="27">
        <f>rebio23_80ml!AV8/50</f>
        <v>0.06</v>
      </c>
      <c r="AW7" s="27">
        <f>rebio23_80ml!AW8/50</f>
        <v>0</v>
      </c>
      <c r="AX7" s="27">
        <f>rebio23_80ml!AX8/50</f>
        <v>0</v>
      </c>
      <c r="AY7" s="27">
        <f>rebio23_80ml!AY8/50</f>
        <v>0</v>
      </c>
      <c r="AZ7" s="27">
        <f>rebio23_80ml!AZ8/50</f>
        <v>0</v>
      </c>
      <c r="BA7" s="27">
        <f>rebio23_80ml!BA8/50</f>
        <v>0</v>
      </c>
      <c r="BB7" s="27">
        <f>rebio23_80ml!BB8/50</f>
        <v>0</v>
      </c>
      <c r="BC7" s="27">
        <f>rebio23_80ml!BC8/50</f>
        <v>0</v>
      </c>
      <c r="BD7" s="27">
        <f>rebio23_80ml!BD8/50</f>
        <v>0</v>
      </c>
      <c r="BE7" s="27">
        <f>rebio23_80ml!BE8/50</f>
        <v>0</v>
      </c>
      <c r="BF7" s="27">
        <f>rebio23_80ml!BF8/50</f>
        <v>0</v>
      </c>
      <c r="BG7" s="27">
        <f>rebio23_80ml!BG8/50</f>
        <v>0</v>
      </c>
    </row>
    <row r="8" spans="1:67" ht="12.75" customHeight="1" x14ac:dyDescent="0.25">
      <c r="A8" s="15" t="str">
        <f>rebio23_80ml!A9</f>
        <v>S-B-P07-H1</v>
      </c>
      <c r="B8" s="27">
        <f>rebio23_80ml!B9/50</f>
        <v>0</v>
      </c>
      <c r="C8" s="27">
        <f>rebio23_80ml!C9/50</f>
        <v>0</v>
      </c>
      <c r="D8" s="27">
        <f>rebio23_80ml!D9/50</f>
        <v>0</v>
      </c>
      <c r="E8" s="27">
        <f>rebio23_80ml!E9/50</f>
        <v>1.18</v>
      </c>
      <c r="F8" s="27">
        <f>rebio23_80ml!F9/50</f>
        <v>0</v>
      </c>
      <c r="G8" s="27">
        <f>rebio23_80ml!G9/50</f>
        <v>0</v>
      </c>
      <c r="H8" s="27">
        <f>rebio23_80ml!H9/50</f>
        <v>0</v>
      </c>
      <c r="I8" s="27">
        <f>rebio23_80ml!I9/50</f>
        <v>0.04</v>
      </c>
      <c r="J8" s="27">
        <f>rebio23_80ml!J9/50</f>
        <v>0</v>
      </c>
      <c r="K8" s="27">
        <f>rebio23_80ml!K9/50</f>
        <v>0</v>
      </c>
      <c r="L8" s="27">
        <f>rebio23_80ml!L9/50</f>
        <v>0</v>
      </c>
      <c r="M8" s="27">
        <f>rebio23_80ml!M9/50</f>
        <v>0</v>
      </c>
      <c r="N8" s="27">
        <f>rebio23_80ml!N9/50</f>
        <v>0</v>
      </c>
      <c r="O8" s="27">
        <f>rebio23_80ml!O9/50</f>
        <v>0</v>
      </c>
      <c r="P8" s="27">
        <f>rebio23_80ml!P9/50</f>
        <v>0</v>
      </c>
      <c r="Q8" s="27">
        <f>rebio23_80ml!Q9/50</f>
        <v>0</v>
      </c>
      <c r="R8" s="27">
        <f>rebio23_80ml!R9/50</f>
        <v>0</v>
      </c>
      <c r="S8" s="27">
        <f>rebio23_80ml!S9/50</f>
        <v>0</v>
      </c>
      <c r="T8" s="27">
        <f>rebio23_80ml!T9/50</f>
        <v>0</v>
      </c>
      <c r="U8" s="27">
        <f>rebio23_80ml!U9/50</f>
        <v>0</v>
      </c>
      <c r="V8" s="27">
        <f>rebio23_80ml!V9/50</f>
        <v>0</v>
      </c>
      <c r="W8" s="27">
        <f>rebio23_80ml!W9/50</f>
        <v>0</v>
      </c>
      <c r="X8" s="27">
        <f>rebio23_80ml!X9/50</f>
        <v>0</v>
      </c>
      <c r="Y8" s="27">
        <f>rebio23_80ml!Y9/50</f>
        <v>0</v>
      </c>
      <c r="Z8" s="27">
        <f>rebio23_80ml!Z9/50</f>
        <v>0</v>
      </c>
      <c r="AA8" s="27">
        <f>rebio23_80ml!AA9/50</f>
        <v>0</v>
      </c>
      <c r="AB8" s="27">
        <f>rebio23_80ml!AB9/50</f>
        <v>0</v>
      </c>
      <c r="AC8" s="27">
        <f>rebio23_80ml!AC9/50</f>
        <v>0</v>
      </c>
      <c r="AD8" s="27">
        <f>rebio23_80ml!AD9/50</f>
        <v>0</v>
      </c>
      <c r="AE8" s="27">
        <f>rebio23_80ml!AE9/50</f>
        <v>0</v>
      </c>
      <c r="AF8" s="27">
        <f>rebio23_80ml!AF9/50</f>
        <v>0</v>
      </c>
      <c r="AG8" s="27">
        <f>rebio23_80ml!AG9/50</f>
        <v>0</v>
      </c>
      <c r="AH8" s="27">
        <f>rebio23_80ml!AH9/50</f>
        <v>0</v>
      </c>
      <c r="AI8" s="27">
        <f>rebio23_80ml!AI9/50</f>
        <v>0</v>
      </c>
      <c r="AJ8" s="27">
        <f>rebio23_80ml!AJ9/50</f>
        <v>0</v>
      </c>
      <c r="AK8" s="27">
        <f>rebio23_80ml!AK9/50</f>
        <v>0</v>
      </c>
      <c r="AL8" s="27">
        <f>rebio23_80ml!AL9/50</f>
        <v>0</v>
      </c>
      <c r="AM8" s="27">
        <f>rebio23_80ml!AM9/50</f>
        <v>0</v>
      </c>
      <c r="AN8" s="27">
        <f>rebio23_80ml!AN9/50</f>
        <v>0</v>
      </c>
      <c r="AO8" s="27">
        <f>rebio23_80ml!AO9/50</f>
        <v>0</v>
      </c>
      <c r="AP8" s="27">
        <f>rebio23_80ml!AP9/50</f>
        <v>0</v>
      </c>
      <c r="AQ8" s="27">
        <f>rebio23_80ml!AQ9/50</f>
        <v>0</v>
      </c>
      <c r="AR8" s="27">
        <f>rebio23_80ml!AR9/50</f>
        <v>0</v>
      </c>
      <c r="AS8" s="27">
        <f>rebio23_80ml!AS9/50</f>
        <v>0</v>
      </c>
      <c r="AT8" s="27">
        <f>rebio23_80ml!AT9/50</f>
        <v>0</v>
      </c>
      <c r="AU8" s="27">
        <f>rebio23_80ml!AU9/50</f>
        <v>0</v>
      </c>
      <c r="AV8" s="27">
        <f>rebio23_80ml!AV9/50</f>
        <v>0.02</v>
      </c>
      <c r="AW8" s="27">
        <f>rebio23_80ml!AW9/50</f>
        <v>0</v>
      </c>
      <c r="AX8" s="27">
        <f>rebio23_80ml!AX9/50</f>
        <v>0</v>
      </c>
      <c r="AY8" s="27">
        <f>rebio23_80ml!AY9/50</f>
        <v>0</v>
      </c>
      <c r="AZ8" s="27">
        <f>rebio23_80ml!AZ9/50</f>
        <v>0</v>
      </c>
      <c r="BA8" s="27">
        <f>rebio23_80ml!BA9/50</f>
        <v>0</v>
      </c>
      <c r="BB8" s="27">
        <f>rebio23_80ml!BB9/50</f>
        <v>0</v>
      </c>
      <c r="BC8" s="27">
        <f>rebio23_80ml!BC9/50</f>
        <v>0</v>
      </c>
      <c r="BD8" s="27">
        <f>rebio23_80ml!BD9/50</f>
        <v>0</v>
      </c>
      <c r="BE8" s="27">
        <f>rebio23_80ml!BE9/50</f>
        <v>0</v>
      </c>
      <c r="BF8" s="27">
        <f>rebio23_80ml!BF9/50</f>
        <v>0</v>
      </c>
      <c r="BG8" s="27">
        <f>rebio23_80ml!BG9/50</f>
        <v>0</v>
      </c>
    </row>
    <row r="9" spans="1:67" ht="12.75" customHeight="1" x14ac:dyDescent="0.25">
      <c r="A9" s="15" t="str">
        <f>rebio23_80ml!A10</f>
        <v>S-B-P07-H2</v>
      </c>
      <c r="B9" s="27">
        <f>rebio23_80ml!B10/50</f>
        <v>0</v>
      </c>
      <c r="C9" s="27">
        <f>rebio23_80ml!C10/50</f>
        <v>0</v>
      </c>
      <c r="D9" s="27">
        <f>rebio23_80ml!D10/50</f>
        <v>0</v>
      </c>
      <c r="E9" s="27">
        <f>rebio23_80ml!E10/50</f>
        <v>0.88</v>
      </c>
      <c r="F9" s="27">
        <f>rebio23_80ml!F10/50</f>
        <v>0</v>
      </c>
      <c r="G9" s="27">
        <f>rebio23_80ml!G10/50</f>
        <v>0</v>
      </c>
      <c r="H9" s="27">
        <f>rebio23_80ml!H10/50</f>
        <v>0</v>
      </c>
      <c r="I9" s="27">
        <f>rebio23_80ml!I10/50</f>
        <v>0</v>
      </c>
      <c r="J9" s="27">
        <f>rebio23_80ml!J10/50</f>
        <v>0</v>
      </c>
      <c r="K9" s="27">
        <f>rebio23_80ml!K10/50</f>
        <v>0</v>
      </c>
      <c r="L9" s="27">
        <f>rebio23_80ml!L10/50</f>
        <v>0</v>
      </c>
      <c r="M9" s="27">
        <f>rebio23_80ml!M10/50</f>
        <v>0</v>
      </c>
      <c r="N9" s="27">
        <f>rebio23_80ml!N10/50</f>
        <v>0</v>
      </c>
      <c r="O9" s="27">
        <f>rebio23_80ml!O10/50</f>
        <v>0</v>
      </c>
      <c r="P9" s="27">
        <f>rebio23_80ml!P10/50</f>
        <v>0</v>
      </c>
      <c r="Q9" s="27">
        <f>rebio23_80ml!Q10/50</f>
        <v>0</v>
      </c>
      <c r="R9" s="27">
        <f>rebio23_80ml!R10/50</f>
        <v>0</v>
      </c>
      <c r="S9" s="27">
        <f>rebio23_80ml!S10/50</f>
        <v>0</v>
      </c>
      <c r="T9" s="27">
        <f>rebio23_80ml!T10/50</f>
        <v>0</v>
      </c>
      <c r="U9" s="27">
        <f>rebio23_80ml!U10/50</f>
        <v>0</v>
      </c>
      <c r="V9" s="27">
        <f>rebio23_80ml!V10/50</f>
        <v>0</v>
      </c>
      <c r="W9" s="27">
        <f>rebio23_80ml!W10/50</f>
        <v>0</v>
      </c>
      <c r="X9" s="27">
        <f>rebio23_80ml!X10/50</f>
        <v>0</v>
      </c>
      <c r="Y9" s="27">
        <f>rebio23_80ml!Y10/50</f>
        <v>0</v>
      </c>
      <c r="Z9" s="27">
        <f>rebio23_80ml!Z10/50</f>
        <v>0</v>
      </c>
      <c r="AA9" s="27">
        <f>rebio23_80ml!AA10/50</f>
        <v>0</v>
      </c>
      <c r="AB9" s="27">
        <f>rebio23_80ml!AB10/50</f>
        <v>0</v>
      </c>
      <c r="AC9" s="27">
        <f>rebio23_80ml!AC10/50</f>
        <v>0</v>
      </c>
      <c r="AD9" s="27">
        <f>rebio23_80ml!AD10/50</f>
        <v>0</v>
      </c>
      <c r="AE9" s="27">
        <f>rebio23_80ml!AE10/50</f>
        <v>0</v>
      </c>
      <c r="AF9" s="27">
        <f>rebio23_80ml!AF10/50</f>
        <v>0</v>
      </c>
      <c r="AG9" s="27">
        <f>rebio23_80ml!AG10/50</f>
        <v>0</v>
      </c>
      <c r="AH9" s="27">
        <f>rebio23_80ml!AH10/50</f>
        <v>0</v>
      </c>
      <c r="AI9" s="27">
        <f>rebio23_80ml!AI10/50</f>
        <v>0</v>
      </c>
      <c r="AJ9" s="27">
        <f>rebio23_80ml!AJ10/50</f>
        <v>0</v>
      </c>
      <c r="AK9" s="27">
        <f>rebio23_80ml!AK10/50</f>
        <v>0</v>
      </c>
      <c r="AL9" s="27">
        <f>rebio23_80ml!AL10/50</f>
        <v>0</v>
      </c>
      <c r="AM9" s="27">
        <f>rebio23_80ml!AM10/50</f>
        <v>0</v>
      </c>
      <c r="AN9" s="27">
        <f>rebio23_80ml!AN10/50</f>
        <v>0</v>
      </c>
      <c r="AO9" s="27">
        <f>rebio23_80ml!AO10/50</f>
        <v>0</v>
      </c>
      <c r="AP9" s="27">
        <f>rebio23_80ml!AP10/50</f>
        <v>0</v>
      </c>
      <c r="AQ9" s="27">
        <f>rebio23_80ml!AQ10/50</f>
        <v>0</v>
      </c>
      <c r="AR9" s="27">
        <f>rebio23_80ml!AR10/50</f>
        <v>0</v>
      </c>
      <c r="AS9" s="27">
        <f>rebio23_80ml!AS10/50</f>
        <v>0</v>
      </c>
      <c r="AT9" s="27">
        <f>rebio23_80ml!AT10/50</f>
        <v>0</v>
      </c>
      <c r="AU9" s="27">
        <f>rebio23_80ml!AU10/50</f>
        <v>0</v>
      </c>
      <c r="AV9" s="27">
        <f>rebio23_80ml!AV10/50</f>
        <v>0.04</v>
      </c>
      <c r="AW9" s="27">
        <f>rebio23_80ml!AW10/50</f>
        <v>0</v>
      </c>
      <c r="AX9" s="27">
        <f>rebio23_80ml!AX10/50</f>
        <v>0.02</v>
      </c>
      <c r="AY9" s="27">
        <f>rebio23_80ml!AY10/50</f>
        <v>0</v>
      </c>
      <c r="AZ9" s="27">
        <f>rebio23_80ml!AZ10/50</f>
        <v>0.02</v>
      </c>
      <c r="BA9" s="27">
        <f>rebio23_80ml!BA10/50</f>
        <v>0</v>
      </c>
      <c r="BB9" s="27">
        <f>rebio23_80ml!BB10/50</f>
        <v>0</v>
      </c>
      <c r="BC9" s="27">
        <f>rebio23_80ml!BC10/50</f>
        <v>0</v>
      </c>
      <c r="BD9" s="27">
        <f>rebio23_80ml!BD10/50</f>
        <v>0</v>
      </c>
      <c r="BE9" s="27">
        <f>rebio23_80ml!BE10/50</f>
        <v>0</v>
      </c>
      <c r="BF9" s="27">
        <f>rebio23_80ml!BF10/50</f>
        <v>0</v>
      </c>
      <c r="BG9" s="27">
        <f>rebio23_80ml!BG10/50</f>
        <v>0</v>
      </c>
    </row>
    <row r="10" spans="1:67" ht="12.75" customHeight="1" x14ac:dyDescent="0.25">
      <c r="A10" s="15" t="str">
        <f>rebio23_80ml!A11</f>
        <v>S-B-P07-H3</v>
      </c>
      <c r="B10" s="27">
        <f>rebio23_80ml!B11/50</f>
        <v>0</v>
      </c>
      <c r="C10" s="27">
        <f>rebio23_80ml!C11/50</f>
        <v>0</v>
      </c>
      <c r="D10" s="27">
        <f>rebio23_80ml!D11/50</f>
        <v>0</v>
      </c>
      <c r="E10" s="27">
        <f>rebio23_80ml!E11/50</f>
        <v>0.86</v>
      </c>
      <c r="F10" s="27">
        <f>rebio23_80ml!F11/50</f>
        <v>0</v>
      </c>
      <c r="G10" s="27">
        <f>rebio23_80ml!G11/50</f>
        <v>0</v>
      </c>
      <c r="H10" s="27">
        <f>rebio23_80ml!H11/50</f>
        <v>0</v>
      </c>
      <c r="I10" s="27">
        <f>rebio23_80ml!I11/50</f>
        <v>0</v>
      </c>
      <c r="J10" s="27">
        <f>rebio23_80ml!J11/50</f>
        <v>0</v>
      </c>
      <c r="K10" s="27">
        <f>rebio23_80ml!K11/50</f>
        <v>0</v>
      </c>
      <c r="L10" s="27">
        <f>rebio23_80ml!L11/50</f>
        <v>0</v>
      </c>
      <c r="M10" s="27">
        <f>rebio23_80ml!M11/50</f>
        <v>0</v>
      </c>
      <c r="N10" s="27">
        <f>rebio23_80ml!N11/50</f>
        <v>0</v>
      </c>
      <c r="O10" s="27">
        <f>rebio23_80ml!O11/50</f>
        <v>0</v>
      </c>
      <c r="P10" s="27">
        <f>rebio23_80ml!P11/50</f>
        <v>0</v>
      </c>
      <c r="Q10" s="27">
        <f>rebio23_80ml!Q11/50</f>
        <v>0</v>
      </c>
      <c r="R10" s="27">
        <f>rebio23_80ml!R11/50</f>
        <v>0</v>
      </c>
      <c r="S10" s="27">
        <f>rebio23_80ml!S11/50</f>
        <v>0.02</v>
      </c>
      <c r="T10" s="27">
        <f>rebio23_80ml!T11/50</f>
        <v>0</v>
      </c>
      <c r="U10" s="27">
        <f>rebio23_80ml!U11/50</f>
        <v>0</v>
      </c>
      <c r="V10" s="27">
        <f>rebio23_80ml!V11/50</f>
        <v>0</v>
      </c>
      <c r="W10" s="27">
        <f>rebio23_80ml!W11/50</f>
        <v>0</v>
      </c>
      <c r="X10" s="27">
        <f>rebio23_80ml!X11/50</f>
        <v>0</v>
      </c>
      <c r="Y10" s="27">
        <f>rebio23_80ml!Y11/50</f>
        <v>0</v>
      </c>
      <c r="Z10" s="27">
        <f>rebio23_80ml!Z11/50</f>
        <v>0</v>
      </c>
      <c r="AA10" s="27">
        <f>rebio23_80ml!AA11/50</f>
        <v>0</v>
      </c>
      <c r="AB10" s="27">
        <f>rebio23_80ml!AB11/50</f>
        <v>0</v>
      </c>
      <c r="AC10" s="27">
        <f>rebio23_80ml!AC11/50</f>
        <v>0</v>
      </c>
      <c r="AD10" s="27">
        <f>rebio23_80ml!AD11/50</f>
        <v>0</v>
      </c>
      <c r="AE10" s="27">
        <f>rebio23_80ml!AE11/50</f>
        <v>0</v>
      </c>
      <c r="AF10" s="27">
        <f>rebio23_80ml!AF11/50</f>
        <v>0.02</v>
      </c>
      <c r="AG10" s="27">
        <f>rebio23_80ml!AG11/50</f>
        <v>0</v>
      </c>
      <c r="AH10" s="27">
        <f>rebio23_80ml!AH11/50</f>
        <v>0</v>
      </c>
      <c r="AI10" s="27">
        <f>rebio23_80ml!AI11/50</f>
        <v>0</v>
      </c>
      <c r="AJ10" s="27">
        <f>rebio23_80ml!AJ11/50</f>
        <v>0</v>
      </c>
      <c r="AK10" s="27">
        <f>rebio23_80ml!AK11/50</f>
        <v>0</v>
      </c>
      <c r="AL10" s="27">
        <f>rebio23_80ml!AL11/50</f>
        <v>0</v>
      </c>
      <c r="AM10" s="27">
        <f>rebio23_80ml!AM11/50</f>
        <v>0</v>
      </c>
      <c r="AN10" s="27">
        <f>rebio23_80ml!AN11/50</f>
        <v>0</v>
      </c>
      <c r="AO10" s="27">
        <f>rebio23_80ml!AO11/50</f>
        <v>0</v>
      </c>
      <c r="AP10" s="27">
        <f>rebio23_80ml!AP11/50</f>
        <v>0</v>
      </c>
      <c r="AQ10" s="27">
        <f>rebio23_80ml!AQ11/50</f>
        <v>0</v>
      </c>
      <c r="AR10" s="27">
        <f>rebio23_80ml!AR11/50</f>
        <v>0</v>
      </c>
      <c r="AS10" s="27">
        <f>rebio23_80ml!AS11/50</f>
        <v>0</v>
      </c>
      <c r="AT10" s="27">
        <f>rebio23_80ml!AT11/50</f>
        <v>0</v>
      </c>
      <c r="AU10" s="27">
        <f>rebio23_80ml!AU11/50</f>
        <v>0</v>
      </c>
      <c r="AV10" s="27">
        <f>rebio23_80ml!AV11/50</f>
        <v>0.08</v>
      </c>
      <c r="AW10" s="27">
        <f>rebio23_80ml!AW11/50</f>
        <v>0</v>
      </c>
      <c r="AX10" s="27">
        <f>rebio23_80ml!AX11/50</f>
        <v>0</v>
      </c>
      <c r="AY10" s="27">
        <f>rebio23_80ml!AY11/50</f>
        <v>0</v>
      </c>
      <c r="AZ10" s="27">
        <f>rebio23_80ml!AZ11/50</f>
        <v>0.02</v>
      </c>
      <c r="BA10" s="27">
        <f>rebio23_80ml!BA11/50</f>
        <v>0</v>
      </c>
      <c r="BB10" s="27">
        <f>rebio23_80ml!BB11/50</f>
        <v>0</v>
      </c>
      <c r="BC10" s="27">
        <f>rebio23_80ml!BC11/50</f>
        <v>0</v>
      </c>
      <c r="BD10" s="27">
        <f>rebio23_80ml!BD11/50</f>
        <v>0</v>
      </c>
      <c r="BE10" s="27">
        <f>rebio23_80ml!BE11/50</f>
        <v>0</v>
      </c>
      <c r="BF10" s="27">
        <f>rebio23_80ml!BF11/50</f>
        <v>0</v>
      </c>
      <c r="BG10" s="27">
        <f>rebio23_80ml!BG11/50</f>
        <v>0</v>
      </c>
    </row>
    <row r="11" spans="1:67" ht="12.75" customHeight="1" x14ac:dyDescent="0.25">
      <c r="A11" s="15" t="str">
        <f>rebio23_80ml!A12</f>
        <v>S-B-P08-H1</v>
      </c>
      <c r="B11" s="27">
        <f>rebio23_80ml!B12/50</f>
        <v>0.02</v>
      </c>
      <c r="C11" s="27">
        <f>rebio23_80ml!C12/50</f>
        <v>0</v>
      </c>
      <c r="D11" s="27">
        <f>rebio23_80ml!D12/50</f>
        <v>0</v>
      </c>
      <c r="E11" s="27">
        <f>rebio23_80ml!E12/50</f>
        <v>1.38</v>
      </c>
      <c r="F11" s="27">
        <f>rebio23_80ml!F12/50</f>
        <v>0</v>
      </c>
      <c r="G11" s="27">
        <f>rebio23_80ml!G12/50</f>
        <v>0</v>
      </c>
      <c r="H11" s="27">
        <f>rebio23_80ml!H12/50</f>
        <v>0.02</v>
      </c>
      <c r="I11" s="27">
        <f>rebio23_80ml!I12/50</f>
        <v>1.52</v>
      </c>
      <c r="J11" s="27">
        <f>rebio23_80ml!J12/50</f>
        <v>0</v>
      </c>
      <c r="K11" s="27">
        <f>rebio23_80ml!K12/50</f>
        <v>0</v>
      </c>
      <c r="L11" s="27">
        <f>rebio23_80ml!L12/50</f>
        <v>0</v>
      </c>
      <c r="M11" s="27">
        <f>rebio23_80ml!M12/50</f>
        <v>0</v>
      </c>
      <c r="N11" s="27">
        <f>rebio23_80ml!N12/50</f>
        <v>0</v>
      </c>
      <c r="O11" s="27">
        <f>rebio23_80ml!O12/50</f>
        <v>0</v>
      </c>
      <c r="P11" s="27">
        <f>rebio23_80ml!P12/50</f>
        <v>0.02</v>
      </c>
      <c r="Q11" s="27">
        <f>rebio23_80ml!Q12/50</f>
        <v>0.02</v>
      </c>
      <c r="R11" s="27">
        <f>rebio23_80ml!R12/50</f>
        <v>0</v>
      </c>
      <c r="S11" s="27">
        <f>rebio23_80ml!S12/50</f>
        <v>0</v>
      </c>
      <c r="T11" s="27">
        <f>rebio23_80ml!T12/50</f>
        <v>0</v>
      </c>
      <c r="U11" s="27">
        <f>rebio23_80ml!U12/50</f>
        <v>0</v>
      </c>
      <c r="V11" s="27">
        <f>rebio23_80ml!V12/50</f>
        <v>0</v>
      </c>
      <c r="W11" s="27">
        <f>rebio23_80ml!W12/50</f>
        <v>0</v>
      </c>
      <c r="X11" s="27">
        <f>rebio23_80ml!X12/50</f>
        <v>0.02</v>
      </c>
      <c r="Y11" s="27">
        <f>rebio23_80ml!Y12/50</f>
        <v>0.02</v>
      </c>
      <c r="Z11" s="27">
        <f>rebio23_80ml!Z12/50</f>
        <v>0</v>
      </c>
      <c r="AA11" s="27">
        <f>rebio23_80ml!AA12/50</f>
        <v>0.08</v>
      </c>
      <c r="AB11" s="27">
        <f>rebio23_80ml!AB12/50</f>
        <v>0</v>
      </c>
      <c r="AC11" s="27">
        <f>rebio23_80ml!AC12/50</f>
        <v>0</v>
      </c>
      <c r="AD11" s="27">
        <f>rebio23_80ml!AD12/50</f>
        <v>0</v>
      </c>
      <c r="AE11" s="27">
        <f>rebio23_80ml!AE12/50</f>
        <v>0</v>
      </c>
      <c r="AF11" s="27">
        <f>rebio23_80ml!AF12/50</f>
        <v>0</v>
      </c>
      <c r="AG11" s="27">
        <f>rebio23_80ml!AG12/50</f>
        <v>0</v>
      </c>
      <c r="AH11" s="27">
        <f>rebio23_80ml!AH12/50</f>
        <v>0</v>
      </c>
      <c r="AI11" s="27">
        <f>rebio23_80ml!AI12/50</f>
        <v>0</v>
      </c>
      <c r="AJ11" s="27">
        <f>rebio23_80ml!AJ12/50</f>
        <v>0</v>
      </c>
      <c r="AK11" s="27">
        <f>rebio23_80ml!AK12/50</f>
        <v>0</v>
      </c>
      <c r="AL11" s="27">
        <f>rebio23_80ml!AL12/50</f>
        <v>0.06</v>
      </c>
      <c r="AM11" s="27">
        <f>rebio23_80ml!AM12/50</f>
        <v>0.04</v>
      </c>
      <c r="AN11" s="27">
        <f>rebio23_80ml!AN12/50</f>
        <v>0</v>
      </c>
      <c r="AO11" s="27">
        <f>rebio23_80ml!AO12/50</f>
        <v>0</v>
      </c>
      <c r="AP11" s="27">
        <f>rebio23_80ml!AP12/50</f>
        <v>0</v>
      </c>
      <c r="AQ11" s="27">
        <f>rebio23_80ml!AQ12/50</f>
        <v>0</v>
      </c>
      <c r="AR11" s="27">
        <f>rebio23_80ml!AR12/50</f>
        <v>0</v>
      </c>
      <c r="AS11" s="27">
        <f>rebio23_80ml!AS12/50</f>
        <v>0</v>
      </c>
      <c r="AT11" s="27">
        <f>rebio23_80ml!AT12/50</f>
        <v>0</v>
      </c>
      <c r="AU11" s="27">
        <f>rebio23_80ml!AU12/50</f>
        <v>0.02</v>
      </c>
      <c r="AV11" s="27">
        <f>rebio23_80ml!AV12/50</f>
        <v>0.3</v>
      </c>
      <c r="AW11" s="27">
        <f>rebio23_80ml!AW12/50</f>
        <v>0</v>
      </c>
      <c r="AX11" s="27">
        <f>rebio23_80ml!AX12/50</f>
        <v>0.18</v>
      </c>
      <c r="AY11" s="27">
        <f>rebio23_80ml!AY12/50</f>
        <v>0</v>
      </c>
      <c r="AZ11" s="27">
        <f>rebio23_80ml!AZ12/50</f>
        <v>0</v>
      </c>
      <c r="BA11" s="27">
        <f>rebio23_80ml!BA12/50</f>
        <v>0</v>
      </c>
      <c r="BB11" s="27">
        <f>rebio23_80ml!BB12/50</f>
        <v>0.02</v>
      </c>
      <c r="BC11" s="27">
        <f>rebio23_80ml!BC12/50</f>
        <v>0</v>
      </c>
      <c r="BD11" s="27">
        <f>rebio23_80ml!BD12/50</f>
        <v>0</v>
      </c>
      <c r="BE11" s="27">
        <f>rebio23_80ml!BE12/50</f>
        <v>0</v>
      </c>
      <c r="BF11" s="27">
        <f>rebio23_80ml!BF12/50</f>
        <v>0</v>
      </c>
      <c r="BG11" s="27">
        <f>rebio23_80ml!BG12/50</f>
        <v>0</v>
      </c>
    </row>
    <row r="12" spans="1:67" ht="12.75" customHeight="1" x14ac:dyDescent="0.25">
      <c r="A12" s="15" t="str">
        <f>rebio23_80ml!A13</f>
        <v>S-B-P08-H2</v>
      </c>
      <c r="B12" s="27">
        <f>rebio23_80ml!B13/50</f>
        <v>0.12</v>
      </c>
      <c r="C12" s="27">
        <f>rebio23_80ml!C13/50</f>
        <v>0</v>
      </c>
      <c r="D12" s="27">
        <f>rebio23_80ml!D13/50</f>
        <v>0</v>
      </c>
      <c r="E12" s="27">
        <f>rebio23_80ml!E13/50</f>
        <v>1</v>
      </c>
      <c r="F12" s="27">
        <f>rebio23_80ml!F13/50</f>
        <v>0</v>
      </c>
      <c r="G12" s="27">
        <f>rebio23_80ml!G13/50</f>
        <v>0</v>
      </c>
      <c r="H12" s="27">
        <f>rebio23_80ml!H13/50</f>
        <v>0</v>
      </c>
      <c r="I12" s="27">
        <f>rebio23_80ml!I13/50</f>
        <v>1.54</v>
      </c>
      <c r="J12" s="27">
        <f>rebio23_80ml!J13/50</f>
        <v>0</v>
      </c>
      <c r="K12" s="27">
        <f>rebio23_80ml!K13/50</f>
        <v>0</v>
      </c>
      <c r="L12" s="27">
        <f>rebio23_80ml!L13/50</f>
        <v>0</v>
      </c>
      <c r="M12" s="27">
        <f>rebio23_80ml!M13/50</f>
        <v>0</v>
      </c>
      <c r="N12" s="27">
        <f>rebio23_80ml!N13/50</f>
        <v>0</v>
      </c>
      <c r="O12" s="27">
        <f>rebio23_80ml!O13/50</f>
        <v>0</v>
      </c>
      <c r="P12" s="27">
        <f>rebio23_80ml!P13/50</f>
        <v>0</v>
      </c>
      <c r="Q12" s="27">
        <f>rebio23_80ml!Q13/50</f>
        <v>0</v>
      </c>
      <c r="R12" s="27">
        <f>rebio23_80ml!R13/50</f>
        <v>0</v>
      </c>
      <c r="S12" s="27">
        <f>rebio23_80ml!S13/50</f>
        <v>0.16</v>
      </c>
      <c r="T12" s="27">
        <f>rebio23_80ml!T13/50</f>
        <v>0</v>
      </c>
      <c r="U12" s="27">
        <f>rebio23_80ml!U13/50</f>
        <v>0.08</v>
      </c>
      <c r="V12" s="27">
        <f>rebio23_80ml!V13/50</f>
        <v>0</v>
      </c>
      <c r="W12" s="27">
        <f>rebio23_80ml!W13/50</f>
        <v>0</v>
      </c>
      <c r="X12" s="27">
        <f>rebio23_80ml!X13/50</f>
        <v>0</v>
      </c>
      <c r="Y12" s="27">
        <f>rebio23_80ml!Y13/50</f>
        <v>0</v>
      </c>
      <c r="Z12" s="27">
        <f>rebio23_80ml!Z13/50</f>
        <v>0.04</v>
      </c>
      <c r="AA12" s="27">
        <f>rebio23_80ml!AA13/50</f>
        <v>0.04</v>
      </c>
      <c r="AB12" s="27">
        <f>rebio23_80ml!AB13/50</f>
        <v>0</v>
      </c>
      <c r="AC12" s="27">
        <f>rebio23_80ml!AC13/50</f>
        <v>0</v>
      </c>
      <c r="AD12" s="27">
        <f>rebio23_80ml!AD13/50</f>
        <v>0</v>
      </c>
      <c r="AE12" s="27">
        <f>rebio23_80ml!AE13/50</f>
        <v>0.02</v>
      </c>
      <c r="AF12" s="27">
        <f>rebio23_80ml!AF13/50</f>
        <v>0</v>
      </c>
      <c r="AG12" s="27">
        <f>rebio23_80ml!AG13/50</f>
        <v>0</v>
      </c>
      <c r="AH12" s="27">
        <f>rebio23_80ml!AH13/50</f>
        <v>0</v>
      </c>
      <c r="AI12" s="27">
        <f>rebio23_80ml!AI13/50</f>
        <v>0</v>
      </c>
      <c r="AJ12" s="27">
        <f>rebio23_80ml!AJ13/50</f>
        <v>0.04</v>
      </c>
      <c r="AK12" s="27">
        <f>rebio23_80ml!AK13/50</f>
        <v>0</v>
      </c>
      <c r="AL12" s="27">
        <f>rebio23_80ml!AL13/50</f>
        <v>0.02</v>
      </c>
      <c r="AM12" s="27">
        <f>rebio23_80ml!AM13/50</f>
        <v>0</v>
      </c>
      <c r="AN12" s="27">
        <f>rebio23_80ml!AN13/50</f>
        <v>0</v>
      </c>
      <c r="AO12" s="27">
        <f>rebio23_80ml!AO13/50</f>
        <v>0</v>
      </c>
      <c r="AP12" s="27">
        <f>rebio23_80ml!AP13/50</f>
        <v>0</v>
      </c>
      <c r="AQ12" s="27">
        <f>rebio23_80ml!AQ13/50</f>
        <v>0</v>
      </c>
      <c r="AR12" s="27">
        <f>rebio23_80ml!AR13/50</f>
        <v>0</v>
      </c>
      <c r="AS12" s="27">
        <f>rebio23_80ml!AS13/50</f>
        <v>0</v>
      </c>
      <c r="AT12" s="27">
        <f>rebio23_80ml!AT13/50</f>
        <v>0</v>
      </c>
      <c r="AU12" s="27">
        <f>rebio23_80ml!AU13/50</f>
        <v>0</v>
      </c>
      <c r="AV12" s="27">
        <f>rebio23_80ml!AV13/50</f>
        <v>1.2</v>
      </c>
      <c r="AW12" s="27">
        <f>rebio23_80ml!AW13/50</f>
        <v>0</v>
      </c>
      <c r="AX12" s="27">
        <f>rebio23_80ml!AX13/50</f>
        <v>0.08</v>
      </c>
      <c r="AY12" s="27">
        <f>rebio23_80ml!AY13/50</f>
        <v>0</v>
      </c>
      <c r="AZ12" s="27">
        <f>rebio23_80ml!AZ13/50</f>
        <v>0</v>
      </c>
      <c r="BA12" s="27">
        <f>rebio23_80ml!BA13/50</f>
        <v>0</v>
      </c>
      <c r="BB12" s="27">
        <f>rebio23_80ml!BB13/50</f>
        <v>0</v>
      </c>
      <c r="BC12" s="27">
        <f>rebio23_80ml!BC13/50</f>
        <v>0</v>
      </c>
      <c r="BD12" s="27">
        <f>rebio23_80ml!BD13/50</f>
        <v>0</v>
      </c>
      <c r="BE12" s="27">
        <f>rebio23_80ml!BE13/50</f>
        <v>0</v>
      </c>
      <c r="BF12" s="27">
        <f>rebio23_80ml!BF13/50</f>
        <v>0</v>
      </c>
      <c r="BG12" s="27">
        <f>rebio23_80ml!BG13/50</f>
        <v>0</v>
      </c>
    </row>
    <row r="13" spans="1:67" ht="12.75" customHeight="1" x14ac:dyDescent="0.25">
      <c r="A13" s="15" t="str">
        <f>rebio23_80ml!A14</f>
        <v>S-B-P08-H3</v>
      </c>
      <c r="B13" s="27">
        <f>rebio23_80ml!B14/50</f>
        <v>0.02</v>
      </c>
      <c r="C13" s="27">
        <f>rebio23_80ml!C14/50</f>
        <v>0</v>
      </c>
      <c r="D13" s="27">
        <f>rebio23_80ml!D14/50</f>
        <v>0</v>
      </c>
      <c r="E13" s="27">
        <f>rebio23_80ml!E14/50</f>
        <v>1.02</v>
      </c>
      <c r="F13" s="27">
        <f>rebio23_80ml!F14/50</f>
        <v>0</v>
      </c>
      <c r="G13" s="27">
        <f>rebio23_80ml!G14/50</f>
        <v>0</v>
      </c>
      <c r="H13" s="27">
        <f>rebio23_80ml!H14/50</f>
        <v>0</v>
      </c>
      <c r="I13" s="27">
        <f>rebio23_80ml!I14/50</f>
        <v>0.06</v>
      </c>
      <c r="J13" s="27">
        <f>rebio23_80ml!J14/50</f>
        <v>0</v>
      </c>
      <c r="K13" s="27">
        <f>rebio23_80ml!K14/50</f>
        <v>0</v>
      </c>
      <c r="L13" s="27">
        <f>rebio23_80ml!L14/50</f>
        <v>0</v>
      </c>
      <c r="M13" s="27">
        <f>rebio23_80ml!M14/50</f>
        <v>0</v>
      </c>
      <c r="N13" s="27">
        <f>rebio23_80ml!N14/50</f>
        <v>0</v>
      </c>
      <c r="O13" s="27">
        <f>rebio23_80ml!O14/50</f>
        <v>0</v>
      </c>
      <c r="P13" s="27">
        <f>rebio23_80ml!P14/50</f>
        <v>0</v>
      </c>
      <c r="Q13" s="27">
        <f>rebio23_80ml!Q14/50</f>
        <v>0</v>
      </c>
      <c r="R13" s="27">
        <f>rebio23_80ml!R14/50</f>
        <v>0</v>
      </c>
      <c r="S13" s="27">
        <f>rebio23_80ml!S14/50</f>
        <v>0.04</v>
      </c>
      <c r="T13" s="27">
        <f>rebio23_80ml!T14/50</f>
        <v>0</v>
      </c>
      <c r="U13" s="27">
        <f>rebio23_80ml!U14/50</f>
        <v>0.02</v>
      </c>
      <c r="V13" s="27">
        <f>rebio23_80ml!V14/50</f>
        <v>0.02</v>
      </c>
      <c r="W13" s="27">
        <f>rebio23_80ml!W14/50</f>
        <v>0</v>
      </c>
      <c r="X13" s="27">
        <f>rebio23_80ml!X14/50</f>
        <v>0</v>
      </c>
      <c r="Y13" s="27">
        <f>rebio23_80ml!Y14/50</f>
        <v>0</v>
      </c>
      <c r="Z13" s="27">
        <f>rebio23_80ml!Z14/50</f>
        <v>0</v>
      </c>
      <c r="AA13" s="27">
        <f>rebio23_80ml!AA14/50</f>
        <v>0.08</v>
      </c>
      <c r="AB13" s="27">
        <f>rebio23_80ml!AB14/50</f>
        <v>0.02</v>
      </c>
      <c r="AC13" s="27">
        <f>rebio23_80ml!AC14/50</f>
        <v>0</v>
      </c>
      <c r="AD13" s="27">
        <f>rebio23_80ml!AD14/50</f>
        <v>0.04</v>
      </c>
      <c r="AE13" s="27">
        <f>rebio23_80ml!AE14/50</f>
        <v>0.02</v>
      </c>
      <c r="AF13" s="27">
        <f>rebio23_80ml!AF14/50</f>
        <v>0</v>
      </c>
      <c r="AG13" s="27">
        <f>rebio23_80ml!AG14/50</f>
        <v>0</v>
      </c>
      <c r="AH13" s="27">
        <f>rebio23_80ml!AH14/50</f>
        <v>0</v>
      </c>
      <c r="AI13" s="27">
        <f>rebio23_80ml!AI14/50</f>
        <v>0</v>
      </c>
      <c r="AJ13" s="27">
        <f>rebio23_80ml!AJ14/50</f>
        <v>0</v>
      </c>
      <c r="AK13" s="27">
        <f>rebio23_80ml!AK14/50</f>
        <v>0</v>
      </c>
      <c r="AL13" s="27">
        <f>rebio23_80ml!AL14/50</f>
        <v>0</v>
      </c>
      <c r="AM13" s="27">
        <f>rebio23_80ml!AM14/50</f>
        <v>0</v>
      </c>
      <c r="AN13" s="27">
        <f>rebio23_80ml!AN14/50</f>
        <v>0</v>
      </c>
      <c r="AO13" s="27">
        <f>rebio23_80ml!AO14/50</f>
        <v>0</v>
      </c>
      <c r="AP13" s="27">
        <f>rebio23_80ml!AP14/50</f>
        <v>0.02</v>
      </c>
      <c r="AQ13" s="27">
        <f>rebio23_80ml!AQ14/50</f>
        <v>0</v>
      </c>
      <c r="AR13" s="27">
        <f>rebio23_80ml!AR14/50</f>
        <v>0</v>
      </c>
      <c r="AS13" s="27">
        <f>rebio23_80ml!AS14/50</f>
        <v>0</v>
      </c>
      <c r="AT13" s="27">
        <f>rebio23_80ml!AT14/50</f>
        <v>0</v>
      </c>
      <c r="AU13" s="27">
        <f>rebio23_80ml!AU14/50</f>
        <v>0</v>
      </c>
      <c r="AV13" s="27">
        <f>rebio23_80ml!AV14/50</f>
        <v>0.3</v>
      </c>
      <c r="AW13" s="27">
        <f>rebio23_80ml!AW14/50</f>
        <v>0</v>
      </c>
      <c r="AX13" s="27">
        <f>rebio23_80ml!AX14/50</f>
        <v>0.02</v>
      </c>
      <c r="AY13" s="27">
        <f>rebio23_80ml!AY14/50</f>
        <v>0</v>
      </c>
      <c r="AZ13" s="27">
        <f>rebio23_80ml!AZ14/50</f>
        <v>0</v>
      </c>
      <c r="BA13" s="27">
        <f>rebio23_80ml!BA14/50</f>
        <v>0</v>
      </c>
      <c r="BB13" s="27">
        <f>rebio23_80ml!BB14/50</f>
        <v>0</v>
      </c>
      <c r="BC13" s="27">
        <f>rebio23_80ml!BC14/50</f>
        <v>0</v>
      </c>
      <c r="BD13" s="27">
        <f>rebio23_80ml!BD14/50</f>
        <v>0</v>
      </c>
      <c r="BE13" s="27">
        <f>rebio23_80ml!BE14/50</f>
        <v>0</v>
      </c>
      <c r="BF13" s="27">
        <f>rebio23_80ml!BF14/50</f>
        <v>0</v>
      </c>
      <c r="BG13" s="27">
        <f>rebio23_80ml!BG14/50</f>
        <v>0</v>
      </c>
    </row>
    <row r="14" spans="1:67" ht="12.75" customHeight="1" x14ac:dyDescent="0.25">
      <c r="A14" s="15" t="str">
        <f>rebio23_80ml!A15</f>
        <v>S-B-P09-H1</v>
      </c>
      <c r="B14" s="27">
        <f>rebio23_80ml!B15/50</f>
        <v>0</v>
      </c>
      <c r="C14" s="27">
        <f>rebio23_80ml!C15/50</f>
        <v>0</v>
      </c>
      <c r="D14" s="27">
        <f>rebio23_80ml!D15/50</f>
        <v>0</v>
      </c>
      <c r="E14" s="27">
        <f>rebio23_80ml!E15/50</f>
        <v>0.7</v>
      </c>
      <c r="F14" s="27">
        <f>rebio23_80ml!F15/50</f>
        <v>0</v>
      </c>
      <c r="G14" s="27">
        <f>rebio23_80ml!G15/50</f>
        <v>0</v>
      </c>
      <c r="H14" s="27">
        <f>rebio23_80ml!H15/50</f>
        <v>0</v>
      </c>
      <c r="I14" s="27">
        <f>rebio23_80ml!I15/50</f>
        <v>0.02</v>
      </c>
      <c r="J14" s="27">
        <f>rebio23_80ml!J15/50</f>
        <v>0</v>
      </c>
      <c r="K14" s="27">
        <f>rebio23_80ml!K15/50</f>
        <v>0</v>
      </c>
      <c r="L14" s="27">
        <f>rebio23_80ml!L15/50</f>
        <v>0</v>
      </c>
      <c r="M14" s="27">
        <f>rebio23_80ml!M15/50</f>
        <v>0</v>
      </c>
      <c r="N14" s="27">
        <f>rebio23_80ml!N15/50</f>
        <v>0</v>
      </c>
      <c r="O14" s="27">
        <f>rebio23_80ml!O15/50</f>
        <v>0</v>
      </c>
      <c r="P14" s="27">
        <f>rebio23_80ml!P15/50</f>
        <v>0</v>
      </c>
      <c r="Q14" s="27">
        <f>rebio23_80ml!Q15/50</f>
        <v>0</v>
      </c>
      <c r="R14" s="27">
        <f>rebio23_80ml!R15/50</f>
        <v>0</v>
      </c>
      <c r="S14" s="27">
        <f>rebio23_80ml!S15/50</f>
        <v>0</v>
      </c>
      <c r="T14" s="27">
        <f>rebio23_80ml!T15/50</f>
        <v>0</v>
      </c>
      <c r="U14" s="27">
        <f>rebio23_80ml!U15/50</f>
        <v>0.02</v>
      </c>
      <c r="V14" s="27">
        <f>rebio23_80ml!V15/50</f>
        <v>0</v>
      </c>
      <c r="W14" s="27">
        <f>rebio23_80ml!W15/50</f>
        <v>0</v>
      </c>
      <c r="X14" s="27">
        <f>rebio23_80ml!X15/50</f>
        <v>0</v>
      </c>
      <c r="Y14" s="27">
        <f>rebio23_80ml!Y15/50</f>
        <v>0</v>
      </c>
      <c r="Z14" s="27">
        <f>rebio23_80ml!Z15/50</f>
        <v>0.02</v>
      </c>
      <c r="AA14" s="27">
        <f>rebio23_80ml!AA15/50</f>
        <v>0</v>
      </c>
      <c r="AB14" s="27">
        <f>rebio23_80ml!AB15/50</f>
        <v>0</v>
      </c>
      <c r="AC14" s="27">
        <f>rebio23_80ml!AC15/50</f>
        <v>0</v>
      </c>
      <c r="AD14" s="27">
        <f>rebio23_80ml!AD15/50</f>
        <v>0</v>
      </c>
      <c r="AE14" s="27">
        <f>rebio23_80ml!AE15/50</f>
        <v>0</v>
      </c>
      <c r="AF14" s="27">
        <f>rebio23_80ml!AF15/50</f>
        <v>0</v>
      </c>
      <c r="AG14" s="27">
        <f>rebio23_80ml!AG15/50</f>
        <v>0</v>
      </c>
      <c r="AH14" s="27">
        <f>rebio23_80ml!AH15/50</f>
        <v>0</v>
      </c>
      <c r="AI14" s="27">
        <f>rebio23_80ml!AI15/50</f>
        <v>0</v>
      </c>
      <c r="AJ14" s="27">
        <f>rebio23_80ml!AJ15/50</f>
        <v>0.02</v>
      </c>
      <c r="AK14" s="27">
        <f>rebio23_80ml!AK15/50</f>
        <v>0</v>
      </c>
      <c r="AL14" s="27">
        <f>rebio23_80ml!AL15/50</f>
        <v>0</v>
      </c>
      <c r="AM14" s="27">
        <f>rebio23_80ml!AM15/50</f>
        <v>0</v>
      </c>
      <c r="AN14" s="27">
        <f>rebio23_80ml!AN15/50</f>
        <v>0</v>
      </c>
      <c r="AO14" s="27">
        <f>rebio23_80ml!AO15/50</f>
        <v>0</v>
      </c>
      <c r="AP14" s="27">
        <f>rebio23_80ml!AP15/50</f>
        <v>0</v>
      </c>
      <c r="AQ14" s="27">
        <f>rebio23_80ml!AQ15/50</f>
        <v>0</v>
      </c>
      <c r="AR14" s="27">
        <f>rebio23_80ml!AR15/50</f>
        <v>0</v>
      </c>
      <c r="AS14" s="27">
        <f>rebio23_80ml!AS15/50</f>
        <v>0</v>
      </c>
      <c r="AT14" s="27">
        <f>rebio23_80ml!AT15/50</f>
        <v>0</v>
      </c>
      <c r="AU14" s="27">
        <f>rebio23_80ml!AU15/50</f>
        <v>0</v>
      </c>
      <c r="AV14" s="27">
        <f>rebio23_80ml!AV15/50</f>
        <v>0.06</v>
      </c>
      <c r="AW14" s="27">
        <f>rebio23_80ml!AW15/50</f>
        <v>0</v>
      </c>
      <c r="AX14" s="27">
        <f>rebio23_80ml!AX15/50</f>
        <v>0</v>
      </c>
      <c r="AY14" s="27">
        <f>rebio23_80ml!AY15/50</f>
        <v>0.02</v>
      </c>
      <c r="AZ14" s="27">
        <f>rebio23_80ml!AZ15/50</f>
        <v>0</v>
      </c>
      <c r="BA14" s="27">
        <f>rebio23_80ml!BA15/50</f>
        <v>0</v>
      </c>
      <c r="BB14" s="27">
        <f>rebio23_80ml!BB15/50</f>
        <v>0</v>
      </c>
      <c r="BC14" s="27">
        <f>rebio23_80ml!BC15/50</f>
        <v>0</v>
      </c>
      <c r="BD14" s="27">
        <f>rebio23_80ml!BD15/50</f>
        <v>0</v>
      </c>
      <c r="BE14" s="27">
        <f>rebio23_80ml!BE15/50</f>
        <v>0</v>
      </c>
      <c r="BF14" s="27">
        <f>rebio23_80ml!BF15/50</f>
        <v>0</v>
      </c>
      <c r="BG14" s="27">
        <f>rebio23_80ml!BG15/50</f>
        <v>0</v>
      </c>
    </row>
    <row r="15" spans="1:67" ht="12.75" customHeight="1" x14ac:dyDescent="0.25">
      <c r="A15" s="15" t="str">
        <f>rebio23_80ml!A16</f>
        <v>S-B-P09-H2</v>
      </c>
      <c r="B15" s="27">
        <f>rebio23_80ml!B16/50</f>
        <v>0</v>
      </c>
      <c r="C15" s="27">
        <f>rebio23_80ml!C16/50</f>
        <v>0</v>
      </c>
      <c r="D15" s="27">
        <f>rebio23_80ml!D16/50</f>
        <v>0</v>
      </c>
      <c r="E15" s="27">
        <f>rebio23_80ml!E16/50</f>
        <v>2.08</v>
      </c>
      <c r="F15" s="27">
        <f>rebio23_80ml!F16/50</f>
        <v>0</v>
      </c>
      <c r="G15" s="27">
        <f>rebio23_80ml!G16/50</f>
        <v>0</v>
      </c>
      <c r="H15" s="27">
        <f>rebio23_80ml!H16/50</f>
        <v>0</v>
      </c>
      <c r="I15" s="27">
        <f>rebio23_80ml!I16/50</f>
        <v>0</v>
      </c>
      <c r="J15" s="27">
        <f>rebio23_80ml!J16/50</f>
        <v>0</v>
      </c>
      <c r="K15" s="27">
        <f>rebio23_80ml!K16/50</f>
        <v>0</v>
      </c>
      <c r="L15" s="27">
        <f>rebio23_80ml!L16/50</f>
        <v>0</v>
      </c>
      <c r="M15" s="27">
        <f>rebio23_80ml!M16/50</f>
        <v>0</v>
      </c>
      <c r="N15" s="27">
        <f>rebio23_80ml!N16/50</f>
        <v>0</v>
      </c>
      <c r="O15" s="27">
        <f>rebio23_80ml!O16/50</f>
        <v>0</v>
      </c>
      <c r="P15" s="27">
        <f>rebio23_80ml!P16/50</f>
        <v>0</v>
      </c>
      <c r="Q15" s="27">
        <f>rebio23_80ml!Q16/50</f>
        <v>0</v>
      </c>
      <c r="R15" s="27">
        <f>rebio23_80ml!R16/50</f>
        <v>0</v>
      </c>
      <c r="S15" s="27">
        <f>rebio23_80ml!S16/50</f>
        <v>0.06</v>
      </c>
      <c r="T15" s="27">
        <f>rebio23_80ml!T16/50</f>
        <v>0.02</v>
      </c>
      <c r="U15" s="27">
        <f>rebio23_80ml!U16/50</f>
        <v>0</v>
      </c>
      <c r="V15" s="27">
        <f>rebio23_80ml!V16/50</f>
        <v>0</v>
      </c>
      <c r="W15" s="27">
        <f>rebio23_80ml!W16/50</f>
        <v>0</v>
      </c>
      <c r="X15" s="27">
        <f>rebio23_80ml!X16/50</f>
        <v>0</v>
      </c>
      <c r="Y15" s="27">
        <f>rebio23_80ml!Y16/50</f>
        <v>0</v>
      </c>
      <c r="Z15" s="27">
        <f>rebio23_80ml!Z16/50</f>
        <v>0.04</v>
      </c>
      <c r="AA15" s="27">
        <f>rebio23_80ml!AA16/50</f>
        <v>0</v>
      </c>
      <c r="AB15" s="27">
        <f>rebio23_80ml!AB16/50</f>
        <v>0</v>
      </c>
      <c r="AC15" s="27">
        <f>rebio23_80ml!AC16/50</f>
        <v>0</v>
      </c>
      <c r="AD15" s="27">
        <f>rebio23_80ml!AD16/50</f>
        <v>0</v>
      </c>
      <c r="AE15" s="27">
        <f>rebio23_80ml!AE16/50</f>
        <v>0</v>
      </c>
      <c r="AF15" s="27">
        <f>rebio23_80ml!AF16/50</f>
        <v>0</v>
      </c>
      <c r="AG15" s="27">
        <f>rebio23_80ml!AG16/50</f>
        <v>0</v>
      </c>
      <c r="AH15" s="27">
        <f>rebio23_80ml!AH16/50</f>
        <v>0</v>
      </c>
      <c r="AI15" s="27">
        <f>rebio23_80ml!AI16/50</f>
        <v>0</v>
      </c>
      <c r="AJ15" s="27">
        <f>rebio23_80ml!AJ16/50</f>
        <v>0.04</v>
      </c>
      <c r="AK15" s="27">
        <f>rebio23_80ml!AK16/50</f>
        <v>0</v>
      </c>
      <c r="AL15" s="27">
        <f>rebio23_80ml!AL16/50</f>
        <v>0</v>
      </c>
      <c r="AM15" s="27">
        <f>rebio23_80ml!AM16/50</f>
        <v>0</v>
      </c>
      <c r="AN15" s="27">
        <f>rebio23_80ml!AN16/50</f>
        <v>0</v>
      </c>
      <c r="AO15" s="27">
        <f>rebio23_80ml!AO16/50</f>
        <v>0</v>
      </c>
      <c r="AP15" s="27">
        <f>rebio23_80ml!AP16/50</f>
        <v>0</v>
      </c>
      <c r="AQ15" s="27">
        <f>rebio23_80ml!AQ16/50</f>
        <v>0</v>
      </c>
      <c r="AR15" s="27">
        <f>rebio23_80ml!AR16/50</f>
        <v>0</v>
      </c>
      <c r="AS15" s="27">
        <f>rebio23_80ml!AS16/50</f>
        <v>0</v>
      </c>
      <c r="AT15" s="27">
        <f>rebio23_80ml!AT16/50</f>
        <v>0</v>
      </c>
      <c r="AU15" s="27">
        <f>rebio23_80ml!AU16/50</f>
        <v>0</v>
      </c>
      <c r="AV15" s="27">
        <f>rebio23_80ml!AV16/50</f>
        <v>0.04</v>
      </c>
      <c r="AW15" s="27">
        <f>rebio23_80ml!AW16/50</f>
        <v>0</v>
      </c>
      <c r="AX15" s="27">
        <f>rebio23_80ml!AX16/50</f>
        <v>0</v>
      </c>
      <c r="AY15" s="27">
        <f>rebio23_80ml!AY16/50</f>
        <v>0</v>
      </c>
      <c r="AZ15" s="27">
        <f>rebio23_80ml!AZ16/50</f>
        <v>0.1</v>
      </c>
      <c r="BA15" s="27">
        <f>rebio23_80ml!BA16/50</f>
        <v>0</v>
      </c>
      <c r="BB15" s="27">
        <f>rebio23_80ml!BB16/50</f>
        <v>0</v>
      </c>
      <c r="BC15" s="27">
        <f>rebio23_80ml!BC16/50</f>
        <v>0</v>
      </c>
      <c r="BD15" s="27">
        <f>rebio23_80ml!BD16/50</f>
        <v>0</v>
      </c>
      <c r="BE15" s="27">
        <f>rebio23_80ml!BE16/50</f>
        <v>0</v>
      </c>
      <c r="BF15" s="27">
        <f>rebio23_80ml!BF16/50</f>
        <v>0</v>
      </c>
      <c r="BG15" s="27">
        <f>rebio23_80ml!BG16/50</f>
        <v>0</v>
      </c>
    </row>
    <row r="16" spans="1:67" ht="12.75" customHeight="1" x14ac:dyDescent="0.25">
      <c r="A16" s="15" t="str">
        <f>rebio23_80ml!A17</f>
        <v>S-B-P09-H3</v>
      </c>
      <c r="B16" s="27">
        <f>rebio23_80ml!B17/50</f>
        <v>0</v>
      </c>
      <c r="C16" s="27">
        <f>rebio23_80ml!C17/50</f>
        <v>0</v>
      </c>
      <c r="D16" s="27">
        <f>rebio23_80ml!D17/50</f>
        <v>0</v>
      </c>
      <c r="E16" s="27">
        <f>rebio23_80ml!E17/50</f>
        <v>1.68</v>
      </c>
      <c r="F16" s="27">
        <f>rebio23_80ml!F17/50</f>
        <v>0</v>
      </c>
      <c r="G16" s="27">
        <f>rebio23_80ml!G17/50</f>
        <v>0</v>
      </c>
      <c r="H16" s="27">
        <f>rebio23_80ml!H17/50</f>
        <v>0.04</v>
      </c>
      <c r="I16" s="27">
        <f>rebio23_80ml!I17/50</f>
        <v>0</v>
      </c>
      <c r="J16" s="27">
        <f>rebio23_80ml!J17/50</f>
        <v>0.02</v>
      </c>
      <c r="K16" s="27">
        <f>rebio23_80ml!K17/50</f>
        <v>0</v>
      </c>
      <c r="L16" s="27">
        <f>rebio23_80ml!L17/50</f>
        <v>0</v>
      </c>
      <c r="M16" s="27">
        <f>rebio23_80ml!M17/50</f>
        <v>0</v>
      </c>
      <c r="N16" s="27">
        <f>rebio23_80ml!N17/50</f>
        <v>0</v>
      </c>
      <c r="O16" s="27">
        <f>rebio23_80ml!O17/50</f>
        <v>0</v>
      </c>
      <c r="P16" s="27">
        <f>rebio23_80ml!P17/50</f>
        <v>0</v>
      </c>
      <c r="Q16" s="27">
        <f>rebio23_80ml!Q17/50</f>
        <v>0</v>
      </c>
      <c r="R16" s="27">
        <f>rebio23_80ml!R17/50</f>
        <v>0</v>
      </c>
      <c r="S16" s="27">
        <f>rebio23_80ml!S17/50</f>
        <v>0.08</v>
      </c>
      <c r="T16" s="27">
        <f>rebio23_80ml!T17/50</f>
        <v>0.02</v>
      </c>
      <c r="U16" s="27">
        <f>rebio23_80ml!U17/50</f>
        <v>0</v>
      </c>
      <c r="V16" s="27">
        <f>rebio23_80ml!V17/50</f>
        <v>0</v>
      </c>
      <c r="W16" s="27">
        <f>rebio23_80ml!W17/50</f>
        <v>0</v>
      </c>
      <c r="X16" s="27">
        <f>rebio23_80ml!X17/50</f>
        <v>0</v>
      </c>
      <c r="Y16" s="27">
        <f>rebio23_80ml!Y17/50</f>
        <v>0.02</v>
      </c>
      <c r="Z16" s="27">
        <f>rebio23_80ml!Z17/50</f>
        <v>0</v>
      </c>
      <c r="AA16" s="27">
        <f>rebio23_80ml!AA17/50</f>
        <v>0</v>
      </c>
      <c r="AB16" s="27">
        <f>rebio23_80ml!AB17/50</f>
        <v>0</v>
      </c>
      <c r="AC16" s="27">
        <f>rebio23_80ml!AC17/50</f>
        <v>0</v>
      </c>
      <c r="AD16" s="27">
        <f>rebio23_80ml!AD17/50</f>
        <v>0</v>
      </c>
      <c r="AE16" s="27">
        <f>rebio23_80ml!AE17/50</f>
        <v>0</v>
      </c>
      <c r="AF16" s="27">
        <f>rebio23_80ml!AF17/50</f>
        <v>0</v>
      </c>
      <c r="AG16" s="27">
        <f>rebio23_80ml!AG17/50</f>
        <v>0</v>
      </c>
      <c r="AH16" s="27">
        <f>rebio23_80ml!AH17/50</f>
        <v>0</v>
      </c>
      <c r="AI16" s="27">
        <f>rebio23_80ml!AI17/50</f>
        <v>0</v>
      </c>
      <c r="AJ16" s="27">
        <f>rebio23_80ml!AJ17/50</f>
        <v>0</v>
      </c>
      <c r="AK16" s="27">
        <f>rebio23_80ml!AK17/50</f>
        <v>0.02</v>
      </c>
      <c r="AL16" s="27">
        <f>rebio23_80ml!AL17/50</f>
        <v>0</v>
      </c>
      <c r="AM16" s="27">
        <f>rebio23_80ml!AM17/50</f>
        <v>0</v>
      </c>
      <c r="AN16" s="27">
        <f>rebio23_80ml!AN17/50</f>
        <v>0</v>
      </c>
      <c r="AO16" s="27">
        <f>rebio23_80ml!AO17/50</f>
        <v>0</v>
      </c>
      <c r="AP16" s="27">
        <f>rebio23_80ml!AP17/50</f>
        <v>0</v>
      </c>
      <c r="AQ16" s="27">
        <f>rebio23_80ml!AQ17/50</f>
        <v>0</v>
      </c>
      <c r="AR16" s="27">
        <f>rebio23_80ml!AR17/50</f>
        <v>0</v>
      </c>
      <c r="AS16" s="27">
        <f>rebio23_80ml!AS17/50</f>
        <v>0</v>
      </c>
      <c r="AT16" s="27">
        <f>rebio23_80ml!AT17/50</f>
        <v>0</v>
      </c>
      <c r="AU16" s="27">
        <f>rebio23_80ml!AU17/50</f>
        <v>0</v>
      </c>
      <c r="AV16" s="27">
        <f>rebio23_80ml!AV17/50</f>
        <v>0.08</v>
      </c>
      <c r="AW16" s="27">
        <f>rebio23_80ml!AW17/50</f>
        <v>0</v>
      </c>
      <c r="AX16" s="27">
        <f>rebio23_80ml!AX17/50</f>
        <v>0</v>
      </c>
      <c r="AY16" s="27">
        <f>rebio23_80ml!AY17/50</f>
        <v>0</v>
      </c>
      <c r="AZ16" s="27">
        <f>rebio23_80ml!AZ17/50</f>
        <v>0</v>
      </c>
      <c r="BA16" s="27">
        <f>rebio23_80ml!BA17/50</f>
        <v>0</v>
      </c>
      <c r="BB16" s="27">
        <f>rebio23_80ml!BB17/50</f>
        <v>0</v>
      </c>
      <c r="BC16" s="27">
        <f>rebio23_80ml!BC17/50</f>
        <v>0</v>
      </c>
      <c r="BD16" s="27">
        <f>rebio23_80ml!BD17/50</f>
        <v>0.02</v>
      </c>
      <c r="BE16" s="27">
        <f>rebio23_80ml!BE17/50</f>
        <v>0</v>
      </c>
      <c r="BF16" s="27">
        <f>rebio23_80ml!BF17/50</f>
        <v>0</v>
      </c>
      <c r="BG16" s="27">
        <f>rebio23_80ml!BG17/50</f>
        <v>0</v>
      </c>
    </row>
    <row r="17" spans="1:59" ht="12.75" customHeight="1" x14ac:dyDescent="0.25">
      <c r="A17" s="15" t="str">
        <f>rebio23_80ml!A18</f>
        <v>S-B-P10-H1</v>
      </c>
      <c r="B17" s="27">
        <f>rebio23_80ml!B18/50</f>
        <v>0.02</v>
      </c>
      <c r="C17" s="27">
        <f>rebio23_80ml!C18/50</f>
        <v>0</v>
      </c>
      <c r="D17" s="27">
        <f>rebio23_80ml!D18/50</f>
        <v>0</v>
      </c>
      <c r="E17" s="27">
        <f>rebio23_80ml!E18/50</f>
        <v>1.18</v>
      </c>
      <c r="F17" s="27">
        <f>rebio23_80ml!F18/50</f>
        <v>0.04</v>
      </c>
      <c r="G17" s="27">
        <f>rebio23_80ml!G18/50</f>
        <v>0</v>
      </c>
      <c r="H17" s="27">
        <f>rebio23_80ml!H18/50</f>
        <v>0.02</v>
      </c>
      <c r="I17" s="27">
        <f>rebio23_80ml!I18/50</f>
        <v>0.02</v>
      </c>
      <c r="J17" s="27">
        <f>rebio23_80ml!J18/50</f>
        <v>0</v>
      </c>
      <c r="K17" s="27">
        <f>rebio23_80ml!K18/50</f>
        <v>0</v>
      </c>
      <c r="L17" s="27">
        <f>rebio23_80ml!L18/50</f>
        <v>0</v>
      </c>
      <c r="M17" s="27">
        <f>rebio23_80ml!M18/50</f>
        <v>0</v>
      </c>
      <c r="N17" s="27">
        <f>rebio23_80ml!N18/50</f>
        <v>0</v>
      </c>
      <c r="O17" s="27">
        <f>rebio23_80ml!O18/50</f>
        <v>0</v>
      </c>
      <c r="P17" s="27">
        <f>rebio23_80ml!P18/50</f>
        <v>0</v>
      </c>
      <c r="Q17" s="27">
        <f>rebio23_80ml!Q18/50</f>
        <v>0</v>
      </c>
      <c r="R17" s="27">
        <f>rebio23_80ml!R18/50</f>
        <v>0.02</v>
      </c>
      <c r="S17" s="27">
        <f>rebio23_80ml!S18/50</f>
        <v>0.16</v>
      </c>
      <c r="T17" s="27">
        <f>rebio23_80ml!T18/50</f>
        <v>0.02</v>
      </c>
      <c r="U17" s="27">
        <f>rebio23_80ml!U18/50</f>
        <v>0</v>
      </c>
      <c r="V17" s="27">
        <f>rebio23_80ml!V18/50</f>
        <v>0</v>
      </c>
      <c r="W17" s="27">
        <f>rebio23_80ml!W18/50</f>
        <v>0</v>
      </c>
      <c r="X17" s="27">
        <f>rebio23_80ml!X18/50</f>
        <v>0</v>
      </c>
      <c r="Y17" s="27">
        <f>rebio23_80ml!Y18/50</f>
        <v>0</v>
      </c>
      <c r="Z17" s="27">
        <f>rebio23_80ml!Z18/50</f>
        <v>0.02</v>
      </c>
      <c r="AA17" s="27">
        <f>rebio23_80ml!AA18/50</f>
        <v>0.02</v>
      </c>
      <c r="AB17" s="27">
        <f>rebio23_80ml!AB18/50</f>
        <v>0</v>
      </c>
      <c r="AC17" s="27">
        <f>rebio23_80ml!AC18/50</f>
        <v>0</v>
      </c>
      <c r="AD17" s="27">
        <f>rebio23_80ml!AD18/50</f>
        <v>0</v>
      </c>
      <c r="AE17" s="27">
        <f>rebio23_80ml!AE18/50</f>
        <v>0</v>
      </c>
      <c r="AF17" s="27">
        <f>rebio23_80ml!AF18/50</f>
        <v>0</v>
      </c>
      <c r="AG17" s="27">
        <f>rebio23_80ml!AG18/50</f>
        <v>0</v>
      </c>
      <c r="AH17" s="27">
        <f>rebio23_80ml!AH18/50</f>
        <v>0</v>
      </c>
      <c r="AI17" s="27">
        <f>rebio23_80ml!AI18/50</f>
        <v>0</v>
      </c>
      <c r="AJ17" s="27">
        <f>rebio23_80ml!AJ18/50</f>
        <v>0.14000000000000001</v>
      </c>
      <c r="AK17" s="27">
        <f>rebio23_80ml!AK18/50</f>
        <v>0</v>
      </c>
      <c r="AL17" s="27">
        <f>rebio23_80ml!AL18/50</f>
        <v>0</v>
      </c>
      <c r="AM17" s="27">
        <f>rebio23_80ml!AM18/50</f>
        <v>0</v>
      </c>
      <c r="AN17" s="27">
        <f>rebio23_80ml!AN18/50</f>
        <v>0.02</v>
      </c>
      <c r="AO17" s="27">
        <f>rebio23_80ml!AO18/50</f>
        <v>0</v>
      </c>
      <c r="AP17" s="27">
        <f>rebio23_80ml!AP18/50</f>
        <v>0</v>
      </c>
      <c r="AQ17" s="27">
        <f>rebio23_80ml!AQ18/50</f>
        <v>0</v>
      </c>
      <c r="AR17" s="27">
        <f>rebio23_80ml!AR18/50</f>
        <v>0</v>
      </c>
      <c r="AS17" s="27">
        <f>rebio23_80ml!AS18/50</f>
        <v>0</v>
      </c>
      <c r="AT17" s="27">
        <f>rebio23_80ml!AT18/50</f>
        <v>0</v>
      </c>
      <c r="AU17" s="27">
        <f>rebio23_80ml!AU18/50</f>
        <v>0</v>
      </c>
      <c r="AV17" s="27">
        <f>rebio23_80ml!AV18/50</f>
        <v>0.42</v>
      </c>
      <c r="AW17" s="27">
        <f>rebio23_80ml!AW18/50</f>
        <v>0</v>
      </c>
      <c r="AX17" s="27">
        <f>rebio23_80ml!AX18/50</f>
        <v>0</v>
      </c>
      <c r="AY17" s="27">
        <f>rebio23_80ml!AY18/50</f>
        <v>0.04</v>
      </c>
      <c r="AZ17" s="27">
        <f>rebio23_80ml!AZ18/50</f>
        <v>0</v>
      </c>
      <c r="BA17" s="27">
        <f>rebio23_80ml!BA18/50</f>
        <v>0</v>
      </c>
      <c r="BB17" s="27">
        <f>rebio23_80ml!BB18/50</f>
        <v>0</v>
      </c>
      <c r="BC17" s="27">
        <f>rebio23_80ml!BC18/50</f>
        <v>0</v>
      </c>
      <c r="BD17" s="27">
        <f>rebio23_80ml!BD18/50</f>
        <v>0.04</v>
      </c>
      <c r="BE17" s="27">
        <f>rebio23_80ml!BE18/50</f>
        <v>0</v>
      </c>
      <c r="BF17" s="27">
        <f>rebio23_80ml!BF18/50</f>
        <v>0</v>
      </c>
      <c r="BG17" s="27">
        <f>rebio23_80ml!BG18/50</f>
        <v>0.02</v>
      </c>
    </row>
    <row r="18" spans="1:59" ht="12.75" customHeight="1" x14ac:dyDescent="0.25">
      <c r="A18" s="15" t="str">
        <f>rebio23_80ml!A19</f>
        <v>S-B-P10-H2</v>
      </c>
      <c r="B18" s="27">
        <f>rebio23_80ml!B19/50</f>
        <v>0.02</v>
      </c>
      <c r="C18" s="27">
        <f>rebio23_80ml!C19/50</f>
        <v>0</v>
      </c>
      <c r="D18" s="27">
        <f>rebio23_80ml!D19/50</f>
        <v>0</v>
      </c>
      <c r="E18" s="27">
        <f>rebio23_80ml!E19/50</f>
        <v>0.5</v>
      </c>
      <c r="F18" s="27">
        <f>rebio23_80ml!F19/50</f>
        <v>0</v>
      </c>
      <c r="G18" s="27">
        <f>rebio23_80ml!G19/50</f>
        <v>0.04</v>
      </c>
      <c r="H18" s="27">
        <f>rebio23_80ml!H19/50</f>
        <v>0.06</v>
      </c>
      <c r="I18" s="27">
        <f>rebio23_80ml!I19/50</f>
        <v>0</v>
      </c>
      <c r="J18" s="27">
        <f>rebio23_80ml!J19/50</f>
        <v>0</v>
      </c>
      <c r="K18" s="27">
        <f>rebio23_80ml!K19/50</f>
        <v>0</v>
      </c>
      <c r="L18" s="27">
        <f>rebio23_80ml!L19/50</f>
        <v>0</v>
      </c>
      <c r="M18" s="27">
        <f>rebio23_80ml!M19/50</f>
        <v>0</v>
      </c>
      <c r="N18" s="27">
        <f>rebio23_80ml!N19/50</f>
        <v>0</v>
      </c>
      <c r="O18" s="27">
        <f>rebio23_80ml!O19/50</f>
        <v>0</v>
      </c>
      <c r="P18" s="27">
        <f>rebio23_80ml!P19/50</f>
        <v>0</v>
      </c>
      <c r="Q18" s="27">
        <f>rebio23_80ml!Q19/50</f>
        <v>0</v>
      </c>
      <c r="R18" s="27">
        <f>rebio23_80ml!R19/50</f>
        <v>0</v>
      </c>
      <c r="S18" s="27">
        <f>rebio23_80ml!S19/50</f>
        <v>0.26</v>
      </c>
      <c r="T18" s="27">
        <f>rebio23_80ml!T19/50</f>
        <v>0</v>
      </c>
      <c r="U18" s="27">
        <f>rebio23_80ml!U19/50</f>
        <v>0.14000000000000001</v>
      </c>
      <c r="V18" s="27">
        <f>rebio23_80ml!V19/50</f>
        <v>0</v>
      </c>
      <c r="W18" s="27">
        <f>rebio23_80ml!W19/50</f>
        <v>0.02</v>
      </c>
      <c r="X18" s="27">
        <f>rebio23_80ml!X19/50</f>
        <v>0</v>
      </c>
      <c r="Y18" s="27">
        <f>rebio23_80ml!Y19/50</f>
        <v>0.02</v>
      </c>
      <c r="Z18" s="27">
        <f>rebio23_80ml!Z19/50</f>
        <v>0</v>
      </c>
      <c r="AA18" s="27">
        <f>rebio23_80ml!AA19/50</f>
        <v>0.02</v>
      </c>
      <c r="AB18" s="27">
        <f>rebio23_80ml!AB19/50</f>
        <v>0</v>
      </c>
      <c r="AC18" s="27">
        <f>rebio23_80ml!AC19/50</f>
        <v>0</v>
      </c>
      <c r="AD18" s="27">
        <f>rebio23_80ml!AD19/50</f>
        <v>0</v>
      </c>
      <c r="AE18" s="27">
        <f>rebio23_80ml!AE19/50</f>
        <v>0</v>
      </c>
      <c r="AF18" s="27">
        <f>rebio23_80ml!AF19/50</f>
        <v>0</v>
      </c>
      <c r="AG18" s="27">
        <f>rebio23_80ml!AG19/50</f>
        <v>0</v>
      </c>
      <c r="AH18" s="27">
        <f>rebio23_80ml!AH19/50</f>
        <v>0</v>
      </c>
      <c r="AI18" s="27">
        <f>rebio23_80ml!AI19/50</f>
        <v>0</v>
      </c>
      <c r="AJ18" s="27">
        <f>rebio23_80ml!AJ19/50</f>
        <v>0.04</v>
      </c>
      <c r="AK18" s="27">
        <f>rebio23_80ml!AK19/50</f>
        <v>0</v>
      </c>
      <c r="AL18" s="27">
        <f>rebio23_80ml!AL19/50</f>
        <v>0</v>
      </c>
      <c r="AM18" s="27">
        <f>rebio23_80ml!AM19/50</f>
        <v>0</v>
      </c>
      <c r="AN18" s="27">
        <f>rebio23_80ml!AN19/50</f>
        <v>0</v>
      </c>
      <c r="AO18" s="27">
        <f>rebio23_80ml!AO19/50</f>
        <v>0.02</v>
      </c>
      <c r="AP18" s="27">
        <f>rebio23_80ml!AP19/50</f>
        <v>0</v>
      </c>
      <c r="AQ18" s="27">
        <f>rebio23_80ml!AQ19/50</f>
        <v>0</v>
      </c>
      <c r="AR18" s="27">
        <f>rebio23_80ml!AR19/50</f>
        <v>0</v>
      </c>
      <c r="AS18" s="27">
        <f>rebio23_80ml!AS19/50</f>
        <v>0</v>
      </c>
      <c r="AT18" s="27">
        <f>rebio23_80ml!AT19/50</f>
        <v>0.02</v>
      </c>
      <c r="AU18" s="27">
        <f>rebio23_80ml!AU19/50</f>
        <v>0</v>
      </c>
      <c r="AV18" s="27">
        <f>rebio23_80ml!AV19/50</f>
        <v>0.02</v>
      </c>
      <c r="AW18" s="27">
        <f>rebio23_80ml!AW19/50</f>
        <v>0</v>
      </c>
      <c r="AX18" s="27">
        <f>rebio23_80ml!AX19/50</f>
        <v>0</v>
      </c>
      <c r="AY18" s="27">
        <f>rebio23_80ml!AY19/50</f>
        <v>0.06</v>
      </c>
      <c r="AZ18" s="27">
        <f>rebio23_80ml!AZ19/50</f>
        <v>0</v>
      </c>
      <c r="BA18" s="27">
        <f>rebio23_80ml!BA19/50</f>
        <v>0</v>
      </c>
      <c r="BB18" s="27">
        <f>rebio23_80ml!BB19/50</f>
        <v>0</v>
      </c>
      <c r="BC18" s="27">
        <f>rebio23_80ml!BC19/50</f>
        <v>0</v>
      </c>
      <c r="BD18" s="27">
        <f>rebio23_80ml!BD19/50</f>
        <v>0.02</v>
      </c>
      <c r="BE18" s="27">
        <f>rebio23_80ml!BE19/50</f>
        <v>0</v>
      </c>
      <c r="BF18" s="27">
        <f>rebio23_80ml!BF19/50</f>
        <v>0</v>
      </c>
      <c r="BG18" s="27">
        <f>rebio23_80ml!BG19/50</f>
        <v>0.02</v>
      </c>
    </row>
    <row r="19" spans="1:59" ht="12.75" customHeight="1" x14ac:dyDescent="0.25">
      <c r="A19" s="15" t="str">
        <f>rebio23_80ml!A20</f>
        <v>S-B-P10-H3</v>
      </c>
      <c r="B19" s="27">
        <f>rebio23_80ml!B20/50</f>
        <v>0.04</v>
      </c>
      <c r="C19" s="27">
        <f>rebio23_80ml!C20/50</f>
        <v>0</v>
      </c>
      <c r="D19" s="27">
        <f>rebio23_80ml!D20/50</f>
        <v>0</v>
      </c>
      <c r="E19" s="27">
        <f>rebio23_80ml!E20/50</f>
        <v>2.12</v>
      </c>
      <c r="F19" s="27">
        <f>rebio23_80ml!F20/50</f>
        <v>0.02</v>
      </c>
      <c r="G19" s="27">
        <f>rebio23_80ml!G20/50</f>
        <v>0</v>
      </c>
      <c r="H19" s="27">
        <f>rebio23_80ml!H20/50</f>
        <v>0.02</v>
      </c>
      <c r="I19" s="27">
        <f>rebio23_80ml!I20/50</f>
        <v>0</v>
      </c>
      <c r="J19" s="27">
        <f>rebio23_80ml!J20/50</f>
        <v>0.02</v>
      </c>
      <c r="K19" s="27">
        <f>rebio23_80ml!K20/50</f>
        <v>0</v>
      </c>
      <c r="L19" s="27">
        <f>rebio23_80ml!L20/50</f>
        <v>0</v>
      </c>
      <c r="M19" s="27">
        <f>rebio23_80ml!M20/50</f>
        <v>0</v>
      </c>
      <c r="N19" s="27">
        <f>rebio23_80ml!N20/50</f>
        <v>0</v>
      </c>
      <c r="O19" s="27">
        <f>rebio23_80ml!O20/50</f>
        <v>0</v>
      </c>
      <c r="P19" s="27">
        <f>rebio23_80ml!P20/50</f>
        <v>0</v>
      </c>
      <c r="Q19" s="27">
        <f>rebio23_80ml!Q20/50</f>
        <v>0</v>
      </c>
      <c r="R19" s="27">
        <f>rebio23_80ml!R20/50</f>
        <v>0</v>
      </c>
      <c r="S19" s="27">
        <f>rebio23_80ml!S20/50</f>
        <v>0.36</v>
      </c>
      <c r="T19" s="27">
        <f>rebio23_80ml!T20/50</f>
        <v>0.02</v>
      </c>
      <c r="U19" s="27">
        <f>rebio23_80ml!U20/50</f>
        <v>0</v>
      </c>
      <c r="V19" s="27">
        <f>rebio23_80ml!V20/50</f>
        <v>0</v>
      </c>
      <c r="W19" s="27">
        <f>rebio23_80ml!W20/50</f>
        <v>0</v>
      </c>
      <c r="X19" s="27">
        <f>rebio23_80ml!X20/50</f>
        <v>0</v>
      </c>
      <c r="Y19" s="27">
        <f>rebio23_80ml!Y20/50</f>
        <v>0</v>
      </c>
      <c r="Z19" s="27">
        <f>rebio23_80ml!Z20/50</f>
        <v>0.02</v>
      </c>
      <c r="AA19" s="27">
        <f>rebio23_80ml!AA20/50</f>
        <v>0.02</v>
      </c>
      <c r="AB19" s="27">
        <f>rebio23_80ml!AB20/50</f>
        <v>0</v>
      </c>
      <c r="AC19" s="27">
        <f>rebio23_80ml!AC20/50</f>
        <v>0</v>
      </c>
      <c r="AD19" s="27">
        <f>rebio23_80ml!AD20/50</f>
        <v>0</v>
      </c>
      <c r="AE19" s="27">
        <f>rebio23_80ml!AE20/50</f>
        <v>0</v>
      </c>
      <c r="AF19" s="27">
        <f>rebio23_80ml!AF20/50</f>
        <v>0</v>
      </c>
      <c r="AG19" s="27">
        <f>rebio23_80ml!AG20/50</f>
        <v>0</v>
      </c>
      <c r="AH19" s="27">
        <f>rebio23_80ml!AH20/50</f>
        <v>0</v>
      </c>
      <c r="AI19" s="27">
        <f>rebio23_80ml!AI20/50</f>
        <v>0</v>
      </c>
      <c r="AJ19" s="27">
        <f>rebio23_80ml!AJ20/50</f>
        <v>0.06</v>
      </c>
      <c r="AK19" s="27">
        <f>rebio23_80ml!AK20/50</f>
        <v>0.02</v>
      </c>
      <c r="AL19" s="27">
        <f>rebio23_80ml!AL20/50</f>
        <v>0</v>
      </c>
      <c r="AM19" s="27">
        <f>rebio23_80ml!AM20/50</f>
        <v>0</v>
      </c>
      <c r="AN19" s="27">
        <f>rebio23_80ml!AN20/50</f>
        <v>0.02</v>
      </c>
      <c r="AO19" s="27">
        <f>rebio23_80ml!AO20/50</f>
        <v>0.02</v>
      </c>
      <c r="AP19" s="27">
        <f>rebio23_80ml!AP20/50</f>
        <v>0</v>
      </c>
      <c r="AQ19" s="27">
        <f>rebio23_80ml!AQ20/50</f>
        <v>0</v>
      </c>
      <c r="AR19" s="27">
        <f>rebio23_80ml!AR20/50</f>
        <v>0</v>
      </c>
      <c r="AS19" s="27">
        <f>rebio23_80ml!AS20/50</f>
        <v>0</v>
      </c>
      <c r="AT19" s="27">
        <f>rebio23_80ml!AT20/50</f>
        <v>0</v>
      </c>
      <c r="AU19" s="27">
        <f>rebio23_80ml!AU20/50</f>
        <v>0</v>
      </c>
      <c r="AV19" s="27">
        <f>rebio23_80ml!AV20/50</f>
        <v>0.3</v>
      </c>
      <c r="AW19" s="27">
        <f>rebio23_80ml!AW20/50</f>
        <v>0</v>
      </c>
      <c r="AX19" s="27">
        <f>rebio23_80ml!AX20/50</f>
        <v>0</v>
      </c>
      <c r="AY19" s="27">
        <f>rebio23_80ml!AY20/50</f>
        <v>0</v>
      </c>
      <c r="AZ19" s="27">
        <f>rebio23_80ml!AZ20/50</f>
        <v>0</v>
      </c>
      <c r="BA19" s="27">
        <f>rebio23_80ml!BA20/50</f>
        <v>0</v>
      </c>
      <c r="BB19" s="27">
        <f>rebio23_80ml!BB20/50</f>
        <v>0</v>
      </c>
      <c r="BC19" s="27">
        <f>rebio23_80ml!BC20/50</f>
        <v>0</v>
      </c>
      <c r="BD19" s="27">
        <f>rebio23_80ml!BD20/50</f>
        <v>0</v>
      </c>
      <c r="BE19" s="27">
        <f>rebio23_80ml!BE20/50</f>
        <v>0</v>
      </c>
      <c r="BF19" s="27">
        <f>rebio23_80ml!BF20/50</f>
        <v>0</v>
      </c>
      <c r="BG19" s="27">
        <f>rebio23_80ml!BG20/50</f>
        <v>0</v>
      </c>
    </row>
    <row r="20" spans="1:59" ht="12.75" customHeight="1" x14ac:dyDescent="0.25">
      <c r="A20" s="50" t="str">
        <f>rebio23_80ml!A21</f>
        <v>S-C-P11-H1</v>
      </c>
      <c r="B20" s="51">
        <f>rebio23_80ml!B21/50</f>
        <v>0</v>
      </c>
      <c r="C20" s="51">
        <f>rebio23_80ml!C21/50</f>
        <v>0</v>
      </c>
      <c r="D20" s="51">
        <f>rebio23_80ml!D21/50</f>
        <v>0</v>
      </c>
      <c r="E20" s="51">
        <f>rebio23_80ml!E21/50</f>
        <v>0</v>
      </c>
      <c r="F20" s="51">
        <f>rebio23_80ml!F21/50</f>
        <v>0</v>
      </c>
      <c r="G20" s="51">
        <f>rebio23_80ml!G21/50</f>
        <v>0</v>
      </c>
      <c r="H20" s="51">
        <f>rebio23_80ml!H21/50</f>
        <v>0</v>
      </c>
      <c r="I20" s="51">
        <f>rebio23_80ml!I21/50</f>
        <v>0</v>
      </c>
      <c r="J20" s="51">
        <f>rebio23_80ml!J21/50</f>
        <v>0</v>
      </c>
      <c r="K20" s="51">
        <f>rebio23_80ml!K21/50</f>
        <v>0</v>
      </c>
      <c r="L20" s="51">
        <f>rebio23_80ml!L21/50</f>
        <v>0</v>
      </c>
      <c r="M20" s="51">
        <f>rebio23_80ml!M21/50</f>
        <v>0</v>
      </c>
      <c r="N20" s="51">
        <f>rebio23_80ml!N21/50</f>
        <v>0</v>
      </c>
      <c r="O20" s="51">
        <f>rebio23_80ml!O21/50</f>
        <v>0</v>
      </c>
      <c r="P20" s="51">
        <f>rebio23_80ml!P21/50</f>
        <v>0</v>
      </c>
      <c r="Q20" s="51">
        <f>rebio23_80ml!Q21/50</f>
        <v>0</v>
      </c>
      <c r="R20" s="51">
        <f>rebio23_80ml!R21/50</f>
        <v>0</v>
      </c>
      <c r="S20" s="51">
        <f>rebio23_80ml!S21/50</f>
        <v>0</v>
      </c>
      <c r="T20" s="51">
        <f>rebio23_80ml!T21/50</f>
        <v>0</v>
      </c>
      <c r="U20" s="51">
        <f>rebio23_80ml!U21/50</f>
        <v>0</v>
      </c>
      <c r="V20" s="51">
        <f>rebio23_80ml!V21/50</f>
        <v>0</v>
      </c>
      <c r="W20" s="51">
        <f>rebio23_80ml!W21/50</f>
        <v>0</v>
      </c>
      <c r="X20" s="51">
        <f>rebio23_80ml!X21/50</f>
        <v>0</v>
      </c>
      <c r="Y20" s="51">
        <f>rebio23_80ml!Y21/50</f>
        <v>0</v>
      </c>
      <c r="Z20" s="51">
        <f>rebio23_80ml!Z21/50</f>
        <v>0</v>
      </c>
      <c r="AA20" s="51">
        <f>rebio23_80ml!AA21/50</f>
        <v>0</v>
      </c>
      <c r="AB20" s="51">
        <f>rebio23_80ml!AB21/50</f>
        <v>0</v>
      </c>
      <c r="AC20" s="51">
        <f>rebio23_80ml!AC21/50</f>
        <v>0</v>
      </c>
      <c r="AD20" s="51">
        <f>rebio23_80ml!AD21/50</f>
        <v>0</v>
      </c>
      <c r="AE20" s="51">
        <f>rebio23_80ml!AE21/50</f>
        <v>0</v>
      </c>
      <c r="AF20" s="51">
        <f>rebio23_80ml!AF21/50</f>
        <v>0</v>
      </c>
      <c r="AG20" s="51">
        <f>rebio23_80ml!AG21/50</f>
        <v>0</v>
      </c>
      <c r="AH20" s="51">
        <f>rebio23_80ml!AH21/50</f>
        <v>0</v>
      </c>
      <c r="AI20" s="51">
        <f>rebio23_80ml!AI21/50</f>
        <v>0</v>
      </c>
      <c r="AJ20" s="51">
        <f>rebio23_80ml!AJ21/50</f>
        <v>0</v>
      </c>
      <c r="AK20" s="51">
        <f>rebio23_80ml!AK21/50</f>
        <v>0</v>
      </c>
      <c r="AL20" s="51">
        <f>rebio23_80ml!AL21/50</f>
        <v>0</v>
      </c>
      <c r="AM20" s="51">
        <f>rebio23_80ml!AM21/50</f>
        <v>0</v>
      </c>
      <c r="AN20" s="51">
        <f>rebio23_80ml!AN21/50</f>
        <v>0</v>
      </c>
      <c r="AO20" s="51">
        <f>rebio23_80ml!AO21/50</f>
        <v>0</v>
      </c>
      <c r="AP20" s="51">
        <f>rebio23_80ml!AP21/50</f>
        <v>0</v>
      </c>
      <c r="AQ20" s="51">
        <f>rebio23_80ml!AQ21/50</f>
        <v>0</v>
      </c>
      <c r="AR20" s="51">
        <f>rebio23_80ml!AR21/50</f>
        <v>0</v>
      </c>
      <c r="AS20" s="51">
        <f>rebio23_80ml!AS21/50</f>
        <v>0</v>
      </c>
      <c r="AT20" s="51">
        <f>rebio23_80ml!AT21/50</f>
        <v>0</v>
      </c>
      <c r="AU20" s="51">
        <f>rebio23_80ml!AU21/50</f>
        <v>0</v>
      </c>
      <c r="AV20" s="51">
        <f>rebio23_80ml!AV21/50</f>
        <v>0</v>
      </c>
      <c r="AW20" s="51">
        <f>rebio23_80ml!AW21/50</f>
        <v>0</v>
      </c>
      <c r="AX20" s="51">
        <f>rebio23_80ml!AX21/50</f>
        <v>0</v>
      </c>
      <c r="AY20" s="51">
        <f>rebio23_80ml!AY21/50</f>
        <v>0</v>
      </c>
      <c r="AZ20" s="51">
        <f>rebio23_80ml!AZ21/50</f>
        <v>0</v>
      </c>
      <c r="BA20" s="51">
        <f>rebio23_80ml!BA21/50</f>
        <v>0</v>
      </c>
      <c r="BB20" s="51">
        <f>rebio23_80ml!BB21/50</f>
        <v>0</v>
      </c>
      <c r="BC20" s="51">
        <f>rebio23_80ml!BC21/50</f>
        <v>0</v>
      </c>
      <c r="BD20" s="51">
        <f>rebio23_80ml!BD21/50</f>
        <v>0</v>
      </c>
      <c r="BE20" s="51">
        <f>rebio23_80ml!BE21/50</f>
        <v>0</v>
      </c>
      <c r="BF20" s="51">
        <f>rebio23_80ml!BF21/50</f>
        <v>0</v>
      </c>
      <c r="BG20" s="51">
        <f>rebio23_80ml!BG21/50</f>
        <v>0</v>
      </c>
    </row>
    <row r="21" spans="1:59" ht="12.75" customHeight="1" x14ac:dyDescent="0.25">
      <c r="A21" s="50" t="str">
        <f>rebio23_80ml!A22</f>
        <v>S-C-P11-H2</v>
      </c>
      <c r="B21" s="51">
        <f>rebio23_80ml!B22/50</f>
        <v>0</v>
      </c>
      <c r="C21" s="51">
        <f>rebio23_80ml!C22/50</f>
        <v>0</v>
      </c>
      <c r="D21" s="51">
        <f>rebio23_80ml!D22/50</f>
        <v>0</v>
      </c>
      <c r="E21" s="51">
        <f>rebio23_80ml!E22/50</f>
        <v>0</v>
      </c>
      <c r="F21" s="51">
        <f>rebio23_80ml!F22/50</f>
        <v>0</v>
      </c>
      <c r="G21" s="51">
        <f>rebio23_80ml!G22/50</f>
        <v>0</v>
      </c>
      <c r="H21" s="51">
        <f>rebio23_80ml!H22/50</f>
        <v>0</v>
      </c>
      <c r="I21" s="51">
        <f>rebio23_80ml!I22/50</f>
        <v>0</v>
      </c>
      <c r="J21" s="51">
        <f>rebio23_80ml!J22/50</f>
        <v>0</v>
      </c>
      <c r="K21" s="51">
        <f>rebio23_80ml!K22/50</f>
        <v>0</v>
      </c>
      <c r="L21" s="51">
        <f>rebio23_80ml!L22/50</f>
        <v>0</v>
      </c>
      <c r="M21" s="51">
        <f>rebio23_80ml!M22/50</f>
        <v>0</v>
      </c>
      <c r="N21" s="51">
        <f>rebio23_80ml!N22/50</f>
        <v>0</v>
      </c>
      <c r="O21" s="51">
        <f>rebio23_80ml!O22/50</f>
        <v>0</v>
      </c>
      <c r="P21" s="51">
        <f>rebio23_80ml!P22/50</f>
        <v>0</v>
      </c>
      <c r="Q21" s="51">
        <f>rebio23_80ml!Q22/50</f>
        <v>0</v>
      </c>
      <c r="R21" s="51">
        <f>rebio23_80ml!R22/50</f>
        <v>0</v>
      </c>
      <c r="S21" s="51">
        <f>rebio23_80ml!S22/50</f>
        <v>0</v>
      </c>
      <c r="T21" s="51">
        <f>rebio23_80ml!T22/50</f>
        <v>0</v>
      </c>
      <c r="U21" s="51">
        <f>rebio23_80ml!U22/50</f>
        <v>0</v>
      </c>
      <c r="V21" s="51">
        <f>rebio23_80ml!V22/50</f>
        <v>0</v>
      </c>
      <c r="W21" s="51">
        <f>rebio23_80ml!W22/50</f>
        <v>0</v>
      </c>
      <c r="X21" s="51">
        <f>rebio23_80ml!X22/50</f>
        <v>0</v>
      </c>
      <c r="Y21" s="51">
        <f>rebio23_80ml!Y22/50</f>
        <v>0</v>
      </c>
      <c r="Z21" s="51">
        <f>rebio23_80ml!Z22/50</f>
        <v>0</v>
      </c>
      <c r="AA21" s="51">
        <f>rebio23_80ml!AA22/50</f>
        <v>0</v>
      </c>
      <c r="AB21" s="51">
        <f>rebio23_80ml!AB22/50</f>
        <v>0</v>
      </c>
      <c r="AC21" s="51">
        <f>rebio23_80ml!AC22/50</f>
        <v>0</v>
      </c>
      <c r="AD21" s="51">
        <f>rebio23_80ml!AD22/50</f>
        <v>0</v>
      </c>
      <c r="AE21" s="51">
        <f>rebio23_80ml!AE22/50</f>
        <v>0</v>
      </c>
      <c r="AF21" s="51">
        <f>rebio23_80ml!AF22/50</f>
        <v>0</v>
      </c>
      <c r="AG21" s="51">
        <f>rebio23_80ml!AG22/50</f>
        <v>0</v>
      </c>
      <c r="AH21" s="51">
        <f>rebio23_80ml!AH22/50</f>
        <v>0</v>
      </c>
      <c r="AI21" s="51">
        <f>rebio23_80ml!AI22/50</f>
        <v>0</v>
      </c>
      <c r="AJ21" s="51">
        <f>rebio23_80ml!AJ22/50</f>
        <v>0</v>
      </c>
      <c r="AK21" s="51">
        <f>rebio23_80ml!AK22/50</f>
        <v>0</v>
      </c>
      <c r="AL21" s="51">
        <f>rebio23_80ml!AL22/50</f>
        <v>0</v>
      </c>
      <c r="AM21" s="51">
        <f>rebio23_80ml!AM22/50</f>
        <v>0</v>
      </c>
      <c r="AN21" s="51">
        <f>rebio23_80ml!AN22/50</f>
        <v>0</v>
      </c>
      <c r="AO21" s="51">
        <f>rebio23_80ml!AO22/50</f>
        <v>0</v>
      </c>
      <c r="AP21" s="51">
        <f>rebio23_80ml!AP22/50</f>
        <v>0</v>
      </c>
      <c r="AQ21" s="51">
        <f>rebio23_80ml!AQ22/50</f>
        <v>0</v>
      </c>
      <c r="AR21" s="51">
        <f>rebio23_80ml!AR22/50</f>
        <v>0</v>
      </c>
      <c r="AS21" s="51">
        <f>rebio23_80ml!AS22/50</f>
        <v>0</v>
      </c>
      <c r="AT21" s="51">
        <f>rebio23_80ml!AT22/50</f>
        <v>0</v>
      </c>
      <c r="AU21" s="51">
        <f>rebio23_80ml!AU22/50</f>
        <v>0</v>
      </c>
      <c r="AV21" s="51">
        <f>rebio23_80ml!AV22/50</f>
        <v>0</v>
      </c>
      <c r="AW21" s="51">
        <f>rebio23_80ml!AW22/50</f>
        <v>0</v>
      </c>
      <c r="AX21" s="51">
        <f>rebio23_80ml!AX22/50</f>
        <v>0</v>
      </c>
      <c r="AY21" s="51">
        <f>rebio23_80ml!AY22/50</f>
        <v>0</v>
      </c>
      <c r="AZ21" s="51">
        <f>rebio23_80ml!AZ22/50</f>
        <v>0</v>
      </c>
      <c r="BA21" s="51">
        <f>rebio23_80ml!BA22/50</f>
        <v>0</v>
      </c>
      <c r="BB21" s="51">
        <f>rebio23_80ml!BB22/50</f>
        <v>0</v>
      </c>
      <c r="BC21" s="51">
        <f>rebio23_80ml!BC22/50</f>
        <v>0</v>
      </c>
      <c r="BD21" s="51">
        <f>rebio23_80ml!BD22/50</f>
        <v>0</v>
      </c>
      <c r="BE21" s="51">
        <f>rebio23_80ml!BE22/50</f>
        <v>0</v>
      </c>
      <c r="BF21" s="51">
        <f>rebio23_80ml!BF22/50</f>
        <v>0</v>
      </c>
      <c r="BG21" s="51">
        <f>rebio23_80ml!BG22/50</f>
        <v>0</v>
      </c>
    </row>
    <row r="22" spans="1:59" ht="12.75" customHeight="1" x14ac:dyDescent="0.25">
      <c r="A22" s="50" t="str">
        <f>rebio23_80ml!A23</f>
        <v>S-C-P11-H3</v>
      </c>
      <c r="B22" s="51">
        <f>rebio23_80ml!B23/50</f>
        <v>0</v>
      </c>
      <c r="C22" s="51">
        <f>rebio23_80ml!C23/50</f>
        <v>0</v>
      </c>
      <c r="D22" s="51">
        <f>rebio23_80ml!D23/50</f>
        <v>0</v>
      </c>
      <c r="E22" s="51">
        <f>rebio23_80ml!E23/50</f>
        <v>0</v>
      </c>
      <c r="F22" s="51">
        <f>rebio23_80ml!F23/50</f>
        <v>0</v>
      </c>
      <c r="G22" s="51">
        <f>rebio23_80ml!G23/50</f>
        <v>0</v>
      </c>
      <c r="H22" s="51">
        <f>rebio23_80ml!H23/50</f>
        <v>0</v>
      </c>
      <c r="I22" s="51">
        <f>rebio23_80ml!I23/50</f>
        <v>0</v>
      </c>
      <c r="J22" s="51">
        <f>rebio23_80ml!J23/50</f>
        <v>0</v>
      </c>
      <c r="K22" s="51">
        <f>rebio23_80ml!K23/50</f>
        <v>0</v>
      </c>
      <c r="L22" s="51">
        <f>rebio23_80ml!L23/50</f>
        <v>0</v>
      </c>
      <c r="M22" s="51">
        <f>rebio23_80ml!M23/50</f>
        <v>0</v>
      </c>
      <c r="N22" s="51">
        <f>rebio23_80ml!N23/50</f>
        <v>0</v>
      </c>
      <c r="O22" s="51">
        <f>rebio23_80ml!O23/50</f>
        <v>0</v>
      </c>
      <c r="P22" s="51">
        <f>rebio23_80ml!P23/50</f>
        <v>0</v>
      </c>
      <c r="Q22" s="51">
        <f>rebio23_80ml!Q23/50</f>
        <v>0</v>
      </c>
      <c r="R22" s="51">
        <f>rebio23_80ml!R23/50</f>
        <v>0</v>
      </c>
      <c r="S22" s="51">
        <f>rebio23_80ml!S23/50</f>
        <v>0</v>
      </c>
      <c r="T22" s="51">
        <f>rebio23_80ml!T23/50</f>
        <v>0</v>
      </c>
      <c r="U22" s="51">
        <f>rebio23_80ml!U23/50</f>
        <v>0</v>
      </c>
      <c r="V22" s="51">
        <f>rebio23_80ml!V23/50</f>
        <v>0</v>
      </c>
      <c r="W22" s="51">
        <f>rebio23_80ml!W23/50</f>
        <v>0</v>
      </c>
      <c r="X22" s="51">
        <f>rebio23_80ml!X23/50</f>
        <v>0</v>
      </c>
      <c r="Y22" s="51">
        <f>rebio23_80ml!Y23/50</f>
        <v>0</v>
      </c>
      <c r="Z22" s="51">
        <f>rebio23_80ml!Z23/50</f>
        <v>0</v>
      </c>
      <c r="AA22" s="51">
        <f>rebio23_80ml!AA23/50</f>
        <v>0</v>
      </c>
      <c r="AB22" s="51">
        <f>rebio23_80ml!AB23/50</f>
        <v>0</v>
      </c>
      <c r="AC22" s="51">
        <f>rebio23_80ml!AC23/50</f>
        <v>0</v>
      </c>
      <c r="AD22" s="51">
        <f>rebio23_80ml!AD23/50</f>
        <v>0</v>
      </c>
      <c r="AE22" s="51">
        <f>rebio23_80ml!AE23/50</f>
        <v>0</v>
      </c>
      <c r="AF22" s="51">
        <f>rebio23_80ml!AF23/50</f>
        <v>0</v>
      </c>
      <c r="AG22" s="51">
        <f>rebio23_80ml!AG23/50</f>
        <v>0</v>
      </c>
      <c r="AH22" s="51">
        <f>rebio23_80ml!AH23/50</f>
        <v>0</v>
      </c>
      <c r="AI22" s="51">
        <f>rebio23_80ml!AI23/50</f>
        <v>0</v>
      </c>
      <c r="AJ22" s="51">
        <f>rebio23_80ml!AJ23/50</f>
        <v>0</v>
      </c>
      <c r="AK22" s="51">
        <f>rebio23_80ml!AK23/50</f>
        <v>0</v>
      </c>
      <c r="AL22" s="51">
        <f>rebio23_80ml!AL23/50</f>
        <v>0</v>
      </c>
      <c r="AM22" s="51">
        <f>rebio23_80ml!AM23/50</f>
        <v>0</v>
      </c>
      <c r="AN22" s="51">
        <f>rebio23_80ml!AN23/50</f>
        <v>0</v>
      </c>
      <c r="AO22" s="51">
        <f>rebio23_80ml!AO23/50</f>
        <v>0</v>
      </c>
      <c r="AP22" s="51">
        <f>rebio23_80ml!AP23/50</f>
        <v>0</v>
      </c>
      <c r="AQ22" s="51">
        <f>rebio23_80ml!AQ23/50</f>
        <v>0</v>
      </c>
      <c r="AR22" s="51">
        <f>rebio23_80ml!AR23/50</f>
        <v>0</v>
      </c>
      <c r="AS22" s="51">
        <f>rebio23_80ml!AS23/50</f>
        <v>0</v>
      </c>
      <c r="AT22" s="51">
        <f>rebio23_80ml!AT23/50</f>
        <v>0</v>
      </c>
      <c r="AU22" s="51">
        <f>rebio23_80ml!AU23/50</f>
        <v>0</v>
      </c>
      <c r="AV22" s="51">
        <f>rebio23_80ml!AV23/50</f>
        <v>0</v>
      </c>
      <c r="AW22" s="51">
        <f>rebio23_80ml!AW23/50</f>
        <v>0</v>
      </c>
      <c r="AX22" s="51">
        <f>rebio23_80ml!AX23/50</f>
        <v>0</v>
      </c>
      <c r="AY22" s="51">
        <f>rebio23_80ml!AY23/50</f>
        <v>0</v>
      </c>
      <c r="AZ22" s="51">
        <f>rebio23_80ml!AZ23/50</f>
        <v>0</v>
      </c>
      <c r="BA22" s="51">
        <f>rebio23_80ml!BA23/50</f>
        <v>0</v>
      </c>
      <c r="BB22" s="51">
        <f>rebio23_80ml!BB23/50</f>
        <v>0</v>
      </c>
      <c r="BC22" s="51">
        <f>rebio23_80ml!BC23/50</f>
        <v>0</v>
      </c>
      <c r="BD22" s="51">
        <f>rebio23_80ml!BD23/50</f>
        <v>0</v>
      </c>
      <c r="BE22" s="51">
        <f>rebio23_80ml!BE23/50</f>
        <v>0</v>
      </c>
      <c r="BF22" s="51">
        <f>rebio23_80ml!BF23/50</f>
        <v>0</v>
      </c>
      <c r="BG22" s="51">
        <f>rebio23_80ml!BG23/50</f>
        <v>0</v>
      </c>
    </row>
    <row r="23" spans="1:59" ht="12.75" customHeight="1" x14ac:dyDescent="0.25">
      <c r="A23" s="15" t="str">
        <f>rebio23_80ml!A24</f>
        <v>S-C-P12-H1</v>
      </c>
      <c r="B23" s="27">
        <f>rebio23_80ml!B24/50</f>
        <v>0.02</v>
      </c>
      <c r="C23" s="27">
        <f>rebio23_80ml!C24/50</f>
        <v>0</v>
      </c>
      <c r="D23" s="27">
        <f>rebio23_80ml!D24/50</f>
        <v>0</v>
      </c>
      <c r="E23" s="27">
        <f>rebio23_80ml!E24/50</f>
        <v>0.5</v>
      </c>
      <c r="F23" s="27">
        <f>rebio23_80ml!F24/50</f>
        <v>0</v>
      </c>
      <c r="G23" s="27">
        <f>rebio23_80ml!G24/50</f>
        <v>0</v>
      </c>
      <c r="H23" s="27">
        <f>rebio23_80ml!H24/50</f>
        <v>0</v>
      </c>
      <c r="I23" s="27">
        <f>rebio23_80ml!I24/50</f>
        <v>0.04</v>
      </c>
      <c r="J23" s="27">
        <f>rebio23_80ml!J24/50</f>
        <v>0</v>
      </c>
      <c r="K23" s="27">
        <f>rebio23_80ml!K24/50</f>
        <v>0</v>
      </c>
      <c r="L23" s="27">
        <f>rebio23_80ml!L24/50</f>
        <v>0</v>
      </c>
      <c r="M23" s="27">
        <f>rebio23_80ml!M24/50</f>
        <v>0</v>
      </c>
      <c r="N23" s="27">
        <f>rebio23_80ml!N24/50</f>
        <v>0</v>
      </c>
      <c r="O23" s="27">
        <f>rebio23_80ml!O24/50</f>
        <v>0</v>
      </c>
      <c r="P23" s="27">
        <f>rebio23_80ml!P24/50</f>
        <v>0</v>
      </c>
      <c r="Q23" s="27">
        <f>rebio23_80ml!Q24/50</f>
        <v>0</v>
      </c>
      <c r="R23" s="27">
        <f>rebio23_80ml!R24/50</f>
        <v>0</v>
      </c>
      <c r="S23" s="27">
        <f>rebio23_80ml!S24/50</f>
        <v>0.02</v>
      </c>
      <c r="T23" s="27">
        <f>rebio23_80ml!T24/50</f>
        <v>0</v>
      </c>
      <c r="U23" s="27">
        <f>rebio23_80ml!U24/50</f>
        <v>0.02</v>
      </c>
      <c r="V23" s="27">
        <f>rebio23_80ml!V24/50</f>
        <v>0</v>
      </c>
      <c r="W23" s="27">
        <f>rebio23_80ml!W24/50</f>
        <v>0</v>
      </c>
      <c r="X23" s="27">
        <f>rebio23_80ml!X24/50</f>
        <v>0</v>
      </c>
      <c r="Y23" s="27">
        <f>rebio23_80ml!Y24/50</f>
        <v>0</v>
      </c>
      <c r="Z23" s="27">
        <f>rebio23_80ml!Z24/50</f>
        <v>0</v>
      </c>
      <c r="AA23" s="27">
        <f>rebio23_80ml!AA24/50</f>
        <v>0</v>
      </c>
      <c r="AB23" s="27">
        <f>rebio23_80ml!AB24/50</f>
        <v>0</v>
      </c>
      <c r="AC23" s="27">
        <f>rebio23_80ml!AC24/50</f>
        <v>0.04</v>
      </c>
      <c r="AD23" s="27">
        <f>rebio23_80ml!AD24/50</f>
        <v>0.02</v>
      </c>
      <c r="AE23" s="27">
        <f>rebio23_80ml!AE24/50</f>
        <v>0</v>
      </c>
      <c r="AF23" s="27">
        <f>rebio23_80ml!AF24/50</f>
        <v>0</v>
      </c>
      <c r="AG23" s="27">
        <f>rebio23_80ml!AG24/50</f>
        <v>0</v>
      </c>
      <c r="AH23" s="27">
        <f>rebio23_80ml!AH24/50</f>
        <v>0.02</v>
      </c>
      <c r="AI23" s="27">
        <f>rebio23_80ml!AI24/50</f>
        <v>0</v>
      </c>
      <c r="AJ23" s="27">
        <f>rebio23_80ml!AJ24/50</f>
        <v>0</v>
      </c>
      <c r="AK23" s="27">
        <f>rebio23_80ml!AK24/50</f>
        <v>0</v>
      </c>
      <c r="AL23" s="27">
        <f>rebio23_80ml!AL24/50</f>
        <v>0</v>
      </c>
      <c r="AM23" s="27">
        <f>rebio23_80ml!AM24/50</f>
        <v>0</v>
      </c>
      <c r="AN23" s="27">
        <f>rebio23_80ml!AN24/50</f>
        <v>0</v>
      </c>
      <c r="AO23" s="27">
        <f>rebio23_80ml!AO24/50</f>
        <v>0</v>
      </c>
      <c r="AP23" s="27">
        <f>rebio23_80ml!AP24/50</f>
        <v>0</v>
      </c>
      <c r="AQ23" s="27">
        <f>rebio23_80ml!AQ24/50</f>
        <v>0</v>
      </c>
      <c r="AR23" s="27">
        <f>rebio23_80ml!AR24/50</f>
        <v>0</v>
      </c>
      <c r="AS23" s="27">
        <f>rebio23_80ml!AS24/50</f>
        <v>0</v>
      </c>
      <c r="AT23" s="27">
        <f>rebio23_80ml!AT24/50</f>
        <v>0</v>
      </c>
      <c r="AU23" s="27">
        <f>rebio23_80ml!AU24/50</f>
        <v>0</v>
      </c>
      <c r="AV23" s="27">
        <f>rebio23_80ml!AV24/50</f>
        <v>0.24</v>
      </c>
      <c r="AW23" s="27">
        <f>rebio23_80ml!AW24/50</f>
        <v>0</v>
      </c>
      <c r="AX23" s="27">
        <f>rebio23_80ml!AX24/50</f>
        <v>0</v>
      </c>
      <c r="AY23" s="27">
        <f>rebio23_80ml!AY24/50</f>
        <v>0</v>
      </c>
      <c r="AZ23" s="27">
        <f>rebio23_80ml!AZ24/50</f>
        <v>0</v>
      </c>
      <c r="BA23" s="27">
        <f>rebio23_80ml!BA24/50</f>
        <v>0</v>
      </c>
      <c r="BB23" s="27">
        <f>rebio23_80ml!BB24/50</f>
        <v>0</v>
      </c>
      <c r="BC23" s="27">
        <f>rebio23_80ml!BC24/50</f>
        <v>0</v>
      </c>
      <c r="BD23" s="27">
        <f>rebio23_80ml!BD24/50</f>
        <v>0</v>
      </c>
      <c r="BE23" s="27">
        <f>rebio23_80ml!BE24/50</f>
        <v>0</v>
      </c>
      <c r="BF23" s="27">
        <f>rebio23_80ml!BF24/50</f>
        <v>0</v>
      </c>
      <c r="BG23" s="27">
        <f>rebio23_80ml!BG24/50</f>
        <v>0</v>
      </c>
    </row>
    <row r="24" spans="1:59" ht="12.75" customHeight="1" x14ac:dyDescent="0.25">
      <c r="A24" s="15" t="str">
        <f>rebio23_80ml!A25</f>
        <v>S-C-P12-H2</v>
      </c>
      <c r="B24" s="27">
        <f>rebio23_80ml!B25/50</f>
        <v>0.02</v>
      </c>
      <c r="C24" s="27">
        <f>rebio23_80ml!C25/50</f>
        <v>0</v>
      </c>
      <c r="D24" s="27">
        <f>rebio23_80ml!D25/50</f>
        <v>0</v>
      </c>
      <c r="E24" s="27">
        <f>rebio23_80ml!E25/50</f>
        <v>0.38</v>
      </c>
      <c r="F24" s="27">
        <f>rebio23_80ml!F25/50</f>
        <v>0</v>
      </c>
      <c r="G24" s="27">
        <f>rebio23_80ml!G25/50</f>
        <v>0</v>
      </c>
      <c r="H24" s="27">
        <f>rebio23_80ml!H25/50</f>
        <v>0</v>
      </c>
      <c r="I24" s="27">
        <f>rebio23_80ml!I25/50</f>
        <v>0.14000000000000001</v>
      </c>
      <c r="J24" s="27">
        <f>rebio23_80ml!J25/50</f>
        <v>0</v>
      </c>
      <c r="K24" s="27">
        <f>rebio23_80ml!K25/50</f>
        <v>0</v>
      </c>
      <c r="L24" s="27">
        <f>rebio23_80ml!L25/50</f>
        <v>0</v>
      </c>
      <c r="M24" s="27">
        <f>rebio23_80ml!M25/50</f>
        <v>0</v>
      </c>
      <c r="N24" s="27">
        <f>rebio23_80ml!N25/50</f>
        <v>0</v>
      </c>
      <c r="O24" s="27">
        <f>rebio23_80ml!O25/50</f>
        <v>0</v>
      </c>
      <c r="P24" s="27">
        <f>rebio23_80ml!P25/50</f>
        <v>0</v>
      </c>
      <c r="Q24" s="27">
        <f>rebio23_80ml!Q25/50</f>
        <v>0</v>
      </c>
      <c r="R24" s="27">
        <f>rebio23_80ml!R25/50</f>
        <v>0</v>
      </c>
      <c r="S24" s="27">
        <f>rebio23_80ml!S25/50</f>
        <v>0.06</v>
      </c>
      <c r="T24" s="27">
        <f>rebio23_80ml!T25/50</f>
        <v>0</v>
      </c>
      <c r="U24" s="27">
        <f>rebio23_80ml!U25/50</f>
        <v>0</v>
      </c>
      <c r="V24" s="27">
        <f>rebio23_80ml!V25/50</f>
        <v>0</v>
      </c>
      <c r="W24" s="27">
        <f>rebio23_80ml!W25/50</f>
        <v>0</v>
      </c>
      <c r="X24" s="27">
        <f>rebio23_80ml!X25/50</f>
        <v>0</v>
      </c>
      <c r="Y24" s="27">
        <f>rebio23_80ml!Y25/50</f>
        <v>0</v>
      </c>
      <c r="Z24" s="27">
        <f>rebio23_80ml!Z25/50</f>
        <v>0</v>
      </c>
      <c r="AA24" s="27">
        <f>rebio23_80ml!AA25/50</f>
        <v>0.06</v>
      </c>
      <c r="AB24" s="27">
        <f>rebio23_80ml!AB25/50</f>
        <v>0</v>
      </c>
      <c r="AC24" s="27">
        <f>rebio23_80ml!AC25/50</f>
        <v>0</v>
      </c>
      <c r="AD24" s="27">
        <f>rebio23_80ml!AD25/50</f>
        <v>0</v>
      </c>
      <c r="AE24" s="27">
        <f>rebio23_80ml!AE25/50</f>
        <v>0</v>
      </c>
      <c r="AF24" s="27">
        <f>rebio23_80ml!AF25/50</f>
        <v>0</v>
      </c>
      <c r="AG24" s="27">
        <f>rebio23_80ml!AG25/50</f>
        <v>0</v>
      </c>
      <c r="AH24" s="27">
        <f>rebio23_80ml!AH25/50</f>
        <v>0</v>
      </c>
      <c r="AI24" s="27">
        <f>rebio23_80ml!AI25/50</f>
        <v>0</v>
      </c>
      <c r="AJ24" s="27">
        <f>rebio23_80ml!AJ25/50</f>
        <v>0.02</v>
      </c>
      <c r="AK24" s="27">
        <f>rebio23_80ml!AK25/50</f>
        <v>0</v>
      </c>
      <c r="AL24" s="27">
        <f>rebio23_80ml!AL25/50</f>
        <v>0</v>
      </c>
      <c r="AM24" s="27">
        <f>rebio23_80ml!AM25/50</f>
        <v>0</v>
      </c>
      <c r="AN24" s="27">
        <f>rebio23_80ml!AN25/50</f>
        <v>0</v>
      </c>
      <c r="AO24" s="27">
        <f>rebio23_80ml!AO25/50</f>
        <v>0</v>
      </c>
      <c r="AP24" s="27">
        <f>rebio23_80ml!AP25/50</f>
        <v>0</v>
      </c>
      <c r="AQ24" s="27">
        <f>rebio23_80ml!AQ25/50</f>
        <v>0</v>
      </c>
      <c r="AR24" s="27">
        <f>rebio23_80ml!AR25/50</f>
        <v>0</v>
      </c>
      <c r="AS24" s="27">
        <f>rebio23_80ml!AS25/50</f>
        <v>0</v>
      </c>
      <c r="AT24" s="27">
        <f>rebio23_80ml!AT25/50</f>
        <v>0</v>
      </c>
      <c r="AU24" s="27">
        <f>rebio23_80ml!AU25/50</f>
        <v>0</v>
      </c>
      <c r="AV24" s="27">
        <f>rebio23_80ml!AV25/50</f>
        <v>0.06</v>
      </c>
      <c r="AW24" s="27">
        <f>rebio23_80ml!AW25/50</f>
        <v>0</v>
      </c>
      <c r="AX24" s="27">
        <f>rebio23_80ml!AX25/50</f>
        <v>0</v>
      </c>
      <c r="AY24" s="27">
        <f>rebio23_80ml!AY25/50</f>
        <v>0</v>
      </c>
      <c r="AZ24" s="27">
        <f>rebio23_80ml!AZ25/50</f>
        <v>0</v>
      </c>
      <c r="BA24" s="27">
        <f>rebio23_80ml!BA25/50</f>
        <v>0</v>
      </c>
      <c r="BB24" s="27">
        <f>rebio23_80ml!BB25/50</f>
        <v>0</v>
      </c>
      <c r="BC24" s="27">
        <f>rebio23_80ml!BC25/50</f>
        <v>0</v>
      </c>
      <c r="BD24" s="27">
        <f>rebio23_80ml!BD25/50</f>
        <v>0</v>
      </c>
      <c r="BE24" s="27">
        <f>rebio23_80ml!BE25/50</f>
        <v>0</v>
      </c>
      <c r="BF24" s="27">
        <f>rebio23_80ml!BF25/50</f>
        <v>0</v>
      </c>
      <c r="BG24" s="27">
        <f>rebio23_80ml!BG25/50</f>
        <v>0</v>
      </c>
    </row>
    <row r="25" spans="1:59" ht="12.75" customHeight="1" x14ac:dyDescent="0.25">
      <c r="A25" s="15" t="str">
        <f>rebio23_80ml!A26</f>
        <v>S-C-P12-H3</v>
      </c>
      <c r="B25" s="27">
        <f>rebio23_80ml!B26/50</f>
        <v>0.04</v>
      </c>
      <c r="C25" s="27">
        <f>rebio23_80ml!C26/50</f>
        <v>0</v>
      </c>
      <c r="D25" s="27">
        <f>rebio23_80ml!D26/50</f>
        <v>0</v>
      </c>
      <c r="E25" s="27">
        <f>rebio23_80ml!E26/50</f>
        <v>0.46</v>
      </c>
      <c r="F25" s="27">
        <f>rebio23_80ml!F26/50</f>
        <v>0</v>
      </c>
      <c r="G25" s="27">
        <f>rebio23_80ml!G26/50</f>
        <v>0</v>
      </c>
      <c r="H25" s="27">
        <f>rebio23_80ml!H26/50</f>
        <v>0</v>
      </c>
      <c r="I25" s="27">
        <f>rebio23_80ml!I26/50</f>
        <v>0.02</v>
      </c>
      <c r="J25" s="27">
        <f>rebio23_80ml!J26/50</f>
        <v>0</v>
      </c>
      <c r="K25" s="27">
        <f>rebio23_80ml!K26/50</f>
        <v>0</v>
      </c>
      <c r="L25" s="27">
        <f>rebio23_80ml!L26/50</f>
        <v>0</v>
      </c>
      <c r="M25" s="27">
        <f>rebio23_80ml!M26/50</f>
        <v>0</v>
      </c>
      <c r="N25" s="27">
        <f>rebio23_80ml!N26/50</f>
        <v>0</v>
      </c>
      <c r="O25" s="27">
        <f>rebio23_80ml!O26/50</f>
        <v>0</v>
      </c>
      <c r="P25" s="27">
        <f>rebio23_80ml!P26/50</f>
        <v>0</v>
      </c>
      <c r="Q25" s="27">
        <f>rebio23_80ml!Q26/50</f>
        <v>0</v>
      </c>
      <c r="R25" s="27">
        <f>rebio23_80ml!R26/50</f>
        <v>0</v>
      </c>
      <c r="S25" s="27">
        <f>rebio23_80ml!S26/50</f>
        <v>0.08</v>
      </c>
      <c r="T25" s="27">
        <f>rebio23_80ml!T26/50</f>
        <v>0.04</v>
      </c>
      <c r="U25" s="27">
        <f>rebio23_80ml!U26/50</f>
        <v>0</v>
      </c>
      <c r="V25" s="27">
        <f>rebio23_80ml!V26/50</f>
        <v>0</v>
      </c>
      <c r="W25" s="27">
        <f>rebio23_80ml!W26/50</f>
        <v>0</v>
      </c>
      <c r="X25" s="27">
        <f>rebio23_80ml!X26/50</f>
        <v>0.02</v>
      </c>
      <c r="Y25" s="27">
        <f>rebio23_80ml!Y26/50</f>
        <v>0</v>
      </c>
      <c r="Z25" s="27">
        <f>rebio23_80ml!Z26/50</f>
        <v>0.02</v>
      </c>
      <c r="AA25" s="27">
        <f>rebio23_80ml!AA26/50</f>
        <v>0</v>
      </c>
      <c r="AB25" s="27">
        <f>rebio23_80ml!AB26/50</f>
        <v>0</v>
      </c>
      <c r="AC25" s="27">
        <f>rebio23_80ml!AC26/50</f>
        <v>0</v>
      </c>
      <c r="AD25" s="27">
        <f>rebio23_80ml!AD26/50</f>
        <v>0</v>
      </c>
      <c r="AE25" s="27">
        <f>rebio23_80ml!AE26/50</f>
        <v>0</v>
      </c>
      <c r="AF25" s="27">
        <f>rebio23_80ml!AF26/50</f>
        <v>0</v>
      </c>
      <c r="AG25" s="27">
        <f>rebio23_80ml!AG26/50</f>
        <v>0</v>
      </c>
      <c r="AH25" s="27">
        <f>rebio23_80ml!AH26/50</f>
        <v>0</v>
      </c>
      <c r="AI25" s="27">
        <f>rebio23_80ml!AI26/50</f>
        <v>0.02</v>
      </c>
      <c r="AJ25" s="27">
        <f>rebio23_80ml!AJ26/50</f>
        <v>0</v>
      </c>
      <c r="AK25" s="27">
        <f>rebio23_80ml!AK26/50</f>
        <v>0</v>
      </c>
      <c r="AL25" s="27">
        <f>rebio23_80ml!AL26/50</f>
        <v>0.02</v>
      </c>
      <c r="AM25" s="27">
        <f>rebio23_80ml!AM26/50</f>
        <v>0</v>
      </c>
      <c r="AN25" s="27">
        <f>rebio23_80ml!AN26/50</f>
        <v>0</v>
      </c>
      <c r="AO25" s="27">
        <f>rebio23_80ml!AO26/50</f>
        <v>0</v>
      </c>
      <c r="AP25" s="27">
        <f>rebio23_80ml!AP26/50</f>
        <v>0</v>
      </c>
      <c r="AQ25" s="27">
        <f>rebio23_80ml!AQ26/50</f>
        <v>0</v>
      </c>
      <c r="AR25" s="27">
        <f>rebio23_80ml!AR26/50</f>
        <v>0</v>
      </c>
      <c r="AS25" s="27">
        <f>rebio23_80ml!AS26/50</f>
        <v>0</v>
      </c>
      <c r="AT25" s="27">
        <f>rebio23_80ml!AT26/50</f>
        <v>0</v>
      </c>
      <c r="AU25" s="27">
        <f>rebio23_80ml!AU26/50</f>
        <v>0</v>
      </c>
      <c r="AV25" s="27">
        <f>rebio23_80ml!AV26/50</f>
        <v>0.08</v>
      </c>
      <c r="AW25" s="27">
        <f>rebio23_80ml!AW26/50</f>
        <v>0</v>
      </c>
      <c r="AX25" s="27">
        <f>rebio23_80ml!AX26/50</f>
        <v>0.02</v>
      </c>
      <c r="AY25" s="27">
        <f>rebio23_80ml!AY26/50</f>
        <v>0</v>
      </c>
      <c r="AZ25" s="27">
        <f>rebio23_80ml!AZ26/50</f>
        <v>0</v>
      </c>
      <c r="BA25" s="27">
        <f>rebio23_80ml!BA26/50</f>
        <v>0</v>
      </c>
      <c r="BB25" s="27">
        <f>rebio23_80ml!BB26/50</f>
        <v>0</v>
      </c>
      <c r="BC25" s="27">
        <f>rebio23_80ml!BC26/50</f>
        <v>0</v>
      </c>
      <c r="BD25" s="27">
        <f>rebio23_80ml!BD26/50</f>
        <v>0</v>
      </c>
      <c r="BE25" s="27">
        <f>rebio23_80ml!BE26/50</f>
        <v>0</v>
      </c>
      <c r="BF25" s="27">
        <f>rebio23_80ml!BF26/50</f>
        <v>0</v>
      </c>
      <c r="BG25" s="27">
        <f>rebio23_80ml!BG26/50</f>
        <v>0</v>
      </c>
    </row>
    <row r="26" spans="1:59" ht="12.75" customHeight="1" x14ac:dyDescent="0.25">
      <c r="A26" s="15" t="str">
        <f>rebio23_80ml!A27</f>
        <v>S-C-P13-H1</v>
      </c>
      <c r="B26" s="27">
        <f>rebio23_80ml!B27/50</f>
        <v>0</v>
      </c>
      <c r="C26" s="27">
        <f>rebio23_80ml!C27/50</f>
        <v>0</v>
      </c>
      <c r="D26" s="27">
        <f>rebio23_80ml!D27/50</f>
        <v>0</v>
      </c>
      <c r="E26" s="27">
        <f>rebio23_80ml!E27/50</f>
        <v>0.14000000000000001</v>
      </c>
      <c r="F26" s="27">
        <f>rebio23_80ml!F27/50</f>
        <v>0</v>
      </c>
      <c r="G26" s="27">
        <f>rebio23_80ml!G27/50</f>
        <v>0</v>
      </c>
      <c r="H26" s="27">
        <f>rebio23_80ml!H27/50</f>
        <v>0</v>
      </c>
      <c r="I26" s="27">
        <f>rebio23_80ml!I27/50</f>
        <v>0</v>
      </c>
      <c r="J26" s="27">
        <f>rebio23_80ml!J27/50</f>
        <v>0</v>
      </c>
      <c r="K26" s="27">
        <f>rebio23_80ml!K27/50</f>
        <v>0</v>
      </c>
      <c r="L26" s="27">
        <f>rebio23_80ml!L27/50</f>
        <v>0</v>
      </c>
      <c r="M26" s="27">
        <f>rebio23_80ml!M27/50</f>
        <v>0</v>
      </c>
      <c r="N26" s="27">
        <f>rebio23_80ml!N27/50</f>
        <v>0</v>
      </c>
      <c r="O26" s="27">
        <f>rebio23_80ml!O27/50</f>
        <v>0</v>
      </c>
      <c r="P26" s="27">
        <f>rebio23_80ml!P27/50</f>
        <v>0</v>
      </c>
      <c r="Q26" s="27">
        <f>rebio23_80ml!Q27/50</f>
        <v>0</v>
      </c>
      <c r="R26" s="27">
        <f>rebio23_80ml!R27/50</f>
        <v>0</v>
      </c>
      <c r="S26" s="27">
        <f>rebio23_80ml!S27/50</f>
        <v>0.02</v>
      </c>
      <c r="T26" s="27">
        <f>rebio23_80ml!T27/50</f>
        <v>0</v>
      </c>
      <c r="U26" s="27">
        <f>rebio23_80ml!U27/50</f>
        <v>0</v>
      </c>
      <c r="V26" s="27">
        <f>rebio23_80ml!V27/50</f>
        <v>0</v>
      </c>
      <c r="W26" s="27">
        <f>rebio23_80ml!W27/50</f>
        <v>0</v>
      </c>
      <c r="X26" s="27">
        <f>rebio23_80ml!X27/50</f>
        <v>0</v>
      </c>
      <c r="Y26" s="27">
        <f>rebio23_80ml!Y27/50</f>
        <v>0</v>
      </c>
      <c r="Z26" s="27">
        <f>rebio23_80ml!Z27/50</f>
        <v>0</v>
      </c>
      <c r="AA26" s="27">
        <f>rebio23_80ml!AA27/50</f>
        <v>0</v>
      </c>
      <c r="AB26" s="27">
        <f>rebio23_80ml!AB27/50</f>
        <v>0</v>
      </c>
      <c r="AC26" s="27">
        <f>rebio23_80ml!AC27/50</f>
        <v>0</v>
      </c>
      <c r="AD26" s="27">
        <f>rebio23_80ml!AD27/50</f>
        <v>0</v>
      </c>
      <c r="AE26" s="27">
        <f>rebio23_80ml!AE27/50</f>
        <v>0</v>
      </c>
      <c r="AF26" s="27">
        <f>rebio23_80ml!AF27/50</f>
        <v>0</v>
      </c>
      <c r="AG26" s="27">
        <f>rebio23_80ml!AG27/50</f>
        <v>0</v>
      </c>
      <c r="AH26" s="27">
        <f>rebio23_80ml!AH27/50</f>
        <v>0</v>
      </c>
      <c r="AI26" s="27">
        <f>rebio23_80ml!AI27/50</f>
        <v>0</v>
      </c>
      <c r="AJ26" s="27">
        <f>rebio23_80ml!AJ27/50</f>
        <v>0</v>
      </c>
      <c r="AK26" s="27">
        <f>rebio23_80ml!AK27/50</f>
        <v>0</v>
      </c>
      <c r="AL26" s="27">
        <f>rebio23_80ml!AL27/50</f>
        <v>0</v>
      </c>
      <c r="AM26" s="27">
        <f>rebio23_80ml!AM27/50</f>
        <v>0</v>
      </c>
      <c r="AN26" s="27">
        <f>rebio23_80ml!AN27/50</f>
        <v>0</v>
      </c>
      <c r="AO26" s="27">
        <f>rebio23_80ml!AO27/50</f>
        <v>0</v>
      </c>
      <c r="AP26" s="27">
        <f>rebio23_80ml!AP27/50</f>
        <v>0</v>
      </c>
      <c r="AQ26" s="27">
        <f>rebio23_80ml!AQ27/50</f>
        <v>0</v>
      </c>
      <c r="AR26" s="27">
        <f>rebio23_80ml!AR27/50</f>
        <v>0</v>
      </c>
      <c r="AS26" s="27">
        <f>rebio23_80ml!AS27/50</f>
        <v>0</v>
      </c>
      <c r="AT26" s="27">
        <f>rebio23_80ml!AT27/50</f>
        <v>0</v>
      </c>
      <c r="AU26" s="27">
        <f>rebio23_80ml!AU27/50</f>
        <v>0</v>
      </c>
      <c r="AV26" s="27">
        <f>rebio23_80ml!AV27/50</f>
        <v>0</v>
      </c>
      <c r="AW26" s="27">
        <f>rebio23_80ml!AW27/50</f>
        <v>0</v>
      </c>
      <c r="AX26" s="27">
        <f>rebio23_80ml!AX27/50</f>
        <v>0</v>
      </c>
      <c r="AY26" s="27">
        <f>rebio23_80ml!AY27/50</f>
        <v>0</v>
      </c>
      <c r="AZ26" s="27">
        <f>rebio23_80ml!AZ27/50</f>
        <v>0</v>
      </c>
      <c r="BA26" s="27">
        <f>rebio23_80ml!BA27/50</f>
        <v>0</v>
      </c>
      <c r="BB26" s="27">
        <f>rebio23_80ml!BB27/50</f>
        <v>0</v>
      </c>
      <c r="BC26" s="27">
        <f>rebio23_80ml!BC27/50</f>
        <v>0</v>
      </c>
      <c r="BD26" s="27">
        <f>rebio23_80ml!BD27/50</f>
        <v>0</v>
      </c>
      <c r="BE26" s="27">
        <f>rebio23_80ml!BE27/50</f>
        <v>0</v>
      </c>
      <c r="BF26" s="27">
        <f>rebio23_80ml!BF27/50</f>
        <v>0</v>
      </c>
      <c r="BG26" s="27">
        <f>rebio23_80ml!BG27/50</f>
        <v>0</v>
      </c>
    </row>
    <row r="27" spans="1:59" ht="12.75" customHeight="1" x14ac:dyDescent="0.25">
      <c r="A27" s="15" t="str">
        <f>rebio23_80ml!A28</f>
        <v>S-C-P13-H2</v>
      </c>
      <c r="B27" s="27">
        <f>rebio23_80ml!B28/50</f>
        <v>0</v>
      </c>
      <c r="C27" s="27">
        <f>rebio23_80ml!C28/50</f>
        <v>0</v>
      </c>
      <c r="D27" s="27">
        <f>rebio23_80ml!D28/50</f>
        <v>0</v>
      </c>
      <c r="E27" s="27">
        <f>rebio23_80ml!E28/50</f>
        <v>0.24</v>
      </c>
      <c r="F27" s="27">
        <f>rebio23_80ml!F28/50</f>
        <v>0</v>
      </c>
      <c r="G27" s="27">
        <f>rebio23_80ml!G28/50</f>
        <v>0</v>
      </c>
      <c r="H27" s="27">
        <f>rebio23_80ml!H28/50</f>
        <v>0</v>
      </c>
      <c r="I27" s="27">
        <f>rebio23_80ml!I28/50</f>
        <v>0</v>
      </c>
      <c r="J27" s="27">
        <f>rebio23_80ml!J28/50</f>
        <v>0</v>
      </c>
      <c r="K27" s="27">
        <f>rebio23_80ml!K28/50</f>
        <v>0</v>
      </c>
      <c r="L27" s="27">
        <f>rebio23_80ml!L28/50</f>
        <v>0</v>
      </c>
      <c r="M27" s="27">
        <f>rebio23_80ml!M28/50</f>
        <v>0</v>
      </c>
      <c r="N27" s="27">
        <f>rebio23_80ml!N28/50</f>
        <v>0</v>
      </c>
      <c r="O27" s="27">
        <f>rebio23_80ml!O28/50</f>
        <v>0</v>
      </c>
      <c r="P27" s="27">
        <f>rebio23_80ml!P28/50</f>
        <v>0</v>
      </c>
      <c r="Q27" s="27">
        <f>rebio23_80ml!Q28/50</f>
        <v>0</v>
      </c>
      <c r="R27" s="27">
        <f>rebio23_80ml!R28/50</f>
        <v>0</v>
      </c>
      <c r="S27" s="27">
        <f>rebio23_80ml!S28/50</f>
        <v>0</v>
      </c>
      <c r="T27" s="27">
        <f>rebio23_80ml!T28/50</f>
        <v>0</v>
      </c>
      <c r="U27" s="27">
        <f>rebio23_80ml!U28/50</f>
        <v>0</v>
      </c>
      <c r="V27" s="27">
        <f>rebio23_80ml!V28/50</f>
        <v>0</v>
      </c>
      <c r="W27" s="27">
        <f>rebio23_80ml!W28/50</f>
        <v>0</v>
      </c>
      <c r="X27" s="27">
        <f>rebio23_80ml!X28/50</f>
        <v>0</v>
      </c>
      <c r="Y27" s="27">
        <f>rebio23_80ml!Y28/50</f>
        <v>0</v>
      </c>
      <c r="Z27" s="27">
        <f>rebio23_80ml!Z28/50</f>
        <v>0</v>
      </c>
      <c r="AA27" s="27">
        <f>rebio23_80ml!AA28/50</f>
        <v>0</v>
      </c>
      <c r="AB27" s="27">
        <f>rebio23_80ml!AB28/50</f>
        <v>0</v>
      </c>
      <c r="AC27" s="27">
        <f>rebio23_80ml!AC28/50</f>
        <v>0</v>
      </c>
      <c r="AD27" s="27">
        <f>rebio23_80ml!AD28/50</f>
        <v>0</v>
      </c>
      <c r="AE27" s="27">
        <f>rebio23_80ml!AE28/50</f>
        <v>0</v>
      </c>
      <c r="AF27" s="27">
        <f>rebio23_80ml!AF28/50</f>
        <v>0</v>
      </c>
      <c r="AG27" s="27">
        <f>rebio23_80ml!AG28/50</f>
        <v>0</v>
      </c>
      <c r="AH27" s="27">
        <f>rebio23_80ml!AH28/50</f>
        <v>0</v>
      </c>
      <c r="AI27" s="27">
        <f>rebio23_80ml!AI28/50</f>
        <v>0</v>
      </c>
      <c r="AJ27" s="27">
        <f>rebio23_80ml!AJ28/50</f>
        <v>0</v>
      </c>
      <c r="AK27" s="27">
        <f>rebio23_80ml!AK28/50</f>
        <v>0</v>
      </c>
      <c r="AL27" s="27">
        <f>rebio23_80ml!AL28/50</f>
        <v>0</v>
      </c>
      <c r="AM27" s="27">
        <f>rebio23_80ml!AM28/50</f>
        <v>0</v>
      </c>
      <c r="AN27" s="27">
        <f>rebio23_80ml!AN28/50</f>
        <v>0</v>
      </c>
      <c r="AO27" s="27">
        <f>rebio23_80ml!AO28/50</f>
        <v>0</v>
      </c>
      <c r="AP27" s="27">
        <f>rebio23_80ml!AP28/50</f>
        <v>0</v>
      </c>
      <c r="AQ27" s="27">
        <f>rebio23_80ml!AQ28/50</f>
        <v>0</v>
      </c>
      <c r="AR27" s="27">
        <f>rebio23_80ml!AR28/50</f>
        <v>0</v>
      </c>
      <c r="AS27" s="27">
        <f>rebio23_80ml!AS28/50</f>
        <v>0</v>
      </c>
      <c r="AT27" s="27">
        <f>rebio23_80ml!AT28/50</f>
        <v>0</v>
      </c>
      <c r="AU27" s="27">
        <f>rebio23_80ml!AU28/50</f>
        <v>0</v>
      </c>
      <c r="AV27" s="27">
        <f>rebio23_80ml!AV28/50</f>
        <v>0</v>
      </c>
      <c r="AW27" s="27">
        <f>rebio23_80ml!AW28/50</f>
        <v>0</v>
      </c>
      <c r="AX27" s="27">
        <f>rebio23_80ml!AX28/50</f>
        <v>0</v>
      </c>
      <c r="AY27" s="27">
        <f>rebio23_80ml!AY28/50</f>
        <v>0</v>
      </c>
      <c r="AZ27" s="27">
        <f>rebio23_80ml!AZ28/50</f>
        <v>0</v>
      </c>
      <c r="BA27" s="27">
        <f>rebio23_80ml!BA28/50</f>
        <v>0</v>
      </c>
      <c r="BB27" s="27">
        <f>rebio23_80ml!BB28/50</f>
        <v>0</v>
      </c>
      <c r="BC27" s="27">
        <f>rebio23_80ml!BC28/50</f>
        <v>0</v>
      </c>
      <c r="BD27" s="27">
        <f>rebio23_80ml!BD28/50</f>
        <v>0</v>
      </c>
      <c r="BE27" s="27">
        <f>rebio23_80ml!BE28/50</f>
        <v>0</v>
      </c>
      <c r="BF27" s="27">
        <f>rebio23_80ml!BF28/50</f>
        <v>0</v>
      </c>
      <c r="BG27" s="27">
        <f>rebio23_80ml!BG28/50</f>
        <v>0</v>
      </c>
    </row>
    <row r="28" spans="1:59" ht="12.75" customHeight="1" x14ac:dyDescent="0.25">
      <c r="A28" s="15" t="str">
        <f>rebio23_80ml!A29</f>
        <v>S-C-P13-H3</v>
      </c>
      <c r="B28" s="27">
        <f>rebio23_80ml!B29/50</f>
        <v>0</v>
      </c>
      <c r="C28" s="27">
        <f>rebio23_80ml!C29/50</f>
        <v>0</v>
      </c>
      <c r="D28" s="27">
        <f>rebio23_80ml!D29/50</f>
        <v>0</v>
      </c>
      <c r="E28" s="27">
        <f>rebio23_80ml!E29/50</f>
        <v>0.72</v>
      </c>
      <c r="F28" s="27">
        <f>rebio23_80ml!F29/50</f>
        <v>0</v>
      </c>
      <c r="G28" s="27">
        <f>rebio23_80ml!G29/50</f>
        <v>0</v>
      </c>
      <c r="H28" s="27">
        <f>rebio23_80ml!H29/50</f>
        <v>0</v>
      </c>
      <c r="I28" s="27">
        <f>rebio23_80ml!I29/50</f>
        <v>0</v>
      </c>
      <c r="J28" s="27">
        <f>rebio23_80ml!J29/50</f>
        <v>0</v>
      </c>
      <c r="K28" s="27">
        <f>rebio23_80ml!K29/50</f>
        <v>0</v>
      </c>
      <c r="L28" s="27">
        <f>rebio23_80ml!L29/50</f>
        <v>0</v>
      </c>
      <c r="M28" s="27">
        <f>rebio23_80ml!M29/50</f>
        <v>0</v>
      </c>
      <c r="N28" s="27">
        <f>rebio23_80ml!N29/50</f>
        <v>0</v>
      </c>
      <c r="O28" s="27">
        <f>rebio23_80ml!O29/50</f>
        <v>0</v>
      </c>
      <c r="P28" s="27">
        <f>rebio23_80ml!P29/50</f>
        <v>0</v>
      </c>
      <c r="Q28" s="27">
        <f>rebio23_80ml!Q29/50</f>
        <v>0</v>
      </c>
      <c r="R28" s="27">
        <f>rebio23_80ml!R29/50</f>
        <v>0</v>
      </c>
      <c r="S28" s="27">
        <f>rebio23_80ml!S29/50</f>
        <v>0.02</v>
      </c>
      <c r="T28" s="27">
        <f>rebio23_80ml!T29/50</f>
        <v>0</v>
      </c>
      <c r="U28" s="27">
        <f>rebio23_80ml!U29/50</f>
        <v>0</v>
      </c>
      <c r="V28" s="27">
        <f>rebio23_80ml!V29/50</f>
        <v>0</v>
      </c>
      <c r="W28" s="27">
        <f>rebio23_80ml!W29/50</f>
        <v>0</v>
      </c>
      <c r="X28" s="27">
        <f>rebio23_80ml!X29/50</f>
        <v>0</v>
      </c>
      <c r="Y28" s="27">
        <f>rebio23_80ml!Y29/50</f>
        <v>0</v>
      </c>
      <c r="Z28" s="27">
        <f>rebio23_80ml!Z29/50</f>
        <v>0</v>
      </c>
      <c r="AA28" s="27">
        <f>rebio23_80ml!AA29/50</f>
        <v>0</v>
      </c>
      <c r="AB28" s="27">
        <f>rebio23_80ml!AB29/50</f>
        <v>0</v>
      </c>
      <c r="AC28" s="27">
        <f>rebio23_80ml!AC29/50</f>
        <v>0</v>
      </c>
      <c r="AD28" s="27">
        <f>rebio23_80ml!AD29/50</f>
        <v>0</v>
      </c>
      <c r="AE28" s="27">
        <f>rebio23_80ml!AE29/50</f>
        <v>0</v>
      </c>
      <c r="AF28" s="27">
        <f>rebio23_80ml!AF29/50</f>
        <v>0</v>
      </c>
      <c r="AG28" s="27">
        <f>rebio23_80ml!AG29/50</f>
        <v>0</v>
      </c>
      <c r="AH28" s="27">
        <f>rebio23_80ml!AH29/50</f>
        <v>0</v>
      </c>
      <c r="AI28" s="27">
        <f>rebio23_80ml!AI29/50</f>
        <v>0</v>
      </c>
      <c r="AJ28" s="27">
        <f>rebio23_80ml!AJ29/50</f>
        <v>0</v>
      </c>
      <c r="AK28" s="27">
        <f>rebio23_80ml!AK29/50</f>
        <v>0</v>
      </c>
      <c r="AL28" s="27">
        <f>rebio23_80ml!AL29/50</f>
        <v>0</v>
      </c>
      <c r="AM28" s="27">
        <f>rebio23_80ml!AM29/50</f>
        <v>0</v>
      </c>
      <c r="AN28" s="27">
        <f>rebio23_80ml!AN29/50</f>
        <v>0</v>
      </c>
      <c r="AO28" s="27">
        <f>rebio23_80ml!AO29/50</f>
        <v>0</v>
      </c>
      <c r="AP28" s="27">
        <f>rebio23_80ml!AP29/50</f>
        <v>0</v>
      </c>
      <c r="AQ28" s="27">
        <f>rebio23_80ml!AQ29/50</f>
        <v>0</v>
      </c>
      <c r="AR28" s="27">
        <f>rebio23_80ml!AR29/50</f>
        <v>0</v>
      </c>
      <c r="AS28" s="27">
        <f>rebio23_80ml!AS29/50</f>
        <v>0</v>
      </c>
      <c r="AT28" s="27">
        <f>rebio23_80ml!AT29/50</f>
        <v>0</v>
      </c>
      <c r="AU28" s="27">
        <f>rebio23_80ml!AU29/50</f>
        <v>0</v>
      </c>
      <c r="AV28" s="27">
        <f>rebio23_80ml!AV29/50</f>
        <v>0.06</v>
      </c>
      <c r="AW28" s="27">
        <f>rebio23_80ml!AW29/50</f>
        <v>0</v>
      </c>
      <c r="AX28" s="27">
        <f>rebio23_80ml!AX29/50</f>
        <v>0</v>
      </c>
      <c r="AY28" s="27">
        <f>rebio23_80ml!AY29/50</f>
        <v>0</v>
      </c>
      <c r="AZ28" s="27">
        <f>rebio23_80ml!AZ29/50</f>
        <v>0</v>
      </c>
      <c r="BA28" s="27">
        <f>rebio23_80ml!BA29/50</f>
        <v>0</v>
      </c>
      <c r="BB28" s="27">
        <f>rebio23_80ml!BB29/50</f>
        <v>0</v>
      </c>
      <c r="BC28" s="27">
        <f>rebio23_80ml!BC29/50</f>
        <v>0</v>
      </c>
      <c r="BD28" s="27">
        <f>rebio23_80ml!BD29/50</f>
        <v>0</v>
      </c>
      <c r="BE28" s="27">
        <f>rebio23_80ml!BE29/50</f>
        <v>0</v>
      </c>
      <c r="BF28" s="27">
        <f>rebio23_80ml!BF29/50</f>
        <v>0</v>
      </c>
      <c r="BG28" s="27">
        <f>rebio23_80ml!BG29/50</f>
        <v>0</v>
      </c>
    </row>
    <row r="29" spans="1:59" ht="12.75" customHeight="1" x14ac:dyDescent="0.25">
      <c r="A29" s="15" t="str">
        <f>rebio23_80ml!A30</f>
        <v>S-C-P14-H1</v>
      </c>
      <c r="B29" s="27">
        <f>rebio23_80ml!B30/50</f>
        <v>0</v>
      </c>
      <c r="C29" s="27">
        <f>rebio23_80ml!C30/50</f>
        <v>0</v>
      </c>
      <c r="D29" s="27">
        <f>rebio23_80ml!D30/50</f>
        <v>0</v>
      </c>
      <c r="E29" s="27">
        <f>rebio23_80ml!E30/50</f>
        <v>0.26</v>
      </c>
      <c r="F29" s="27">
        <f>rebio23_80ml!F30/50</f>
        <v>0</v>
      </c>
      <c r="G29" s="27">
        <f>rebio23_80ml!G30/50</f>
        <v>0</v>
      </c>
      <c r="H29" s="27">
        <f>rebio23_80ml!H30/50</f>
        <v>0</v>
      </c>
      <c r="I29" s="27">
        <f>rebio23_80ml!I30/50</f>
        <v>0</v>
      </c>
      <c r="J29" s="27">
        <f>rebio23_80ml!J30/50</f>
        <v>0</v>
      </c>
      <c r="K29" s="27">
        <f>rebio23_80ml!K30/50</f>
        <v>0</v>
      </c>
      <c r="L29" s="27">
        <f>rebio23_80ml!L30/50</f>
        <v>0</v>
      </c>
      <c r="M29" s="27">
        <f>rebio23_80ml!M30/50</f>
        <v>0</v>
      </c>
      <c r="N29" s="27">
        <f>rebio23_80ml!N30/50</f>
        <v>0</v>
      </c>
      <c r="O29" s="27">
        <f>rebio23_80ml!O30/50</f>
        <v>0</v>
      </c>
      <c r="P29" s="27">
        <f>rebio23_80ml!P30/50</f>
        <v>0</v>
      </c>
      <c r="Q29" s="27">
        <f>rebio23_80ml!Q30/50</f>
        <v>0</v>
      </c>
      <c r="R29" s="27">
        <f>rebio23_80ml!R30/50</f>
        <v>0</v>
      </c>
      <c r="S29" s="27">
        <f>rebio23_80ml!S30/50</f>
        <v>0.02</v>
      </c>
      <c r="T29" s="27">
        <f>rebio23_80ml!T30/50</f>
        <v>0</v>
      </c>
      <c r="U29" s="27">
        <f>rebio23_80ml!U30/50</f>
        <v>0</v>
      </c>
      <c r="V29" s="27">
        <f>rebio23_80ml!V30/50</f>
        <v>0</v>
      </c>
      <c r="W29" s="27">
        <f>rebio23_80ml!W30/50</f>
        <v>0</v>
      </c>
      <c r="X29" s="27">
        <f>rebio23_80ml!X30/50</f>
        <v>0</v>
      </c>
      <c r="Y29" s="27">
        <f>rebio23_80ml!Y30/50</f>
        <v>0</v>
      </c>
      <c r="Z29" s="27">
        <f>rebio23_80ml!Z30/50</f>
        <v>0</v>
      </c>
      <c r="AA29" s="27">
        <f>rebio23_80ml!AA30/50</f>
        <v>0.02</v>
      </c>
      <c r="AB29" s="27">
        <f>rebio23_80ml!AB30/50</f>
        <v>0</v>
      </c>
      <c r="AC29" s="27">
        <f>rebio23_80ml!AC30/50</f>
        <v>0</v>
      </c>
      <c r="AD29" s="27">
        <f>rebio23_80ml!AD30/50</f>
        <v>0</v>
      </c>
      <c r="AE29" s="27">
        <f>rebio23_80ml!AE30/50</f>
        <v>0</v>
      </c>
      <c r="AF29" s="27">
        <f>rebio23_80ml!AF30/50</f>
        <v>0</v>
      </c>
      <c r="AG29" s="27">
        <f>rebio23_80ml!AG30/50</f>
        <v>0</v>
      </c>
      <c r="AH29" s="27">
        <f>rebio23_80ml!AH30/50</f>
        <v>0</v>
      </c>
      <c r="AI29" s="27">
        <f>rebio23_80ml!AI30/50</f>
        <v>0</v>
      </c>
      <c r="AJ29" s="27">
        <f>rebio23_80ml!AJ30/50</f>
        <v>0.02</v>
      </c>
      <c r="AK29" s="27">
        <f>rebio23_80ml!AK30/50</f>
        <v>0</v>
      </c>
      <c r="AL29" s="27">
        <f>rebio23_80ml!AL30/50</f>
        <v>0</v>
      </c>
      <c r="AM29" s="27">
        <f>rebio23_80ml!AM30/50</f>
        <v>0</v>
      </c>
      <c r="AN29" s="27">
        <f>rebio23_80ml!AN30/50</f>
        <v>0</v>
      </c>
      <c r="AO29" s="27">
        <f>rebio23_80ml!AO30/50</f>
        <v>0</v>
      </c>
      <c r="AP29" s="27">
        <f>rebio23_80ml!AP30/50</f>
        <v>0</v>
      </c>
      <c r="AQ29" s="27">
        <f>rebio23_80ml!AQ30/50</f>
        <v>0</v>
      </c>
      <c r="AR29" s="27">
        <f>rebio23_80ml!AR30/50</f>
        <v>0</v>
      </c>
      <c r="AS29" s="27">
        <f>rebio23_80ml!AS30/50</f>
        <v>0</v>
      </c>
      <c r="AT29" s="27">
        <f>rebio23_80ml!AT30/50</f>
        <v>0</v>
      </c>
      <c r="AU29" s="27">
        <f>rebio23_80ml!AU30/50</f>
        <v>0</v>
      </c>
      <c r="AV29" s="27">
        <f>rebio23_80ml!AV30/50</f>
        <v>0</v>
      </c>
      <c r="AW29" s="27">
        <f>rebio23_80ml!AW30/50</f>
        <v>0</v>
      </c>
      <c r="AX29" s="27">
        <f>rebio23_80ml!AX30/50</f>
        <v>0</v>
      </c>
      <c r="AY29" s="27">
        <f>rebio23_80ml!AY30/50</f>
        <v>0</v>
      </c>
      <c r="AZ29" s="27">
        <f>rebio23_80ml!AZ30/50</f>
        <v>0</v>
      </c>
      <c r="BA29" s="27">
        <f>rebio23_80ml!BA30/50</f>
        <v>0</v>
      </c>
      <c r="BB29" s="27">
        <f>rebio23_80ml!BB30/50</f>
        <v>0</v>
      </c>
      <c r="BC29" s="27">
        <f>rebio23_80ml!BC30/50</f>
        <v>0</v>
      </c>
      <c r="BD29" s="27">
        <f>rebio23_80ml!BD30/50</f>
        <v>0</v>
      </c>
      <c r="BE29" s="27">
        <f>rebio23_80ml!BE30/50</f>
        <v>0</v>
      </c>
      <c r="BF29" s="27">
        <f>rebio23_80ml!BF30/50</f>
        <v>0</v>
      </c>
      <c r="BG29" s="27">
        <f>rebio23_80ml!BG30/50</f>
        <v>0</v>
      </c>
    </row>
    <row r="30" spans="1:59" ht="12.75" customHeight="1" x14ac:dyDescent="0.25">
      <c r="A30" s="15" t="str">
        <f>rebio23_80ml!A31</f>
        <v>S-C-P14-H2</v>
      </c>
      <c r="B30" s="27">
        <f>rebio23_80ml!B31/50</f>
        <v>0</v>
      </c>
      <c r="C30" s="27">
        <f>rebio23_80ml!C31/50</f>
        <v>0</v>
      </c>
      <c r="D30" s="27">
        <f>rebio23_80ml!D31/50</f>
        <v>0</v>
      </c>
      <c r="E30" s="27">
        <f>rebio23_80ml!E31/50</f>
        <v>0.54</v>
      </c>
      <c r="F30" s="27">
        <f>rebio23_80ml!F31/50</f>
        <v>0</v>
      </c>
      <c r="G30" s="27">
        <f>rebio23_80ml!G31/50</f>
        <v>0</v>
      </c>
      <c r="H30" s="27">
        <f>rebio23_80ml!H31/50</f>
        <v>0</v>
      </c>
      <c r="I30" s="27">
        <f>rebio23_80ml!I31/50</f>
        <v>0.02</v>
      </c>
      <c r="J30" s="27">
        <f>rebio23_80ml!J31/50</f>
        <v>0</v>
      </c>
      <c r="K30" s="27">
        <f>rebio23_80ml!K31/50</f>
        <v>0</v>
      </c>
      <c r="L30" s="27">
        <f>rebio23_80ml!L31/50</f>
        <v>0</v>
      </c>
      <c r="M30" s="27">
        <f>rebio23_80ml!M31/50</f>
        <v>0</v>
      </c>
      <c r="N30" s="27">
        <f>rebio23_80ml!N31/50</f>
        <v>0</v>
      </c>
      <c r="O30" s="27">
        <f>rebio23_80ml!O31/50</f>
        <v>0</v>
      </c>
      <c r="P30" s="27">
        <f>rebio23_80ml!P31/50</f>
        <v>0</v>
      </c>
      <c r="Q30" s="27">
        <f>rebio23_80ml!Q31/50</f>
        <v>0</v>
      </c>
      <c r="R30" s="27">
        <f>rebio23_80ml!R31/50</f>
        <v>0</v>
      </c>
      <c r="S30" s="27">
        <f>rebio23_80ml!S31/50</f>
        <v>0</v>
      </c>
      <c r="T30" s="27">
        <f>rebio23_80ml!T31/50</f>
        <v>0</v>
      </c>
      <c r="U30" s="27">
        <f>rebio23_80ml!U31/50</f>
        <v>0</v>
      </c>
      <c r="V30" s="27">
        <f>rebio23_80ml!V31/50</f>
        <v>0</v>
      </c>
      <c r="W30" s="27">
        <f>rebio23_80ml!W31/50</f>
        <v>0</v>
      </c>
      <c r="X30" s="27">
        <f>rebio23_80ml!X31/50</f>
        <v>0</v>
      </c>
      <c r="Y30" s="27">
        <f>rebio23_80ml!Y31/50</f>
        <v>0</v>
      </c>
      <c r="Z30" s="27">
        <f>rebio23_80ml!Z31/50</f>
        <v>0</v>
      </c>
      <c r="AA30" s="27">
        <f>rebio23_80ml!AA31/50</f>
        <v>0</v>
      </c>
      <c r="AB30" s="27">
        <f>rebio23_80ml!AB31/50</f>
        <v>0</v>
      </c>
      <c r="AC30" s="27">
        <f>rebio23_80ml!AC31/50</f>
        <v>0</v>
      </c>
      <c r="AD30" s="27">
        <f>rebio23_80ml!AD31/50</f>
        <v>0</v>
      </c>
      <c r="AE30" s="27">
        <f>rebio23_80ml!AE31/50</f>
        <v>0</v>
      </c>
      <c r="AF30" s="27">
        <f>rebio23_80ml!AF31/50</f>
        <v>0</v>
      </c>
      <c r="AG30" s="27">
        <f>rebio23_80ml!AG31/50</f>
        <v>0</v>
      </c>
      <c r="AH30" s="27">
        <f>rebio23_80ml!AH31/50</f>
        <v>0</v>
      </c>
      <c r="AI30" s="27">
        <f>rebio23_80ml!AI31/50</f>
        <v>0</v>
      </c>
      <c r="AJ30" s="27">
        <f>rebio23_80ml!AJ31/50</f>
        <v>0</v>
      </c>
      <c r="AK30" s="27">
        <f>rebio23_80ml!AK31/50</f>
        <v>0</v>
      </c>
      <c r="AL30" s="27">
        <f>rebio23_80ml!AL31/50</f>
        <v>0</v>
      </c>
      <c r="AM30" s="27">
        <f>rebio23_80ml!AM31/50</f>
        <v>0</v>
      </c>
      <c r="AN30" s="27">
        <f>rebio23_80ml!AN31/50</f>
        <v>0</v>
      </c>
      <c r="AO30" s="27">
        <f>rebio23_80ml!AO31/50</f>
        <v>0</v>
      </c>
      <c r="AP30" s="27">
        <f>rebio23_80ml!AP31/50</f>
        <v>0</v>
      </c>
      <c r="AQ30" s="27">
        <f>rebio23_80ml!AQ31/50</f>
        <v>0</v>
      </c>
      <c r="AR30" s="27">
        <f>rebio23_80ml!AR31/50</f>
        <v>0</v>
      </c>
      <c r="AS30" s="27">
        <f>rebio23_80ml!AS31/50</f>
        <v>0</v>
      </c>
      <c r="AT30" s="27">
        <f>rebio23_80ml!AT31/50</f>
        <v>0</v>
      </c>
      <c r="AU30" s="27">
        <f>rebio23_80ml!AU31/50</f>
        <v>0</v>
      </c>
      <c r="AV30" s="27">
        <f>rebio23_80ml!AV31/50</f>
        <v>0.04</v>
      </c>
      <c r="AW30" s="27">
        <f>rebio23_80ml!AW31/50</f>
        <v>0</v>
      </c>
      <c r="AX30" s="27">
        <f>rebio23_80ml!AX31/50</f>
        <v>0</v>
      </c>
      <c r="AY30" s="27">
        <f>rebio23_80ml!AY31/50</f>
        <v>0</v>
      </c>
      <c r="AZ30" s="27">
        <f>rebio23_80ml!AZ31/50</f>
        <v>0</v>
      </c>
      <c r="BA30" s="27">
        <f>rebio23_80ml!BA31/50</f>
        <v>0</v>
      </c>
      <c r="BB30" s="27">
        <f>rebio23_80ml!BB31/50</f>
        <v>0</v>
      </c>
      <c r="BC30" s="27">
        <f>rebio23_80ml!BC31/50</f>
        <v>0</v>
      </c>
      <c r="BD30" s="27">
        <f>rebio23_80ml!BD31/50</f>
        <v>0</v>
      </c>
      <c r="BE30" s="27">
        <f>rebio23_80ml!BE31/50</f>
        <v>0</v>
      </c>
      <c r="BF30" s="27">
        <f>rebio23_80ml!BF31/50</f>
        <v>0</v>
      </c>
      <c r="BG30" s="27">
        <f>rebio23_80ml!BG31/50</f>
        <v>0</v>
      </c>
    </row>
    <row r="31" spans="1:59" ht="12.75" customHeight="1" x14ac:dyDescent="0.25">
      <c r="A31" s="15" t="str">
        <f>rebio23_80ml!A32</f>
        <v>S-C-P14-H3</v>
      </c>
      <c r="B31" s="27">
        <f>rebio23_80ml!B32/50</f>
        <v>0</v>
      </c>
      <c r="C31" s="27">
        <f>rebio23_80ml!C32/50</f>
        <v>0</v>
      </c>
      <c r="D31" s="27">
        <f>rebio23_80ml!D32/50</f>
        <v>0</v>
      </c>
      <c r="E31" s="27">
        <f>rebio23_80ml!E32/50</f>
        <v>1</v>
      </c>
      <c r="F31" s="27">
        <f>rebio23_80ml!F32/50</f>
        <v>0</v>
      </c>
      <c r="G31" s="27">
        <f>rebio23_80ml!G32/50</f>
        <v>0</v>
      </c>
      <c r="H31" s="27">
        <f>rebio23_80ml!H32/50</f>
        <v>0</v>
      </c>
      <c r="I31" s="27">
        <f>rebio23_80ml!I32/50</f>
        <v>0.02</v>
      </c>
      <c r="J31" s="27">
        <f>rebio23_80ml!J32/50</f>
        <v>0</v>
      </c>
      <c r="K31" s="27">
        <f>rebio23_80ml!K32/50</f>
        <v>0</v>
      </c>
      <c r="L31" s="27">
        <f>rebio23_80ml!L32/50</f>
        <v>0</v>
      </c>
      <c r="M31" s="27">
        <f>rebio23_80ml!M32/50</f>
        <v>0</v>
      </c>
      <c r="N31" s="27">
        <f>rebio23_80ml!N32/50</f>
        <v>0</v>
      </c>
      <c r="O31" s="27">
        <f>rebio23_80ml!O32/50</f>
        <v>0</v>
      </c>
      <c r="P31" s="27">
        <f>rebio23_80ml!P32/50</f>
        <v>0</v>
      </c>
      <c r="Q31" s="27">
        <f>rebio23_80ml!Q32/50</f>
        <v>0</v>
      </c>
      <c r="R31" s="27">
        <f>rebio23_80ml!R32/50</f>
        <v>0</v>
      </c>
      <c r="S31" s="27">
        <f>rebio23_80ml!S32/50</f>
        <v>0</v>
      </c>
      <c r="T31" s="27">
        <f>rebio23_80ml!T32/50</f>
        <v>0</v>
      </c>
      <c r="U31" s="27">
        <f>rebio23_80ml!U32/50</f>
        <v>0</v>
      </c>
      <c r="V31" s="27">
        <f>rebio23_80ml!V32/50</f>
        <v>0</v>
      </c>
      <c r="W31" s="27">
        <f>rebio23_80ml!W32/50</f>
        <v>0</v>
      </c>
      <c r="X31" s="27">
        <f>rebio23_80ml!X32/50</f>
        <v>0</v>
      </c>
      <c r="Y31" s="27">
        <f>rebio23_80ml!Y32/50</f>
        <v>0</v>
      </c>
      <c r="Z31" s="27">
        <f>rebio23_80ml!Z32/50</f>
        <v>0.02</v>
      </c>
      <c r="AA31" s="27">
        <f>rebio23_80ml!AA32/50</f>
        <v>0</v>
      </c>
      <c r="AB31" s="27">
        <f>rebio23_80ml!AB32/50</f>
        <v>0</v>
      </c>
      <c r="AC31" s="27">
        <f>rebio23_80ml!AC32/50</f>
        <v>0</v>
      </c>
      <c r="AD31" s="27">
        <f>rebio23_80ml!AD32/50</f>
        <v>0</v>
      </c>
      <c r="AE31" s="27">
        <f>rebio23_80ml!AE32/50</f>
        <v>0</v>
      </c>
      <c r="AF31" s="27">
        <f>rebio23_80ml!AF32/50</f>
        <v>0</v>
      </c>
      <c r="AG31" s="27">
        <f>rebio23_80ml!AG32/50</f>
        <v>0</v>
      </c>
      <c r="AH31" s="27">
        <f>rebio23_80ml!AH32/50</f>
        <v>0</v>
      </c>
      <c r="AI31" s="27">
        <f>rebio23_80ml!AI32/50</f>
        <v>0</v>
      </c>
      <c r="AJ31" s="27">
        <f>rebio23_80ml!AJ32/50</f>
        <v>0</v>
      </c>
      <c r="AK31" s="27">
        <f>rebio23_80ml!AK32/50</f>
        <v>0</v>
      </c>
      <c r="AL31" s="27">
        <f>rebio23_80ml!AL32/50</f>
        <v>0</v>
      </c>
      <c r="AM31" s="27">
        <f>rebio23_80ml!AM32/50</f>
        <v>0</v>
      </c>
      <c r="AN31" s="27">
        <f>rebio23_80ml!AN32/50</f>
        <v>0</v>
      </c>
      <c r="AO31" s="27">
        <f>rebio23_80ml!AO32/50</f>
        <v>0</v>
      </c>
      <c r="AP31" s="27">
        <f>rebio23_80ml!AP32/50</f>
        <v>0</v>
      </c>
      <c r="AQ31" s="27">
        <f>rebio23_80ml!AQ32/50</f>
        <v>0</v>
      </c>
      <c r="AR31" s="27">
        <f>rebio23_80ml!AR32/50</f>
        <v>0</v>
      </c>
      <c r="AS31" s="27">
        <f>rebio23_80ml!AS32/50</f>
        <v>0</v>
      </c>
      <c r="AT31" s="27">
        <f>rebio23_80ml!AT32/50</f>
        <v>0</v>
      </c>
      <c r="AU31" s="27">
        <f>rebio23_80ml!AU32/50</f>
        <v>0</v>
      </c>
      <c r="AV31" s="27">
        <f>rebio23_80ml!AV32/50</f>
        <v>0.16</v>
      </c>
      <c r="AW31" s="27">
        <f>rebio23_80ml!AW32/50</f>
        <v>0</v>
      </c>
      <c r="AX31" s="27">
        <f>rebio23_80ml!AX32/50</f>
        <v>0</v>
      </c>
      <c r="AY31" s="27">
        <f>rebio23_80ml!AY32/50</f>
        <v>0</v>
      </c>
      <c r="AZ31" s="27">
        <f>rebio23_80ml!AZ32/50</f>
        <v>0</v>
      </c>
      <c r="BA31" s="27">
        <f>rebio23_80ml!BA32/50</f>
        <v>0</v>
      </c>
      <c r="BB31" s="27">
        <f>rebio23_80ml!BB32/50</f>
        <v>0</v>
      </c>
      <c r="BC31" s="27">
        <f>rebio23_80ml!BC32/50</f>
        <v>0</v>
      </c>
      <c r="BD31" s="27">
        <f>rebio23_80ml!BD32/50</f>
        <v>0</v>
      </c>
      <c r="BE31" s="27">
        <f>rebio23_80ml!BE32/50</f>
        <v>0</v>
      </c>
      <c r="BF31" s="27">
        <f>rebio23_80ml!BF32/50</f>
        <v>0</v>
      </c>
      <c r="BG31" s="27">
        <f>rebio23_80ml!BG32/50</f>
        <v>0</v>
      </c>
    </row>
    <row r="32" spans="1:59" ht="12.75" customHeight="1" x14ac:dyDescent="0.25">
      <c r="A32" s="15" t="str">
        <f>rebio23_80ml!A33</f>
        <v>S-C-P15-H1</v>
      </c>
      <c r="B32" s="27">
        <f>rebio23_80ml!B33/50</f>
        <v>0</v>
      </c>
      <c r="C32" s="27">
        <f>rebio23_80ml!C33/50</f>
        <v>0</v>
      </c>
      <c r="D32" s="27">
        <f>rebio23_80ml!D33/50</f>
        <v>0</v>
      </c>
      <c r="E32" s="27">
        <f>rebio23_80ml!E33/50</f>
        <v>0.32</v>
      </c>
      <c r="F32" s="27">
        <f>rebio23_80ml!F33/50</f>
        <v>0</v>
      </c>
      <c r="G32" s="27">
        <f>rebio23_80ml!G33/50</f>
        <v>0</v>
      </c>
      <c r="H32" s="27">
        <f>rebio23_80ml!H33/50</f>
        <v>0</v>
      </c>
      <c r="I32" s="27">
        <f>rebio23_80ml!I33/50</f>
        <v>0</v>
      </c>
      <c r="J32" s="27">
        <f>rebio23_80ml!J33/50</f>
        <v>0</v>
      </c>
      <c r="K32" s="27">
        <f>rebio23_80ml!K33/50</f>
        <v>0</v>
      </c>
      <c r="L32" s="27">
        <f>rebio23_80ml!L33/50</f>
        <v>0</v>
      </c>
      <c r="M32" s="27">
        <f>rebio23_80ml!M33/50</f>
        <v>0</v>
      </c>
      <c r="N32" s="27">
        <f>rebio23_80ml!N33/50</f>
        <v>0</v>
      </c>
      <c r="O32" s="27">
        <f>rebio23_80ml!O33/50</f>
        <v>0</v>
      </c>
      <c r="P32" s="27">
        <f>rebio23_80ml!P33/50</f>
        <v>0</v>
      </c>
      <c r="Q32" s="27">
        <f>rebio23_80ml!Q33/50</f>
        <v>0</v>
      </c>
      <c r="R32" s="27">
        <f>rebio23_80ml!R33/50</f>
        <v>0</v>
      </c>
      <c r="S32" s="27">
        <f>rebio23_80ml!S33/50</f>
        <v>0</v>
      </c>
      <c r="T32" s="27">
        <f>rebio23_80ml!T33/50</f>
        <v>0</v>
      </c>
      <c r="U32" s="27">
        <f>rebio23_80ml!U33/50</f>
        <v>0</v>
      </c>
      <c r="V32" s="27">
        <f>rebio23_80ml!V33/50</f>
        <v>0</v>
      </c>
      <c r="W32" s="27">
        <f>rebio23_80ml!W33/50</f>
        <v>0</v>
      </c>
      <c r="X32" s="27">
        <f>rebio23_80ml!X33/50</f>
        <v>0</v>
      </c>
      <c r="Y32" s="27">
        <f>rebio23_80ml!Y33/50</f>
        <v>0</v>
      </c>
      <c r="Z32" s="27">
        <f>rebio23_80ml!Z33/50</f>
        <v>0</v>
      </c>
      <c r="AA32" s="27">
        <f>rebio23_80ml!AA33/50</f>
        <v>0</v>
      </c>
      <c r="AB32" s="27">
        <f>rebio23_80ml!AB33/50</f>
        <v>0</v>
      </c>
      <c r="AC32" s="27">
        <f>rebio23_80ml!AC33/50</f>
        <v>0</v>
      </c>
      <c r="AD32" s="27">
        <f>rebio23_80ml!AD33/50</f>
        <v>0</v>
      </c>
      <c r="AE32" s="27">
        <f>rebio23_80ml!AE33/50</f>
        <v>0</v>
      </c>
      <c r="AF32" s="27">
        <f>rebio23_80ml!AF33/50</f>
        <v>0</v>
      </c>
      <c r="AG32" s="27">
        <f>rebio23_80ml!AG33/50</f>
        <v>0</v>
      </c>
      <c r="AH32" s="27">
        <f>rebio23_80ml!AH33/50</f>
        <v>0</v>
      </c>
      <c r="AI32" s="27">
        <f>rebio23_80ml!AI33/50</f>
        <v>0</v>
      </c>
      <c r="AJ32" s="27">
        <f>rebio23_80ml!AJ33/50</f>
        <v>0</v>
      </c>
      <c r="AK32" s="27">
        <f>rebio23_80ml!AK33/50</f>
        <v>0</v>
      </c>
      <c r="AL32" s="27">
        <f>rebio23_80ml!AL33/50</f>
        <v>0</v>
      </c>
      <c r="AM32" s="27">
        <f>rebio23_80ml!AM33/50</f>
        <v>0</v>
      </c>
      <c r="AN32" s="27">
        <f>rebio23_80ml!AN33/50</f>
        <v>0</v>
      </c>
      <c r="AO32" s="27">
        <f>rebio23_80ml!AO33/50</f>
        <v>0</v>
      </c>
      <c r="AP32" s="27">
        <f>rebio23_80ml!AP33/50</f>
        <v>0</v>
      </c>
      <c r="AQ32" s="27">
        <f>rebio23_80ml!AQ33/50</f>
        <v>0</v>
      </c>
      <c r="AR32" s="27">
        <f>rebio23_80ml!AR33/50</f>
        <v>0</v>
      </c>
      <c r="AS32" s="27">
        <f>rebio23_80ml!AS33/50</f>
        <v>0</v>
      </c>
      <c r="AT32" s="27">
        <f>rebio23_80ml!AT33/50</f>
        <v>0</v>
      </c>
      <c r="AU32" s="27">
        <f>rebio23_80ml!AU33/50</f>
        <v>0</v>
      </c>
      <c r="AV32" s="27">
        <f>rebio23_80ml!AV33/50</f>
        <v>0.04</v>
      </c>
      <c r="AW32" s="27">
        <f>rebio23_80ml!AW33/50</f>
        <v>0</v>
      </c>
      <c r="AX32" s="27">
        <f>rebio23_80ml!AX33/50</f>
        <v>0</v>
      </c>
      <c r="AY32" s="27">
        <f>rebio23_80ml!AY33/50</f>
        <v>0</v>
      </c>
      <c r="AZ32" s="27">
        <f>rebio23_80ml!AZ33/50</f>
        <v>0</v>
      </c>
      <c r="BA32" s="27">
        <f>rebio23_80ml!BA33/50</f>
        <v>0</v>
      </c>
      <c r="BB32" s="27">
        <f>rebio23_80ml!BB33/50</f>
        <v>0</v>
      </c>
      <c r="BC32" s="27">
        <f>rebio23_80ml!BC33/50</f>
        <v>0</v>
      </c>
      <c r="BD32" s="27">
        <f>rebio23_80ml!BD33/50</f>
        <v>0</v>
      </c>
      <c r="BE32" s="27">
        <f>rebio23_80ml!BE33/50</f>
        <v>0</v>
      </c>
      <c r="BF32" s="27">
        <f>rebio23_80ml!BF33/50</f>
        <v>0</v>
      </c>
      <c r="BG32" s="27">
        <f>rebio23_80ml!BG33/50</f>
        <v>0</v>
      </c>
    </row>
    <row r="33" spans="1:59" ht="12.75" customHeight="1" x14ac:dyDescent="0.25">
      <c r="A33" s="15" t="str">
        <f>rebio23_80ml!A34</f>
        <v>S-C-P15-H2</v>
      </c>
      <c r="B33" s="27">
        <f>rebio23_80ml!B34/50</f>
        <v>0</v>
      </c>
      <c r="C33" s="27">
        <f>rebio23_80ml!C34/50</f>
        <v>0</v>
      </c>
      <c r="D33" s="27">
        <f>rebio23_80ml!D34/50</f>
        <v>0</v>
      </c>
      <c r="E33" s="27">
        <f>rebio23_80ml!E34/50</f>
        <v>0.44</v>
      </c>
      <c r="F33" s="27">
        <f>rebio23_80ml!F34/50</f>
        <v>0</v>
      </c>
      <c r="G33" s="27">
        <f>rebio23_80ml!G34/50</f>
        <v>0</v>
      </c>
      <c r="H33" s="27">
        <f>rebio23_80ml!H34/50</f>
        <v>0</v>
      </c>
      <c r="I33" s="27">
        <f>rebio23_80ml!I34/50</f>
        <v>0.08</v>
      </c>
      <c r="J33" s="27">
        <f>rebio23_80ml!J34/50</f>
        <v>0</v>
      </c>
      <c r="K33" s="27">
        <f>rebio23_80ml!K34/50</f>
        <v>0</v>
      </c>
      <c r="L33" s="27">
        <f>rebio23_80ml!L34/50</f>
        <v>0</v>
      </c>
      <c r="M33" s="27">
        <f>rebio23_80ml!M34/50</f>
        <v>0</v>
      </c>
      <c r="N33" s="27">
        <f>rebio23_80ml!N34/50</f>
        <v>0</v>
      </c>
      <c r="O33" s="27">
        <f>rebio23_80ml!O34/50</f>
        <v>0</v>
      </c>
      <c r="P33" s="27">
        <f>rebio23_80ml!P34/50</f>
        <v>0</v>
      </c>
      <c r="Q33" s="27">
        <f>rebio23_80ml!Q34/50</f>
        <v>0</v>
      </c>
      <c r="R33" s="27">
        <f>rebio23_80ml!R34/50</f>
        <v>0</v>
      </c>
      <c r="S33" s="27">
        <f>rebio23_80ml!S34/50</f>
        <v>0</v>
      </c>
      <c r="T33" s="27">
        <f>rebio23_80ml!T34/50</f>
        <v>0</v>
      </c>
      <c r="U33" s="27">
        <f>rebio23_80ml!U34/50</f>
        <v>0</v>
      </c>
      <c r="V33" s="27">
        <f>rebio23_80ml!V34/50</f>
        <v>0</v>
      </c>
      <c r="W33" s="27">
        <f>rebio23_80ml!W34/50</f>
        <v>0</v>
      </c>
      <c r="X33" s="27">
        <f>rebio23_80ml!X34/50</f>
        <v>0</v>
      </c>
      <c r="Y33" s="27">
        <f>rebio23_80ml!Y34/50</f>
        <v>0</v>
      </c>
      <c r="Z33" s="27">
        <f>rebio23_80ml!Z34/50</f>
        <v>0</v>
      </c>
      <c r="AA33" s="27">
        <f>rebio23_80ml!AA34/50</f>
        <v>0</v>
      </c>
      <c r="AB33" s="27">
        <f>rebio23_80ml!AB34/50</f>
        <v>0</v>
      </c>
      <c r="AC33" s="27">
        <f>rebio23_80ml!AC34/50</f>
        <v>0</v>
      </c>
      <c r="AD33" s="27">
        <f>rebio23_80ml!AD34/50</f>
        <v>0</v>
      </c>
      <c r="AE33" s="27">
        <f>rebio23_80ml!AE34/50</f>
        <v>0</v>
      </c>
      <c r="AF33" s="27">
        <f>rebio23_80ml!AF34/50</f>
        <v>0</v>
      </c>
      <c r="AG33" s="27">
        <f>rebio23_80ml!AG34/50</f>
        <v>0</v>
      </c>
      <c r="AH33" s="27">
        <f>rebio23_80ml!AH34/50</f>
        <v>0</v>
      </c>
      <c r="AI33" s="27">
        <f>rebio23_80ml!AI34/50</f>
        <v>0</v>
      </c>
      <c r="AJ33" s="27">
        <f>rebio23_80ml!AJ34/50</f>
        <v>0</v>
      </c>
      <c r="AK33" s="27">
        <f>rebio23_80ml!AK34/50</f>
        <v>0</v>
      </c>
      <c r="AL33" s="27">
        <f>rebio23_80ml!AL34/50</f>
        <v>0</v>
      </c>
      <c r="AM33" s="27">
        <f>rebio23_80ml!AM34/50</f>
        <v>0</v>
      </c>
      <c r="AN33" s="27">
        <f>rebio23_80ml!AN34/50</f>
        <v>0</v>
      </c>
      <c r="AO33" s="27">
        <f>rebio23_80ml!AO34/50</f>
        <v>0</v>
      </c>
      <c r="AP33" s="27">
        <f>rebio23_80ml!AP34/50</f>
        <v>0</v>
      </c>
      <c r="AQ33" s="27">
        <f>rebio23_80ml!AQ34/50</f>
        <v>0.02</v>
      </c>
      <c r="AR33" s="27">
        <f>rebio23_80ml!AR34/50</f>
        <v>0</v>
      </c>
      <c r="AS33" s="27">
        <f>rebio23_80ml!AS34/50</f>
        <v>0</v>
      </c>
      <c r="AT33" s="27">
        <f>rebio23_80ml!AT34/50</f>
        <v>0</v>
      </c>
      <c r="AU33" s="27">
        <f>rebio23_80ml!AU34/50</f>
        <v>0</v>
      </c>
      <c r="AV33" s="27">
        <f>rebio23_80ml!AV34/50</f>
        <v>0.12</v>
      </c>
      <c r="AW33" s="27">
        <f>rebio23_80ml!AW34/50</f>
        <v>0</v>
      </c>
      <c r="AX33" s="27">
        <f>rebio23_80ml!AX34/50</f>
        <v>0</v>
      </c>
      <c r="AY33" s="27">
        <f>rebio23_80ml!AY34/50</f>
        <v>0</v>
      </c>
      <c r="AZ33" s="27">
        <f>rebio23_80ml!AZ34/50</f>
        <v>0</v>
      </c>
      <c r="BA33" s="27">
        <f>rebio23_80ml!BA34/50</f>
        <v>0</v>
      </c>
      <c r="BB33" s="27">
        <f>rebio23_80ml!BB34/50</f>
        <v>0</v>
      </c>
      <c r="BC33" s="27">
        <f>rebio23_80ml!BC34/50</f>
        <v>0</v>
      </c>
      <c r="BD33" s="27">
        <f>rebio23_80ml!BD34/50</f>
        <v>0</v>
      </c>
      <c r="BE33" s="27">
        <f>rebio23_80ml!BE34/50</f>
        <v>0</v>
      </c>
      <c r="BF33" s="27">
        <f>rebio23_80ml!BF34/50</f>
        <v>0</v>
      </c>
      <c r="BG33" s="27">
        <f>rebio23_80ml!BG34/50</f>
        <v>0</v>
      </c>
    </row>
    <row r="34" spans="1:59" ht="12.75" customHeight="1" x14ac:dyDescent="0.25">
      <c r="A34" s="15" t="str">
        <f>rebio23_80ml!A35</f>
        <v>S-C-P15-H3</v>
      </c>
      <c r="B34" s="27">
        <f>rebio23_80ml!B35/50</f>
        <v>0</v>
      </c>
      <c r="C34" s="27">
        <f>rebio23_80ml!C35/50</f>
        <v>0</v>
      </c>
      <c r="D34" s="27">
        <f>rebio23_80ml!D35/50</f>
        <v>0</v>
      </c>
      <c r="E34" s="27">
        <f>rebio23_80ml!E35/50</f>
        <v>0.34</v>
      </c>
      <c r="F34" s="27">
        <f>rebio23_80ml!F35/50</f>
        <v>0</v>
      </c>
      <c r="G34" s="27">
        <f>rebio23_80ml!G35/50</f>
        <v>0</v>
      </c>
      <c r="H34" s="27">
        <f>rebio23_80ml!H35/50</f>
        <v>0</v>
      </c>
      <c r="I34" s="27">
        <f>rebio23_80ml!I35/50</f>
        <v>0.32</v>
      </c>
      <c r="J34" s="27">
        <f>rebio23_80ml!J35/50</f>
        <v>0</v>
      </c>
      <c r="K34" s="27">
        <f>rebio23_80ml!K35/50</f>
        <v>0</v>
      </c>
      <c r="L34" s="27">
        <f>rebio23_80ml!L35/50</f>
        <v>0</v>
      </c>
      <c r="M34" s="27">
        <f>rebio23_80ml!M35/50</f>
        <v>0</v>
      </c>
      <c r="N34" s="27">
        <f>rebio23_80ml!N35/50</f>
        <v>0</v>
      </c>
      <c r="O34" s="27">
        <f>rebio23_80ml!O35/50</f>
        <v>0</v>
      </c>
      <c r="P34" s="27">
        <f>rebio23_80ml!P35/50</f>
        <v>0</v>
      </c>
      <c r="Q34" s="27">
        <f>rebio23_80ml!Q35/50</f>
        <v>0</v>
      </c>
      <c r="R34" s="27">
        <f>rebio23_80ml!R35/50</f>
        <v>0</v>
      </c>
      <c r="S34" s="27">
        <f>rebio23_80ml!S35/50</f>
        <v>0</v>
      </c>
      <c r="T34" s="27">
        <f>rebio23_80ml!T35/50</f>
        <v>0</v>
      </c>
      <c r="U34" s="27">
        <f>rebio23_80ml!U35/50</f>
        <v>0</v>
      </c>
      <c r="V34" s="27">
        <f>rebio23_80ml!V35/50</f>
        <v>0</v>
      </c>
      <c r="W34" s="27">
        <f>rebio23_80ml!W35/50</f>
        <v>0</v>
      </c>
      <c r="X34" s="27">
        <f>rebio23_80ml!X35/50</f>
        <v>0</v>
      </c>
      <c r="Y34" s="27">
        <f>rebio23_80ml!Y35/50</f>
        <v>0</v>
      </c>
      <c r="Z34" s="27">
        <f>rebio23_80ml!Z35/50</f>
        <v>0</v>
      </c>
      <c r="AA34" s="27">
        <f>rebio23_80ml!AA35/50</f>
        <v>0</v>
      </c>
      <c r="AB34" s="27">
        <f>rebio23_80ml!AB35/50</f>
        <v>0</v>
      </c>
      <c r="AC34" s="27">
        <f>rebio23_80ml!AC35/50</f>
        <v>0</v>
      </c>
      <c r="AD34" s="27">
        <f>rebio23_80ml!AD35/50</f>
        <v>0</v>
      </c>
      <c r="AE34" s="27">
        <f>rebio23_80ml!AE35/50</f>
        <v>0</v>
      </c>
      <c r="AF34" s="27">
        <f>rebio23_80ml!AF35/50</f>
        <v>0</v>
      </c>
      <c r="AG34" s="27">
        <f>rebio23_80ml!AG35/50</f>
        <v>0</v>
      </c>
      <c r="AH34" s="27">
        <f>rebio23_80ml!AH35/50</f>
        <v>0</v>
      </c>
      <c r="AI34" s="27">
        <f>rebio23_80ml!AI35/50</f>
        <v>0</v>
      </c>
      <c r="AJ34" s="27">
        <f>rebio23_80ml!AJ35/50</f>
        <v>0.02</v>
      </c>
      <c r="AK34" s="27">
        <f>rebio23_80ml!AK35/50</f>
        <v>0</v>
      </c>
      <c r="AL34" s="27">
        <f>rebio23_80ml!AL35/50</f>
        <v>0</v>
      </c>
      <c r="AM34" s="27">
        <f>rebio23_80ml!AM35/50</f>
        <v>0</v>
      </c>
      <c r="AN34" s="27">
        <f>rebio23_80ml!AN35/50</f>
        <v>0</v>
      </c>
      <c r="AO34" s="27">
        <f>rebio23_80ml!AO35/50</f>
        <v>0</v>
      </c>
      <c r="AP34" s="27">
        <f>rebio23_80ml!AP35/50</f>
        <v>0</v>
      </c>
      <c r="AQ34" s="27">
        <f>rebio23_80ml!AQ35/50</f>
        <v>0</v>
      </c>
      <c r="AR34" s="27">
        <f>rebio23_80ml!AR35/50</f>
        <v>0</v>
      </c>
      <c r="AS34" s="27">
        <f>rebio23_80ml!AS35/50</f>
        <v>0</v>
      </c>
      <c r="AT34" s="27">
        <f>rebio23_80ml!AT35/50</f>
        <v>0</v>
      </c>
      <c r="AU34" s="27">
        <f>rebio23_80ml!AU35/50</f>
        <v>0</v>
      </c>
      <c r="AV34" s="27">
        <f>rebio23_80ml!AV35/50</f>
        <v>0.18</v>
      </c>
      <c r="AW34" s="27">
        <f>rebio23_80ml!AW35/50</f>
        <v>0</v>
      </c>
      <c r="AX34" s="27">
        <f>rebio23_80ml!AX35/50</f>
        <v>0.08</v>
      </c>
      <c r="AY34" s="27">
        <f>rebio23_80ml!AY35/50</f>
        <v>0</v>
      </c>
      <c r="AZ34" s="27">
        <f>rebio23_80ml!AZ35/50</f>
        <v>0</v>
      </c>
      <c r="BA34" s="27">
        <f>rebio23_80ml!BA35/50</f>
        <v>0</v>
      </c>
      <c r="BB34" s="27">
        <f>rebio23_80ml!BB35/50</f>
        <v>0</v>
      </c>
      <c r="BC34" s="27">
        <f>rebio23_80ml!BC35/50</f>
        <v>0</v>
      </c>
      <c r="BD34" s="27">
        <f>rebio23_80ml!BD35/50</f>
        <v>0</v>
      </c>
      <c r="BE34" s="27">
        <f>rebio23_80ml!BE35/50</f>
        <v>0</v>
      </c>
      <c r="BF34" s="27">
        <f>rebio23_80ml!BF35/50</f>
        <v>0</v>
      </c>
      <c r="BG34" s="27">
        <f>rebio23_80ml!BG35/50</f>
        <v>0</v>
      </c>
    </row>
    <row r="35" spans="1:59" ht="12.75" customHeight="1" x14ac:dyDescent="0.25">
      <c r="A35" s="15" t="str">
        <f>rebio23_80ml!A36</f>
        <v>S-C-P16-H1</v>
      </c>
      <c r="B35" s="27">
        <f>rebio23_80ml!B36/50</f>
        <v>0.02</v>
      </c>
      <c r="C35" s="27">
        <f>rebio23_80ml!C36/50</f>
        <v>0</v>
      </c>
      <c r="D35" s="27">
        <f>rebio23_80ml!D36/50</f>
        <v>0</v>
      </c>
      <c r="E35" s="27">
        <f>rebio23_80ml!E36/50</f>
        <v>1.08</v>
      </c>
      <c r="F35" s="27">
        <f>rebio23_80ml!F36/50</f>
        <v>0</v>
      </c>
      <c r="G35" s="27">
        <f>rebio23_80ml!G36/50</f>
        <v>0</v>
      </c>
      <c r="H35" s="27">
        <f>rebio23_80ml!H36/50</f>
        <v>0</v>
      </c>
      <c r="I35" s="27">
        <f>rebio23_80ml!I36/50</f>
        <v>2.64</v>
      </c>
      <c r="J35" s="27">
        <f>rebio23_80ml!J36/50</f>
        <v>0</v>
      </c>
      <c r="K35" s="27">
        <f>rebio23_80ml!K36/50</f>
        <v>0</v>
      </c>
      <c r="L35" s="27">
        <f>rebio23_80ml!L36/50</f>
        <v>0</v>
      </c>
      <c r="M35" s="27">
        <f>rebio23_80ml!M36/50</f>
        <v>0.02</v>
      </c>
      <c r="N35" s="27">
        <f>rebio23_80ml!N36/50</f>
        <v>0.04</v>
      </c>
      <c r="O35" s="27">
        <f>rebio23_80ml!O36/50</f>
        <v>0</v>
      </c>
      <c r="P35" s="27">
        <f>rebio23_80ml!P36/50</f>
        <v>0</v>
      </c>
      <c r="Q35" s="27">
        <f>rebio23_80ml!Q36/50</f>
        <v>0</v>
      </c>
      <c r="R35" s="27">
        <f>rebio23_80ml!R36/50</f>
        <v>0</v>
      </c>
      <c r="S35" s="27">
        <f>rebio23_80ml!S36/50</f>
        <v>0.04</v>
      </c>
      <c r="T35" s="27">
        <f>rebio23_80ml!T36/50</f>
        <v>0.02</v>
      </c>
      <c r="U35" s="27">
        <f>rebio23_80ml!U36/50</f>
        <v>0.02</v>
      </c>
      <c r="V35" s="27">
        <f>rebio23_80ml!V36/50</f>
        <v>0.02</v>
      </c>
      <c r="W35" s="27">
        <f>rebio23_80ml!W36/50</f>
        <v>0</v>
      </c>
      <c r="X35" s="27">
        <f>rebio23_80ml!X36/50</f>
        <v>0</v>
      </c>
      <c r="Y35" s="27">
        <f>rebio23_80ml!Y36/50</f>
        <v>0.02</v>
      </c>
      <c r="Z35" s="27">
        <f>rebio23_80ml!Z36/50</f>
        <v>0</v>
      </c>
      <c r="AA35" s="27">
        <f>rebio23_80ml!AA36/50</f>
        <v>0</v>
      </c>
      <c r="AB35" s="27">
        <f>rebio23_80ml!AB36/50</f>
        <v>0.02</v>
      </c>
      <c r="AC35" s="27">
        <f>rebio23_80ml!AC36/50</f>
        <v>0.02</v>
      </c>
      <c r="AD35" s="27">
        <f>rebio23_80ml!AD36/50</f>
        <v>0.02</v>
      </c>
      <c r="AE35" s="27">
        <f>rebio23_80ml!AE36/50</f>
        <v>0</v>
      </c>
      <c r="AF35" s="27">
        <f>rebio23_80ml!AF36/50</f>
        <v>0</v>
      </c>
      <c r="AG35" s="27">
        <f>rebio23_80ml!AG36/50</f>
        <v>0</v>
      </c>
      <c r="AH35" s="27">
        <f>rebio23_80ml!AH36/50</f>
        <v>0</v>
      </c>
      <c r="AI35" s="27">
        <f>rebio23_80ml!AI36/50</f>
        <v>0</v>
      </c>
      <c r="AJ35" s="27">
        <f>rebio23_80ml!AJ36/50</f>
        <v>0</v>
      </c>
      <c r="AK35" s="27">
        <f>rebio23_80ml!AK36/50</f>
        <v>0</v>
      </c>
      <c r="AL35" s="27">
        <f>rebio23_80ml!AL36/50</f>
        <v>0</v>
      </c>
      <c r="AM35" s="27">
        <f>rebio23_80ml!AM36/50</f>
        <v>0</v>
      </c>
      <c r="AN35" s="27">
        <f>rebio23_80ml!AN36/50</f>
        <v>0</v>
      </c>
      <c r="AO35" s="27">
        <f>rebio23_80ml!AO36/50</f>
        <v>0</v>
      </c>
      <c r="AP35" s="27">
        <f>rebio23_80ml!AP36/50</f>
        <v>0</v>
      </c>
      <c r="AQ35" s="27">
        <f>rebio23_80ml!AQ36/50</f>
        <v>0</v>
      </c>
      <c r="AR35" s="27">
        <f>rebio23_80ml!AR36/50</f>
        <v>0</v>
      </c>
      <c r="AS35" s="27">
        <f>rebio23_80ml!AS36/50</f>
        <v>0</v>
      </c>
      <c r="AT35" s="27">
        <f>rebio23_80ml!AT36/50</f>
        <v>0</v>
      </c>
      <c r="AU35" s="27">
        <f>rebio23_80ml!AU36/50</f>
        <v>0</v>
      </c>
      <c r="AV35" s="27">
        <f>rebio23_80ml!AV36/50</f>
        <v>16.34</v>
      </c>
      <c r="AW35" s="27">
        <f>rebio23_80ml!AW36/50</f>
        <v>0.56000000000000005</v>
      </c>
      <c r="AX35" s="27">
        <f>rebio23_80ml!AX36/50</f>
        <v>0.08</v>
      </c>
      <c r="AY35" s="27">
        <f>rebio23_80ml!AY36/50</f>
        <v>0</v>
      </c>
      <c r="AZ35" s="27">
        <f>rebio23_80ml!AZ36/50</f>
        <v>0</v>
      </c>
      <c r="BA35" s="27">
        <f>rebio23_80ml!BA36/50</f>
        <v>0.68</v>
      </c>
      <c r="BB35" s="27">
        <f>rebio23_80ml!BB36/50</f>
        <v>0</v>
      </c>
      <c r="BC35" s="27">
        <f>rebio23_80ml!BC36/50</f>
        <v>2.82</v>
      </c>
      <c r="BD35" s="27">
        <f>rebio23_80ml!BD36/50</f>
        <v>0.18</v>
      </c>
      <c r="BE35" s="27">
        <f>rebio23_80ml!BE36/50</f>
        <v>0.04</v>
      </c>
      <c r="BF35" s="27">
        <f>rebio23_80ml!BF36/50</f>
        <v>0</v>
      </c>
      <c r="BG35" s="27">
        <f>rebio23_80ml!BG36/50</f>
        <v>0</v>
      </c>
    </row>
    <row r="36" spans="1:59" ht="12.75" customHeight="1" x14ac:dyDescent="0.25">
      <c r="A36" s="15" t="str">
        <f>rebio23_80ml!A37</f>
        <v>S-C-P16-H2</v>
      </c>
      <c r="B36" s="27">
        <f>rebio23_80ml!B37/50</f>
        <v>0.04</v>
      </c>
      <c r="C36" s="27">
        <f>rebio23_80ml!C37/50</f>
        <v>0</v>
      </c>
      <c r="D36" s="27">
        <f>rebio23_80ml!D37/50</f>
        <v>0.06</v>
      </c>
      <c r="E36" s="27">
        <f>rebio23_80ml!E37/50</f>
        <v>0.18</v>
      </c>
      <c r="F36" s="27">
        <f>rebio23_80ml!F37/50</f>
        <v>0</v>
      </c>
      <c r="G36" s="27">
        <f>rebio23_80ml!G37/50</f>
        <v>0.08</v>
      </c>
      <c r="H36" s="27">
        <f>rebio23_80ml!H37/50</f>
        <v>0</v>
      </c>
      <c r="I36" s="27">
        <f>rebio23_80ml!I37/50</f>
        <v>0.38</v>
      </c>
      <c r="J36" s="27">
        <f>rebio23_80ml!J37/50</f>
        <v>0</v>
      </c>
      <c r="K36" s="27">
        <f>rebio23_80ml!K37/50</f>
        <v>0.02</v>
      </c>
      <c r="L36" s="27">
        <f>rebio23_80ml!L37/50</f>
        <v>0.66</v>
      </c>
      <c r="M36" s="27">
        <f>rebio23_80ml!M37/50</f>
        <v>0.34</v>
      </c>
      <c r="N36" s="27">
        <f>rebio23_80ml!N37/50</f>
        <v>0</v>
      </c>
      <c r="O36" s="27">
        <f>rebio23_80ml!O37/50</f>
        <v>0</v>
      </c>
      <c r="P36" s="27">
        <f>rebio23_80ml!P37/50</f>
        <v>0</v>
      </c>
      <c r="Q36" s="27">
        <f>rebio23_80ml!Q37/50</f>
        <v>0</v>
      </c>
      <c r="R36" s="27">
        <f>rebio23_80ml!R37/50</f>
        <v>0</v>
      </c>
      <c r="S36" s="27">
        <f>rebio23_80ml!S37/50</f>
        <v>0.12</v>
      </c>
      <c r="T36" s="27">
        <f>rebio23_80ml!T37/50</f>
        <v>0.04</v>
      </c>
      <c r="U36" s="27">
        <f>rebio23_80ml!U37/50</f>
        <v>0</v>
      </c>
      <c r="V36" s="27">
        <f>rebio23_80ml!V37/50</f>
        <v>0.06</v>
      </c>
      <c r="W36" s="27">
        <f>rebio23_80ml!W37/50</f>
        <v>0</v>
      </c>
      <c r="X36" s="27">
        <f>rebio23_80ml!X37/50</f>
        <v>0</v>
      </c>
      <c r="Y36" s="27">
        <f>rebio23_80ml!Y37/50</f>
        <v>0</v>
      </c>
      <c r="Z36" s="27">
        <f>rebio23_80ml!Z37/50</f>
        <v>0</v>
      </c>
      <c r="AA36" s="27">
        <f>rebio23_80ml!AA37/50</f>
        <v>0.02</v>
      </c>
      <c r="AB36" s="27">
        <f>rebio23_80ml!AB37/50</f>
        <v>0</v>
      </c>
      <c r="AC36" s="27">
        <f>rebio23_80ml!AC37/50</f>
        <v>0</v>
      </c>
      <c r="AD36" s="27">
        <f>rebio23_80ml!AD37/50</f>
        <v>0</v>
      </c>
      <c r="AE36" s="27">
        <f>rebio23_80ml!AE37/50</f>
        <v>0</v>
      </c>
      <c r="AF36" s="27">
        <f>rebio23_80ml!AF37/50</f>
        <v>0</v>
      </c>
      <c r="AG36" s="27">
        <f>rebio23_80ml!AG37/50</f>
        <v>0</v>
      </c>
      <c r="AH36" s="27">
        <f>rebio23_80ml!AH37/50</f>
        <v>0</v>
      </c>
      <c r="AI36" s="27">
        <f>rebio23_80ml!AI37/50</f>
        <v>0</v>
      </c>
      <c r="AJ36" s="27">
        <f>rebio23_80ml!AJ37/50</f>
        <v>0</v>
      </c>
      <c r="AK36" s="27">
        <f>rebio23_80ml!AK37/50</f>
        <v>0</v>
      </c>
      <c r="AL36" s="27">
        <f>rebio23_80ml!AL37/50</f>
        <v>0</v>
      </c>
      <c r="AM36" s="27">
        <f>rebio23_80ml!AM37/50</f>
        <v>0.06</v>
      </c>
      <c r="AN36" s="27">
        <f>rebio23_80ml!AN37/50</f>
        <v>0.04</v>
      </c>
      <c r="AO36" s="27">
        <f>rebio23_80ml!AO37/50</f>
        <v>0.08</v>
      </c>
      <c r="AP36" s="27">
        <f>rebio23_80ml!AP37/50</f>
        <v>0.04</v>
      </c>
      <c r="AQ36" s="27">
        <f>rebio23_80ml!AQ37/50</f>
        <v>0.08</v>
      </c>
      <c r="AR36" s="27">
        <f>rebio23_80ml!AR37/50</f>
        <v>0</v>
      </c>
      <c r="AS36" s="27">
        <f>rebio23_80ml!AS37/50</f>
        <v>0</v>
      </c>
      <c r="AT36" s="27">
        <f>rebio23_80ml!AT37/50</f>
        <v>0</v>
      </c>
      <c r="AU36" s="27">
        <f>rebio23_80ml!AU37/50</f>
        <v>0</v>
      </c>
      <c r="AV36" s="27">
        <f>rebio23_80ml!AV37/50</f>
        <v>1.82</v>
      </c>
      <c r="AW36" s="27">
        <f>rebio23_80ml!AW37/50</f>
        <v>0.16</v>
      </c>
      <c r="AX36" s="27">
        <f>rebio23_80ml!AX37/50</f>
        <v>0.14000000000000001</v>
      </c>
      <c r="AY36" s="27">
        <f>rebio23_80ml!AY37/50</f>
        <v>0</v>
      </c>
      <c r="AZ36" s="27">
        <f>rebio23_80ml!AZ37/50</f>
        <v>0</v>
      </c>
      <c r="BA36" s="27">
        <f>rebio23_80ml!BA37/50</f>
        <v>0.04</v>
      </c>
      <c r="BB36" s="27">
        <f>rebio23_80ml!BB37/50</f>
        <v>0</v>
      </c>
      <c r="BC36" s="27">
        <f>rebio23_80ml!BC37/50</f>
        <v>0.04</v>
      </c>
      <c r="BD36" s="27">
        <f>rebio23_80ml!BD37/50</f>
        <v>0.02</v>
      </c>
      <c r="BE36" s="27">
        <f>rebio23_80ml!BE37/50</f>
        <v>0.02</v>
      </c>
      <c r="BF36" s="27">
        <f>rebio23_80ml!BF37/50</f>
        <v>0</v>
      </c>
      <c r="BG36" s="27">
        <f>rebio23_80ml!BG37/50</f>
        <v>0</v>
      </c>
    </row>
    <row r="37" spans="1:59" ht="12.75" customHeight="1" x14ac:dyDescent="0.25">
      <c r="A37" s="15" t="str">
        <f>rebio23_80ml!A38</f>
        <v>S-C-P16-H3</v>
      </c>
      <c r="B37" s="27">
        <f>rebio23_80ml!B38/50</f>
        <v>0</v>
      </c>
      <c r="C37" s="27">
        <f>rebio23_80ml!C38/50</f>
        <v>0</v>
      </c>
      <c r="D37" s="27">
        <f>rebio23_80ml!D38/50</f>
        <v>0</v>
      </c>
      <c r="E37" s="27">
        <f>rebio23_80ml!E38/50</f>
        <v>0.32</v>
      </c>
      <c r="F37" s="27">
        <f>rebio23_80ml!F38/50</f>
        <v>0</v>
      </c>
      <c r="G37" s="27">
        <f>rebio23_80ml!G38/50</f>
        <v>0</v>
      </c>
      <c r="H37" s="27">
        <f>rebio23_80ml!H38/50</f>
        <v>0</v>
      </c>
      <c r="I37" s="27">
        <f>rebio23_80ml!I38/50</f>
        <v>0.32</v>
      </c>
      <c r="J37" s="27">
        <f>rebio23_80ml!J38/50</f>
        <v>0</v>
      </c>
      <c r="K37" s="27">
        <f>rebio23_80ml!K38/50</f>
        <v>0</v>
      </c>
      <c r="L37" s="27">
        <f>rebio23_80ml!L38/50</f>
        <v>0</v>
      </c>
      <c r="M37" s="27">
        <f>rebio23_80ml!M38/50</f>
        <v>0</v>
      </c>
      <c r="N37" s="27">
        <f>rebio23_80ml!N38/50</f>
        <v>0</v>
      </c>
      <c r="O37" s="27">
        <f>rebio23_80ml!O38/50</f>
        <v>0</v>
      </c>
      <c r="P37" s="27">
        <f>rebio23_80ml!P38/50</f>
        <v>0</v>
      </c>
      <c r="Q37" s="27">
        <f>rebio23_80ml!Q38/50</f>
        <v>0</v>
      </c>
      <c r="R37" s="27">
        <f>rebio23_80ml!R38/50</f>
        <v>0</v>
      </c>
      <c r="S37" s="27">
        <f>rebio23_80ml!S38/50</f>
        <v>0</v>
      </c>
      <c r="T37" s="27">
        <f>rebio23_80ml!T38/50</f>
        <v>0</v>
      </c>
      <c r="U37" s="27">
        <f>rebio23_80ml!U38/50</f>
        <v>0</v>
      </c>
      <c r="V37" s="27">
        <f>rebio23_80ml!V38/50</f>
        <v>0</v>
      </c>
      <c r="W37" s="27">
        <f>rebio23_80ml!W38/50</f>
        <v>0</v>
      </c>
      <c r="X37" s="27">
        <f>rebio23_80ml!X38/50</f>
        <v>0</v>
      </c>
      <c r="Y37" s="27">
        <f>rebio23_80ml!Y38/50</f>
        <v>0.04</v>
      </c>
      <c r="Z37" s="27">
        <f>rebio23_80ml!Z38/50</f>
        <v>0</v>
      </c>
      <c r="AA37" s="27">
        <f>rebio23_80ml!AA38/50</f>
        <v>0.04</v>
      </c>
      <c r="AB37" s="27">
        <f>rebio23_80ml!AB38/50</f>
        <v>0</v>
      </c>
      <c r="AC37" s="27">
        <f>rebio23_80ml!AC38/50</f>
        <v>0</v>
      </c>
      <c r="AD37" s="27">
        <f>rebio23_80ml!AD38/50</f>
        <v>0</v>
      </c>
      <c r="AE37" s="27">
        <f>rebio23_80ml!AE38/50</f>
        <v>0</v>
      </c>
      <c r="AF37" s="27">
        <f>rebio23_80ml!AF38/50</f>
        <v>0</v>
      </c>
      <c r="AG37" s="27">
        <f>rebio23_80ml!AG38/50</f>
        <v>0</v>
      </c>
      <c r="AH37" s="27">
        <f>rebio23_80ml!AH38/50</f>
        <v>0</v>
      </c>
      <c r="AI37" s="27">
        <f>rebio23_80ml!AI38/50</f>
        <v>0</v>
      </c>
      <c r="AJ37" s="27">
        <f>rebio23_80ml!AJ38/50</f>
        <v>0</v>
      </c>
      <c r="AK37" s="27">
        <f>rebio23_80ml!AK38/50</f>
        <v>0</v>
      </c>
      <c r="AL37" s="27">
        <f>rebio23_80ml!AL38/50</f>
        <v>0</v>
      </c>
      <c r="AM37" s="27">
        <f>rebio23_80ml!AM38/50</f>
        <v>0</v>
      </c>
      <c r="AN37" s="27">
        <f>rebio23_80ml!AN38/50</f>
        <v>0</v>
      </c>
      <c r="AO37" s="27">
        <f>rebio23_80ml!AO38/50</f>
        <v>0</v>
      </c>
      <c r="AP37" s="27">
        <f>rebio23_80ml!AP38/50</f>
        <v>0</v>
      </c>
      <c r="AQ37" s="27">
        <f>rebio23_80ml!AQ38/50</f>
        <v>0.04</v>
      </c>
      <c r="AR37" s="27">
        <f>rebio23_80ml!AR38/50</f>
        <v>0</v>
      </c>
      <c r="AS37" s="27">
        <f>rebio23_80ml!AS38/50</f>
        <v>0</v>
      </c>
      <c r="AT37" s="27">
        <f>rebio23_80ml!AT38/50</f>
        <v>0</v>
      </c>
      <c r="AU37" s="27">
        <f>rebio23_80ml!AU38/50</f>
        <v>0</v>
      </c>
      <c r="AV37" s="27">
        <f>rebio23_80ml!AV38/50</f>
        <v>0.9</v>
      </c>
      <c r="AW37" s="27">
        <f>rebio23_80ml!AW38/50</f>
        <v>0.24</v>
      </c>
      <c r="AX37" s="27">
        <f>rebio23_80ml!AX38/50</f>
        <v>0</v>
      </c>
      <c r="AY37" s="27">
        <f>rebio23_80ml!AY38/50</f>
        <v>0</v>
      </c>
      <c r="AZ37" s="27">
        <f>rebio23_80ml!AZ38/50</f>
        <v>0</v>
      </c>
      <c r="BA37" s="27">
        <f>rebio23_80ml!BA38/50</f>
        <v>0</v>
      </c>
      <c r="BB37" s="27">
        <f>rebio23_80ml!BB38/50</f>
        <v>0</v>
      </c>
      <c r="BC37" s="27">
        <f>rebio23_80ml!BC38/50</f>
        <v>0.04</v>
      </c>
      <c r="BD37" s="27">
        <f>rebio23_80ml!BD38/50</f>
        <v>0.02</v>
      </c>
      <c r="BE37" s="27">
        <f>rebio23_80ml!BE38/50</f>
        <v>0</v>
      </c>
      <c r="BF37" s="27">
        <f>rebio23_80ml!BF38/50</f>
        <v>0.02</v>
      </c>
      <c r="BG37" s="27">
        <f>rebio23_80ml!BG38/50</f>
        <v>0</v>
      </c>
    </row>
    <row r="38" spans="1:59" ht="12.75" customHeight="1" x14ac:dyDescent="0.25">
      <c r="A38" s="15" t="str">
        <f>rebio23_80ml!A39</f>
        <v>S-C-P17-H1</v>
      </c>
      <c r="B38" s="27">
        <f>rebio23_80ml!B39/50</f>
        <v>0</v>
      </c>
      <c r="C38" s="27">
        <f>rebio23_80ml!C39/50</f>
        <v>0</v>
      </c>
      <c r="D38" s="27">
        <f>rebio23_80ml!D39/50</f>
        <v>0</v>
      </c>
      <c r="E38" s="27">
        <f>rebio23_80ml!E39/50</f>
        <v>0.56000000000000005</v>
      </c>
      <c r="F38" s="27">
        <f>rebio23_80ml!F39/50</f>
        <v>0</v>
      </c>
      <c r="G38" s="27">
        <f>rebio23_80ml!G39/50</f>
        <v>0</v>
      </c>
      <c r="H38" s="27">
        <f>rebio23_80ml!H39/50</f>
        <v>0</v>
      </c>
      <c r="I38" s="27">
        <f>rebio23_80ml!I39/50</f>
        <v>1.1000000000000001</v>
      </c>
      <c r="J38" s="27">
        <f>rebio23_80ml!J39/50</f>
        <v>0</v>
      </c>
      <c r="K38" s="27">
        <f>rebio23_80ml!K39/50</f>
        <v>0</v>
      </c>
      <c r="L38" s="27">
        <f>rebio23_80ml!L39/50</f>
        <v>0</v>
      </c>
      <c r="M38" s="27">
        <f>rebio23_80ml!M39/50</f>
        <v>0</v>
      </c>
      <c r="N38" s="27">
        <f>rebio23_80ml!N39/50</f>
        <v>0</v>
      </c>
      <c r="O38" s="27">
        <f>rebio23_80ml!O39/50</f>
        <v>0</v>
      </c>
      <c r="P38" s="27">
        <f>rebio23_80ml!P39/50</f>
        <v>0</v>
      </c>
      <c r="Q38" s="27">
        <f>rebio23_80ml!Q39/50</f>
        <v>0.04</v>
      </c>
      <c r="R38" s="27">
        <f>rebio23_80ml!R39/50</f>
        <v>0</v>
      </c>
      <c r="S38" s="27">
        <f>rebio23_80ml!S39/50</f>
        <v>0</v>
      </c>
      <c r="T38" s="27">
        <f>rebio23_80ml!T39/50</f>
        <v>0</v>
      </c>
      <c r="U38" s="27">
        <f>rebio23_80ml!U39/50</f>
        <v>0</v>
      </c>
      <c r="V38" s="27">
        <f>rebio23_80ml!V39/50</f>
        <v>0</v>
      </c>
      <c r="W38" s="27">
        <f>rebio23_80ml!W39/50</f>
        <v>0</v>
      </c>
      <c r="X38" s="27">
        <f>rebio23_80ml!X39/50</f>
        <v>0</v>
      </c>
      <c r="Y38" s="27">
        <f>rebio23_80ml!Y39/50</f>
        <v>0.02</v>
      </c>
      <c r="Z38" s="27">
        <f>rebio23_80ml!Z39/50</f>
        <v>0</v>
      </c>
      <c r="AA38" s="27">
        <f>rebio23_80ml!AA39/50</f>
        <v>0</v>
      </c>
      <c r="AB38" s="27">
        <f>rebio23_80ml!AB39/50</f>
        <v>0</v>
      </c>
      <c r="AC38" s="27">
        <f>rebio23_80ml!AC39/50</f>
        <v>0</v>
      </c>
      <c r="AD38" s="27">
        <f>rebio23_80ml!AD39/50</f>
        <v>0.02</v>
      </c>
      <c r="AE38" s="27">
        <f>rebio23_80ml!AE39/50</f>
        <v>0</v>
      </c>
      <c r="AF38" s="27">
        <f>rebio23_80ml!AF39/50</f>
        <v>0</v>
      </c>
      <c r="AG38" s="27">
        <f>rebio23_80ml!AG39/50</f>
        <v>0.02</v>
      </c>
      <c r="AH38" s="27">
        <f>rebio23_80ml!AH39/50</f>
        <v>0</v>
      </c>
      <c r="AI38" s="27">
        <f>rebio23_80ml!AI39/50</f>
        <v>0</v>
      </c>
      <c r="AJ38" s="27">
        <f>rebio23_80ml!AJ39/50</f>
        <v>0</v>
      </c>
      <c r="AK38" s="27">
        <f>rebio23_80ml!AK39/50</f>
        <v>0</v>
      </c>
      <c r="AL38" s="27">
        <f>rebio23_80ml!AL39/50</f>
        <v>0</v>
      </c>
      <c r="AM38" s="27">
        <f>rebio23_80ml!AM39/50</f>
        <v>0</v>
      </c>
      <c r="AN38" s="27">
        <f>rebio23_80ml!AN39/50</f>
        <v>0</v>
      </c>
      <c r="AO38" s="27">
        <f>rebio23_80ml!AO39/50</f>
        <v>0</v>
      </c>
      <c r="AP38" s="27">
        <f>rebio23_80ml!AP39/50</f>
        <v>0</v>
      </c>
      <c r="AQ38" s="27">
        <f>rebio23_80ml!AQ39/50</f>
        <v>0.02</v>
      </c>
      <c r="AR38" s="27">
        <f>rebio23_80ml!AR39/50</f>
        <v>0</v>
      </c>
      <c r="AS38" s="27">
        <f>rebio23_80ml!AS39/50</f>
        <v>0</v>
      </c>
      <c r="AT38" s="27">
        <f>rebio23_80ml!AT39/50</f>
        <v>0</v>
      </c>
      <c r="AU38" s="27">
        <f>rebio23_80ml!AU39/50</f>
        <v>0</v>
      </c>
      <c r="AV38" s="27">
        <f>rebio23_80ml!AV39/50</f>
        <v>0.3</v>
      </c>
      <c r="AW38" s="27">
        <f>rebio23_80ml!AW39/50</f>
        <v>0.02</v>
      </c>
      <c r="AX38" s="27">
        <f>rebio23_80ml!AX39/50</f>
        <v>0</v>
      </c>
      <c r="AY38" s="27">
        <f>rebio23_80ml!AY39/50</f>
        <v>0</v>
      </c>
      <c r="AZ38" s="27">
        <f>rebio23_80ml!AZ39/50</f>
        <v>0</v>
      </c>
      <c r="BA38" s="27">
        <f>rebio23_80ml!BA39/50</f>
        <v>0</v>
      </c>
      <c r="BB38" s="27">
        <f>rebio23_80ml!BB39/50</f>
        <v>0</v>
      </c>
      <c r="BC38" s="27">
        <f>rebio23_80ml!BC39/50</f>
        <v>0</v>
      </c>
      <c r="BD38" s="27">
        <f>rebio23_80ml!BD39/50</f>
        <v>0</v>
      </c>
      <c r="BE38" s="27">
        <f>rebio23_80ml!BE39/50</f>
        <v>0</v>
      </c>
      <c r="BF38" s="27">
        <f>rebio23_80ml!BF39/50</f>
        <v>0</v>
      </c>
      <c r="BG38" s="27">
        <f>rebio23_80ml!BG39/50</f>
        <v>0</v>
      </c>
    </row>
    <row r="39" spans="1:59" ht="12.75" customHeight="1" x14ac:dyDescent="0.25">
      <c r="A39" s="15" t="str">
        <f>rebio23_80ml!A40</f>
        <v>S-C-P17-H2</v>
      </c>
      <c r="B39" s="27">
        <f>rebio23_80ml!B40/50</f>
        <v>0.04</v>
      </c>
      <c r="C39" s="27">
        <f>rebio23_80ml!C40/50</f>
        <v>0</v>
      </c>
      <c r="D39" s="27">
        <f>rebio23_80ml!D40/50</f>
        <v>0</v>
      </c>
      <c r="E39" s="27">
        <f>rebio23_80ml!E40/50</f>
        <v>0.78</v>
      </c>
      <c r="F39" s="27">
        <f>rebio23_80ml!F40/50</f>
        <v>0</v>
      </c>
      <c r="G39" s="27">
        <f>rebio23_80ml!G40/50</f>
        <v>0</v>
      </c>
      <c r="H39" s="27">
        <f>rebio23_80ml!H40/50</f>
        <v>0</v>
      </c>
      <c r="I39" s="27">
        <f>rebio23_80ml!I40/50</f>
        <v>1.44</v>
      </c>
      <c r="J39" s="27">
        <f>rebio23_80ml!J40/50</f>
        <v>0</v>
      </c>
      <c r="K39" s="27">
        <f>rebio23_80ml!K40/50</f>
        <v>0.02</v>
      </c>
      <c r="L39" s="27">
        <f>rebio23_80ml!L40/50</f>
        <v>0</v>
      </c>
      <c r="M39" s="27">
        <f>rebio23_80ml!M40/50</f>
        <v>0</v>
      </c>
      <c r="N39" s="27">
        <f>rebio23_80ml!N40/50</f>
        <v>0</v>
      </c>
      <c r="O39" s="27">
        <f>rebio23_80ml!O40/50</f>
        <v>0</v>
      </c>
      <c r="P39" s="27">
        <f>rebio23_80ml!P40/50</f>
        <v>0</v>
      </c>
      <c r="Q39" s="27">
        <f>rebio23_80ml!Q40/50</f>
        <v>0</v>
      </c>
      <c r="R39" s="27">
        <f>rebio23_80ml!R40/50</f>
        <v>0</v>
      </c>
      <c r="S39" s="27">
        <f>rebio23_80ml!S40/50</f>
        <v>0.02</v>
      </c>
      <c r="T39" s="27">
        <f>rebio23_80ml!T40/50</f>
        <v>0</v>
      </c>
      <c r="U39" s="27">
        <f>rebio23_80ml!U40/50</f>
        <v>0</v>
      </c>
      <c r="V39" s="27">
        <f>rebio23_80ml!V40/50</f>
        <v>0</v>
      </c>
      <c r="W39" s="27">
        <f>rebio23_80ml!W40/50</f>
        <v>0</v>
      </c>
      <c r="X39" s="27">
        <f>rebio23_80ml!X40/50</f>
        <v>0</v>
      </c>
      <c r="Y39" s="27">
        <f>rebio23_80ml!Y40/50</f>
        <v>0</v>
      </c>
      <c r="Z39" s="27">
        <f>rebio23_80ml!Z40/50</f>
        <v>0</v>
      </c>
      <c r="AA39" s="27">
        <f>rebio23_80ml!AA40/50</f>
        <v>0</v>
      </c>
      <c r="AB39" s="27">
        <f>rebio23_80ml!AB40/50</f>
        <v>0</v>
      </c>
      <c r="AC39" s="27">
        <f>rebio23_80ml!AC40/50</f>
        <v>0</v>
      </c>
      <c r="AD39" s="27">
        <f>rebio23_80ml!AD40/50</f>
        <v>0</v>
      </c>
      <c r="AE39" s="27">
        <f>rebio23_80ml!AE40/50</f>
        <v>0</v>
      </c>
      <c r="AF39" s="27">
        <f>rebio23_80ml!AF40/50</f>
        <v>0</v>
      </c>
      <c r="AG39" s="27">
        <f>rebio23_80ml!AG40/50</f>
        <v>0</v>
      </c>
      <c r="AH39" s="27">
        <f>rebio23_80ml!AH40/50</f>
        <v>0</v>
      </c>
      <c r="AI39" s="27">
        <f>rebio23_80ml!AI40/50</f>
        <v>0</v>
      </c>
      <c r="AJ39" s="27">
        <f>rebio23_80ml!AJ40/50</f>
        <v>0</v>
      </c>
      <c r="AK39" s="27">
        <f>rebio23_80ml!AK40/50</f>
        <v>0</v>
      </c>
      <c r="AL39" s="27">
        <f>rebio23_80ml!AL40/50</f>
        <v>0</v>
      </c>
      <c r="AM39" s="27">
        <f>rebio23_80ml!AM40/50</f>
        <v>0</v>
      </c>
      <c r="AN39" s="27">
        <f>rebio23_80ml!AN40/50</f>
        <v>0</v>
      </c>
      <c r="AO39" s="27">
        <f>rebio23_80ml!AO40/50</f>
        <v>0.06</v>
      </c>
      <c r="AP39" s="27">
        <f>rebio23_80ml!AP40/50</f>
        <v>0</v>
      </c>
      <c r="AQ39" s="27">
        <f>rebio23_80ml!AQ40/50</f>
        <v>0</v>
      </c>
      <c r="AR39" s="27">
        <f>rebio23_80ml!AR40/50</f>
        <v>0</v>
      </c>
      <c r="AS39" s="27">
        <f>rebio23_80ml!AS40/50</f>
        <v>0</v>
      </c>
      <c r="AT39" s="27">
        <f>rebio23_80ml!AT40/50</f>
        <v>0</v>
      </c>
      <c r="AU39" s="27">
        <f>rebio23_80ml!AU40/50</f>
        <v>0</v>
      </c>
      <c r="AV39" s="27">
        <f>rebio23_80ml!AV40/50</f>
        <v>0.84</v>
      </c>
      <c r="AW39" s="27">
        <f>rebio23_80ml!AW40/50</f>
        <v>0.4</v>
      </c>
      <c r="AX39" s="27">
        <f>rebio23_80ml!AX40/50</f>
        <v>0.52</v>
      </c>
      <c r="AY39" s="27">
        <f>rebio23_80ml!AY40/50</f>
        <v>0</v>
      </c>
      <c r="AZ39" s="27">
        <f>rebio23_80ml!AZ40/50</f>
        <v>0</v>
      </c>
      <c r="BA39" s="27">
        <f>rebio23_80ml!BA40/50</f>
        <v>0</v>
      </c>
      <c r="BB39" s="27">
        <f>rebio23_80ml!BB40/50</f>
        <v>0</v>
      </c>
      <c r="BC39" s="27">
        <f>rebio23_80ml!BC40/50</f>
        <v>0</v>
      </c>
      <c r="BD39" s="27">
        <f>rebio23_80ml!BD40/50</f>
        <v>0</v>
      </c>
      <c r="BE39" s="27">
        <f>rebio23_80ml!BE40/50</f>
        <v>0</v>
      </c>
      <c r="BF39" s="27">
        <f>rebio23_80ml!BF40/50</f>
        <v>0.02</v>
      </c>
      <c r="BG39" s="27">
        <f>rebio23_80ml!BG40/50</f>
        <v>0</v>
      </c>
    </row>
    <row r="40" spans="1:59" ht="12.75" customHeight="1" x14ac:dyDescent="0.25">
      <c r="A40" s="15" t="str">
        <f>rebio23_80ml!A41</f>
        <v>S-C-P17-H3</v>
      </c>
      <c r="B40" s="27">
        <f>rebio23_80ml!B41/50</f>
        <v>0.02</v>
      </c>
      <c r="C40" s="27">
        <f>rebio23_80ml!C41/50</f>
        <v>0</v>
      </c>
      <c r="D40" s="27">
        <f>rebio23_80ml!D41/50</f>
        <v>0</v>
      </c>
      <c r="E40" s="27">
        <f>rebio23_80ml!E41/50</f>
        <v>1</v>
      </c>
      <c r="F40" s="27">
        <f>rebio23_80ml!F41/50</f>
        <v>0</v>
      </c>
      <c r="G40" s="27">
        <f>rebio23_80ml!G41/50</f>
        <v>0</v>
      </c>
      <c r="H40" s="27">
        <f>rebio23_80ml!H41/50</f>
        <v>0</v>
      </c>
      <c r="I40" s="27">
        <f>rebio23_80ml!I41/50</f>
        <v>1.4</v>
      </c>
      <c r="J40" s="27">
        <f>rebio23_80ml!J41/50</f>
        <v>0</v>
      </c>
      <c r="K40" s="27">
        <f>rebio23_80ml!K41/50</f>
        <v>0</v>
      </c>
      <c r="L40" s="27">
        <f>rebio23_80ml!L41/50</f>
        <v>0</v>
      </c>
      <c r="M40" s="27">
        <f>rebio23_80ml!M41/50</f>
        <v>0</v>
      </c>
      <c r="N40" s="27">
        <f>rebio23_80ml!N41/50</f>
        <v>0</v>
      </c>
      <c r="O40" s="27">
        <f>rebio23_80ml!O41/50</f>
        <v>0.02</v>
      </c>
      <c r="P40" s="27">
        <f>rebio23_80ml!P41/50</f>
        <v>0.02</v>
      </c>
      <c r="Q40" s="27">
        <f>rebio23_80ml!Q41/50</f>
        <v>0.02</v>
      </c>
      <c r="R40" s="27">
        <f>rebio23_80ml!R41/50</f>
        <v>0</v>
      </c>
      <c r="S40" s="27">
        <f>rebio23_80ml!S41/50</f>
        <v>0</v>
      </c>
      <c r="T40" s="27">
        <f>rebio23_80ml!T41/50</f>
        <v>0</v>
      </c>
      <c r="U40" s="27">
        <f>rebio23_80ml!U41/50</f>
        <v>0</v>
      </c>
      <c r="V40" s="27">
        <f>rebio23_80ml!V41/50</f>
        <v>0</v>
      </c>
      <c r="W40" s="27">
        <f>rebio23_80ml!W41/50</f>
        <v>0</v>
      </c>
      <c r="X40" s="27">
        <f>rebio23_80ml!X41/50</f>
        <v>0</v>
      </c>
      <c r="Y40" s="27">
        <f>rebio23_80ml!Y41/50</f>
        <v>0</v>
      </c>
      <c r="Z40" s="27">
        <f>rebio23_80ml!Z41/50</f>
        <v>0</v>
      </c>
      <c r="AA40" s="27">
        <f>rebio23_80ml!AA41/50</f>
        <v>0</v>
      </c>
      <c r="AB40" s="27">
        <f>rebio23_80ml!AB41/50</f>
        <v>0</v>
      </c>
      <c r="AC40" s="27">
        <f>rebio23_80ml!AC41/50</f>
        <v>0</v>
      </c>
      <c r="AD40" s="27">
        <f>rebio23_80ml!AD41/50</f>
        <v>0</v>
      </c>
      <c r="AE40" s="27">
        <f>rebio23_80ml!AE41/50</f>
        <v>0</v>
      </c>
      <c r="AF40" s="27">
        <f>rebio23_80ml!AF41/50</f>
        <v>0</v>
      </c>
      <c r="AG40" s="27">
        <f>rebio23_80ml!AG41/50</f>
        <v>0</v>
      </c>
      <c r="AH40" s="27">
        <f>rebio23_80ml!AH41/50</f>
        <v>0</v>
      </c>
      <c r="AI40" s="27">
        <f>rebio23_80ml!AI41/50</f>
        <v>0</v>
      </c>
      <c r="AJ40" s="27">
        <f>rebio23_80ml!AJ41/50</f>
        <v>0</v>
      </c>
      <c r="AK40" s="27">
        <f>rebio23_80ml!AK41/50</f>
        <v>0</v>
      </c>
      <c r="AL40" s="27">
        <f>rebio23_80ml!AL41/50</f>
        <v>0</v>
      </c>
      <c r="AM40" s="27">
        <f>rebio23_80ml!AM41/50</f>
        <v>0.04</v>
      </c>
      <c r="AN40" s="27">
        <f>rebio23_80ml!AN41/50</f>
        <v>0</v>
      </c>
      <c r="AO40" s="27">
        <f>rebio23_80ml!AO41/50</f>
        <v>0</v>
      </c>
      <c r="AP40" s="27">
        <f>rebio23_80ml!AP41/50</f>
        <v>0</v>
      </c>
      <c r="AQ40" s="27">
        <f>rebio23_80ml!AQ41/50</f>
        <v>0</v>
      </c>
      <c r="AR40" s="27">
        <f>rebio23_80ml!AR41/50</f>
        <v>0.08</v>
      </c>
      <c r="AS40" s="27">
        <f>rebio23_80ml!AS41/50</f>
        <v>0.02</v>
      </c>
      <c r="AT40" s="27">
        <f>rebio23_80ml!AT41/50</f>
        <v>0.02</v>
      </c>
      <c r="AU40" s="27">
        <f>rebio23_80ml!AU41/50</f>
        <v>0</v>
      </c>
      <c r="AV40" s="27">
        <f>rebio23_80ml!AV41/50</f>
        <v>0.56000000000000005</v>
      </c>
      <c r="AW40" s="27">
        <f>rebio23_80ml!AW41/50</f>
        <v>0.28000000000000003</v>
      </c>
      <c r="AX40" s="27">
        <f>rebio23_80ml!AX41/50</f>
        <v>0.08</v>
      </c>
      <c r="AY40" s="27">
        <f>rebio23_80ml!AY41/50</f>
        <v>0</v>
      </c>
      <c r="AZ40" s="27">
        <f>rebio23_80ml!AZ41/50</f>
        <v>0</v>
      </c>
      <c r="BA40" s="27">
        <f>rebio23_80ml!BA41/50</f>
        <v>0</v>
      </c>
      <c r="BB40" s="27">
        <f>rebio23_80ml!BB41/50</f>
        <v>0</v>
      </c>
      <c r="BC40" s="27">
        <f>rebio23_80ml!BC41/50</f>
        <v>0</v>
      </c>
      <c r="BD40" s="27">
        <f>rebio23_80ml!BD41/50</f>
        <v>0</v>
      </c>
      <c r="BE40" s="27">
        <f>rebio23_80ml!BE41/50</f>
        <v>0</v>
      </c>
      <c r="BF40" s="27">
        <f>rebio23_80ml!BF41/50</f>
        <v>0</v>
      </c>
      <c r="BG40" s="27">
        <f>rebio23_80ml!BG41/50</f>
        <v>0</v>
      </c>
    </row>
    <row r="41" spans="1:59" ht="12.75" customHeight="1" x14ac:dyDescent="0.25">
      <c r="A41" s="15" t="str">
        <f>rebio23_80ml!A42</f>
        <v>S-C-P18-H1</v>
      </c>
      <c r="B41" s="27">
        <f>rebio23_80ml!B42/50</f>
        <v>0.02</v>
      </c>
      <c r="C41" s="27">
        <f>rebio23_80ml!C42/50</f>
        <v>0</v>
      </c>
      <c r="D41" s="27">
        <f>rebio23_80ml!D42/50</f>
        <v>0</v>
      </c>
      <c r="E41" s="27">
        <f>rebio23_80ml!E42/50</f>
        <v>0.44</v>
      </c>
      <c r="F41" s="27">
        <f>rebio23_80ml!F42/50</f>
        <v>0</v>
      </c>
      <c r="G41" s="27">
        <f>rebio23_80ml!G42/50</f>
        <v>0</v>
      </c>
      <c r="H41" s="27">
        <f>rebio23_80ml!H42/50</f>
        <v>0</v>
      </c>
      <c r="I41" s="27">
        <f>rebio23_80ml!I42/50</f>
        <v>0.08</v>
      </c>
      <c r="J41" s="27">
        <f>rebio23_80ml!J42/50</f>
        <v>0</v>
      </c>
      <c r="K41" s="27">
        <f>rebio23_80ml!K42/50</f>
        <v>0</v>
      </c>
      <c r="L41" s="27">
        <f>rebio23_80ml!L42/50</f>
        <v>0</v>
      </c>
      <c r="M41" s="27">
        <f>rebio23_80ml!M42/50</f>
        <v>0</v>
      </c>
      <c r="N41" s="27">
        <f>rebio23_80ml!N42/50</f>
        <v>0</v>
      </c>
      <c r="O41" s="27">
        <f>rebio23_80ml!O42/50</f>
        <v>0</v>
      </c>
      <c r="P41" s="27">
        <f>rebio23_80ml!P42/50</f>
        <v>0</v>
      </c>
      <c r="Q41" s="27">
        <f>rebio23_80ml!Q42/50</f>
        <v>0</v>
      </c>
      <c r="R41" s="27">
        <f>rebio23_80ml!R42/50</f>
        <v>0</v>
      </c>
      <c r="S41" s="27">
        <f>rebio23_80ml!S42/50</f>
        <v>0</v>
      </c>
      <c r="T41" s="27">
        <f>rebio23_80ml!T42/50</f>
        <v>0</v>
      </c>
      <c r="U41" s="27">
        <f>rebio23_80ml!U42/50</f>
        <v>0</v>
      </c>
      <c r="V41" s="27">
        <f>rebio23_80ml!V42/50</f>
        <v>0</v>
      </c>
      <c r="W41" s="27">
        <f>rebio23_80ml!W42/50</f>
        <v>0</v>
      </c>
      <c r="X41" s="27">
        <f>rebio23_80ml!X42/50</f>
        <v>0</v>
      </c>
      <c r="Y41" s="27">
        <f>rebio23_80ml!Y42/50</f>
        <v>0</v>
      </c>
      <c r="Z41" s="27">
        <f>rebio23_80ml!Z42/50</f>
        <v>0</v>
      </c>
      <c r="AA41" s="27">
        <f>rebio23_80ml!AA42/50</f>
        <v>0</v>
      </c>
      <c r="AB41" s="27">
        <f>rebio23_80ml!AB42/50</f>
        <v>0</v>
      </c>
      <c r="AC41" s="27">
        <f>rebio23_80ml!AC42/50</f>
        <v>0</v>
      </c>
      <c r="AD41" s="27">
        <f>rebio23_80ml!AD42/50</f>
        <v>0</v>
      </c>
      <c r="AE41" s="27">
        <f>rebio23_80ml!AE42/50</f>
        <v>0</v>
      </c>
      <c r="AF41" s="27">
        <f>rebio23_80ml!AF42/50</f>
        <v>0</v>
      </c>
      <c r="AG41" s="27">
        <f>rebio23_80ml!AG42/50</f>
        <v>0</v>
      </c>
      <c r="AH41" s="27">
        <f>rebio23_80ml!AH42/50</f>
        <v>0</v>
      </c>
      <c r="AI41" s="27">
        <f>rebio23_80ml!AI42/50</f>
        <v>0</v>
      </c>
      <c r="AJ41" s="27">
        <f>rebio23_80ml!AJ42/50</f>
        <v>0</v>
      </c>
      <c r="AK41" s="27">
        <f>rebio23_80ml!AK42/50</f>
        <v>0</v>
      </c>
      <c r="AL41" s="27">
        <f>rebio23_80ml!AL42/50</f>
        <v>0</v>
      </c>
      <c r="AM41" s="27">
        <f>rebio23_80ml!AM42/50</f>
        <v>0</v>
      </c>
      <c r="AN41" s="27">
        <f>rebio23_80ml!AN42/50</f>
        <v>0</v>
      </c>
      <c r="AO41" s="27">
        <f>rebio23_80ml!AO42/50</f>
        <v>0</v>
      </c>
      <c r="AP41" s="27">
        <f>rebio23_80ml!AP42/50</f>
        <v>0</v>
      </c>
      <c r="AQ41" s="27">
        <f>rebio23_80ml!AQ42/50</f>
        <v>0</v>
      </c>
      <c r="AR41" s="27">
        <f>rebio23_80ml!AR42/50</f>
        <v>0</v>
      </c>
      <c r="AS41" s="27">
        <f>rebio23_80ml!AS42/50</f>
        <v>0</v>
      </c>
      <c r="AT41" s="27">
        <f>rebio23_80ml!AT42/50</f>
        <v>0</v>
      </c>
      <c r="AU41" s="27">
        <f>rebio23_80ml!AU42/50</f>
        <v>0</v>
      </c>
      <c r="AV41" s="27">
        <f>rebio23_80ml!AV42/50</f>
        <v>0.12</v>
      </c>
      <c r="AW41" s="27">
        <f>rebio23_80ml!AW42/50</f>
        <v>0</v>
      </c>
      <c r="AX41" s="27">
        <f>rebio23_80ml!AX42/50</f>
        <v>0.04</v>
      </c>
      <c r="AY41" s="27">
        <f>rebio23_80ml!AY42/50</f>
        <v>0</v>
      </c>
      <c r="AZ41" s="27">
        <f>rebio23_80ml!AZ42/50</f>
        <v>0</v>
      </c>
      <c r="BA41" s="27">
        <f>rebio23_80ml!BA42/50</f>
        <v>0</v>
      </c>
      <c r="BB41" s="27">
        <f>rebio23_80ml!BB42/50</f>
        <v>0</v>
      </c>
      <c r="BC41" s="27">
        <f>rebio23_80ml!BC42/50</f>
        <v>0</v>
      </c>
      <c r="BD41" s="27">
        <f>rebio23_80ml!BD42/50</f>
        <v>0</v>
      </c>
      <c r="BE41" s="27">
        <f>rebio23_80ml!BE42/50</f>
        <v>0</v>
      </c>
      <c r="BF41" s="27">
        <f>rebio23_80ml!BF42/50</f>
        <v>0</v>
      </c>
      <c r="BG41" s="27">
        <f>rebio23_80ml!BG42/50</f>
        <v>0</v>
      </c>
    </row>
    <row r="42" spans="1:59" ht="12.75" customHeight="1" x14ac:dyDescent="0.25">
      <c r="A42" s="15" t="str">
        <f>rebio23_80ml!A43</f>
        <v>S-C-P18-H2</v>
      </c>
      <c r="B42" s="27">
        <f>rebio23_80ml!B43/50</f>
        <v>0</v>
      </c>
      <c r="C42" s="27">
        <f>rebio23_80ml!C43/50</f>
        <v>0</v>
      </c>
      <c r="D42" s="27">
        <f>rebio23_80ml!D43/50</f>
        <v>0</v>
      </c>
      <c r="E42" s="27">
        <f>rebio23_80ml!E43/50</f>
        <v>0.26</v>
      </c>
      <c r="F42" s="27">
        <f>rebio23_80ml!F43/50</f>
        <v>0</v>
      </c>
      <c r="G42" s="27">
        <f>rebio23_80ml!G43/50</f>
        <v>0</v>
      </c>
      <c r="H42" s="27">
        <f>rebio23_80ml!H43/50</f>
        <v>0</v>
      </c>
      <c r="I42" s="27">
        <f>rebio23_80ml!I43/50</f>
        <v>0.3</v>
      </c>
      <c r="J42" s="27">
        <f>rebio23_80ml!J43/50</f>
        <v>0</v>
      </c>
      <c r="K42" s="27">
        <f>rebio23_80ml!K43/50</f>
        <v>0</v>
      </c>
      <c r="L42" s="27">
        <f>rebio23_80ml!L43/50</f>
        <v>0</v>
      </c>
      <c r="M42" s="27">
        <f>rebio23_80ml!M43/50</f>
        <v>0</v>
      </c>
      <c r="N42" s="27">
        <f>rebio23_80ml!N43/50</f>
        <v>0</v>
      </c>
      <c r="O42" s="27">
        <f>rebio23_80ml!O43/50</f>
        <v>0</v>
      </c>
      <c r="P42" s="27">
        <f>rebio23_80ml!P43/50</f>
        <v>0</v>
      </c>
      <c r="Q42" s="27">
        <f>rebio23_80ml!Q43/50</f>
        <v>0.02</v>
      </c>
      <c r="R42" s="27">
        <f>rebio23_80ml!R43/50</f>
        <v>0</v>
      </c>
      <c r="S42" s="27">
        <f>rebio23_80ml!S43/50</f>
        <v>0</v>
      </c>
      <c r="T42" s="27">
        <f>rebio23_80ml!T43/50</f>
        <v>0</v>
      </c>
      <c r="U42" s="27">
        <f>rebio23_80ml!U43/50</f>
        <v>0</v>
      </c>
      <c r="V42" s="27">
        <f>rebio23_80ml!V43/50</f>
        <v>0</v>
      </c>
      <c r="W42" s="27">
        <f>rebio23_80ml!W43/50</f>
        <v>0</v>
      </c>
      <c r="X42" s="27">
        <f>rebio23_80ml!X43/50</f>
        <v>0</v>
      </c>
      <c r="Y42" s="27">
        <f>rebio23_80ml!Y43/50</f>
        <v>0.06</v>
      </c>
      <c r="Z42" s="27">
        <f>rebio23_80ml!Z43/50</f>
        <v>0</v>
      </c>
      <c r="AA42" s="27">
        <f>rebio23_80ml!AA43/50</f>
        <v>0</v>
      </c>
      <c r="AB42" s="27">
        <f>rebio23_80ml!AB43/50</f>
        <v>0</v>
      </c>
      <c r="AC42" s="27">
        <f>rebio23_80ml!AC43/50</f>
        <v>0</v>
      </c>
      <c r="AD42" s="27">
        <f>rebio23_80ml!AD43/50</f>
        <v>0</v>
      </c>
      <c r="AE42" s="27">
        <f>rebio23_80ml!AE43/50</f>
        <v>0</v>
      </c>
      <c r="AF42" s="27">
        <f>rebio23_80ml!AF43/50</f>
        <v>0</v>
      </c>
      <c r="AG42" s="27">
        <f>rebio23_80ml!AG43/50</f>
        <v>0</v>
      </c>
      <c r="AH42" s="27">
        <f>rebio23_80ml!AH43/50</f>
        <v>0</v>
      </c>
      <c r="AI42" s="27">
        <f>rebio23_80ml!AI43/50</f>
        <v>0</v>
      </c>
      <c r="AJ42" s="27">
        <f>rebio23_80ml!AJ43/50</f>
        <v>0</v>
      </c>
      <c r="AK42" s="27">
        <f>rebio23_80ml!AK43/50</f>
        <v>0</v>
      </c>
      <c r="AL42" s="27">
        <f>rebio23_80ml!AL43/50</f>
        <v>0</v>
      </c>
      <c r="AM42" s="27">
        <f>rebio23_80ml!AM43/50</f>
        <v>0</v>
      </c>
      <c r="AN42" s="27">
        <f>rebio23_80ml!AN43/50</f>
        <v>0</v>
      </c>
      <c r="AO42" s="27">
        <f>rebio23_80ml!AO43/50</f>
        <v>0</v>
      </c>
      <c r="AP42" s="27">
        <f>rebio23_80ml!AP43/50</f>
        <v>0</v>
      </c>
      <c r="AQ42" s="27">
        <f>rebio23_80ml!AQ43/50</f>
        <v>0</v>
      </c>
      <c r="AR42" s="27">
        <f>rebio23_80ml!AR43/50</f>
        <v>0</v>
      </c>
      <c r="AS42" s="27">
        <f>rebio23_80ml!AS43/50</f>
        <v>0</v>
      </c>
      <c r="AT42" s="27">
        <f>rebio23_80ml!AT43/50</f>
        <v>0</v>
      </c>
      <c r="AU42" s="27">
        <f>rebio23_80ml!AU43/50</f>
        <v>0</v>
      </c>
      <c r="AV42" s="27">
        <f>rebio23_80ml!AV43/50</f>
        <v>0.1</v>
      </c>
      <c r="AW42" s="27">
        <f>rebio23_80ml!AW43/50</f>
        <v>0</v>
      </c>
      <c r="AX42" s="27">
        <f>rebio23_80ml!AX43/50</f>
        <v>0</v>
      </c>
      <c r="AY42" s="27">
        <f>rebio23_80ml!AY43/50</f>
        <v>0</v>
      </c>
      <c r="AZ42" s="27">
        <f>rebio23_80ml!AZ43/50</f>
        <v>0</v>
      </c>
      <c r="BA42" s="27">
        <f>rebio23_80ml!BA43/50</f>
        <v>0</v>
      </c>
      <c r="BB42" s="27">
        <f>rebio23_80ml!BB43/50</f>
        <v>0</v>
      </c>
      <c r="BC42" s="27">
        <f>rebio23_80ml!BC43/50</f>
        <v>0</v>
      </c>
      <c r="BD42" s="27">
        <f>rebio23_80ml!BD43/50</f>
        <v>0</v>
      </c>
      <c r="BE42" s="27">
        <f>rebio23_80ml!BE43/50</f>
        <v>0</v>
      </c>
      <c r="BF42" s="27">
        <f>rebio23_80ml!BF43/50</f>
        <v>0</v>
      </c>
      <c r="BG42" s="27">
        <f>rebio23_80ml!BG43/50</f>
        <v>0</v>
      </c>
    </row>
    <row r="43" spans="1:59" ht="12.75" customHeight="1" x14ac:dyDescent="0.25">
      <c r="A43" s="15" t="str">
        <f>rebio23_80ml!A44</f>
        <v>S-C-P18-H3</v>
      </c>
      <c r="B43" s="27">
        <f>rebio23_80ml!B44/50</f>
        <v>0.04</v>
      </c>
      <c r="C43" s="27">
        <f>rebio23_80ml!C44/50</f>
        <v>0</v>
      </c>
      <c r="D43" s="27">
        <f>rebio23_80ml!D44/50</f>
        <v>0</v>
      </c>
      <c r="E43" s="27">
        <f>rebio23_80ml!E44/50</f>
        <v>0.24</v>
      </c>
      <c r="F43" s="27">
        <f>rebio23_80ml!F44/50</f>
        <v>0</v>
      </c>
      <c r="G43" s="27">
        <f>rebio23_80ml!G44/50</f>
        <v>0.06</v>
      </c>
      <c r="H43" s="27">
        <f>rebio23_80ml!H44/50</f>
        <v>0</v>
      </c>
      <c r="I43" s="27">
        <f>rebio23_80ml!I44/50</f>
        <v>0.08</v>
      </c>
      <c r="J43" s="27">
        <f>rebio23_80ml!J44/50</f>
        <v>0</v>
      </c>
      <c r="K43" s="27">
        <f>rebio23_80ml!K44/50</f>
        <v>0</v>
      </c>
      <c r="L43" s="27">
        <f>rebio23_80ml!L44/50</f>
        <v>0</v>
      </c>
      <c r="M43" s="27">
        <f>rebio23_80ml!M44/50</f>
        <v>0</v>
      </c>
      <c r="N43" s="27">
        <f>rebio23_80ml!N44/50</f>
        <v>0</v>
      </c>
      <c r="O43" s="27">
        <f>rebio23_80ml!O44/50</f>
        <v>0</v>
      </c>
      <c r="P43" s="27">
        <f>rebio23_80ml!P44/50</f>
        <v>0</v>
      </c>
      <c r="Q43" s="27">
        <f>rebio23_80ml!Q44/50</f>
        <v>0</v>
      </c>
      <c r="R43" s="27">
        <f>rebio23_80ml!R44/50</f>
        <v>0</v>
      </c>
      <c r="S43" s="27">
        <f>rebio23_80ml!S44/50</f>
        <v>0</v>
      </c>
      <c r="T43" s="27">
        <f>rebio23_80ml!T44/50</f>
        <v>0</v>
      </c>
      <c r="U43" s="27">
        <f>rebio23_80ml!U44/50</f>
        <v>0</v>
      </c>
      <c r="V43" s="27">
        <f>rebio23_80ml!V44/50</f>
        <v>0.04</v>
      </c>
      <c r="W43" s="27">
        <f>rebio23_80ml!W44/50</f>
        <v>0</v>
      </c>
      <c r="X43" s="27">
        <f>rebio23_80ml!X44/50</f>
        <v>0</v>
      </c>
      <c r="Y43" s="27">
        <f>rebio23_80ml!Y44/50</f>
        <v>0</v>
      </c>
      <c r="Z43" s="27">
        <f>rebio23_80ml!Z44/50</f>
        <v>0</v>
      </c>
      <c r="AA43" s="27">
        <f>rebio23_80ml!AA44/50</f>
        <v>0</v>
      </c>
      <c r="AB43" s="27">
        <f>rebio23_80ml!AB44/50</f>
        <v>0</v>
      </c>
      <c r="AC43" s="27">
        <f>rebio23_80ml!AC44/50</f>
        <v>0</v>
      </c>
      <c r="AD43" s="27">
        <f>rebio23_80ml!AD44/50</f>
        <v>0</v>
      </c>
      <c r="AE43" s="27">
        <f>rebio23_80ml!AE44/50</f>
        <v>0</v>
      </c>
      <c r="AF43" s="27">
        <f>rebio23_80ml!AF44/50</f>
        <v>0</v>
      </c>
      <c r="AG43" s="27">
        <f>rebio23_80ml!AG44/50</f>
        <v>0</v>
      </c>
      <c r="AH43" s="27">
        <f>rebio23_80ml!AH44/50</f>
        <v>0</v>
      </c>
      <c r="AI43" s="27">
        <f>rebio23_80ml!AI44/50</f>
        <v>0</v>
      </c>
      <c r="AJ43" s="27">
        <f>rebio23_80ml!AJ44/50</f>
        <v>0</v>
      </c>
      <c r="AK43" s="27">
        <f>rebio23_80ml!AK44/50</f>
        <v>0</v>
      </c>
      <c r="AL43" s="27">
        <f>rebio23_80ml!AL44/50</f>
        <v>0</v>
      </c>
      <c r="AM43" s="27">
        <f>rebio23_80ml!AM44/50</f>
        <v>0</v>
      </c>
      <c r="AN43" s="27">
        <f>rebio23_80ml!AN44/50</f>
        <v>0</v>
      </c>
      <c r="AO43" s="27">
        <f>rebio23_80ml!AO44/50</f>
        <v>0</v>
      </c>
      <c r="AP43" s="27">
        <f>rebio23_80ml!AP44/50</f>
        <v>0</v>
      </c>
      <c r="AQ43" s="27">
        <f>rebio23_80ml!AQ44/50</f>
        <v>0</v>
      </c>
      <c r="AR43" s="27">
        <f>rebio23_80ml!AR44/50</f>
        <v>0</v>
      </c>
      <c r="AS43" s="27">
        <f>rebio23_80ml!AS44/50</f>
        <v>0</v>
      </c>
      <c r="AT43" s="27">
        <f>rebio23_80ml!AT44/50</f>
        <v>0</v>
      </c>
      <c r="AU43" s="27">
        <f>rebio23_80ml!AU44/50</f>
        <v>0</v>
      </c>
      <c r="AV43" s="27">
        <f>rebio23_80ml!AV44/50</f>
        <v>0.04</v>
      </c>
      <c r="AW43" s="27">
        <f>rebio23_80ml!AW44/50</f>
        <v>0</v>
      </c>
      <c r="AX43" s="27">
        <f>rebio23_80ml!AX44/50</f>
        <v>0.02</v>
      </c>
      <c r="AY43" s="27">
        <f>rebio23_80ml!AY44/50</f>
        <v>0</v>
      </c>
      <c r="AZ43" s="27">
        <f>rebio23_80ml!AZ44/50</f>
        <v>0</v>
      </c>
      <c r="BA43" s="27">
        <f>rebio23_80ml!BA44/50</f>
        <v>0</v>
      </c>
      <c r="BB43" s="27">
        <f>rebio23_80ml!BB44/50</f>
        <v>0</v>
      </c>
      <c r="BC43" s="27">
        <f>rebio23_80ml!BC44/50</f>
        <v>0</v>
      </c>
      <c r="BD43" s="27">
        <f>rebio23_80ml!BD44/50</f>
        <v>0</v>
      </c>
      <c r="BE43" s="27">
        <f>rebio23_80ml!BE44/50</f>
        <v>0</v>
      </c>
      <c r="BF43" s="27">
        <f>rebio23_80ml!BF44/50</f>
        <v>0</v>
      </c>
      <c r="BG43" s="27">
        <f>rebio23_80ml!BG44/50</f>
        <v>0</v>
      </c>
    </row>
    <row r="44" spans="1:59" ht="12.75" customHeight="1" x14ac:dyDescent="0.25">
      <c r="A44" s="15" t="str">
        <f>rebio23_80ml!A45</f>
        <v>S-C-P19-H1</v>
      </c>
      <c r="B44" s="27">
        <f>rebio23_80ml!B45/50</f>
        <v>0</v>
      </c>
      <c r="C44" s="27">
        <f>rebio23_80ml!C45/50</f>
        <v>0</v>
      </c>
      <c r="D44" s="27">
        <f>rebio23_80ml!D45/50</f>
        <v>0</v>
      </c>
      <c r="E44" s="27">
        <f>rebio23_80ml!E45/50</f>
        <v>0.3</v>
      </c>
      <c r="F44" s="27">
        <f>rebio23_80ml!F45/50</f>
        <v>0</v>
      </c>
      <c r="G44" s="27">
        <f>rebio23_80ml!G45/50</f>
        <v>0.02</v>
      </c>
      <c r="H44" s="27">
        <f>rebio23_80ml!H45/50</f>
        <v>0</v>
      </c>
      <c r="I44" s="27">
        <f>rebio23_80ml!I45/50</f>
        <v>0</v>
      </c>
      <c r="J44" s="27">
        <f>rebio23_80ml!J45/50</f>
        <v>0</v>
      </c>
      <c r="K44" s="27">
        <f>rebio23_80ml!K45/50</f>
        <v>0</v>
      </c>
      <c r="L44" s="27">
        <f>rebio23_80ml!L45/50</f>
        <v>0</v>
      </c>
      <c r="M44" s="27">
        <f>rebio23_80ml!M45/50</f>
        <v>0</v>
      </c>
      <c r="N44" s="27">
        <f>rebio23_80ml!N45/50</f>
        <v>0</v>
      </c>
      <c r="O44" s="27">
        <f>rebio23_80ml!O45/50</f>
        <v>0</v>
      </c>
      <c r="P44" s="27">
        <f>rebio23_80ml!P45/50</f>
        <v>0</v>
      </c>
      <c r="Q44" s="27">
        <f>rebio23_80ml!Q45/50</f>
        <v>0</v>
      </c>
      <c r="R44" s="27">
        <f>rebio23_80ml!R45/50</f>
        <v>0</v>
      </c>
      <c r="S44" s="27">
        <f>rebio23_80ml!S45/50</f>
        <v>0</v>
      </c>
      <c r="T44" s="27">
        <f>rebio23_80ml!T45/50</f>
        <v>0</v>
      </c>
      <c r="U44" s="27">
        <f>rebio23_80ml!U45/50</f>
        <v>0</v>
      </c>
      <c r="V44" s="27">
        <f>rebio23_80ml!V45/50</f>
        <v>0</v>
      </c>
      <c r="W44" s="27">
        <f>rebio23_80ml!W45/50</f>
        <v>0</v>
      </c>
      <c r="X44" s="27">
        <f>rebio23_80ml!X45/50</f>
        <v>0</v>
      </c>
      <c r="Y44" s="27">
        <f>rebio23_80ml!Y45/50</f>
        <v>0</v>
      </c>
      <c r="Z44" s="27">
        <f>rebio23_80ml!Z45/50</f>
        <v>0</v>
      </c>
      <c r="AA44" s="27">
        <f>rebio23_80ml!AA45/50</f>
        <v>0</v>
      </c>
      <c r="AB44" s="27">
        <f>rebio23_80ml!AB45/50</f>
        <v>0</v>
      </c>
      <c r="AC44" s="27">
        <f>rebio23_80ml!AC45/50</f>
        <v>0</v>
      </c>
      <c r="AD44" s="27">
        <f>rebio23_80ml!AD45/50</f>
        <v>0</v>
      </c>
      <c r="AE44" s="27">
        <f>rebio23_80ml!AE45/50</f>
        <v>0</v>
      </c>
      <c r="AF44" s="27">
        <f>rebio23_80ml!AF45/50</f>
        <v>0</v>
      </c>
      <c r="AG44" s="27">
        <f>rebio23_80ml!AG45/50</f>
        <v>0</v>
      </c>
      <c r="AH44" s="27">
        <f>rebio23_80ml!AH45/50</f>
        <v>0</v>
      </c>
      <c r="AI44" s="27">
        <f>rebio23_80ml!AI45/50</f>
        <v>0</v>
      </c>
      <c r="AJ44" s="27">
        <f>rebio23_80ml!AJ45/50</f>
        <v>0</v>
      </c>
      <c r="AK44" s="27">
        <f>rebio23_80ml!AK45/50</f>
        <v>0</v>
      </c>
      <c r="AL44" s="27">
        <f>rebio23_80ml!AL45/50</f>
        <v>0</v>
      </c>
      <c r="AM44" s="27">
        <f>rebio23_80ml!AM45/50</f>
        <v>0</v>
      </c>
      <c r="AN44" s="27">
        <f>rebio23_80ml!AN45/50</f>
        <v>0</v>
      </c>
      <c r="AO44" s="27">
        <f>rebio23_80ml!AO45/50</f>
        <v>0</v>
      </c>
      <c r="AP44" s="27">
        <f>rebio23_80ml!AP45/50</f>
        <v>0</v>
      </c>
      <c r="AQ44" s="27">
        <f>rebio23_80ml!AQ45/50</f>
        <v>0</v>
      </c>
      <c r="AR44" s="27">
        <f>rebio23_80ml!AR45/50</f>
        <v>0</v>
      </c>
      <c r="AS44" s="27">
        <f>rebio23_80ml!AS45/50</f>
        <v>0</v>
      </c>
      <c r="AT44" s="27">
        <f>rebio23_80ml!AT45/50</f>
        <v>0</v>
      </c>
      <c r="AU44" s="27">
        <f>rebio23_80ml!AU45/50</f>
        <v>0</v>
      </c>
      <c r="AV44" s="27">
        <f>rebio23_80ml!AV45/50</f>
        <v>0.02</v>
      </c>
      <c r="AW44" s="27">
        <f>rebio23_80ml!AW45/50</f>
        <v>0</v>
      </c>
      <c r="AX44" s="27">
        <f>rebio23_80ml!AX45/50</f>
        <v>0</v>
      </c>
      <c r="AY44" s="27">
        <f>rebio23_80ml!AY45/50</f>
        <v>0</v>
      </c>
      <c r="AZ44" s="27">
        <f>rebio23_80ml!AZ45/50</f>
        <v>0</v>
      </c>
      <c r="BA44" s="27">
        <f>rebio23_80ml!BA45/50</f>
        <v>0</v>
      </c>
      <c r="BB44" s="27">
        <f>rebio23_80ml!BB45/50</f>
        <v>0</v>
      </c>
      <c r="BC44" s="27">
        <f>rebio23_80ml!BC45/50</f>
        <v>0</v>
      </c>
      <c r="BD44" s="27">
        <f>rebio23_80ml!BD45/50</f>
        <v>0</v>
      </c>
      <c r="BE44" s="27">
        <f>rebio23_80ml!BE45/50</f>
        <v>0</v>
      </c>
      <c r="BF44" s="27">
        <f>rebio23_80ml!BF45/50</f>
        <v>0</v>
      </c>
      <c r="BG44" s="27">
        <f>rebio23_80ml!BG45/50</f>
        <v>0</v>
      </c>
    </row>
    <row r="45" spans="1:59" ht="12.75" customHeight="1" x14ac:dyDescent="0.25">
      <c r="A45" s="15" t="str">
        <f>rebio23_80ml!A46</f>
        <v>S-C-P19-H2</v>
      </c>
      <c r="B45" s="27">
        <f>rebio23_80ml!B46/50</f>
        <v>0</v>
      </c>
      <c r="C45" s="27">
        <f>rebio23_80ml!C46/50</f>
        <v>0.04</v>
      </c>
      <c r="D45" s="27">
        <f>rebio23_80ml!D46/50</f>
        <v>0</v>
      </c>
      <c r="E45" s="27">
        <f>rebio23_80ml!E46/50</f>
        <v>1.24</v>
      </c>
      <c r="F45" s="27">
        <f>rebio23_80ml!F46/50</f>
        <v>0</v>
      </c>
      <c r="G45" s="27">
        <f>rebio23_80ml!G46/50</f>
        <v>0</v>
      </c>
      <c r="H45" s="27">
        <f>rebio23_80ml!H46/50</f>
        <v>0</v>
      </c>
      <c r="I45" s="27">
        <f>rebio23_80ml!I46/50</f>
        <v>0.02</v>
      </c>
      <c r="J45" s="27">
        <f>rebio23_80ml!J46/50</f>
        <v>0</v>
      </c>
      <c r="K45" s="27">
        <f>rebio23_80ml!K46/50</f>
        <v>0</v>
      </c>
      <c r="L45" s="27">
        <f>rebio23_80ml!L46/50</f>
        <v>0</v>
      </c>
      <c r="M45" s="27">
        <f>rebio23_80ml!M46/50</f>
        <v>0</v>
      </c>
      <c r="N45" s="27">
        <f>rebio23_80ml!N46/50</f>
        <v>0</v>
      </c>
      <c r="O45" s="27">
        <f>rebio23_80ml!O46/50</f>
        <v>0</v>
      </c>
      <c r="P45" s="27">
        <f>rebio23_80ml!P46/50</f>
        <v>0</v>
      </c>
      <c r="Q45" s="27">
        <f>rebio23_80ml!Q46/50</f>
        <v>0</v>
      </c>
      <c r="R45" s="27">
        <f>rebio23_80ml!R46/50</f>
        <v>0</v>
      </c>
      <c r="S45" s="27">
        <f>rebio23_80ml!S46/50</f>
        <v>0</v>
      </c>
      <c r="T45" s="27">
        <f>rebio23_80ml!T46/50</f>
        <v>0</v>
      </c>
      <c r="U45" s="27">
        <f>rebio23_80ml!U46/50</f>
        <v>0</v>
      </c>
      <c r="V45" s="27">
        <f>rebio23_80ml!V46/50</f>
        <v>0</v>
      </c>
      <c r="W45" s="27">
        <f>rebio23_80ml!W46/50</f>
        <v>0</v>
      </c>
      <c r="X45" s="27">
        <f>rebio23_80ml!X46/50</f>
        <v>0</v>
      </c>
      <c r="Y45" s="27">
        <f>rebio23_80ml!Y46/50</f>
        <v>0</v>
      </c>
      <c r="Z45" s="27">
        <f>rebio23_80ml!Z46/50</f>
        <v>0</v>
      </c>
      <c r="AA45" s="27">
        <f>rebio23_80ml!AA46/50</f>
        <v>0</v>
      </c>
      <c r="AB45" s="27">
        <f>rebio23_80ml!AB46/50</f>
        <v>0</v>
      </c>
      <c r="AC45" s="27">
        <f>rebio23_80ml!AC46/50</f>
        <v>0</v>
      </c>
      <c r="AD45" s="27">
        <f>rebio23_80ml!AD46/50</f>
        <v>0</v>
      </c>
      <c r="AE45" s="27">
        <f>rebio23_80ml!AE46/50</f>
        <v>0</v>
      </c>
      <c r="AF45" s="27">
        <f>rebio23_80ml!AF46/50</f>
        <v>0</v>
      </c>
      <c r="AG45" s="27">
        <f>rebio23_80ml!AG46/50</f>
        <v>0</v>
      </c>
      <c r="AH45" s="27">
        <f>rebio23_80ml!AH46/50</f>
        <v>0</v>
      </c>
      <c r="AI45" s="27">
        <f>rebio23_80ml!AI46/50</f>
        <v>0</v>
      </c>
      <c r="AJ45" s="27">
        <f>rebio23_80ml!AJ46/50</f>
        <v>0</v>
      </c>
      <c r="AK45" s="27">
        <f>rebio23_80ml!AK46/50</f>
        <v>0</v>
      </c>
      <c r="AL45" s="27">
        <f>rebio23_80ml!AL46/50</f>
        <v>0</v>
      </c>
      <c r="AM45" s="27">
        <f>rebio23_80ml!AM46/50</f>
        <v>0</v>
      </c>
      <c r="AN45" s="27">
        <f>rebio23_80ml!AN46/50</f>
        <v>0</v>
      </c>
      <c r="AO45" s="27">
        <f>rebio23_80ml!AO46/50</f>
        <v>0</v>
      </c>
      <c r="AP45" s="27">
        <f>rebio23_80ml!AP46/50</f>
        <v>0</v>
      </c>
      <c r="AQ45" s="27">
        <f>rebio23_80ml!AQ46/50</f>
        <v>0</v>
      </c>
      <c r="AR45" s="27">
        <f>rebio23_80ml!AR46/50</f>
        <v>0</v>
      </c>
      <c r="AS45" s="27">
        <f>rebio23_80ml!AS46/50</f>
        <v>0</v>
      </c>
      <c r="AT45" s="27">
        <f>rebio23_80ml!AT46/50</f>
        <v>0</v>
      </c>
      <c r="AU45" s="27">
        <f>rebio23_80ml!AU46/50</f>
        <v>0</v>
      </c>
      <c r="AV45" s="27">
        <f>rebio23_80ml!AV46/50</f>
        <v>0</v>
      </c>
      <c r="AW45" s="27">
        <f>rebio23_80ml!AW46/50</f>
        <v>0</v>
      </c>
      <c r="AX45" s="27">
        <f>rebio23_80ml!AX46/50</f>
        <v>0</v>
      </c>
      <c r="AY45" s="27">
        <f>rebio23_80ml!AY46/50</f>
        <v>0</v>
      </c>
      <c r="AZ45" s="27">
        <f>rebio23_80ml!AZ46/50</f>
        <v>0</v>
      </c>
      <c r="BA45" s="27">
        <f>rebio23_80ml!BA46/50</f>
        <v>0</v>
      </c>
      <c r="BB45" s="27">
        <f>rebio23_80ml!BB46/50</f>
        <v>0</v>
      </c>
      <c r="BC45" s="27">
        <f>rebio23_80ml!BC46/50</f>
        <v>0</v>
      </c>
      <c r="BD45" s="27">
        <f>rebio23_80ml!BD46/50</f>
        <v>0</v>
      </c>
      <c r="BE45" s="27">
        <f>rebio23_80ml!BE46/50</f>
        <v>0</v>
      </c>
      <c r="BF45" s="27">
        <f>rebio23_80ml!BF46/50</f>
        <v>0</v>
      </c>
      <c r="BG45" s="27">
        <f>rebio23_80ml!BG46/50</f>
        <v>0</v>
      </c>
    </row>
    <row r="46" spans="1:59" ht="12.75" customHeight="1" x14ac:dyDescent="0.25">
      <c r="A46" s="15" t="str">
        <f>rebio23_80ml!A47</f>
        <v>S-C-P19-H3</v>
      </c>
      <c r="B46" s="27">
        <f>rebio23_80ml!B47/50</f>
        <v>0</v>
      </c>
      <c r="C46" s="27">
        <f>rebio23_80ml!C47/50</f>
        <v>0</v>
      </c>
      <c r="D46" s="27">
        <f>rebio23_80ml!D47/50</f>
        <v>0</v>
      </c>
      <c r="E46" s="27">
        <f>rebio23_80ml!E47/50</f>
        <v>1.5</v>
      </c>
      <c r="F46" s="27">
        <f>rebio23_80ml!F47/50</f>
        <v>0</v>
      </c>
      <c r="G46" s="27">
        <f>rebio23_80ml!G47/50</f>
        <v>0</v>
      </c>
      <c r="H46" s="27">
        <f>rebio23_80ml!H47/50</f>
        <v>0</v>
      </c>
      <c r="I46" s="27">
        <f>rebio23_80ml!I47/50</f>
        <v>0.04</v>
      </c>
      <c r="J46" s="27">
        <f>rebio23_80ml!J47/50</f>
        <v>0</v>
      </c>
      <c r="K46" s="27">
        <f>rebio23_80ml!K47/50</f>
        <v>0</v>
      </c>
      <c r="L46" s="27">
        <f>rebio23_80ml!L47/50</f>
        <v>0</v>
      </c>
      <c r="M46" s="27">
        <f>rebio23_80ml!M47/50</f>
        <v>0</v>
      </c>
      <c r="N46" s="27">
        <f>rebio23_80ml!N47/50</f>
        <v>0</v>
      </c>
      <c r="O46" s="27">
        <f>rebio23_80ml!O47/50</f>
        <v>0</v>
      </c>
      <c r="P46" s="27">
        <f>rebio23_80ml!P47/50</f>
        <v>0</v>
      </c>
      <c r="Q46" s="27">
        <f>rebio23_80ml!Q47/50</f>
        <v>0.02</v>
      </c>
      <c r="R46" s="27">
        <f>rebio23_80ml!R47/50</f>
        <v>0</v>
      </c>
      <c r="S46" s="27">
        <f>rebio23_80ml!S47/50</f>
        <v>0</v>
      </c>
      <c r="T46" s="27">
        <f>rebio23_80ml!T47/50</f>
        <v>0</v>
      </c>
      <c r="U46" s="27">
        <f>rebio23_80ml!U47/50</f>
        <v>0</v>
      </c>
      <c r="V46" s="27">
        <f>rebio23_80ml!V47/50</f>
        <v>0</v>
      </c>
      <c r="W46" s="27">
        <f>rebio23_80ml!W47/50</f>
        <v>0</v>
      </c>
      <c r="X46" s="27">
        <f>rebio23_80ml!X47/50</f>
        <v>0</v>
      </c>
      <c r="Y46" s="27">
        <f>rebio23_80ml!Y47/50</f>
        <v>0</v>
      </c>
      <c r="Z46" s="27">
        <f>rebio23_80ml!Z47/50</f>
        <v>0</v>
      </c>
      <c r="AA46" s="27">
        <f>rebio23_80ml!AA47/50</f>
        <v>0</v>
      </c>
      <c r="AB46" s="27">
        <f>rebio23_80ml!AB47/50</f>
        <v>0</v>
      </c>
      <c r="AC46" s="27">
        <f>rebio23_80ml!AC47/50</f>
        <v>0</v>
      </c>
      <c r="AD46" s="27">
        <f>rebio23_80ml!AD47/50</f>
        <v>0</v>
      </c>
      <c r="AE46" s="27">
        <f>rebio23_80ml!AE47/50</f>
        <v>0</v>
      </c>
      <c r="AF46" s="27">
        <f>rebio23_80ml!AF47/50</f>
        <v>0</v>
      </c>
      <c r="AG46" s="27">
        <f>rebio23_80ml!AG47/50</f>
        <v>0</v>
      </c>
      <c r="AH46" s="27">
        <f>rebio23_80ml!AH47/50</f>
        <v>0</v>
      </c>
      <c r="AI46" s="27">
        <f>rebio23_80ml!AI47/50</f>
        <v>0</v>
      </c>
      <c r="AJ46" s="27">
        <f>rebio23_80ml!AJ47/50</f>
        <v>0</v>
      </c>
      <c r="AK46" s="27">
        <f>rebio23_80ml!AK47/50</f>
        <v>0</v>
      </c>
      <c r="AL46" s="27">
        <f>rebio23_80ml!AL47/50</f>
        <v>0</v>
      </c>
      <c r="AM46" s="27">
        <f>rebio23_80ml!AM47/50</f>
        <v>0</v>
      </c>
      <c r="AN46" s="27">
        <f>rebio23_80ml!AN47/50</f>
        <v>0</v>
      </c>
      <c r="AO46" s="27">
        <f>rebio23_80ml!AO47/50</f>
        <v>0</v>
      </c>
      <c r="AP46" s="27">
        <f>rebio23_80ml!AP47/50</f>
        <v>0</v>
      </c>
      <c r="AQ46" s="27">
        <f>rebio23_80ml!AQ47/50</f>
        <v>0</v>
      </c>
      <c r="AR46" s="27">
        <f>rebio23_80ml!AR47/50</f>
        <v>0</v>
      </c>
      <c r="AS46" s="27">
        <f>rebio23_80ml!AS47/50</f>
        <v>0</v>
      </c>
      <c r="AT46" s="27">
        <f>rebio23_80ml!AT47/50</f>
        <v>0</v>
      </c>
      <c r="AU46" s="27">
        <f>rebio23_80ml!AU47/50</f>
        <v>0</v>
      </c>
      <c r="AV46" s="27">
        <f>rebio23_80ml!AV47/50</f>
        <v>0</v>
      </c>
      <c r="AW46" s="27">
        <f>rebio23_80ml!AW47/50</f>
        <v>0</v>
      </c>
      <c r="AX46" s="27">
        <f>rebio23_80ml!AX47/50</f>
        <v>0</v>
      </c>
      <c r="AY46" s="27">
        <f>rebio23_80ml!AY47/50</f>
        <v>0</v>
      </c>
      <c r="AZ46" s="27">
        <f>rebio23_80ml!AZ47/50</f>
        <v>0</v>
      </c>
      <c r="BA46" s="27">
        <f>rebio23_80ml!BA47/50</f>
        <v>0</v>
      </c>
      <c r="BB46" s="27">
        <f>rebio23_80ml!BB47/50</f>
        <v>0</v>
      </c>
      <c r="BC46" s="27">
        <f>rebio23_80ml!BC47/50</f>
        <v>0</v>
      </c>
      <c r="BD46" s="27">
        <f>rebio23_80ml!BD47/50</f>
        <v>0</v>
      </c>
      <c r="BE46" s="27">
        <f>rebio23_80ml!BE47/50</f>
        <v>0</v>
      </c>
      <c r="BF46" s="27">
        <f>rebio23_80ml!BF47/50</f>
        <v>0</v>
      </c>
      <c r="BG46" s="27">
        <f>rebio23_80ml!BG47/50</f>
        <v>0</v>
      </c>
    </row>
    <row r="47" spans="1:59" ht="12.75" customHeight="1" x14ac:dyDescent="0.25">
      <c r="A47" s="15" t="str">
        <f>rebio23_80ml!A48</f>
        <v>S-C-P20-H1</v>
      </c>
      <c r="B47" s="27">
        <f>rebio23_80ml!B48/50</f>
        <v>0</v>
      </c>
      <c r="C47" s="27">
        <f>rebio23_80ml!C48/50</f>
        <v>0</v>
      </c>
      <c r="D47" s="27">
        <f>rebio23_80ml!D48/50</f>
        <v>0</v>
      </c>
      <c r="E47" s="27">
        <f>rebio23_80ml!E48/50</f>
        <v>2.06</v>
      </c>
      <c r="F47" s="27">
        <f>rebio23_80ml!F48/50</f>
        <v>0</v>
      </c>
      <c r="G47" s="27">
        <f>rebio23_80ml!G48/50</f>
        <v>0</v>
      </c>
      <c r="H47" s="27">
        <f>rebio23_80ml!H48/50</f>
        <v>0</v>
      </c>
      <c r="I47" s="27">
        <f>rebio23_80ml!I48/50</f>
        <v>0</v>
      </c>
      <c r="J47" s="27">
        <f>rebio23_80ml!J48/50</f>
        <v>0</v>
      </c>
      <c r="K47" s="27">
        <f>rebio23_80ml!K48/50</f>
        <v>0</v>
      </c>
      <c r="L47" s="27">
        <f>rebio23_80ml!L48/50</f>
        <v>0</v>
      </c>
      <c r="M47" s="27">
        <f>rebio23_80ml!M48/50</f>
        <v>0</v>
      </c>
      <c r="N47" s="27">
        <f>rebio23_80ml!N48/50</f>
        <v>0</v>
      </c>
      <c r="O47" s="27">
        <f>rebio23_80ml!O48/50</f>
        <v>0</v>
      </c>
      <c r="P47" s="27">
        <f>rebio23_80ml!P48/50</f>
        <v>0</v>
      </c>
      <c r="Q47" s="27">
        <f>rebio23_80ml!Q48/50</f>
        <v>0.02</v>
      </c>
      <c r="R47" s="27">
        <f>rebio23_80ml!R48/50</f>
        <v>0</v>
      </c>
      <c r="S47" s="27">
        <f>rebio23_80ml!S48/50</f>
        <v>0</v>
      </c>
      <c r="T47" s="27">
        <f>rebio23_80ml!T48/50</f>
        <v>0</v>
      </c>
      <c r="U47" s="27">
        <f>rebio23_80ml!U48/50</f>
        <v>0</v>
      </c>
      <c r="V47" s="27">
        <f>rebio23_80ml!V48/50</f>
        <v>0</v>
      </c>
      <c r="W47" s="27">
        <f>rebio23_80ml!W48/50</f>
        <v>0</v>
      </c>
      <c r="X47" s="27">
        <f>rebio23_80ml!X48/50</f>
        <v>0</v>
      </c>
      <c r="Y47" s="27">
        <f>rebio23_80ml!Y48/50</f>
        <v>0</v>
      </c>
      <c r="Z47" s="27">
        <f>rebio23_80ml!Z48/50</f>
        <v>0</v>
      </c>
      <c r="AA47" s="27">
        <f>rebio23_80ml!AA48/50</f>
        <v>0.02</v>
      </c>
      <c r="AB47" s="27">
        <f>rebio23_80ml!AB48/50</f>
        <v>0</v>
      </c>
      <c r="AC47" s="27">
        <f>rebio23_80ml!AC48/50</f>
        <v>0</v>
      </c>
      <c r="AD47" s="27">
        <f>rebio23_80ml!AD48/50</f>
        <v>0</v>
      </c>
      <c r="AE47" s="27">
        <f>rebio23_80ml!AE48/50</f>
        <v>0</v>
      </c>
      <c r="AF47" s="27">
        <f>rebio23_80ml!AF48/50</f>
        <v>0</v>
      </c>
      <c r="AG47" s="27">
        <f>rebio23_80ml!AG48/50</f>
        <v>0</v>
      </c>
      <c r="AH47" s="27">
        <f>rebio23_80ml!AH48/50</f>
        <v>0</v>
      </c>
      <c r="AI47" s="27">
        <f>rebio23_80ml!AI48/50</f>
        <v>0</v>
      </c>
      <c r="AJ47" s="27">
        <f>rebio23_80ml!AJ48/50</f>
        <v>0</v>
      </c>
      <c r="AK47" s="27">
        <f>rebio23_80ml!AK48/50</f>
        <v>0</v>
      </c>
      <c r="AL47" s="27">
        <f>rebio23_80ml!AL48/50</f>
        <v>0</v>
      </c>
      <c r="AM47" s="27">
        <f>rebio23_80ml!AM48/50</f>
        <v>0</v>
      </c>
      <c r="AN47" s="27">
        <f>rebio23_80ml!AN48/50</f>
        <v>0</v>
      </c>
      <c r="AO47" s="27">
        <f>rebio23_80ml!AO48/50</f>
        <v>0</v>
      </c>
      <c r="AP47" s="27">
        <f>rebio23_80ml!AP48/50</f>
        <v>0</v>
      </c>
      <c r="AQ47" s="27">
        <f>rebio23_80ml!AQ48/50</f>
        <v>0.04</v>
      </c>
      <c r="AR47" s="27">
        <f>rebio23_80ml!AR48/50</f>
        <v>0</v>
      </c>
      <c r="AS47" s="27">
        <f>rebio23_80ml!AS48/50</f>
        <v>0</v>
      </c>
      <c r="AT47" s="27">
        <f>rebio23_80ml!AT48/50</f>
        <v>0</v>
      </c>
      <c r="AU47" s="27">
        <f>rebio23_80ml!AU48/50</f>
        <v>0</v>
      </c>
      <c r="AV47" s="27">
        <f>rebio23_80ml!AV48/50</f>
        <v>0</v>
      </c>
      <c r="AW47" s="27">
        <f>rebio23_80ml!AW48/50</f>
        <v>0</v>
      </c>
      <c r="AX47" s="27">
        <f>rebio23_80ml!AX48/50</f>
        <v>0</v>
      </c>
      <c r="AY47" s="27">
        <f>rebio23_80ml!AY48/50</f>
        <v>0</v>
      </c>
      <c r="AZ47" s="27">
        <f>rebio23_80ml!AZ48/50</f>
        <v>0</v>
      </c>
      <c r="BA47" s="27">
        <f>rebio23_80ml!BA48/50</f>
        <v>0</v>
      </c>
      <c r="BB47" s="27">
        <f>rebio23_80ml!BB48/50</f>
        <v>0</v>
      </c>
      <c r="BC47" s="27">
        <f>rebio23_80ml!BC48/50</f>
        <v>0</v>
      </c>
      <c r="BD47" s="27">
        <f>rebio23_80ml!BD48/50</f>
        <v>0</v>
      </c>
      <c r="BE47" s="27">
        <f>rebio23_80ml!BE48/50</f>
        <v>0</v>
      </c>
      <c r="BF47" s="27">
        <f>rebio23_80ml!BF48/50</f>
        <v>0</v>
      </c>
      <c r="BG47" s="27">
        <f>rebio23_80ml!BG48/50</f>
        <v>0</v>
      </c>
    </row>
    <row r="48" spans="1:59" ht="12.75" customHeight="1" x14ac:dyDescent="0.25">
      <c r="A48" s="15" t="str">
        <f>rebio23_80ml!A49</f>
        <v>S-C-P20-H2</v>
      </c>
      <c r="B48" s="27">
        <f>rebio23_80ml!B49/50</f>
        <v>0</v>
      </c>
      <c r="C48" s="27">
        <f>rebio23_80ml!C49/50</f>
        <v>0</v>
      </c>
      <c r="D48" s="27">
        <f>rebio23_80ml!D49/50</f>
        <v>0</v>
      </c>
      <c r="E48" s="27">
        <f>rebio23_80ml!E49/50</f>
        <v>0.64</v>
      </c>
      <c r="F48" s="27">
        <f>rebio23_80ml!F49/50</f>
        <v>0</v>
      </c>
      <c r="G48" s="27">
        <f>rebio23_80ml!G49/50</f>
        <v>0</v>
      </c>
      <c r="H48" s="27">
        <f>rebio23_80ml!H49/50</f>
        <v>0</v>
      </c>
      <c r="I48" s="27">
        <f>rebio23_80ml!I49/50</f>
        <v>0.02</v>
      </c>
      <c r="J48" s="27">
        <f>rebio23_80ml!J49/50</f>
        <v>0</v>
      </c>
      <c r="K48" s="27">
        <f>rebio23_80ml!K49/50</f>
        <v>0</v>
      </c>
      <c r="L48" s="27">
        <f>rebio23_80ml!L49/50</f>
        <v>0</v>
      </c>
      <c r="M48" s="27">
        <f>rebio23_80ml!M49/50</f>
        <v>0</v>
      </c>
      <c r="N48" s="27">
        <f>rebio23_80ml!N49/50</f>
        <v>0</v>
      </c>
      <c r="O48" s="27">
        <f>rebio23_80ml!O49/50</f>
        <v>0</v>
      </c>
      <c r="P48" s="27">
        <f>rebio23_80ml!P49/50</f>
        <v>0</v>
      </c>
      <c r="Q48" s="27">
        <f>rebio23_80ml!Q49/50</f>
        <v>0.02</v>
      </c>
      <c r="R48" s="27">
        <f>rebio23_80ml!R49/50</f>
        <v>0</v>
      </c>
      <c r="S48" s="27">
        <f>rebio23_80ml!S49/50</f>
        <v>0</v>
      </c>
      <c r="T48" s="27">
        <f>rebio23_80ml!T49/50</f>
        <v>0</v>
      </c>
      <c r="U48" s="27">
        <f>rebio23_80ml!U49/50</f>
        <v>0</v>
      </c>
      <c r="V48" s="27">
        <f>rebio23_80ml!V49/50</f>
        <v>0</v>
      </c>
      <c r="W48" s="27">
        <f>rebio23_80ml!W49/50</f>
        <v>0</v>
      </c>
      <c r="X48" s="27">
        <f>rebio23_80ml!X49/50</f>
        <v>0</v>
      </c>
      <c r="Y48" s="27">
        <f>rebio23_80ml!Y49/50</f>
        <v>0</v>
      </c>
      <c r="Z48" s="27">
        <f>rebio23_80ml!Z49/50</f>
        <v>0.04</v>
      </c>
      <c r="AA48" s="27">
        <f>rebio23_80ml!AA49/50</f>
        <v>0</v>
      </c>
      <c r="AB48" s="27">
        <f>rebio23_80ml!AB49/50</f>
        <v>0</v>
      </c>
      <c r="AC48" s="27">
        <f>rebio23_80ml!AC49/50</f>
        <v>0</v>
      </c>
      <c r="AD48" s="27">
        <f>rebio23_80ml!AD49/50</f>
        <v>0</v>
      </c>
      <c r="AE48" s="27">
        <f>rebio23_80ml!AE49/50</f>
        <v>0</v>
      </c>
      <c r="AF48" s="27">
        <f>rebio23_80ml!AF49/50</f>
        <v>0</v>
      </c>
      <c r="AG48" s="27">
        <f>rebio23_80ml!AG49/50</f>
        <v>0</v>
      </c>
      <c r="AH48" s="27">
        <f>rebio23_80ml!AH49/50</f>
        <v>0</v>
      </c>
      <c r="AI48" s="27">
        <f>rebio23_80ml!AI49/50</f>
        <v>0</v>
      </c>
      <c r="AJ48" s="27">
        <f>rebio23_80ml!AJ49/50</f>
        <v>0</v>
      </c>
      <c r="AK48" s="27">
        <f>rebio23_80ml!AK49/50</f>
        <v>0</v>
      </c>
      <c r="AL48" s="27">
        <f>rebio23_80ml!AL49/50</f>
        <v>0</v>
      </c>
      <c r="AM48" s="27">
        <f>rebio23_80ml!AM49/50</f>
        <v>0</v>
      </c>
      <c r="AN48" s="27">
        <f>rebio23_80ml!AN49/50</f>
        <v>0</v>
      </c>
      <c r="AO48" s="27">
        <f>rebio23_80ml!AO49/50</f>
        <v>0</v>
      </c>
      <c r="AP48" s="27">
        <f>rebio23_80ml!AP49/50</f>
        <v>0</v>
      </c>
      <c r="AQ48" s="27">
        <f>rebio23_80ml!AQ49/50</f>
        <v>0</v>
      </c>
      <c r="AR48" s="27">
        <f>rebio23_80ml!AR49/50</f>
        <v>0</v>
      </c>
      <c r="AS48" s="27">
        <f>rebio23_80ml!AS49/50</f>
        <v>0</v>
      </c>
      <c r="AT48" s="27">
        <f>rebio23_80ml!AT49/50</f>
        <v>0</v>
      </c>
      <c r="AU48" s="27">
        <f>rebio23_80ml!AU49/50</f>
        <v>0</v>
      </c>
      <c r="AV48" s="27">
        <f>rebio23_80ml!AV49/50</f>
        <v>0.02</v>
      </c>
      <c r="AW48" s="27">
        <f>rebio23_80ml!AW49/50</f>
        <v>0.02</v>
      </c>
      <c r="AX48" s="27">
        <f>rebio23_80ml!AX49/50</f>
        <v>0</v>
      </c>
      <c r="AY48" s="27">
        <f>rebio23_80ml!AY49/50</f>
        <v>0</v>
      </c>
      <c r="AZ48" s="27">
        <f>rebio23_80ml!AZ49/50</f>
        <v>0</v>
      </c>
      <c r="BA48" s="27">
        <f>rebio23_80ml!BA49/50</f>
        <v>0</v>
      </c>
      <c r="BB48" s="27">
        <f>rebio23_80ml!BB49/50</f>
        <v>0</v>
      </c>
      <c r="BC48" s="27">
        <f>rebio23_80ml!BC49/50</f>
        <v>0</v>
      </c>
      <c r="BD48" s="27">
        <f>rebio23_80ml!BD49/50</f>
        <v>0</v>
      </c>
      <c r="BE48" s="27">
        <f>rebio23_80ml!BE49/50</f>
        <v>0</v>
      </c>
      <c r="BF48" s="27">
        <f>rebio23_80ml!BF49/50</f>
        <v>0</v>
      </c>
      <c r="BG48" s="27">
        <f>rebio23_80ml!BG49/50</f>
        <v>0</v>
      </c>
    </row>
    <row r="49" spans="1:59" ht="12.75" customHeight="1" x14ac:dyDescent="0.25">
      <c r="A49" s="15" t="str">
        <f>rebio23_80ml!A50</f>
        <v>S-C-P20-H3</v>
      </c>
      <c r="B49" s="27">
        <f>rebio23_80ml!B50/50</f>
        <v>0</v>
      </c>
      <c r="C49" s="27">
        <f>rebio23_80ml!C50/50</f>
        <v>0.04</v>
      </c>
      <c r="D49" s="27">
        <f>rebio23_80ml!D50/50</f>
        <v>0</v>
      </c>
      <c r="E49" s="27">
        <f>rebio23_80ml!E50/50</f>
        <v>0.76</v>
      </c>
      <c r="F49" s="27">
        <f>rebio23_80ml!F50/50</f>
        <v>0</v>
      </c>
      <c r="G49" s="27">
        <f>rebio23_80ml!G50/50</f>
        <v>0</v>
      </c>
      <c r="H49" s="27">
        <f>rebio23_80ml!H50/50</f>
        <v>0</v>
      </c>
      <c r="I49" s="27">
        <f>rebio23_80ml!I50/50</f>
        <v>0.1</v>
      </c>
      <c r="J49" s="27">
        <f>rebio23_80ml!J50/50</f>
        <v>0</v>
      </c>
      <c r="K49" s="27">
        <f>rebio23_80ml!K50/50</f>
        <v>0</v>
      </c>
      <c r="L49" s="27">
        <f>rebio23_80ml!L50/50</f>
        <v>0</v>
      </c>
      <c r="M49" s="27">
        <f>rebio23_80ml!M50/50</f>
        <v>0</v>
      </c>
      <c r="N49" s="27">
        <f>rebio23_80ml!N50/50</f>
        <v>0</v>
      </c>
      <c r="O49" s="27">
        <f>rebio23_80ml!O50/50</f>
        <v>0</v>
      </c>
      <c r="P49" s="27">
        <f>rebio23_80ml!P50/50</f>
        <v>0</v>
      </c>
      <c r="Q49" s="27">
        <f>rebio23_80ml!Q50/50</f>
        <v>0</v>
      </c>
      <c r="R49" s="27">
        <f>rebio23_80ml!R50/50</f>
        <v>0</v>
      </c>
      <c r="S49" s="27">
        <f>rebio23_80ml!S50/50</f>
        <v>0</v>
      </c>
      <c r="T49" s="27">
        <f>rebio23_80ml!T50/50</f>
        <v>0</v>
      </c>
      <c r="U49" s="27">
        <f>rebio23_80ml!U50/50</f>
        <v>0</v>
      </c>
      <c r="V49" s="27">
        <f>rebio23_80ml!V50/50</f>
        <v>0</v>
      </c>
      <c r="W49" s="27">
        <f>rebio23_80ml!W50/50</f>
        <v>0</v>
      </c>
      <c r="X49" s="27">
        <f>rebio23_80ml!X50/50</f>
        <v>0</v>
      </c>
      <c r="Y49" s="27">
        <f>rebio23_80ml!Y50/50</f>
        <v>0</v>
      </c>
      <c r="Z49" s="27">
        <f>rebio23_80ml!Z50/50</f>
        <v>0</v>
      </c>
      <c r="AA49" s="27">
        <f>rebio23_80ml!AA50/50</f>
        <v>0</v>
      </c>
      <c r="AB49" s="27">
        <f>rebio23_80ml!AB50/50</f>
        <v>0</v>
      </c>
      <c r="AC49" s="27">
        <f>rebio23_80ml!AC50/50</f>
        <v>0</v>
      </c>
      <c r="AD49" s="27">
        <f>rebio23_80ml!AD50/50</f>
        <v>0</v>
      </c>
      <c r="AE49" s="27">
        <f>rebio23_80ml!AE50/50</f>
        <v>0</v>
      </c>
      <c r="AF49" s="27">
        <f>rebio23_80ml!AF50/50</f>
        <v>0</v>
      </c>
      <c r="AG49" s="27">
        <f>rebio23_80ml!AG50/50</f>
        <v>0</v>
      </c>
      <c r="AH49" s="27">
        <f>rebio23_80ml!AH50/50</f>
        <v>0</v>
      </c>
      <c r="AI49" s="27">
        <f>rebio23_80ml!AI50/50</f>
        <v>0</v>
      </c>
      <c r="AJ49" s="27">
        <f>rebio23_80ml!AJ50/50</f>
        <v>0</v>
      </c>
      <c r="AK49" s="27">
        <f>rebio23_80ml!AK50/50</f>
        <v>0</v>
      </c>
      <c r="AL49" s="27">
        <f>rebio23_80ml!AL50/50</f>
        <v>0</v>
      </c>
      <c r="AM49" s="27">
        <f>rebio23_80ml!AM50/50</f>
        <v>0</v>
      </c>
      <c r="AN49" s="27">
        <f>rebio23_80ml!AN50/50</f>
        <v>0</v>
      </c>
      <c r="AO49" s="27">
        <f>rebio23_80ml!AO50/50</f>
        <v>0</v>
      </c>
      <c r="AP49" s="27">
        <f>rebio23_80ml!AP50/50</f>
        <v>0</v>
      </c>
      <c r="AQ49" s="27">
        <f>rebio23_80ml!AQ50/50</f>
        <v>0</v>
      </c>
      <c r="AR49" s="27">
        <f>rebio23_80ml!AR50/50</f>
        <v>0</v>
      </c>
      <c r="AS49" s="27">
        <f>rebio23_80ml!AS50/50</f>
        <v>0</v>
      </c>
      <c r="AT49" s="27">
        <f>rebio23_80ml!AT50/50</f>
        <v>0</v>
      </c>
      <c r="AU49" s="27">
        <f>rebio23_80ml!AU50/50</f>
        <v>0</v>
      </c>
      <c r="AV49" s="27">
        <f>rebio23_80ml!AV50/50</f>
        <v>0.04</v>
      </c>
      <c r="AW49" s="27">
        <f>rebio23_80ml!AW50/50</f>
        <v>0</v>
      </c>
      <c r="AX49" s="27">
        <f>rebio23_80ml!AX50/50</f>
        <v>0.02</v>
      </c>
      <c r="AY49" s="27">
        <f>rebio23_80ml!AY50/50</f>
        <v>0.04</v>
      </c>
      <c r="AZ49" s="27">
        <f>rebio23_80ml!AZ50/50</f>
        <v>0</v>
      </c>
      <c r="BA49" s="27">
        <f>rebio23_80ml!BA50/50</f>
        <v>0</v>
      </c>
      <c r="BB49" s="27">
        <f>rebio23_80ml!BB50/50</f>
        <v>0</v>
      </c>
      <c r="BC49" s="27">
        <f>rebio23_80ml!BC50/50</f>
        <v>0</v>
      </c>
      <c r="BD49" s="27">
        <f>rebio23_80ml!BD50/50</f>
        <v>0</v>
      </c>
      <c r="BE49" s="27">
        <f>rebio23_80ml!BE50/50</f>
        <v>0</v>
      </c>
      <c r="BF49" s="27">
        <f>rebio23_80ml!BF50/50</f>
        <v>0</v>
      </c>
      <c r="BG49" s="27">
        <f>rebio23_80ml!BG50/50</f>
        <v>0</v>
      </c>
    </row>
    <row r="50" spans="1:59" ht="12.75" customHeight="1" x14ac:dyDescent="0.25">
      <c r="A50" s="15" t="str">
        <f>rebio23_80ml!A51</f>
        <v>C-B-P05-H1</v>
      </c>
      <c r="B50" s="27">
        <f>rebio23_80ml!B51/50</f>
        <v>0.02</v>
      </c>
      <c r="C50" s="27">
        <f>rebio23_80ml!C51/50</f>
        <v>0</v>
      </c>
      <c r="D50" s="27">
        <f>rebio23_80ml!D51/50</f>
        <v>0</v>
      </c>
      <c r="E50" s="27">
        <f>rebio23_80ml!E51/50</f>
        <v>1.5</v>
      </c>
      <c r="F50" s="27">
        <f>rebio23_80ml!F51/50</f>
        <v>0</v>
      </c>
      <c r="G50" s="27">
        <f>rebio23_80ml!G51/50</f>
        <v>0</v>
      </c>
      <c r="H50" s="27">
        <f>rebio23_80ml!H51/50</f>
        <v>0</v>
      </c>
      <c r="I50" s="27">
        <f>rebio23_80ml!I51/50</f>
        <v>0.48</v>
      </c>
      <c r="J50" s="27">
        <f>rebio23_80ml!J51/50</f>
        <v>0</v>
      </c>
      <c r="K50" s="27">
        <f>rebio23_80ml!K51/50</f>
        <v>0</v>
      </c>
      <c r="L50" s="27">
        <f>rebio23_80ml!L51/50</f>
        <v>0</v>
      </c>
      <c r="M50" s="27">
        <f>rebio23_80ml!M51/50</f>
        <v>0</v>
      </c>
      <c r="N50" s="27">
        <f>rebio23_80ml!N51/50</f>
        <v>0</v>
      </c>
      <c r="O50" s="27">
        <f>rebio23_80ml!O51/50</f>
        <v>0</v>
      </c>
      <c r="P50" s="27">
        <f>rebio23_80ml!P51/50</f>
        <v>0</v>
      </c>
      <c r="Q50" s="27">
        <f>rebio23_80ml!Q51/50</f>
        <v>0</v>
      </c>
      <c r="R50" s="27">
        <f>rebio23_80ml!R51/50</f>
        <v>0</v>
      </c>
      <c r="S50" s="27">
        <f>rebio23_80ml!S51/50</f>
        <v>0</v>
      </c>
      <c r="T50" s="27">
        <f>rebio23_80ml!T51/50</f>
        <v>0</v>
      </c>
      <c r="U50" s="27">
        <f>rebio23_80ml!U51/50</f>
        <v>0</v>
      </c>
      <c r="V50" s="27">
        <f>rebio23_80ml!V51/50</f>
        <v>0</v>
      </c>
      <c r="W50" s="27">
        <f>rebio23_80ml!W51/50</f>
        <v>0</v>
      </c>
      <c r="X50" s="27">
        <f>rebio23_80ml!X51/50</f>
        <v>0</v>
      </c>
      <c r="Y50" s="27">
        <f>rebio23_80ml!Y51/50</f>
        <v>0</v>
      </c>
      <c r="Z50" s="27">
        <f>rebio23_80ml!Z51/50</f>
        <v>0</v>
      </c>
      <c r="AA50" s="27">
        <f>rebio23_80ml!AA51/50</f>
        <v>0</v>
      </c>
      <c r="AB50" s="27">
        <f>rebio23_80ml!AB51/50</f>
        <v>0</v>
      </c>
      <c r="AC50" s="27">
        <f>rebio23_80ml!AC51/50</f>
        <v>0</v>
      </c>
      <c r="AD50" s="27">
        <f>rebio23_80ml!AD51/50</f>
        <v>0</v>
      </c>
      <c r="AE50" s="27">
        <f>rebio23_80ml!AE51/50</f>
        <v>0</v>
      </c>
      <c r="AF50" s="27">
        <f>rebio23_80ml!AF51/50</f>
        <v>0</v>
      </c>
      <c r="AG50" s="27">
        <f>rebio23_80ml!AG51/50</f>
        <v>0</v>
      </c>
      <c r="AH50" s="27">
        <f>rebio23_80ml!AH51/50</f>
        <v>0</v>
      </c>
      <c r="AI50" s="27">
        <f>rebio23_80ml!AI51/50</f>
        <v>0</v>
      </c>
      <c r="AJ50" s="27">
        <f>rebio23_80ml!AJ51/50</f>
        <v>0</v>
      </c>
      <c r="AK50" s="27">
        <f>rebio23_80ml!AK51/50</f>
        <v>0</v>
      </c>
      <c r="AL50" s="27">
        <f>rebio23_80ml!AL51/50</f>
        <v>0</v>
      </c>
      <c r="AM50" s="27">
        <f>rebio23_80ml!AM51/50</f>
        <v>0</v>
      </c>
      <c r="AN50" s="27">
        <f>rebio23_80ml!AN51/50</f>
        <v>0</v>
      </c>
      <c r="AO50" s="27">
        <f>rebio23_80ml!AO51/50</f>
        <v>0</v>
      </c>
      <c r="AP50" s="27">
        <f>rebio23_80ml!AP51/50</f>
        <v>0</v>
      </c>
      <c r="AQ50" s="27">
        <f>rebio23_80ml!AQ51/50</f>
        <v>0</v>
      </c>
      <c r="AR50" s="27">
        <f>rebio23_80ml!AR51/50</f>
        <v>0</v>
      </c>
      <c r="AS50" s="27">
        <f>rebio23_80ml!AS51/50</f>
        <v>0</v>
      </c>
      <c r="AT50" s="27">
        <f>rebio23_80ml!AT51/50</f>
        <v>0</v>
      </c>
      <c r="AU50" s="27">
        <f>rebio23_80ml!AU51/50</f>
        <v>0</v>
      </c>
      <c r="AV50" s="27">
        <f>rebio23_80ml!AV51/50</f>
        <v>0</v>
      </c>
      <c r="AW50" s="27">
        <f>rebio23_80ml!AW51/50</f>
        <v>0</v>
      </c>
      <c r="AX50" s="27">
        <f>rebio23_80ml!AX51/50</f>
        <v>0.04</v>
      </c>
      <c r="AY50" s="27">
        <f>rebio23_80ml!AY51/50</f>
        <v>0</v>
      </c>
      <c r="AZ50" s="27">
        <f>rebio23_80ml!AZ51/50</f>
        <v>0</v>
      </c>
      <c r="BA50" s="27">
        <f>rebio23_80ml!BA51/50</f>
        <v>0</v>
      </c>
      <c r="BB50" s="27">
        <f>rebio23_80ml!BB51/50</f>
        <v>0</v>
      </c>
      <c r="BC50" s="27">
        <f>rebio23_80ml!BC51/50</f>
        <v>0</v>
      </c>
      <c r="BD50" s="27">
        <f>rebio23_80ml!BD51/50</f>
        <v>0</v>
      </c>
      <c r="BE50" s="27">
        <f>rebio23_80ml!BE51/50</f>
        <v>0</v>
      </c>
      <c r="BF50" s="27">
        <f>rebio23_80ml!BF51/50</f>
        <v>0</v>
      </c>
      <c r="BG50" s="27">
        <f>rebio23_80ml!BG51/50</f>
        <v>0</v>
      </c>
    </row>
    <row r="51" spans="1:59" ht="12.75" customHeight="1" x14ac:dyDescent="0.25">
      <c r="A51" s="15" t="str">
        <f>rebio23_80ml!A52</f>
        <v>C-B-P05-H2</v>
      </c>
      <c r="B51" s="27">
        <f>rebio23_80ml!B52/50</f>
        <v>0</v>
      </c>
      <c r="C51" s="27">
        <f>rebio23_80ml!C52/50</f>
        <v>0</v>
      </c>
      <c r="D51" s="27">
        <f>rebio23_80ml!D52/50</f>
        <v>0</v>
      </c>
      <c r="E51" s="27">
        <f>rebio23_80ml!E52/50</f>
        <v>1.3</v>
      </c>
      <c r="F51" s="27">
        <f>rebio23_80ml!F52/50</f>
        <v>0</v>
      </c>
      <c r="G51" s="27">
        <f>rebio23_80ml!G52/50</f>
        <v>0</v>
      </c>
      <c r="H51" s="27">
        <f>rebio23_80ml!H52/50</f>
        <v>0</v>
      </c>
      <c r="I51" s="27">
        <f>rebio23_80ml!I52/50</f>
        <v>0.16</v>
      </c>
      <c r="J51" s="27">
        <f>rebio23_80ml!J52/50</f>
        <v>0</v>
      </c>
      <c r="K51" s="27">
        <f>rebio23_80ml!K52/50</f>
        <v>0</v>
      </c>
      <c r="L51" s="27">
        <f>rebio23_80ml!L52/50</f>
        <v>0</v>
      </c>
      <c r="M51" s="27">
        <f>rebio23_80ml!M52/50</f>
        <v>0</v>
      </c>
      <c r="N51" s="27">
        <f>rebio23_80ml!N52/50</f>
        <v>0</v>
      </c>
      <c r="O51" s="27">
        <f>rebio23_80ml!O52/50</f>
        <v>0</v>
      </c>
      <c r="P51" s="27">
        <f>rebio23_80ml!P52/50</f>
        <v>0</v>
      </c>
      <c r="Q51" s="27">
        <f>rebio23_80ml!Q52/50</f>
        <v>0</v>
      </c>
      <c r="R51" s="27">
        <f>rebio23_80ml!R52/50</f>
        <v>0</v>
      </c>
      <c r="S51" s="27">
        <f>rebio23_80ml!S52/50</f>
        <v>0</v>
      </c>
      <c r="T51" s="27">
        <f>rebio23_80ml!T52/50</f>
        <v>0</v>
      </c>
      <c r="U51" s="27">
        <f>rebio23_80ml!U52/50</f>
        <v>0</v>
      </c>
      <c r="V51" s="27">
        <f>rebio23_80ml!V52/50</f>
        <v>0</v>
      </c>
      <c r="W51" s="27">
        <f>rebio23_80ml!W52/50</f>
        <v>0</v>
      </c>
      <c r="X51" s="27">
        <f>rebio23_80ml!X52/50</f>
        <v>0</v>
      </c>
      <c r="Y51" s="27">
        <f>rebio23_80ml!Y52/50</f>
        <v>0</v>
      </c>
      <c r="Z51" s="27">
        <f>rebio23_80ml!Z52/50</f>
        <v>0</v>
      </c>
      <c r="AA51" s="27">
        <f>rebio23_80ml!AA52/50</f>
        <v>0</v>
      </c>
      <c r="AB51" s="27">
        <f>rebio23_80ml!AB52/50</f>
        <v>0</v>
      </c>
      <c r="AC51" s="27">
        <f>rebio23_80ml!AC52/50</f>
        <v>0</v>
      </c>
      <c r="AD51" s="27">
        <f>rebio23_80ml!AD52/50</f>
        <v>0</v>
      </c>
      <c r="AE51" s="27">
        <f>rebio23_80ml!AE52/50</f>
        <v>0</v>
      </c>
      <c r="AF51" s="27">
        <f>rebio23_80ml!AF52/50</f>
        <v>0</v>
      </c>
      <c r="AG51" s="27">
        <f>rebio23_80ml!AG52/50</f>
        <v>0</v>
      </c>
      <c r="AH51" s="27">
        <f>rebio23_80ml!AH52/50</f>
        <v>0</v>
      </c>
      <c r="AI51" s="27">
        <f>rebio23_80ml!AI52/50</f>
        <v>0</v>
      </c>
      <c r="AJ51" s="27">
        <f>rebio23_80ml!AJ52/50</f>
        <v>0</v>
      </c>
      <c r="AK51" s="27">
        <f>rebio23_80ml!AK52/50</f>
        <v>0</v>
      </c>
      <c r="AL51" s="27">
        <f>rebio23_80ml!AL52/50</f>
        <v>0</v>
      </c>
      <c r="AM51" s="27">
        <f>rebio23_80ml!AM52/50</f>
        <v>0</v>
      </c>
      <c r="AN51" s="27">
        <f>rebio23_80ml!AN52/50</f>
        <v>0</v>
      </c>
      <c r="AO51" s="27">
        <f>rebio23_80ml!AO52/50</f>
        <v>0</v>
      </c>
      <c r="AP51" s="27">
        <f>rebio23_80ml!AP52/50</f>
        <v>0</v>
      </c>
      <c r="AQ51" s="27">
        <f>rebio23_80ml!AQ52/50</f>
        <v>0</v>
      </c>
      <c r="AR51" s="27">
        <f>rebio23_80ml!AR52/50</f>
        <v>0</v>
      </c>
      <c r="AS51" s="27">
        <f>rebio23_80ml!AS52/50</f>
        <v>0</v>
      </c>
      <c r="AT51" s="27">
        <f>rebio23_80ml!AT52/50</f>
        <v>0</v>
      </c>
      <c r="AU51" s="27">
        <f>rebio23_80ml!AU52/50</f>
        <v>0</v>
      </c>
      <c r="AV51" s="27">
        <f>rebio23_80ml!AV52/50</f>
        <v>0.14000000000000001</v>
      </c>
      <c r="AW51" s="27">
        <f>rebio23_80ml!AW52/50</f>
        <v>0</v>
      </c>
      <c r="AX51" s="27">
        <f>rebio23_80ml!AX52/50</f>
        <v>0</v>
      </c>
      <c r="AY51" s="27">
        <f>rebio23_80ml!AY52/50</f>
        <v>0</v>
      </c>
      <c r="AZ51" s="27">
        <f>rebio23_80ml!AZ52/50</f>
        <v>0</v>
      </c>
      <c r="BA51" s="27">
        <f>rebio23_80ml!BA52/50</f>
        <v>0</v>
      </c>
      <c r="BB51" s="27">
        <f>rebio23_80ml!BB52/50</f>
        <v>0</v>
      </c>
      <c r="BC51" s="27">
        <f>rebio23_80ml!BC52/50</f>
        <v>0</v>
      </c>
      <c r="BD51" s="27">
        <f>rebio23_80ml!BD52/50</f>
        <v>0</v>
      </c>
      <c r="BE51" s="27">
        <f>rebio23_80ml!BE52/50</f>
        <v>0</v>
      </c>
      <c r="BF51" s="27">
        <f>rebio23_80ml!BF52/50</f>
        <v>0</v>
      </c>
      <c r="BG51" s="27">
        <f>rebio23_80ml!BG52/50</f>
        <v>0</v>
      </c>
    </row>
    <row r="52" spans="1:59" ht="12.75" customHeight="1" x14ac:dyDescent="0.25">
      <c r="A52" s="15" t="str">
        <f>rebio23_80ml!A53</f>
        <v>C-B-P05-H3</v>
      </c>
      <c r="B52" s="27">
        <f>rebio23_80ml!B53/50</f>
        <v>0</v>
      </c>
      <c r="C52" s="27">
        <f>rebio23_80ml!C53/50</f>
        <v>0</v>
      </c>
      <c r="D52" s="27">
        <f>rebio23_80ml!D53/50</f>
        <v>0</v>
      </c>
      <c r="E52" s="27">
        <f>rebio23_80ml!E53/50</f>
        <v>2.2000000000000002</v>
      </c>
      <c r="F52" s="27">
        <f>rebio23_80ml!F53/50</f>
        <v>0</v>
      </c>
      <c r="G52" s="27">
        <f>rebio23_80ml!G53/50</f>
        <v>0</v>
      </c>
      <c r="H52" s="27">
        <f>rebio23_80ml!H53/50</f>
        <v>0</v>
      </c>
      <c r="I52" s="27">
        <f>rebio23_80ml!I53/50</f>
        <v>1</v>
      </c>
      <c r="J52" s="27">
        <f>rebio23_80ml!J53/50</f>
        <v>0</v>
      </c>
      <c r="K52" s="27">
        <f>rebio23_80ml!K53/50</f>
        <v>0</v>
      </c>
      <c r="L52" s="27">
        <f>rebio23_80ml!L53/50</f>
        <v>0</v>
      </c>
      <c r="M52" s="27">
        <f>rebio23_80ml!M53/50</f>
        <v>0</v>
      </c>
      <c r="N52" s="27">
        <f>rebio23_80ml!N53/50</f>
        <v>0</v>
      </c>
      <c r="O52" s="27">
        <f>rebio23_80ml!O53/50</f>
        <v>0</v>
      </c>
      <c r="P52" s="27">
        <f>rebio23_80ml!P53/50</f>
        <v>0</v>
      </c>
      <c r="Q52" s="27">
        <f>rebio23_80ml!Q53/50</f>
        <v>0</v>
      </c>
      <c r="R52" s="27">
        <f>rebio23_80ml!R53/50</f>
        <v>0</v>
      </c>
      <c r="S52" s="27">
        <f>rebio23_80ml!S53/50</f>
        <v>0</v>
      </c>
      <c r="T52" s="27">
        <f>rebio23_80ml!T53/50</f>
        <v>0</v>
      </c>
      <c r="U52" s="27">
        <f>rebio23_80ml!U53/50</f>
        <v>0</v>
      </c>
      <c r="V52" s="27">
        <f>rebio23_80ml!V53/50</f>
        <v>0</v>
      </c>
      <c r="W52" s="27">
        <f>rebio23_80ml!W53/50</f>
        <v>0</v>
      </c>
      <c r="X52" s="27">
        <f>rebio23_80ml!X53/50</f>
        <v>0</v>
      </c>
      <c r="Y52" s="27">
        <f>rebio23_80ml!Y53/50</f>
        <v>0</v>
      </c>
      <c r="Z52" s="27">
        <f>rebio23_80ml!Z53/50</f>
        <v>0</v>
      </c>
      <c r="AA52" s="27">
        <f>rebio23_80ml!AA53/50</f>
        <v>0</v>
      </c>
      <c r="AB52" s="27">
        <f>rebio23_80ml!AB53/50</f>
        <v>0</v>
      </c>
      <c r="AC52" s="27">
        <f>rebio23_80ml!AC53/50</f>
        <v>0</v>
      </c>
      <c r="AD52" s="27">
        <f>rebio23_80ml!AD53/50</f>
        <v>0</v>
      </c>
      <c r="AE52" s="27">
        <f>rebio23_80ml!AE53/50</f>
        <v>0</v>
      </c>
      <c r="AF52" s="27">
        <f>rebio23_80ml!AF53/50</f>
        <v>0</v>
      </c>
      <c r="AG52" s="27">
        <f>rebio23_80ml!AG53/50</f>
        <v>0</v>
      </c>
      <c r="AH52" s="27">
        <f>rebio23_80ml!AH53/50</f>
        <v>0</v>
      </c>
      <c r="AI52" s="27">
        <f>rebio23_80ml!AI53/50</f>
        <v>0</v>
      </c>
      <c r="AJ52" s="27">
        <f>rebio23_80ml!AJ53/50</f>
        <v>0</v>
      </c>
      <c r="AK52" s="27">
        <f>rebio23_80ml!AK53/50</f>
        <v>0</v>
      </c>
      <c r="AL52" s="27">
        <f>rebio23_80ml!AL53/50</f>
        <v>0.04</v>
      </c>
      <c r="AM52" s="27">
        <f>rebio23_80ml!AM53/50</f>
        <v>0</v>
      </c>
      <c r="AN52" s="27">
        <f>rebio23_80ml!AN53/50</f>
        <v>0</v>
      </c>
      <c r="AO52" s="27">
        <f>rebio23_80ml!AO53/50</f>
        <v>0</v>
      </c>
      <c r="AP52" s="27">
        <f>rebio23_80ml!AP53/50</f>
        <v>0</v>
      </c>
      <c r="AQ52" s="27">
        <f>rebio23_80ml!AQ53/50</f>
        <v>0</v>
      </c>
      <c r="AR52" s="27">
        <f>rebio23_80ml!AR53/50</f>
        <v>0</v>
      </c>
      <c r="AS52" s="27">
        <f>rebio23_80ml!AS53/50</f>
        <v>0</v>
      </c>
      <c r="AT52" s="27">
        <f>rebio23_80ml!AT53/50</f>
        <v>0</v>
      </c>
      <c r="AU52" s="27">
        <f>rebio23_80ml!AU53/50</f>
        <v>0</v>
      </c>
      <c r="AV52" s="27">
        <f>rebio23_80ml!AV53/50</f>
        <v>0.36</v>
      </c>
      <c r="AW52" s="27">
        <f>rebio23_80ml!AW53/50</f>
        <v>0</v>
      </c>
      <c r="AX52" s="27">
        <f>rebio23_80ml!AX53/50</f>
        <v>0</v>
      </c>
      <c r="AY52" s="27">
        <f>rebio23_80ml!AY53/50</f>
        <v>0</v>
      </c>
      <c r="AZ52" s="27">
        <f>rebio23_80ml!AZ53/50</f>
        <v>0</v>
      </c>
      <c r="BA52" s="27">
        <f>rebio23_80ml!BA53/50</f>
        <v>0</v>
      </c>
      <c r="BB52" s="27">
        <f>rebio23_80ml!BB53/50</f>
        <v>0</v>
      </c>
      <c r="BC52" s="27">
        <f>rebio23_80ml!BC53/50</f>
        <v>0</v>
      </c>
      <c r="BD52" s="27">
        <f>rebio23_80ml!BD53/50</f>
        <v>0</v>
      </c>
      <c r="BE52" s="27">
        <f>rebio23_80ml!BE53/50</f>
        <v>0</v>
      </c>
      <c r="BF52" s="27">
        <f>rebio23_80ml!BF53/50</f>
        <v>0</v>
      </c>
      <c r="BG52" s="27">
        <f>rebio23_80ml!BG53/50</f>
        <v>0</v>
      </c>
    </row>
    <row r="53" spans="1:59" ht="12.75" customHeight="1" x14ac:dyDescent="0.25">
      <c r="A53" s="15" t="str">
        <f>rebio23_80ml!A54</f>
        <v>C-B-P06-H1</v>
      </c>
      <c r="B53" s="27">
        <f>rebio23_80ml!B54/50</f>
        <v>0.06</v>
      </c>
      <c r="C53" s="27">
        <f>rebio23_80ml!C54/50</f>
        <v>0</v>
      </c>
      <c r="D53" s="27">
        <f>rebio23_80ml!D54/50</f>
        <v>0</v>
      </c>
      <c r="E53" s="27">
        <f>rebio23_80ml!E54/50</f>
        <v>1.34</v>
      </c>
      <c r="F53" s="27">
        <f>rebio23_80ml!F54/50</f>
        <v>0</v>
      </c>
      <c r="G53" s="27">
        <f>rebio23_80ml!G54/50</f>
        <v>0</v>
      </c>
      <c r="H53" s="27">
        <f>rebio23_80ml!H54/50</f>
        <v>0</v>
      </c>
      <c r="I53" s="27">
        <f>rebio23_80ml!I54/50</f>
        <v>0.04</v>
      </c>
      <c r="J53" s="27">
        <f>rebio23_80ml!J54/50</f>
        <v>0</v>
      </c>
      <c r="K53" s="27">
        <f>rebio23_80ml!K54/50</f>
        <v>0</v>
      </c>
      <c r="L53" s="27">
        <f>rebio23_80ml!L54/50</f>
        <v>0</v>
      </c>
      <c r="M53" s="27">
        <f>rebio23_80ml!M54/50</f>
        <v>0</v>
      </c>
      <c r="N53" s="27">
        <f>rebio23_80ml!N54/50</f>
        <v>0</v>
      </c>
      <c r="O53" s="27">
        <f>rebio23_80ml!O54/50</f>
        <v>0</v>
      </c>
      <c r="P53" s="27">
        <f>rebio23_80ml!P54/50</f>
        <v>0</v>
      </c>
      <c r="Q53" s="27">
        <f>rebio23_80ml!Q54/50</f>
        <v>0</v>
      </c>
      <c r="R53" s="27">
        <f>rebio23_80ml!R54/50</f>
        <v>0</v>
      </c>
      <c r="S53" s="27">
        <f>rebio23_80ml!S54/50</f>
        <v>0</v>
      </c>
      <c r="T53" s="27">
        <f>rebio23_80ml!T54/50</f>
        <v>0</v>
      </c>
      <c r="U53" s="27">
        <f>rebio23_80ml!U54/50</f>
        <v>0</v>
      </c>
      <c r="V53" s="27">
        <f>rebio23_80ml!V54/50</f>
        <v>0</v>
      </c>
      <c r="W53" s="27">
        <f>rebio23_80ml!W54/50</f>
        <v>0</v>
      </c>
      <c r="X53" s="27">
        <f>rebio23_80ml!X54/50</f>
        <v>0</v>
      </c>
      <c r="Y53" s="27">
        <f>rebio23_80ml!Y54/50</f>
        <v>0.02</v>
      </c>
      <c r="Z53" s="27">
        <f>rebio23_80ml!Z54/50</f>
        <v>0</v>
      </c>
      <c r="AA53" s="27">
        <f>rebio23_80ml!AA54/50</f>
        <v>0</v>
      </c>
      <c r="AB53" s="27">
        <f>rebio23_80ml!AB54/50</f>
        <v>0</v>
      </c>
      <c r="AC53" s="27">
        <f>rebio23_80ml!AC54/50</f>
        <v>0</v>
      </c>
      <c r="AD53" s="27">
        <f>rebio23_80ml!AD54/50</f>
        <v>0</v>
      </c>
      <c r="AE53" s="27">
        <f>rebio23_80ml!AE54/50</f>
        <v>0</v>
      </c>
      <c r="AF53" s="27">
        <f>rebio23_80ml!AF54/50</f>
        <v>0</v>
      </c>
      <c r="AG53" s="27">
        <f>rebio23_80ml!AG54/50</f>
        <v>0</v>
      </c>
      <c r="AH53" s="27">
        <f>rebio23_80ml!AH54/50</f>
        <v>0</v>
      </c>
      <c r="AI53" s="27">
        <f>rebio23_80ml!AI54/50</f>
        <v>0</v>
      </c>
      <c r="AJ53" s="27">
        <f>rebio23_80ml!AJ54/50</f>
        <v>0</v>
      </c>
      <c r="AK53" s="27">
        <f>rebio23_80ml!AK54/50</f>
        <v>0</v>
      </c>
      <c r="AL53" s="27">
        <f>rebio23_80ml!AL54/50</f>
        <v>0</v>
      </c>
      <c r="AM53" s="27">
        <f>rebio23_80ml!AM54/50</f>
        <v>0</v>
      </c>
      <c r="AN53" s="27">
        <f>rebio23_80ml!AN54/50</f>
        <v>0</v>
      </c>
      <c r="AO53" s="27">
        <f>rebio23_80ml!AO54/50</f>
        <v>0</v>
      </c>
      <c r="AP53" s="27">
        <f>rebio23_80ml!AP54/50</f>
        <v>0</v>
      </c>
      <c r="AQ53" s="27">
        <f>rebio23_80ml!AQ54/50</f>
        <v>0</v>
      </c>
      <c r="AR53" s="27">
        <f>rebio23_80ml!AR54/50</f>
        <v>0</v>
      </c>
      <c r="AS53" s="27">
        <f>rebio23_80ml!AS54/50</f>
        <v>0</v>
      </c>
      <c r="AT53" s="27">
        <f>rebio23_80ml!AT54/50</f>
        <v>0</v>
      </c>
      <c r="AU53" s="27">
        <f>rebio23_80ml!AU54/50</f>
        <v>0</v>
      </c>
      <c r="AV53" s="27">
        <f>rebio23_80ml!AV54/50</f>
        <v>0.16</v>
      </c>
      <c r="AW53" s="27">
        <f>rebio23_80ml!AW54/50</f>
        <v>0</v>
      </c>
      <c r="AX53" s="27">
        <f>rebio23_80ml!AX54/50</f>
        <v>0.02</v>
      </c>
      <c r="AY53" s="27">
        <f>rebio23_80ml!AY54/50</f>
        <v>0</v>
      </c>
      <c r="AZ53" s="27">
        <f>rebio23_80ml!AZ54/50</f>
        <v>0</v>
      </c>
      <c r="BA53" s="27">
        <f>rebio23_80ml!BA54/50</f>
        <v>0</v>
      </c>
      <c r="BB53" s="27">
        <f>rebio23_80ml!BB54/50</f>
        <v>0</v>
      </c>
      <c r="BC53" s="27">
        <f>rebio23_80ml!BC54/50</f>
        <v>0</v>
      </c>
      <c r="BD53" s="27">
        <f>rebio23_80ml!BD54/50</f>
        <v>0</v>
      </c>
      <c r="BE53" s="27">
        <f>rebio23_80ml!BE54/50</f>
        <v>0</v>
      </c>
      <c r="BF53" s="27">
        <f>rebio23_80ml!BF54/50</f>
        <v>0</v>
      </c>
      <c r="BG53" s="27">
        <f>rebio23_80ml!BG54/50</f>
        <v>0</v>
      </c>
    </row>
    <row r="54" spans="1:59" ht="12.75" customHeight="1" x14ac:dyDescent="0.25">
      <c r="A54" s="15" t="str">
        <f>rebio23_80ml!A55</f>
        <v>C-B-P06-H2</v>
      </c>
      <c r="B54" s="27">
        <f>rebio23_80ml!B55/50</f>
        <v>0.02</v>
      </c>
      <c r="C54" s="27">
        <f>rebio23_80ml!C55/50</f>
        <v>0</v>
      </c>
      <c r="D54" s="27">
        <f>rebio23_80ml!D55/50</f>
        <v>0</v>
      </c>
      <c r="E54" s="27">
        <f>rebio23_80ml!E55/50</f>
        <v>1.3</v>
      </c>
      <c r="F54" s="27">
        <f>rebio23_80ml!F55/50</f>
        <v>0</v>
      </c>
      <c r="G54" s="27">
        <f>rebio23_80ml!G55/50</f>
        <v>0</v>
      </c>
      <c r="H54" s="27">
        <f>rebio23_80ml!H55/50</f>
        <v>0</v>
      </c>
      <c r="I54" s="27">
        <f>rebio23_80ml!I55/50</f>
        <v>0.1</v>
      </c>
      <c r="J54" s="27">
        <f>rebio23_80ml!J55/50</f>
        <v>0</v>
      </c>
      <c r="K54" s="27">
        <f>rebio23_80ml!K55/50</f>
        <v>0</v>
      </c>
      <c r="L54" s="27">
        <f>rebio23_80ml!L55/50</f>
        <v>0</v>
      </c>
      <c r="M54" s="27">
        <f>rebio23_80ml!M55/50</f>
        <v>0</v>
      </c>
      <c r="N54" s="27">
        <f>rebio23_80ml!N55/50</f>
        <v>0</v>
      </c>
      <c r="O54" s="27">
        <f>rebio23_80ml!O55/50</f>
        <v>0</v>
      </c>
      <c r="P54" s="27">
        <f>rebio23_80ml!P55/50</f>
        <v>0</v>
      </c>
      <c r="Q54" s="27">
        <f>rebio23_80ml!Q55/50</f>
        <v>0</v>
      </c>
      <c r="R54" s="27">
        <f>rebio23_80ml!R55/50</f>
        <v>0</v>
      </c>
      <c r="S54" s="27">
        <f>rebio23_80ml!S55/50</f>
        <v>0</v>
      </c>
      <c r="T54" s="27">
        <f>rebio23_80ml!T55/50</f>
        <v>0</v>
      </c>
      <c r="U54" s="27">
        <f>rebio23_80ml!U55/50</f>
        <v>0</v>
      </c>
      <c r="V54" s="27">
        <f>rebio23_80ml!V55/50</f>
        <v>0</v>
      </c>
      <c r="W54" s="27">
        <f>rebio23_80ml!W55/50</f>
        <v>0</v>
      </c>
      <c r="X54" s="27">
        <f>rebio23_80ml!X55/50</f>
        <v>0</v>
      </c>
      <c r="Y54" s="27">
        <f>rebio23_80ml!Y55/50</f>
        <v>0</v>
      </c>
      <c r="Z54" s="27">
        <f>rebio23_80ml!Z55/50</f>
        <v>0</v>
      </c>
      <c r="AA54" s="27">
        <f>rebio23_80ml!AA55/50</f>
        <v>0</v>
      </c>
      <c r="AB54" s="27">
        <f>rebio23_80ml!AB55/50</f>
        <v>0</v>
      </c>
      <c r="AC54" s="27">
        <f>rebio23_80ml!AC55/50</f>
        <v>0</v>
      </c>
      <c r="AD54" s="27">
        <f>rebio23_80ml!AD55/50</f>
        <v>0</v>
      </c>
      <c r="AE54" s="27">
        <f>rebio23_80ml!AE55/50</f>
        <v>0</v>
      </c>
      <c r="AF54" s="27">
        <f>rebio23_80ml!AF55/50</f>
        <v>0</v>
      </c>
      <c r="AG54" s="27">
        <f>rebio23_80ml!AG55/50</f>
        <v>0</v>
      </c>
      <c r="AH54" s="27">
        <f>rebio23_80ml!AH55/50</f>
        <v>0</v>
      </c>
      <c r="AI54" s="27">
        <f>rebio23_80ml!AI55/50</f>
        <v>0</v>
      </c>
      <c r="AJ54" s="27">
        <f>rebio23_80ml!AJ55/50</f>
        <v>0</v>
      </c>
      <c r="AK54" s="27">
        <f>rebio23_80ml!AK55/50</f>
        <v>0</v>
      </c>
      <c r="AL54" s="27">
        <f>rebio23_80ml!AL55/50</f>
        <v>0</v>
      </c>
      <c r="AM54" s="27">
        <f>rebio23_80ml!AM55/50</f>
        <v>0</v>
      </c>
      <c r="AN54" s="27">
        <f>rebio23_80ml!AN55/50</f>
        <v>0</v>
      </c>
      <c r="AO54" s="27">
        <f>rebio23_80ml!AO55/50</f>
        <v>0</v>
      </c>
      <c r="AP54" s="27">
        <f>rebio23_80ml!AP55/50</f>
        <v>0</v>
      </c>
      <c r="AQ54" s="27">
        <f>rebio23_80ml!AQ55/50</f>
        <v>0</v>
      </c>
      <c r="AR54" s="27">
        <f>rebio23_80ml!AR55/50</f>
        <v>0</v>
      </c>
      <c r="AS54" s="27">
        <f>rebio23_80ml!AS55/50</f>
        <v>0</v>
      </c>
      <c r="AT54" s="27">
        <f>rebio23_80ml!AT55/50</f>
        <v>0</v>
      </c>
      <c r="AU54" s="27">
        <f>rebio23_80ml!AU55/50</f>
        <v>0</v>
      </c>
      <c r="AV54" s="27">
        <f>rebio23_80ml!AV55/50</f>
        <v>0.02</v>
      </c>
      <c r="AW54" s="27">
        <f>rebio23_80ml!AW55/50</f>
        <v>0</v>
      </c>
      <c r="AX54" s="27">
        <f>rebio23_80ml!AX55/50</f>
        <v>0</v>
      </c>
      <c r="AY54" s="27">
        <f>rebio23_80ml!AY55/50</f>
        <v>0</v>
      </c>
      <c r="AZ54" s="27">
        <f>rebio23_80ml!AZ55/50</f>
        <v>0</v>
      </c>
      <c r="BA54" s="27">
        <f>rebio23_80ml!BA55/50</f>
        <v>0</v>
      </c>
      <c r="BB54" s="27">
        <f>rebio23_80ml!BB55/50</f>
        <v>0</v>
      </c>
      <c r="BC54" s="27">
        <f>rebio23_80ml!BC55/50</f>
        <v>0</v>
      </c>
      <c r="BD54" s="27">
        <f>rebio23_80ml!BD55/50</f>
        <v>0</v>
      </c>
      <c r="BE54" s="27">
        <f>rebio23_80ml!BE55/50</f>
        <v>0</v>
      </c>
      <c r="BF54" s="27">
        <f>rebio23_80ml!BF55/50</f>
        <v>0</v>
      </c>
      <c r="BG54" s="27">
        <f>rebio23_80ml!BG55/50</f>
        <v>0</v>
      </c>
    </row>
    <row r="55" spans="1:59" ht="12.75" customHeight="1" x14ac:dyDescent="0.25">
      <c r="A55" s="15" t="str">
        <f>rebio23_80ml!A56</f>
        <v>C-B-P06-H3</v>
      </c>
      <c r="B55" s="27">
        <f>rebio23_80ml!B56/50</f>
        <v>0</v>
      </c>
      <c r="C55" s="27">
        <f>rebio23_80ml!C56/50</f>
        <v>0</v>
      </c>
      <c r="D55" s="27">
        <f>rebio23_80ml!D56/50</f>
        <v>0</v>
      </c>
      <c r="E55" s="27">
        <f>rebio23_80ml!E56/50</f>
        <v>1.34</v>
      </c>
      <c r="F55" s="27">
        <f>rebio23_80ml!F56/50</f>
        <v>0</v>
      </c>
      <c r="G55" s="27">
        <f>rebio23_80ml!G56/50</f>
        <v>0</v>
      </c>
      <c r="H55" s="27">
        <f>rebio23_80ml!H56/50</f>
        <v>0</v>
      </c>
      <c r="I55" s="27">
        <f>rebio23_80ml!I56/50</f>
        <v>0.04</v>
      </c>
      <c r="J55" s="27">
        <f>rebio23_80ml!J56/50</f>
        <v>0</v>
      </c>
      <c r="K55" s="27">
        <f>rebio23_80ml!K56/50</f>
        <v>0</v>
      </c>
      <c r="L55" s="27">
        <f>rebio23_80ml!L56/50</f>
        <v>0</v>
      </c>
      <c r="M55" s="27">
        <f>rebio23_80ml!M56/50</f>
        <v>0</v>
      </c>
      <c r="N55" s="27">
        <f>rebio23_80ml!N56/50</f>
        <v>0</v>
      </c>
      <c r="O55" s="27">
        <f>rebio23_80ml!O56/50</f>
        <v>0</v>
      </c>
      <c r="P55" s="27">
        <f>rebio23_80ml!P56/50</f>
        <v>0</v>
      </c>
      <c r="Q55" s="27">
        <f>rebio23_80ml!Q56/50</f>
        <v>0</v>
      </c>
      <c r="R55" s="27">
        <f>rebio23_80ml!R56/50</f>
        <v>0</v>
      </c>
      <c r="S55" s="27">
        <f>rebio23_80ml!S56/50</f>
        <v>0</v>
      </c>
      <c r="T55" s="27">
        <f>rebio23_80ml!T56/50</f>
        <v>0</v>
      </c>
      <c r="U55" s="27">
        <f>rebio23_80ml!U56/50</f>
        <v>0</v>
      </c>
      <c r="V55" s="27">
        <f>rebio23_80ml!V56/50</f>
        <v>0</v>
      </c>
      <c r="W55" s="27">
        <f>rebio23_80ml!W56/50</f>
        <v>0</v>
      </c>
      <c r="X55" s="27">
        <f>rebio23_80ml!X56/50</f>
        <v>0</v>
      </c>
      <c r="Y55" s="27">
        <f>rebio23_80ml!Y56/50</f>
        <v>0.02</v>
      </c>
      <c r="Z55" s="27">
        <f>rebio23_80ml!Z56/50</f>
        <v>0</v>
      </c>
      <c r="AA55" s="27">
        <f>rebio23_80ml!AA56/50</f>
        <v>0</v>
      </c>
      <c r="AB55" s="27">
        <f>rebio23_80ml!AB56/50</f>
        <v>0</v>
      </c>
      <c r="AC55" s="27">
        <f>rebio23_80ml!AC56/50</f>
        <v>0</v>
      </c>
      <c r="AD55" s="27">
        <f>rebio23_80ml!AD56/50</f>
        <v>0</v>
      </c>
      <c r="AE55" s="27">
        <f>rebio23_80ml!AE56/50</f>
        <v>0</v>
      </c>
      <c r="AF55" s="27">
        <f>rebio23_80ml!AF56/50</f>
        <v>0</v>
      </c>
      <c r="AG55" s="27">
        <f>rebio23_80ml!AG56/50</f>
        <v>0</v>
      </c>
      <c r="AH55" s="27">
        <f>rebio23_80ml!AH56/50</f>
        <v>0</v>
      </c>
      <c r="AI55" s="27">
        <f>rebio23_80ml!AI56/50</f>
        <v>0</v>
      </c>
      <c r="AJ55" s="27">
        <f>rebio23_80ml!AJ56/50</f>
        <v>0</v>
      </c>
      <c r="AK55" s="27">
        <f>rebio23_80ml!AK56/50</f>
        <v>0</v>
      </c>
      <c r="AL55" s="27">
        <f>rebio23_80ml!AL56/50</f>
        <v>0</v>
      </c>
      <c r="AM55" s="27">
        <f>rebio23_80ml!AM56/50</f>
        <v>0</v>
      </c>
      <c r="AN55" s="27">
        <f>rebio23_80ml!AN56/50</f>
        <v>0</v>
      </c>
      <c r="AO55" s="27">
        <f>rebio23_80ml!AO56/50</f>
        <v>0</v>
      </c>
      <c r="AP55" s="27">
        <f>rebio23_80ml!AP56/50</f>
        <v>0</v>
      </c>
      <c r="AQ55" s="27">
        <f>rebio23_80ml!AQ56/50</f>
        <v>0</v>
      </c>
      <c r="AR55" s="27">
        <f>rebio23_80ml!AR56/50</f>
        <v>0</v>
      </c>
      <c r="AS55" s="27">
        <f>rebio23_80ml!AS56/50</f>
        <v>0</v>
      </c>
      <c r="AT55" s="27">
        <f>rebio23_80ml!AT56/50</f>
        <v>0</v>
      </c>
      <c r="AU55" s="27">
        <f>rebio23_80ml!AU56/50</f>
        <v>0</v>
      </c>
      <c r="AV55" s="27">
        <f>rebio23_80ml!AV56/50</f>
        <v>0</v>
      </c>
      <c r="AW55" s="27">
        <f>rebio23_80ml!AW56/50</f>
        <v>0</v>
      </c>
      <c r="AX55" s="27">
        <f>rebio23_80ml!AX56/50</f>
        <v>0</v>
      </c>
      <c r="AY55" s="27">
        <f>rebio23_80ml!AY56/50</f>
        <v>0</v>
      </c>
      <c r="AZ55" s="27">
        <f>rebio23_80ml!AZ56/50</f>
        <v>0</v>
      </c>
      <c r="BA55" s="27">
        <f>rebio23_80ml!BA56/50</f>
        <v>0</v>
      </c>
      <c r="BB55" s="27">
        <f>rebio23_80ml!BB56/50</f>
        <v>0</v>
      </c>
      <c r="BC55" s="27">
        <f>rebio23_80ml!BC56/50</f>
        <v>0</v>
      </c>
      <c r="BD55" s="27">
        <f>rebio23_80ml!BD56/50</f>
        <v>0.02</v>
      </c>
      <c r="BE55" s="27">
        <f>rebio23_80ml!BE56/50</f>
        <v>0</v>
      </c>
      <c r="BF55" s="27">
        <f>rebio23_80ml!BF56/50</f>
        <v>0</v>
      </c>
      <c r="BG55" s="27">
        <f>rebio23_80ml!BG56/50</f>
        <v>0</v>
      </c>
    </row>
    <row r="56" spans="1:59" ht="12.75" customHeight="1" x14ac:dyDescent="0.25">
      <c r="A56" s="15" t="str">
        <f>rebio23_80ml!A57</f>
        <v>C-B-P07-H1</v>
      </c>
      <c r="B56" s="27">
        <f>rebio23_80ml!B57/50</f>
        <v>0.02</v>
      </c>
      <c r="C56" s="27">
        <f>rebio23_80ml!C57/50</f>
        <v>0</v>
      </c>
      <c r="D56" s="27">
        <f>rebio23_80ml!D57/50</f>
        <v>0</v>
      </c>
      <c r="E56" s="27">
        <f>rebio23_80ml!E57/50</f>
        <v>2.1</v>
      </c>
      <c r="F56" s="27">
        <f>rebio23_80ml!F57/50</f>
        <v>0</v>
      </c>
      <c r="G56" s="27">
        <f>rebio23_80ml!G57/50</f>
        <v>0</v>
      </c>
      <c r="H56" s="27">
        <f>rebio23_80ml!H57/50</f>
        <v>0</v>
      </c>
      <c r="I56" s="27">
        <f>rebio23_80ml!I57/50</f>
        <v>0.12</v>
      </c>
      <c r="J56" s="27">
        <f>rebio23_80ml!J57/50</f>
        <v>0</v>
      </c>
      <c r="K56" s="27">
        <f>rebio23_80ml!K57/50</f>
        <v>0</v>
      </c>
      <c r="L56" s="27">
        <f>rebio23_80ml!L57/50</f>
        <v>0</v>
      </c>
      <c r="M56" s="27">
        <f>rebio23_80ml!M57/50</f>
        <v>0</v>
      </c>
      <c r="N56" s="27">
        <f>rebio23_80ml!N57/50</f>
        <v>0</v>
      </c>
      <c r="O56" s="27">
        <f>rebio23_80ml!O57/50</f>
        <v>0</v>
      </c>
      <c r="P56" s="27">
        <f>rebio23_80ml!P57/50</f>
        <v>0</v>
      </c>
      <c r="Q56" s="27">
        <f>rebio23_80ml!Q57/50</f>
        <v>0</v>
      </c>
      <c r="R56" s="27">
        <f>rebio23_80ml!R57/50</f>
        <v>0</v>
      </c>
      <c r="S56" s="27">
        <f>rebio23_80ml!S57/50</f>
        <v>0</v>
      </c>
      <c r="T56" s="27">
        <f>rebio23_80ml!T57/50</f>
        <v>0</v>
      </c>
      <c r="U56" s="27">
        <f>rebio23_80ml!U57/50</f>
        <v>0</v>
      </c>
      <c r="V56" s="27">
        <f>rebio23_80ml!V57/50</f>
        <v>0</v>
      </c>
      <c r="W56" s="27">
        <f>rebio23_80ml!W57/50</f>
        <v>0</v>
      </c>
      <c r="X56" s="27">
        <f>rebio23_80ml!X57/50</f>
        <v>0</v>
      </c>
      <c r="Y56" s="27">
        <f>rebio23_80ml!Y57/50</f>
        <v>0</v>
      </c>
      <c r="Z56" s="27">
        <f>rebio23_80ml!Z57/50</f>
        <v>0</v>
      </c>
      <c r="AA56" s="27">
        <f>rebio23_80ml!AA57/50</f>
        <v>0</v>
      </c>
      <c r="AB56" s="27">
        <f>rebio23_80ml!AB57/50</f>
        <v>0</v>
      </c>
      <c r="AC56" s="27">
        <f>rebio23_80ml!AC57/50</f>
        <v>0</v>
      </c>
      <c r="AD56" s="27">
        <f>rebio23_80ml!AD57/50</f>
        <v>0</v>
      </c>
      <c r="AE56" s="27">
        <f>rebio23_80ml!AE57/50</f>
        <v>0</v>
      </c>
      <c r="AF56" s="27">
        <f>rebio23_80ml!AF57/50</f>
        <v>0</v>
      </c>
      <c r="AG56" s="27">
        <f>rebio23_80ml!AG57/50</f>
        <v>0</v>
      </c>
      <c r="AH56" s="27">
        <f>rebio23_80ml!AH57/50</f>
        <v>0</v>
      </c>
      <c r="AI56" s="27">
        <f>rebio23_80ml!AI57/50</f>
        <v>0</v>
      </c>
      <c r="AJ56" s="27">
        <f>rebio23_80ml!AJ57/50</f>
        <v>0</v>
      </c>
      <c r="AK56" s="27">
        <f>rebio23_80ml!AK57/50</f>
        <v>0</v>
      </c>
      <c r="AL56" s="27">
        <f>rebio23_80ml!AL57/50</f>
        <v>0</v>
      </c>
      <c r="AM56" s="27">
        <f>rebio23_80ml!AM57/50</f>
        <v>0</v>
      </c>
      <c r="AN56" s="27">
        <f>rebio23_80ml!AN57/50</f>
        <v>0</v>
      </c>
      <c r="AO56" s="27">
        <f>rebio23_80ml!AO57/50</f>
        <v>0</v>
      </c>
      <c r="AP56" s="27">
        <f>rebio23_80ml!AP57/50</f>
        <v>0</v>
      </c>
      <c r="AQ56" s="27">
        <f>rebio23_80ml!AQ57/50</f>
        <v>0</v>
      </c>
      <c r="AR56" s="27">
        <f>rebio23_80ml!AR57/50</f>
        <v>0</v>
      </c>
      <c r="AS56" s="27">
        <f>rebio23_80ml!AS57/50</f>
        <v>0</v>
      </c>
      <c r="AT56" s="27">
        <f>rebio23_80ml!AT57/50</f>
        <v>0</v>
      </c>
      <c r="AU56" s="27">
        <f>rebio23_80ml!AU57/50</f>
        <v>0</v>
      </c>
      <c r="AV56" s="27">
        <f>rebio23_80ml!AV57/50</f>
        <v>0.14000000000000001</v>
      </c>
      <c r="AW56" s="27">
        <f>rebio23_80ml!AW57/50</f>
        <v>0</v>
      </c>
      <c r="AX56" s="27">
        <f>rebio23_80ml!AX57/50</f>
        <v>0</v>
      </c>
      <c r="AY56" s="27">
        <f>rebio23_80ml!AY57/50</f>
        <v>0</v>
      </c>
      <c r="AZ56" s="27">
        <f>rebio23_80ml!AZ57/50</f>
        <v>0</v>
      </c>
      <c r="BA56" s="27">
        <f>rebio23_80ml!BA57/50</f>
        <v>0</v>
      </c>
      <c r="BB56" s="27">
        <f>rebio23_80ml!BB57/50</f>
        <v>0</v>
      </c>
      <c r="BC56" s="27">
        <f>rebio23_80ml!BC57/50</f>
        <v>0</v>
      </c>
      <c r="BD56" s="27">
        <f>rebio23_80ml!BD57/50</f>
        <v>0</v>
      </c>
      <c r="BE56" s="27">
        <f>rebio23_80ml!BE57/50</f>
        <v>0</v>
      </c>
      <c r="BF56" s="27">
        <f>rebio23_80ml!BF57/50</f>
        <v>0</v>
      </c>
      <c r="BG56" s="27">
        <f>rebio23_80ml!BG57/50</f>
        <v>0</v>
      </c>
    </row>
    <row r="57" spans="1:59" ht="12.75" customHeight="1" x14ac:dyDescent="0.25">
      <c r="A57" s="15" t="str">
        <f>rebio23_80ml!A58</f>
        <v>C-B-P07-H2</v>
      </c>
      <c r="B57" s="27">
        <f>rebio23_80ml!B58/50</f>
        <v>0.02</v>
      </c>
      <c r="C57" s="27">
        <f>rebio23_80ml!C58/50</f>
        <v>0</v>
      </c>
      <c r="D57" s="27">
        <f>rebio23_80ml!D58/50</f>
        <v>0</v>
      </c>
      <c r="E57" s="27">
        <f>rebio23_80ml!E58/50</f>
        <v>1.1399999999999999</v>
      </c>
      <c r="F57" s="27">
        <f>rebio23_80ml!F58/50</f>
        <v>0</v>
      </c>
      <c r="G57" s="27">
        <f>rebio23_80ml!G58/50</f>
        <v>0</v>
      </c>
      <c r="H57" s="27">
        <f>rebio23_80ml!H58/50</f>
        <v>0</v>
      </c>
      <c r="I57" s="27">
        <f>rebio23_80ml!I58/50</f>
        <v>0.1</v>
      </c>
      <c r="J57" s="27">
        <f>rebio23_80ml!J58/50</f>
        <v>0</v>
      </c>
      <c r="K57" s="27">
        <f>rebio23_80ml!K58/50</f>
        <v>0</v>
      </c>
      <c r="L57" s="27">
        <f>rebio23_80ml!L58/50</f>
        <v>0</v>
      </c>
      <c r="M57" s="27">
        <f>rebio23_80ml!M58/50</f>
        <v>0</v>
      </c>
      <c r="N57" s="27">
        <f>rebio23_80ml!N58/50</f>
        <v>0</v>
      </c>
      <c r="O57" s="27">
        <f>rebio23_80ml!O58/50</f>
        <v>0</v>
      </c>
      <c r="P57" s="27">
        <f>rebio23_80ml!P58/50</f>
        <v>0</v>
      </c>
      <c r="Q57" s="27">
        <f>rebio23_80ml!Q58/50</f>
        <v>0</v>
      </c>
      <c r="R57" s="27">
        <f>rebio23_80ml!R58/50</f>
        <v>0</v>
      </c>
      <c r="S57" s="27">
        <f>rebio23_80ml!S58/50</f>
        <v>0</v>
      </c>
      <c r="T57" s="27">
        <f>rebio23_80ml!T58/50</f>
        <v>0</v>
      </c>
      <c r="U57" s="27">
        <f>rebio23_80ml!U58/50</f>
        <v>0</v>
      </c>
      <c r="V57" s="27">
        <f>rebio23_80ml!V58/50</f>
        <v>0</v>
      </c>
      <c r="W57" s="27">
        <f>rebio23_80ml!W58/50</f>
        <v>0</v>
      </c>
      <c r="X57" s="27">
        <f>rebio23_80ml!X58/50</f>
        <v>0</v>
      </c>
      <c r="Y57" s="27">
        <f>rebio23_80ml!Y58/50</f>
        <v>0</v>
      </c>
      <c r="Z57" s="27">
        <f>rebio23_80ml!Z58/50</f>
        <v>0</v>
      </c>
      <c r="AA57" s="27">
        <f>rebio23_80ml!AA58/50</f>
        <v>0</v>
      </c>
      <c r="AB57" s="27">
        <f>rebio23_80ml!AB58/50</f>
        <v>0</v>
      </c>
      <c r="AC57" s="27">
        <f>rebio23_80ml!AC58/50</f>
        <v>0</v>
      </c>
      <c r="AD57" s="27">
        <f>rebio23_80ml!AD58/50</f>
        <v>0</v>
      </c>
      <c r="AE57" s="27">
        <f>rebio23_80ml!AE58/50</f>
        <v>0</v>
      </c>
      <c r="AF57" s="27">
        <f>rebio23_80ml!AF58/50</f>
        <v>0</v>
      </c>
      <c r="AG57" s="27">
        <f>rebio23_80ml!AG58/50</f>
        <v>0</v>
      </c>
      <c r="AH57" s="27">
        <f>rebio23_80ml!AH58/50</f>
        <v>0</v>
      </c>
      <c r="AI57" s="27">
        <f>rebio23_80ml!AI58/50</f>
        <v>0</v>
      </c>
      <c r="AJ57" s="27">
        <f>rebio23_80ml!AJ58/50</f>
        <v>0</v>
      </c>
      <c r="AK57" s="27">
        <f>rebio23_80ml!AK58/50</f>
        <v>0</v>
      </c>
      <c r="AL57" s="27">
        <f>rebio23_80ml!AL58/50</f>
        <v>0</v>
      </c>
      <c r="AM57" s="27">
        <f>rebio23_80ml!AM58/50</f>
        <v>0</v>
      </c>
      <c r="AN57" s="27">
        <f>rebio23_80ml!AN58/50</f>
        <v>0</v>
      </c>
      <c r="AO57" s="27">
        <f>rebio23_80ml!AO58/50</f>
        <v>0</v>
      </c>
      <c r="AP57" s="27">
        <f>rebio23_80ml!AP58/50</f>
        <v>0</v>
      </c>
      <c r="AQ57" s="27">
        <f>rebio23_80ml!AQ58/50</f>
        <v>0</v>
      </c>
      <c r="AR57" s="27">
        <f>rebio23_80ml!AR58/50</f>
        <v>0</v>
      </c>
      <c r="AS57" s="27">
        <f>rebio23_80ml!AS58/50</f>
        <v>0</v>
      </c>
      <c r="AT57" s="27">
        <f>rebio23_80ml!AT58/50</f>
        <v>0</v>
      </c>
      <c r="AU57" s="27">
        <f>rebio23_80ml!AU58/50</f>
        <v>0</v>
      </c>
      <c r="AV57" s="27">
        <f>rebio23_80ml!AV58/50</f>
        <v>0.12</v>
      </c>
      <c r="AW57" s="27">
        <f>rebio23_80ml!AW58/50</f>
        <v>0</v>
      </c>
      <c r="AX57" s="27">
        <f>rebio23_80ml!AX58/50</f>
        <v>0</v>
      </c>
      <c r="AY57" s="27">
        <f>rebio23_80ml!AY58/50</f>
        <v>0</v>
      </c>
      <c r="AZ57" s="27">
        <f>rebio23_80ml!AZ58/50</f>
        <v>0</v>
      </c>
      <c r="BA57" s="27">
        <f>rebio23_80ml!BA58/50</f>
        <v>0</v>
      </c>
      <c r="BB57" s="27">
        <f>rebio23_80ml!BB58/50</f>
        <v>0</v>
      </c>
      <c r="BC57" s="27">
        <f>rebio23_80ml!BC58/50</f>
        <v>0</v>
      </c>
      <c r="BD57" s="27">
        <f>rebio23_80ml!BD58/50</f>
        <v>0</v>
      </c>
      <c r="BE57" s="27">
        <f>rebio23_80ml!BE58/50</f>
        <v>0</v>
      </c>
      <c r="BF57" s="27">
        <f>rebio23_80ml!BF58/50</f>
        <v>0</v>
      </c>
      <c r="BG57" s="27">
        <f>rebio23_80ml!BG58/50</f>
        <v>0</v>
      </c>
    </row>
    <row r="58" spans="1:59" ht="12.75" customHeight="1" x14ac:dyDescent="0.25">
      <c r="A58" s="15" t="str">
        <f>rebio23_80ml!A59</f>
        <v>C-B-P07-H3</v>
      </c>
      <c r="B58" s="27">
        <f>rebio23_80ml!B59/50</f>
        <v>0</v>
      </c>
      <c r="C58" s="27">
        <f>rebio23_80ml!C59/50</f>
        <v>0</v>
      </c>
      <c r="D58" s="27">
        <f>rebio23_80ml!D59/50</f>
        <v>0</v>
      </c>
      <c r="E58" s="27">
        <f>rebio23_80ml!E59/50</f>
        <v>1.34</v>
      </c>
      <c r="F58" s="27">
        <f>rebio23_80ml!F59/50</f>
        <v>0</v>
      </c>
      <c r="G58" s="27">
        <f>rebio23_80ml!G59/50</f>
        <v>0</v>
      </c>
      <c r="H58" s="27">
        <f>rebio23_80ml!H59/50</f>
        <v>0</v>
      </c>
      <c r="I58" s="27">
        <f>rebio23_80ml!I59/50</f>
        <v>0.06</v>
      </c>
      <c r="J58" s="27">
        <f>rebio23_80ml!J59/50</f>
        <v>0</v>
      </c>
      <c r="K58" s="27">
        <f>rebio23_80ml!K59/50</f>
        <v>0</v>
      </c>
      <c r="L58" s="27">
        <f>rebio23_80ml!L59/50</f>
        <v>0</v>
      </c>
      <c r="M58" s="27">
        <f>rebio23_80ml!M59/50</f>
        <v>0</v>
      </c>
      <c r="N58" s="27">
        <f>rebio23_80ml!N59/50</f>
        <v>0</v>
      </c>
      <c r="O58" s="27">
        <f>rebio23_80ml!O59/50</f>
        <v>0</v>
      </c>
      <c r="P58" s="27">
        <f>rebio23_80ml!P59/50</f>
        <v>0</v>
      </c>
      <c r="Q58" s="27">
        <f>rebio23_80ml!Q59/50</f>
        <v>0</v>
      </c>
      <c r="R58" s="27">
        <f>rebio23_80ml!R59/50</f>
        <v>0</v>
      </c>
      <c r="S58" s="27">
        <f>rebio23_80ml!S59/50</f>
        <v>0</v>
      </c>
      <c r="T58" s="27">
        <f>rebio23_80ml!T59/50</f>
        <v>0</v>
      </c>
      <c r="U58" s="27">
        <f>rebio23_80ml!U59/50</f>
        <v>0</v>
      </c>
      <c r="V58" s="27">
        <f>rebio23_80ml!V59/50</f>
        <v>0</v>
      </c>
      <c r="W58" s="27">
        <f>rebio23_80ml!W59/50</f>
        <v>0</v>
      </c>
      <c r="X58" s="27">
        <f>rebio23_80ml!X59/50</f>
        <v>0</v>
      </c>
      <c r="Y58" s="27">
        <f>rebio23_80ml!Y59/50</f>
        <v>0</v>
      </c>
      <c r="Z58" s="27">
        <f>rebio23_80ml!Z59/50</f>
        <v>0</v>
      </c>
      <c r="AA58" s="27">
        <f>rebio23_80ml!AA59/50</f>
        <v>0</v>
      </c>
      <c r="AB58" s="27">
        <f>rebio23_80ml!AB59/50</f>
        <v>0</v>
      </c>
      <c r="AC58" s="27">
        <f>rebio23_80ml!AC59/50</f>
        <v>0</v>
      </c>
      <c r="AD58" s="27">
        <f>rebio23_80ml!AD59/50</f>
        <v>0</v>
      </c>
      <c r="AE58" s="27">
        <f>rebio23_80ml!AE59/50</f>
        <v>0</v>
      </c>
      <c r="AF58" s="27">
        <f>rebio23_80ml!AF59/50</f>
        <v>0</v>
      </c>
      <c r="AG58" s="27">
        <f>rebio23_80ml!AG59/50</f>
        <v>0</v>
      </c>
      <c r="AH58" s="27">
        <f>rebio23_80ml!AH59/50</f>
        <v>0</v>
      </c>
      <c r="AI58" s="27">
        <f>rebio23_80ml!AI59/50</f>
        <v>0</v>
      </c>
      <c r="AJ58" s="27">
        <f>rebio23_80ml!AJ59/50</f>
        <v>0</v>
      </c>
      <c r="AK58" s="27">
        <f>rebio23_80ml!AK59/50</f>
        <v>0</v>
      </c>
      <c r="AL58" s="27">
        <f>rebio23_80ml!AL59/50</f>
        <v>0</v>
      </c>
      <c r="AM58" s="27">
        <f>rebio23_80ml!AM59/50</f>
        <v>0</v>
      </c>
      <c r="AN58" s="27">
        <f>rebio23_80ml!AN59/50</f>
        <v>0</v>
      </c>
      <c r="AO58" s="27">
        <f>rebio23_80ml!AO59/50</f>
        <v>0</v>
      </c>
      <c r="AP58" s="27">
        <f>rebio23_80ml!AP59/50</f>
        <v>0</v>
      </c>
      <c r="AQ58" s="27">
        <f>rebio23_80ml!AQ59/50</f>
        <v>0</v>
      </c>
      <c r="AR58" s="27">
        <f>rebio23_80ml!AR59/50</f>
        <v>0</v>
      </c>
      <c r="AS58" s="27">
        <f>rebio23_80ml!AS59/50</f>
        <v>0</v>
      </c>
      <c r="AT58" s="27">
        <f>rebio23_80ml!AT59/50</f>
        <v>0</v>
      </c>
      <c r="AU58" s="27">
        <f>rebio23_80ml!AU59/50</f>
        <v>0</v>
      </c>
      <c r="AV58" s="27">
        <f>rebio23_80ml!AV59/50</f>
        <v>0.14000000000000001</v>
      </c>
      <c r="AW58" s="27">
        <f>rebio23_80ml!AW59/50</f>
        <v>0</v>
      </c>
      <c r="AX58" s="27">
        <f>rebio23_80ml!AX59/50</f>
        <v>0</v>
      </c>
      <c r="AY58" s="27">
        <f>rebio23_80ml!AY59/50</f>
        <v>0</v>
      </c>
      <c r="AZ58" s="27">
        <f>rebio23_80ml!AZ59/50</f>
        <v>0</v>
      </c>
      <c r="BA58" s="27">
        <f>rebio23_80ml!BA59/50</f>
        <v>0</v>
      </c>
      <c r="BB58" s="27">
        <f>rebio23_80ml!BB59/50</f>
        <v>0</v>
      </c>
      <c r="BC58" s="27">
        <f>rebio23_80ml!BC59/50</f>
        <v>0</v>
      </c>
      <c r="BD58" s="27">
        <f>rebio23_80ml!BD59/50</f>
        <v>0</v>
      </c>
      <c r="BE58" s="27">
        <f>rebio23_80ml!BE59/50</f>
        <v>0</v>
      </c>
      <c r="BF58" s="27">
        <f>rebio23_80ml!BF59/50</f>
        <v>0</v>
      </c>
      <c r="BG58" s="27">
        <f>rebio23_80ml!BG59/50</f>
        <v>0</v>
      </c>
    </row>
    <row r="59" spans="1:59" ht="12.75" customHeight="1" x14ac:dyDescent="0.25">
      <c r="A59" s="15" t="str">
        <f>rebio23_80ml!A60</f>
        <v>C-B-P08-H1</v>
      </c>
      <c r="B59" s="27">
        <f>rebio23_80ml!B60/50</f>
        <v>12.68</v>
      </c>
      <c r="C59" s="27">
        <f>rebio23_80ml!C60/50</f>
        <v>2.54</v>
      </c>
      <c r="D59" s="27">
        <f>rebio23_80ml!D60/50</f>
        <v>0.94</v>
      </c>
      <c r="E59" s="27">
        <f>rebio23_80ml!E60/50</f>
        <v>3.74</v>
      </c>
      <c r="F59" s="27">
        <f>rebio23_80ml!F60/50</f>
        <v>0</v>
      </c>
      <c r="G59" s="27">
        <f>rebio23_80ml!G60/50</f>
        <v>0</v>
      </c>
      <c r="H59" s="27">
        <f>rebio23_80ml!H60/50</f>
        <v>0</v>
      </c>
      <c r="I59" s="27">
        <f>rebio23_80ml!I60/50</f>
        <v>28.2</v>
      </c>
      <c r="J59" s="27">
        <f>rebio23_80ml!J60/50</f>
        <v>6.86</v>
      </c>
      <c r="K59" s="27">
        <f>rebio23_80ml!K60/50</f>
        <v>0</v>
      </c>
      <c r="L59" s="27">
        <f>rebio23_80ml!L60/50</f>
        <v>0.2</v>
      </c>
      <c r="M59" s="27">
        <f>rebio23_80ml!M60/50</f>
        <v>0</v>
      </c>
      <c r="N59" s="27">
        <f>rebio23_80ml!N60/50</f>
        <v>0</v>
      </c>
      <c r="O59" s="27">
        <f>rebio23_80ml!O60/50</f>
        <v>0</v>
      </c>
      <c r="P59" s="27">
        <f>rebio23_80ml!P60/50</f>
        <v>0</v>
      </c>
      <c r="Q59" s="27">
        <f>rebio23_80ml!Q60/50</f>
        <v>0</v>
      </c>
      <c r="R59" s="27">
        <f>rebio23_80ml!R60/50</f>
        <v>0</v>
      </c>
      <c r="S59" s="27">
        <f>rebio23_80ml!S60/50</f>
        <v>0.12</v>
      </c>
      <c r="T59" s="27">
        <f>rebio23_80ml!T60/50</f>
        <v>0.02</v>
      </c>
      <c r="U59" s="27">
        <f>rebio23_80ml!U60/50</f>
        <v>0</v>
      </c>
      <c r="V59" s="27">
        <f>rebio23_80ml!V60/50</f>
        <v>0.02</v>
      </c>
      <c r="W59" s="27">
        <f>rebio23_80ml!W60/50</f>
        <v>0</v>
      </c>
      <c r="X59" s="27">
        <f>rebio23_80ml!X60/50</f>
        <v>0</v>
      </c>
      <c r="Y59" s="27">
        <f>rebio23_80ml!Y60/50</f>
        <v>1.04</v>
      </c>
      <c r="Z59" s="27">
        <f>rebio23_80ml!Z60/50</f>
        <v>0.02</v>
      </c>
      <c r="AA59" s="27">
        <f>rebio23_80ml!AA60/50</f>
        <v>0.02</v>
      </c>
      <c r="AB59" s="27">
        <f>rebio23_80ml!AB60/50</f>
        <v>0</v>
      </c>
      <c r="AC59" s="27">
        <f>rebio23_80ml!AC60/50</f>
        <v>0</v>
      </c>
      <c r="AD59" s="27">
        <f>rebio23_80ml!AD60/50</f>
        <v>0</v>
      </c>
      <c r="AE59" s="27">
        <f>rebio23_80ml!AE60/50</f>
        <v>0</v>
      </c>
      <c r="AF59" s="27">
        <f>rebio23_80ml!AF60/50</f>
        <v>0</v>
      </c>
      <c r="AG59" s="27">
        <f>rebio23_80ml!AG60/50</f>
        <v>0</v>
      </c>
      <c r="AH59" s="27">
        <f>rebio23_80ml!AH60/50</f>
        <v>0</v>
      </c>
      <c r="AI59" s="27">
        <f>rebio23_80ml!AI60/50</f>
        <v>0</v>
      </c>
      <c r="AJ59" s="27">
        <f>rebio23_80ml!AJ60/50</f>
        <v>0.02</v>
      </c>
      <c r="AK59" s="27">
        <f>rebio23_80ml!AK60/50</f>
        <v>0.06</v>
      </c>
      <c r="AL59" s="27">
        <f>rebio23_80ml!AL60/50</f>
        <v>1.24</v>
      </c>
      <c r="AM59" s="27">
        <f>rebio23_80ml!AM60/50</f>
        <v>0.4</v>
      </c>
      <c r="AN59" s="27">
        <f>rebio23_80ml!AN60/50</f>
        <v>0.5</v>
      </c>
      <c r="AO59" s="27">
        <f>rebio23_80ml!AO60/50</f>
        <v>0.04</v>
      </c>
      <c r="AP59" s="27">
        <f>rebio23_80ml!AP60/50</f>
        <v>0.6</v>
      </c>
      <c r="AQ59" s="27">
        <f>rebio23_80ml!AQ60/50</f>
        <v>0.24</v>
      </c>
      <c r="AR59" s="27">
        <f>rebio23_80ml!AR60/50</f>
        <v>0.02</v>
      </c>
      <c r="AS59" s="27">
        <f>rebio23_80ml!AS60/50</f>
        <v>0</v>
      </c>
      <c r="AT59" s="27">
        <f>rebio23_80ml!AT60/50</f>
        <v>0</v>
      </c>
      <c r="AU59" s="27">
        <f>rebio23_80ml!AU60/50</f>
        <v>0</v>
      </c>
      <c r="AV59" s="27">
        <f>rebio23_80ml!AV60/50</f>
        <v>4.9800000000000004</v>
      </c>
      <c r="AW59" s="27">
        <f>rebio23_80ml!AW60/50</f>
        <v>0</v>
      </c>
      <c r="AX59" s="27">
        <f>rebio23_80ml!AX60/50</f>
        <v>2.2000000000000002</v>
      </c>
      <c r="AY59" s="27">
        <f>rebio23_80ml!AY60/50</f>
        <v>0</v>
      </c>
      <c r="AZ59" s="27">
        <f>rebio23_80ml!AZ60/50</f>
        <v>0</v>
      </c>
      <c r="BA59" s="27">
        <f>rebio23_80ml!BA60/50</f>
        <v>0.02</v>
      </c>
      <c r="BB59" s="27">
        <f>rebio23_80ml!BB60/50</f>
        <v>0</v>
      </c>
      <c r="BC59" s="27">
        <f>rebio23_80ml!BC60/50</f>
        <v>0.02</v>
      </c>
      <c r="BD59" s="27">
        <f>rebio23_80ml!BD60/50</f>
        <v>0</v>
      </c>
      <c r="BE59" s="27">
        <f>rebio23_80ml!BE60/50</f>
        <v>0</v>
      </c>
      <c r="BF59" s="27">
        <f>rebio23_80ml!BF60/50</f>
        <v>0</v>
      </c>
      <c r="BG59" s="27">
        <f>rebio23_80ml!BG60/50</f>
        <v>0</v>
      </c>
    </row>
    <row r="60" spans="1:59" ht="12.75" customHeight="1" x14ac:dyDescent="0.25">
      <c r="A60" s="15" t="str">
        <f>rebio23_80ml!A61</f>
        <v>C-B-P08-H2</v>
      </c>
      <c r="B60" s="27">
        <f>rebio23_80ml!B61/50</f>
        <v>3.16</v>
      </c>
      <c r="C60" s="27">
        <f>rebio23_80ml!C61/50</f>
        <v>0.62</v>
      </c>
      <c r="D60" s="27">
        <f>rebio23_80ml!D61/50</f>
        <v>0.2</v>
      </c>
      <c r="E60" s="27">
        <f>rebio23_80ml!E61/50</f>
        <v>3.94</v>
      </c>
      <c r="F60" s="27">
        <f>rebio23_80ml!F61/50</f>
        <v>0.02</v>
      </c>
      <c r="G60" s="27">
        <f>rebio23_80ml!G61/50</f>
        <v>0</v>
      </c>
      <c r="H60" s="27">
        <f>rebio23_80ml!H61/50</f>
        <v>0</v>
      </c>
      <c r="I60" s="27">
        <f>rebio23_80ml!I61/50</f>
        <v>8.14</v>
      </c>
      <c r="J60" s="27">
        <f>rebio23_80ml!J61/50</f>
        <v>2.72</v>
      </c>
      <c r="K60" s="27">
        <f>rebio23_80ml!K61/50</f>
        <v>0</v>
      </c>
      <c r="L60" s="27">
        <f>rebio23_80ml!L61/50</f>
        <v>0.06</v>
      </c>
      <c r="M60" s="27">
        <f>rebio23_80ml!M61/50</f>
        <v>0</v>
      </c>
      <c r="N60" s="27">
        <f>rebio23_80ml!N61/50</f>
        <v>0</v>
      </c>
      <c r="O60" s="27">
        <f>rebio23_80ml!O61/50</f>
        <v>0</v>
      </c>
      <c r="P60" s="27">
        <f>rebio23_80ml!P61/50</f>
        <v>0</v>
      </c>
      <c r="Q60" s="27">
        <f>rebio23_80ml!Q61/50</f>
        <v>0</v>
      </c>
      <c r="R60" s="27">
        <f>rebio23_80ml!R61/50</f>
        <v>0</v>
      </c>
      <c r="S60" s="27">
        <f>rebio23_80ml!S61/50</f>
        <v>0.02</v>
      </c>
      <c r="T60" s="27">
        <f>rebio23_80ml!T61/50</f>
        <v>0.02</v>
      </c>
      <c r="U60" s="27">
        <f>rebio23_80ml!U61/50</f>
        <v>0</v>
      </c>
      <c r="V60" s="27">
        <f>rebio23_80ml!V61/50</f>
        <v>0</v>
      </c>
      <c r="W60" s="27">
        <f>rebio23_80ml!W61/50</f>
        <v>0</v>
      </c>
      <c r="X60" s="27">
        <f>rebio23_80ml!X61/50</f>
        <v>0</v>
      </c>
      <c r="Y60" s="27">
        <f>rebio23_80ml!Y61/50</f>
        <v>0.4</v>
      </c>
      <c r="Z60" s="27">
        <f>rebio23_80ml!Z61/50</f>
        <v>0.02</v>
      </c>
      <c r="AA60" s="27">
        <f>rebio23_80ml!AA61/50</f>
        <v>0.02</v>
      </c>
      <c r="AB60" s="27">
        <f>rebio23_80ml!AB61/50</f>
        <v>0</v>
      </c>
      <c r="AC60" s="27">
        <f>rebio23_80ml!AC61/50</f>
        <v>0</v>
      </c>
      <c r="AD60" s="27">
        <f>rebio23_80ml!AD61/50</f>
        <v>0</v>
      </c>
      <c r="AE60" s="27">
        <f>rebio23_80ml!AE61/50</f>
        <v>0</v>
      </c>
      <c r="AF60" s="27">
        <f>rebio23_80ml!AF61/50</f>
        <v>0</v>
      </c>
      <c r="AG60" s="27">
        <f>rebio23_80ml!AG61/50</f>
        <v>0</v>
      </c>
      <c r="AH60" s="27">
        <f>rebio23_80ml!AH61/50</f>
        <v>0</v>
      </c>
      <c r="AI60" s="27">
        <f>rebio23_80ml!AI61/50</f>
        <v>0</v>
      </c>
      <c r="AJ60" s="27">
        <f>rebio23_80ml!AJ61/50</f>
        <v>0.08</v>
      </c>
      <c r="AK60" s="27">
        <f>rebio23_80ml!AK61/50</f>
        <v>0</v>
      </c>
      <c r="AL60" s="27">
        <f>rebio23_80ml!AL61/50</f>
        <v>0.48</v>
      </c>
      <c r="AM60" s="27">
        <f>rebio23_80ml!AM61/50</f>
        <v>0.06</v>
      </c>
      <c r="AN60" s="27">
        <f>rebio23_80ml!AN61/50</f>
        <v>0</v>
      </c>
      <c r="AO60" s="27">
        <f>rebio23_80ml!AO61/50</f>
        <v>0.02</v>
      </c>
      <c r="AP60" s="27">
        <f>rebio23_80ml!AP61/50</f>
        <v>0.08</v>
      </c>
      <c r="AQ60" s="27">
        <f>rebio23_80ml!AQ61/50</f>
        <v>0</v>
      </c>
      <c r="AR60" s="27">
        <f>rebio23_80ml!AR61/50</f>
        <v>0.06</v>
      </c>
      <c r="AS60" s="27">
        <f>rebio23_80ml!AS61/50</f>
        <v>0</v>
      </c>
      <c r="AT60" s="27">
        <f>rebio23_80ml!AT61/50</f>
        <v>0</v>
      </c>
      <c r="AU60" s="27">
        <f>rebio23_80ml!AU61/50</f>
        <v>0</v>
      </c>
      <c r="AV60" s="27">
        <f>rebio23_80ml!AV61/50</f>
        <v>4.3600000000000003</v>
      </c>
      <c r="AW60" s="27">
        <f>rebio23_80ml!AW61/50</f>
        <v>0</v>
      </c>
      <c r="AX60" s="27">
        <f>rebio23_80ml!AX61/50</f>
        <v>0.04</v>
      </c>
      <c r="AY60" s="27">
        <f>rebio23_80ml!AY61/50</f>
        <v>0</v>
      </c>
      <c r="AZ60" s="27">
        <f>rebio23_80ml!AZ61/50</f>
        <v>0</v>
      </c>
      <c r="BA60" s="27">
        <f>rebio23_80ml!BA61/50</f>
        <v>0</v>
      </c>
      <c r="BB60" s="27">
        <f>rebio23_80ml!BB61/50</f>
        <v>0</v>
      </c>
      <c r="BC60" s="27">
        <f>rebio23_80ml!BC61/50</f>
        <v>0</v>
      </c>
      <c r="BD60" s="27">
        <f>rebio23_80ml!BD61/50</f>
        <v>0</v>
      </c>
      <c r="BE60" s="27">
        <f>rebio23_80ml!BE61/50</f>
        <v>0</v>
      </c>
      <c r="BF60" s="27">
        <f>rebio23_80ml!BF61/50</f>
        <v>0</v>
      </c>
      <c r="BG60" s="27">
        <f>rebio23_80ml!BG61/50</f>
        <v>0</v>
      </c>
    </row>
    <row r="61" spans="1:59" ht="12.75" customHeight="1" x14ac:dyDescent="0.25">
      <c r="A61" s="15" t="str">
        <f>rebio23_80ml!A62</f>
        <v>C-B-P08-H3</v>
      </c>
      <c r="B61" s="27">
        <f>rebio23_80ml!B62/50</f>
        <v>0.02</v>
      </c>
      <c r="C61" s="27">
        <f>rebio23_80ml!C62/50</f>
        <v>0</v>
      </c>
      <c r="D61" s="27">
        <f>rebio23_80ml!D62/50</f>
        <v>0</v>
      </c>
      <c r="E61" s="27">
        <f>rebio23_80ml!E62/50</f>
        <v>2.52</v>
      </c>
      <c r="F61" s="27">
        <f>rebio23_80ml!F64/50</f>
        <v>0</v>
      </c>
      <c r="G61" s="27">
        <f>rebio23_80ml!G62/50</f>
        <v>0</v>
      </c>
      <c r="H61" s="27">
        <f>rebio23_80ml!H62/50</f>
        <v>0</v>
      </c>
      <c r="I61" s="27">
        <f>rebio23_80ml!I62/50</f>
        <v>0.1</v>
      </c>
      <c r="J61" s="27">
        <f>rebio23_80ml!J62/50</f>
        <v>0</v>
      </c>
      <c r="K61" s="27">
        <f>rebio23_80ml!K62/50</f>
        <v>0</v>
      </c>
      <c r="L61" s="27">
        <f>rebio23_80ml!L62/50</f>
        <v>0.02</v>
      </c>
      <c r="M61" s="27">
        <f>rebio23_80ml!M62/50</f>
        <v>0</v>
      </c>
      <c r="N61" s="27">
        <f>rebio23_80ml!N62/50</f>
        <v>0</v>
      </c>
      <c r="O61" s="27">
        <f>rebio23_80ml!O62/50</f>
        <v>0</v>
      </c>
      <c r="P61" s="27">
        <f>rebio23_80ml!P62/50</f>
        <v>0</v>
      </c>
      <c r="Q61" s="27">
        <f>rebio23_80ml!Q62/50</f>
        <v>0.02</v>
      </c>
      <c r="R61" s="27">
        <f>rebio23_80ml!R62/50</f>
        <v>0</v>
      </c>
      <c r="S61" s="27">
        <f>rebio23_80ml!S62/50</f>
        <v>0</v>
      </c>
      <c r="T61" s="27">
        <f>rebio23_80ml!T62/50</f>
        <v>0.04</v>
      </c>
      <c r="U61" s="27">
        <f>rebio23_80ml!U62/50</f>
        <v>0</v>
      </c>
      <c r="V61" s="27">
        <f>rebio23_80ml!V62/50</f>
        <v>0</v>
      </c>
      <c r="W61" s="27">
        <f>rebio23_80ml!W62/50</f>
        <v>0</v>
      </c>
      <c r="X61" s="27">
        <f>rebio23_80ml!X62/50</f>
        <v>0</v>
      </c>
      <c r="Y61" s="27">
        <f>rebio23_80ml!Y62/50</f>
        <v>0.04</v>
      </c>
      <c r="Z61" s="27">
        <f>rebio23_80ml!Z62/50</f>
        <v>0</v>
      </c>
      <c r="AA61" s="27">
        <f>rebio23_80ml!AA62/50</f>
        <v>0</v>
      </c>
      <c r="AB61" s="27">
        <f>rebio23_80ml!AB62/50</f>
        <v>0</v>
      </c>
      <c r="AC61" s="27">
        <f>rebio23_80ml!AC62/50</f>
        <v>0</v>
      </c>
      <c r="AD61" s="27">
        <f>rebio23_80ml!AD62/50</f>
        <v>0</v>
      </c>
      <c r="AE61" s="27">
        <f>rebio23_80ml!AE62/50</f>
        <v>0</v>
      </c>
      <c r="AF61" s="27">
        <f>rebio23_80ml!AF62/50</f>
        <v>0</v>
      </c>
      <c r="AG61" s="27">
        <f>rebio23_80ml!AG62/50</f>
        <v>0</v>
      </c>
      <c r="AH61" s="27">
        <f>rebio23_80ml!AH62/50</f>
        <v>0</v>
      </c>
      <c r="AI61" s="27">
        <f>rebio23_80ml!AI62/50</f>
        <v>0</v>
      </c>
      <c r="AJ61" s="27">
        <f>rebio23_80ml!AJ62/50</f>
        <v>0</v>
      </c>
      <c r="AK61" s="27">
        <f>rebio23_80ml!AK62/50</f>
        <v>0</v>
      </c>
      <c r="AL61" s="27">
        <f>rebio23_80ml!AL62/50</f>
        <v>0.02</v>
      </c>
      <c r="AM61" s="27">
        <f>rebio23_80ml!AM62/50</f>
        <v>0</v>
      </c>
      <c r="AN61" s="27">
        <f>rebio23_80ml!AN62/50</f>
        <v>0</v>
      </c>
      <c r="AO61" s="27">
        <f>rebio23_80ml!AO62/50</f>
        <v>0</v>
      </c>
      <c r="AP61" s="27">
        <f>rebio23_80ml!AP62/50</f>
        <v>0</v>
      </c>
      <c r="AQ61" s="27">
        <f>rebio23_80ml!AQ62/50</f>
        <v>0</v>
      </c>
      <c r="AR61" s="27">
        <f>rebio23_80ml!AR62/50</f>
        <v>0</v>
      </c>
      <c r="AS61" s="27">
        <f>rebio23_80ml!AS62/50</f>
        <v>0</v>
      </c>
      <c r="AT61" s="27">
        <f>rebio23_80ml!AT62/50</f>
        <v>0</v>
      </c>
      <c r="AU61" s="27">
        <f>rebio23_80ml!AU62/50</f>
        <v>0</v>
      </c>
      <c r="AV61" s="27">
        <f>rebio23_80ml!AV62/50</f>
        <v>0.16</v>
      </c>
      <c r="AW61" s="27">
        <f>rebio23_80ml!AW62/50</f>
        <v>0</v>
      </c>
      <c r="AX61" s="27">
        <f>rebio23_80ml!AX62/50</f>
        <v>0</v>
      </c>
      <c r="AY61" s="27">
        <f>rebio23_80ml!AY62/50</f>
        <v>0</v>
      </c>
      <c r="AZ61" s="27">
        <f>rebio23_80ml!AZ62/50</f>
        <v>0</v>
      </c>
      <c r="BA61" s="27">
        <f>rebio23_80ml!BA62/50</f>
        <v>0</v>
      </c>
      <c r="BB61" s="27">
        <f>rebio23_80ml!BB62/50</f>
        <v>0</v>
      </c>
      <c r="BC61" s="27">
        <f>rebio23_80ml!BC62/50</f>
        <v>0</v>
      </c>
      <c r="BD61" s="27">
        <f>rebio23_80ml!BD62/50</f>
        <v>0</v>
      </c>
      <c r="BE61" s="27">
        <f>rebio23_80ml!BE62/50</f>
        <v>0</v>
      </c>
      <c r="BF61" s="27">
        <f>rebio23_80ml!BF62/50</f>
        <v>0</v>
      </c>
      <c r="BG61" s="27">
        <f>rebio23_80ml!BG62/50</f>
        <v>0</v>
      </c>
    </row>
    <row r="62" spans="1:59" ht="12.75" customHeight="1" x14ac:dyDescent="0.25">
      <c r="A62" s="15" t="str">
        <f>rebio23_80ml!A63</f>
        <v>C-B-P09-H1</v>
      </c>
      <c r="B62" s="27">
        <f>rebio23_80ml!B63/50</f>
        <v>0</v>
      </c>
      <c r="C62" s="27">
        <f>rebio23_80ml!C63/50</f>
        <v>0</v>
      </c>
      <c r="D62" s="27">
        <f>rebio23_80ml!D63/50</f>
        <v>0</v>
      </c>
      <c r="E62" s="27">
        <f>rebio23_80ml!E63/50</f>
        <v>1.48</v>
      </c>
      <c r="F62" s="27">
        <f>rebio23_80ml!F65/50</f>
        <v>0</v>
      </c>
      <c r="G62" s="27">
        <f>rebio23_80ml!G63/50</f>
        <v>0</v>
      </c>
      <c r="H62" s="27">
        <f>rebio23_80ml!H63/50</f>
        <v>0</v>
      </c>
      <c r="I62" s="27">
        <f>rebio23_80ml!I63/50</f>
        <v>0</v>
      </c>
      <c r="J62" s="27">
        <f>rebio23_80ml!J63/50</f>
        <v>0</v>
      </c>
      <c r="K62" s="27">
        <f>rebio23_80ml!K63/50</f>
        <v>0</v>
      </c>
      <c r="L62" s="27">
        <f>rebio23_80ml!L63/50</f>
        <v>0</v>
      </c>
      <c r="M62" s="27">
        <f>rebio23_80ml!M63/50</f>
        <v>0</v>
      </c>
      <c r="N62" s="27">
        <f>rebio23_80ml!N63/50</f>
        <v>0</v>
      </c>
      <c r="O62" s="27">
        <f>rebio23_80ml!O63/50</f>
        <v>0</v>
      </c>
      <c r="P62" s="27">
        <f>rebio23_80ml!P63/50</f>
        <v>0</v>
      </c>
      <c r="Q62" s="27">
        <f>rebio23_80ml!Q63/50</f>
        <v>0</v>
      </c>
      <c r="R62" s="27">
        <f>rebio23_80ml!R63/50</f>
        <v>0</v>
      </c>
      <c r="S62" s="27">
        <f>rebio23_80ml!S63/50</f>
        <v>0</v>
      </c>
      <c r="T62" s="27">
        <f>rebio23_80ml!T63/50</f>
        <v>0</v>
      </c>
      <c r="U62" s="27">
        <f>rebio23_80ml!U63/50</f>
        <v>0</v>
      </c>
      <c r="V62" s="27">
        <f>rebio23_80ml!V63/50</f>
        <v>0</v>
      </c>
      <c r="W62" s="27">
        <f>rebio23_80ml!W63/50</f>
        <v>0</v>
      </c>
      <c r="X62" s="27">
        <f>rebio23_80ml!X63/50</f>
        <v>0</v>
      </c>
      <c r="Y62" s="27">
        <f>rebio23_80ml!Y63/50</f>
        <v>0</v>
      </c>
      <c r="Z62" s="27">
        <f>rebio23_80ml!Z63/50</f>
        <v>0</v>
      </c>
      <c r="AA62" s="27">
        <f>rebio23_80ml!AA63/50</f>
        <v>0</v>
      </c>
      <c r="AB62" s="27">
        <f>rebio23_80ml!AB63/50</f>
        <v>0</v>
      </c>
      <c r="AC62" s="27">
        <f>rebio23_80ml!AC63/50</f>
        <v>0</v>
      </c>
      <c r="AD62" s="27">
        <f>rebio23_80ml!AD63/50</f>
        <v>0</v>
      </c>
      <c r="AE62" s="27">
        <f>rebio23_80ml!AE63/50</f>
        <v>0</v>
      </c>
      <c r="AF62" s="27">
        <f>rebio23_80ml!AF63/50</f>
        <v>0</v>
      </c>
      <c r="AG62" s="27">
        <f>rebio23_80ml!AG63/50</f>
        <v>0</v>
      </c>
      <c r="AH62" s="27">
        <f>rebio23_80ml!AH63/50</f>
        <v>0</v>
      </c>
      <c r="AI62" s="27">
        <f>rebio23_80ml!AI63/50</f>
        <v>0</v>
      </c>
      <c r="AJ62" s="27">
        <f>rebio23_80ml!AJ63/50</f>
        <v>0</v>
      </c>
      <c r="AK62" s="27">
        <f>rebio23_80ml!AK63/50</f>
        <v>0</v>
      </c>
      <c r="AL62" s="27">
        <f>rebio23_80ml!AL63/50</f>
        <v>0</v>
      </c>
      <c r="AM62" s="27">
        <f>rebio23_80ml!AM63/50</f>
        <v>0</v>
      </c>
      <c r="AN62" s="27">
        <f>rebio23_80ml!AN63/50</f>
        <v>0</v>
      </c>
      <c r="AO62" s="27">
        <f>rebio23_80ml!AO63/50</f>
        <v>0</v>
      </c>
      <c r="AP62" s="27">
        <f>rebio23_80ml!AP63/50</f>
        <v>0</v>
      </c>
      <c r="AQ62" s="27">
        <f>rebio23_80ml!AQ63/50</f>
        <v>0</v>
      </c>
      <c r="AR62" s="27">
        <f>rebio23_80ml!AR63/50</f>
        <v>0</v>
      </c>
      <c r="AS62" s="27">
        <f>rebio23_80ml!AS63/50</f>
        <v>0</v>
      </c>
      <c r="AT62" s="27">
        <f>rebio23_80ml!AT63/50</f>
        <v>0</v>
      </c>
      <c r="AU62" s="27">
        <f>rebio23_80ml!AU63/50</f>
        <v>0</v>
      </c>
      <c r="AV62" s="27">
        <f>rebio23_80ml!AV63/50</f>
        <v>0</v>
      </c>
      <c r="AW62" s="27">
        <f>rebio23_80ml!AW63/50</f>
        <v>0</v>
      </c>
      <c r="AX62" s="27">
        <f>rebio23_80ml!AX63/50</f>
        <v>0</v>
      </c>
      <c r="AY62" s="27">
        <f>rebio23_80ml!AY63/50</f>
        <v>0.02</v>
      </c>
      <c r="AZ62" s="27">
        <f>rebio23_80ml!AZ63/50</f>
        <v>0</v>
      </c>
      <c r="BA62" s="27">
        <f>rebio23_80ml!BA63/50</f>
        <v>0</v>
      </c>
      <c r="BB62" s="27">
        <f>rebio23_80ml!BB63/50</f>
        <v>0</v>
      </c>
      <c r="BC62" s="27">
        <f>rebio23_80ml!BC63/50</f>
        <v>0</v>
      </c>
      <c r="BD62" s="27">
        <f>rebio23_80ml!BD63/50</f>
        <v>0.02</v>
      </c>
      <c r="BE62" s="27">
        <f>rebio23_80ml!BE63/50</f>
        <v>0</v>
      </c>
      <c r="BF62" s="27">
        <f>rebio23_80ml!BF63/50</f>
        <v>0</v>
      </c>
      <c r="BG62" s="27">
        <f>rebio23_80ml!BG63/50</f>
        <v>0</v>
      </c>
    </row>
    <row r="63" spans="1:59" ht="12.75" customHeight="1" x14ac:dyDescent="0.25">
      <c r="A63" s="15" t="str">
        <f>rebio23_80ml!A64</f>
        <v>C-B-P09-H2</v>
      </c>
      <c r="B63" s="27">
        <f>rebio23_80ml!B64/50</f>
        <v>0.02</v>
      </c>
      <c r="C63" s="27">
        <f>rebio23_80ml!C64/50</f>
        <v>0</v>
      </c>
      <c r="D63" s="27">
        <f>rebio23_80ml!D64/50</f>
        <v>0</v>
      </c>
      <c r="E63" s="27">
        <f>rebio23_80ml!E64/50</f>
        <v>1.56</v>
      </c>
      <c r="F63" s="27">
        <f>rebio23_80ml!F64/50</f>
        <v>0</v>
      </c>
      <c r="G63" s="27">
        <f>rebio23_80ml!G64/50</f>
        <v>0</v>
      </c>
      <c r="H63" s="27">
        <f>rebio23_80ml!H64/50</f>
        <v>0</v>
      </c>
      <c r="I63" s="27">
        <f>rebio23_80ml!I64/50</f>
        <v>0</v>
      </c>
      <c r="J63" s="27">
        <f>rebio23_80ml!J64/50</f>
        <v>0</v>
      </c>
      <c r="K63" s="27">
        <f>rebio23_80ml!K64/50</f>
        <v>0</v>
      </c>
      <c r="L63" s="27">
        <f>rebio23_80ml!L64/50</f>
        <v>0</v>
      </c>
      <c r="M63" s="27">
        <f>rebio23_80ml!M64/50</f>
        <v>0</v>
      </c>
      <c r="N63" s="27">
        <f>rebio23_80ml!N64/50</f>
        <v>0</v>
      </c>
      <c r="O63" s="27">
        <f>rebio23_80ml!O64/50</f>
        <v>0</v>
      </c>
      <c r="P63" s="27">
        <f>rebio23_80ml!P64/50</f>
        <v>0</v>
      </c>
      <c r="Q63" s="27">
        <f>rebio23_80ml!Q64/50</f>
        <v>0</v>
      </c>
      <c r="R63" s="27">
        <f>rebio23_80ml!R64/50</f>
        <v>0</v>
      </c>
      <c r="S63" s="27">
        <f>rebio23_80ml!S64/50</f>
        <v>0.04</v>
      </c>
      <c r="T63" s="27">
        <f>rebio23_80ml!T64/50</f>
        <v>0</v>
      </c>
      <c r="U63" s="27">
        <f>rebio23_80ml!U64/50</f>
        <v>0</v>
      </c>
      <c r="V63" s="27">
        <f>rebio23_80ml!V64/50</f>
        <v>0</v>
      </c>
      <c r="W63" s="27">
        <f>rebio23_80ml!W64/50</f>
        <v>0</v>
      </c>
      <c r="X63" s="27">
        <f>rebio23_80ml!X64/50</f>
        <v>0</v>
      </c>
      <c r="Y63" s="27">
        <f>rebio23_80ml!Y64/50</f>
        <v>0.02</v>
      </c>
      <c r="Z63" s="27">
        <f>rebio23_80ml!Z64/50</f>
        <v>0</v>
      </c>
      <c r="AA63" s="27">
        <f>rebio23_80ml!AA64/50</f>
        <v>0</v>
      </c>
      <c r="AB63" s="27">
        <f>rebio23_80ml!AB64/50</f>
        <v>0</v>
      </c>
      <c r="AC63" s="27">
        <f>rebio23_80ml!AC64/50</f>
        <v>0</v>
      </c>
      <c r="AD63" s="27">
        <f>rebio23_80ml!AD64/50</f>
        <v>0</v>
      </c>
      <c r="AE63" s="27">
        <f>rebio23_80ml!AE64/50</f>
        <v>0</v>
      </c>
      <c r="AF63" s="27">
        <f>rebio23_80ml!AF64/50</f>
        <v>0</v>
      </c>
      <c r="AG63" s="27">
        <f>rebio23_80ml!AG64/50</f>
        <v>0</v>
      </c>
      <c r="AH63" s="27">
        <f>rebio23_80ml!AH64/50</f>
        <v>0</v>
      </c>
      <c r="AI63" s="27">
        <f>rebio23_80ml!AI64/50</f>
        <v>0</v>
      </c>
      <c r="AJ63" s="27">
        <f>rebio23_80ml!AJ64/50</f>
        <v>0</v>
      </c>
      <c r="AK63" s="27">
        <f>rebio23_80ml!AK64/50</f>
        <v>0</v>
      </c>
      <c r="AL63" s="27">
        <f>rebio23_80ml!AL64/50</f>
        <v>0</v>
      </c>
      <c r="AM63" s="27">
        <f>rebio23_80ml!AM64/50</f>
        <v>0</v>
      </c>
      <c r="AN63" s="27">
        <f>rebio23_80ml!AN64/50</f>
        <v>0</v>
      </c>
      <c r="AO63" s="27">
        <f>rebio23_80ml!AO64/50</f>
        <v>0</v>
      </c>
      <c r="AP63" s="27">
        <f>rebio23_80ml!AP64/50</f>
        <v>0</v>
      </c>
      <c r="AQ63" s="27">
        <f>rebio23_80ml!AQ64/50</f>
        <v>0</v>
      </c>
      <c r="AR63" s="27">
        <f>rebio23_80ml!AR64/50</f>
        <v>0</v>
      </c>
      <c r="AS63" s="27">
        <f>rebio23_80ml!AS64/50</f>
        <v>0</v>
      </c>
      <c r="AT63" s="27">
        <f>rebio23_80ml!AT64/50</f>
        <v>0</v>
      </c>
      <c r="AU63" s="27">
        <f>rebio23_80ml!AU64/50</f>
        <v>0</v>
      </c>
      <c r="AV63" s="27">
        <f>rebio23_80ml!AV64/50</f>
        <v>0</v>
      </c>
      <c r="AW63" s="27">
        <f>rebio23_80ml!AW64/50</f>
        <v>0</v>
      </c>
      <c r="AX63" s="27">
        <f>rebio23_80ml!AX64/50</f>
        <v>0</v>
      </c>
      <c r="AY63" s="27">
        <f>rebio23_80ml!AY64/50</f>
        <v>0.02</v>
      </c>
      <c r="AZ63" s="27">
        <f>rebio23_80ml!AZ64/50</f>
        <v>0</v>
      </c>
      <c r="BA63" s="27">
        <f>rebio23_80ml!BA64/50</f>
        <v>0</v>
      </c>
      <c r="BB63" s="27">
        <f>rebio23_80ml!BB64/50</f>
        <v>0</v>
      </c>
      <c r="BC63" s="27">
        <f>rebio23_80ml!BC64/50</f>
        <v>0</v>
      </c>
      <c r="BD63" s="27">
        <f>rebio23_80ml!BD64/50</f>
        <v>0</v>
      </c>
      <c r="BE63" s="27">
        <f>rebio23_80ml!BE64/50</f>
        <v>0</v>
      </c>
      <c r="BF63" s="27">
        <f>rebio23_80ml!BF64/50</f>
        <v>0</v>
      </c>
      <c r="BG63" s="27">
        <f>rebio23_80ml!BG64/50</f>
        <v>0</v>
      </c>
    </row>
    <row r="64" spans="1:59" ht="12.75" customHeight="1" x14ac:dyDescent="0.25">
      <c r="A64" s="15" t="str">
        <f>rebio23_80ml!A65</f>
        <v>C-B-P09-H3</v>
      </c>
      <c r="B64" s="27">
        <f>rebio23_80ml!B65/50</f>
        <v>0.02</v>
      </c>
      <c r="C64" s="27">
        <f>rebio23_80ml!C65/50</f>
        <v>0.04</v>
      </c>
      <c r="D64" s="27">
        <f>rebio23_80ml!D65/50</f>
        <v>0</v>
      </c>
      <c r="E64" s="27">
        <f>rebio23_80ml!E65/50</f>
        <v>2.98</v>
      </c>
      <c r="F64" s="27">
        <f>rebio23_80ml!F65/50</f>
        <v>0</v>
      </c>
      <c r="G64" s="27">
        <f>rebio23_80ml!G65/50</f>
        <v>0</v>
      </c>
      <c r="H64" s="27">
        <f>rebio23_80ml!H65/50</f>
        <v>0</v>
      </c>
      <c r="I64" s="27">
        <f>rebio23_80ml!I65/50</f>
        <v>0</v>
      </c>
      <c r="J64" s="27">
        <f>rebio23_80ml!J65/50</f>
        <v>0</v>
      </c>
      <c r="K64" s="27">
        <f>rebio23_80ml!K65/50</f>
        <v>0</v>
      </c>
      <c r="L64" s="27">
        <f>rebio23_80ml!L65/50</f>
        <v>0</v>
      </c>
      <c r="M64" s="27">
        <f>rebio23_80ml!M65/50</f>
        <v>0</v>
      </c>
      <c r="N64" s="27">
        <f>rebio23_80ml!N65/50</f>
        <v>0</v>
      </c>
      <c r="O64" s="27">
        <f>rebio23_80ml!O65/50</f>
        <v>0</v>
      </c>
      <c r="P64" s="27">
        <f>rebio23_80ml!P65/50</f>
        <v>0</v>
      </c>
      <c r="Q64" s="27">
        <f>rebio23_80ml!Q65/50</f>
        <v>0</v>
      </c>
      <c r="R64" s="27">
        <f>rebio23_80ml!R65/50</f>
        <v>0</v>
      </c>
      <c r="S64" s="27">
        <f>rebio23_80ml!S65/50</f>
        <v>0</v>
      </c>
      <c r="T64" s="27">
        <f>rebio23_80ml!T65/50</f>
        <v>0</v>
      </c>
      <c r="U64" s="27">
        <f>rebio23_80ml!U65/50</f>
        <v>0</v>
      </c>
      <c r="V64" s="27">
        <f>rebio23_80ml!V65/50</f>
        <v>0</v>
      </c>
      <c r="W64" s="27">
        <f>rebio23_80ml!W65/50</f>
        <v>0</v>
      </c>
      <c r="X64" s="27">
        <f>rebio23_80ml!X65/50</f>
        <v>0</v>
      </c>
      <c r="Y64" s="27">
        <f>rebio23_80ml!Y65/50</f>
        <v>0</v>
      </c>
      <c r="Z64" s="27">
        <f>rebio23_80ml!Z65/50</f>
        <v>0</v>
      </c>
      <c r="AA64" s="27">
        <f>rebio23_80ml!AA65/50</f>
        <v>0</v>
      </c>
      <c r="AB64" s="27">
        <f>rebio23_80ml!AB65/50</f>
        <v>0</v>
      </c>
      <c r="AC64" s="27">
        <f>rebio23_80ml!AC65/50</f>
        <v>0</v>
      </c>
      <c r="AD64" s="27">
        <f>rebio23_80ml!AD65/50</f>
        <v>0</v>
      </c>
      <c r="AE64" s="27">
        <f>rebio23_80ml!AE65/50</f>
        <v>0</v>
      </c>
      <c r="AF64" s="27">
        <f>rebio23_80ml!AF65/50</f>
        <v>0</v>
      </c>
      <c r="AG64" s="27">
        <f>rebio23_80ml!AG65/50</f>
        <v>0</v>
      </c>
      <c r="AH64" s="27">
        <f>rebio23_80ml!AH65/50</f>
        <v>0</v>
      </c>
      <c r="AI64" s="27">
        <f>rebio23_80ml!AI65/50</f>
        <v>0</v>
      </c>
      <c r="AJ64" s="27">
        <f>rebio23_80ml!AJ65/50</f>
        <v>0</v>
      </c>
      <c r="AK64" s="27">
        <f>rebio23_80ml!AK65/50</f>
        <v>0</v>
      </c>
      <c r="AL64" s="27">
        <f>rebio23_80ml!AL65/50</f>
        <v>0</v>
      </c>
      <c r="AM64" s="27">
        <f>rebio23_80ml!AM65/50</f>
        <v>0</v>
      </c>
      <c r="AN64" s="27">
        <f>rebio23_80ml!AN65/50</f>
        <v>0</v>
      </c>
      <c r="AO64" s="27">
        <f>rebio23_80ml!AO65/50</f>
        <v>0</v>
      </c>
      <c r="AP64" s="27">
        <f>rebio23_80ml!AP65/50</f>
        <v>0</v>
      </c>
      <c r="AQ64" s="27">
        <f>rebio23_80ml!AQ65/50</f>
        <v>0</v>
      </c>
      <c r="AR64" s="27">
        <f>rebio23_80ml!AR65/50</f>
        <v>0</v>
      </c>
      <c r="AS64" s="27">
        <f>rebio23_80ml!AS65/50</f>
        <v>0</v>
      </c>
      <c r="AT64" s="27">
        <f>rebio23_80ml!AT65/50</f>
        <v>0</v>
      </c>
      <c r="AU64" s="27">
        <f>rebio23_80ml!AU65/50</f>
        <v>0</v>
      </c>
      <c r="AV64" s="27">
        <f>rebio23_80ml!AV65/50</f>
        <v>0.1</v>
      </c>
      <c r="AW64" s="27">
        <f>rebio23_80ml!AW65/50</f>
        <v>0</v>
      </c>
      <c r="AX64" s="27">
        <f>rebio23_80ml!AX65/50</f>
        <v>0</v>
      </c>
      <c r="AY64" s="27">
        <f>rebio23_80ml!AY65/50</f>
        <v>0.02</v>
      </c>
      <c r="AZ64" s="27">
        <f>rebio23_80ml!AZ65/50</f>
        <v>0</v>
      </c>
      <c r="BA64" s="27">
        <f>rebio23_80ml!BA65/50</f>
        <v>0</v>
      </c>
      <c r="BB64" s="27">
        <f>rebio23_80ml!BB65/50</f>
        <v>0</v>
      </c>
      <c r="BC64" s="27">
        <f>rebio23_80ml!BC65/50</f>
        <v>0</v>
      </c>
      <c r="BD64" s="27">
        <f>rebio23_80ml!BD65/50</f>
        <v>0</v>
      </c>
      <c r="BE64" s="27">
        <f>rebio23_80ml!BE65/50</f>
        <v>0</v>
      </c>
      <c r="BF64" s="27">
        <f>rebio23_80ml!BF65/50</f>
        <v>0</v>
      </c>
      <c r="BG64" s="27">
        <f>rebio23_80ml!BG65/50</f>
        <v>0</v>
      </c>
    </row>
    <row r="65" spans="1:59" ht="12.75" customHeight="1" x14ac:dyDescent="0.25">
      <c r="A65" s="15" t="str">
        <f>rebio23_80ml!A66</f>
        <v>C-B-P10-H1</v>
      </c>
      <c r="B65" s="27">
        <f>rebio23_80ml!B66/50</f>
        <v>0.14000000000000001</v>
      </c>
      <c r="C65" s="27">
        <f>rebio23_80ml!C66/50</f>
        <v>0</v>
      </c>
      <c r="D65" s="27">
        <f>rebio23_80ml!D66/50</f>
        <v>0</v>
      </c>
      <c r="E65" s="27">
        <f>rebio23_80ml!E66/50</f>
        <v>2.1</v>
      </c>
      <c r="F65" s="27">
        <f>rebio23_80ml!F66/50</f>
        <v>0</v>
      </c>
      <c r="G65" s="27">
        <f>rebio23_80ml!G66/50</f>
        <v>0</v>
      </c>
      <c r="H65" s="27">
        <f>rebio23_80ml!H66/50</f>
        <v>0</v>
      </c>
      <c r="I65" s="27">
        <f>rebio23_80ml!I66/50</f>
        <v>0.04</v>
      </c>
      <c r="J65" s="27">
        <f>rebio23_80ml!J66/50</f>
        <v>0.02</v>
      </c>
      <c r="K65" s="27">
        <f>rebio23_80ml!K66/50</f>
        <v>0</v>
      </c>
      <c r="L65" s="27">
        <f>rebio23_80ml!L66/50</f>
        <v>0</v>
      </c>
      <c r="M65" s="27">
        <f>rebio23_80ml!M66/50</f>
        <v>0</v>
      </c>
      <c r="N65" s="27">
        <f>rebio23_80ml!N66/50</f>
        <v>0</v>
      </c>
      <c r="O65" s="27">
        <f>rebio23_80ml!O66/50</f>
        <v>0</v>
      </c>
      <c r="P65" s="27">
        <f>rebio23_80ml!P66/50</f>
        <v>0</v>
      </c>
      <c r="Q65" s="27">
        <f>rebio23_80ml!Q66/50</f>
        <v>0</v>
      </c>
      <c r="R65" s="27">
        <f>rebio23_80ml!R66/50</f>
        <v>0</v>
      </c>
      <c r="S65" s="27">
        <f>rebio23_80ml!S66/50</f>
        <v>0</v>
      </c>
      <c r="T65" s="27">
        <f>rebio23_80ml!T66/50</f>
        <v>0</v>
      </c>
      <c r="U65" s="27">
        <f>rebio23_80ml!U66/50</f>
        <v>0</v>
      </c>
      <c r="V65" s="27">
        <f>rebio23_80ml!V66/50</f>
        <v>0.02</v>
      </c>
      <c r="W65" s="27">
        <f>rebio23_80ml!W66/50</f>
        <v>0</v>
      </c>
      <c r="X65" s="27">
        <f>rebio23_80ml!X66/50</f>
        <v>0</v>
      </c>
      <c r="Y65" s="27">
        <f>rebio23_80ml!Y66/50</f>
        <v>0</v>
      </c>
      <c r="Z65" s="27">
        <f>rebio23_80ml!Z66/50</f>
        <v>0.02</v>
      </c>
      <c r="AA65" s="27">
        <f>rebio23_80ml!AA66/50</f>
        <v>0</v>
      </c>
      <c r="AB65" s="27">
        <f>rebio23_80ml!AB66/50</f>
        <v>0</v>
      </c>
      <c r="AC65" s="27">
        <f>rebio23_80ml!AC66/50</f>
        <v>0</v>
      </c>
      <c r="AD65" s="27">
        <f>rebio23_80ml!AD66/50</f>
        <v>0</v>
      </c>
      <c r="AE65" s="27">
        <f>rebio23_80ml!AE66/50</f>
        <v>0</v>
      </c>
      <c r="AF65" s="27">
        <f>rebio23_80ml!AF66/50</f>
        <v>0</v>
      </c>
      <c r="AG65" s="27">
        <f>rebio23_80ml!AG66/50</f>
        <v>0</v>
      </c>
      <c r="AH65" s="27">
        <f>rebio23_80ml!AH66/50</f>
        <v>0</v>
      </c>
      <c r="AI65" s="27">
        <f>rebio23_80ml!AI66/50</f>
        <v>0</v>
      </c>
      <c r="AJ65" s="27">
        <f>rebio23_80ml!AJ66/50</f>
        <v>0</v>
      </c>
      <c r="AK65" s="27">
        <f>rebio23_80ml!AK66/50</f>
        <v>0</v>
      </c>
      <c r="AL65" s="27">
        <f>rebio23_80ml!AL66/50</f>
        <v>0</v>
      </c>
      <c r="AM65" s="27">
        <f>rebio23_80ml!AM66/50</f>
        <v>0</v>
      </c>
      <c r="AN65" s="27">
        <f>rebio23_80ml!AN66/50</f>
        <v>0</v>
      </c>
      <c r="AO65" s="27">
        <f>rebio23_80ml!AO66/50</f>
        <v>0</v>
      </c>
      <c r="AP65" s="27">
        <f>rebio23_80ml!AP66/50</f>
        <v>0</v>
      </c>
      <c r="AQ65" s="27">
        <f>rebio23_80ml!AQ66/50</f>
        <v>0</v>
      </c>
      <c r="AR65" s="27">
        <f>rebio23_80ml!AR66/50</f>
        <v>0</v>
      </c>
      <c r="AS65" s="27">
        <f>rebio23_80ml!AS66/50</f>
        <v>0</v>
      </c>
      <c r="AT65" s="27">
        <f>rebio23_80ml!AT66/50</f>
        <v>0</v>
      </c>
      <c r="AU65" s="27">
        <f>rebio23_80ml!AU66/50</f>
        <v>0</v>
      </c>
      <c r="AV65" s="27">
        <f>rebio23_80ml!AV66/50</f>
        <v>0</v>
      </c>
      <c r="AW65" s="27">
        <f>rebio23_80ml!AW66/50</f>
        <v>0</v>
      </c>
      <c r="AX65" s="27">
        <f>rebio23_80ml!AX66/50</f>
        <v>0</v>
      </c>
      <c r="AY65" s="27">
        <f>rebio23_80ml!AY66/50</f>
        <v>0.18</v>
      </c>
      <c r="AZ65" s="27">
        <f>rebio23_80ml!AZ66/50</f>
        <v>0</v>
      </c>
      <c r="BA65" s="27">
        <f>rebio23_80ml!BA66/50</f>
        <v>0</v>
      </c>
      <c r="BB65" s="27">
        <f>rebio23_80ml!BB66/50</f>
        <v>0</v>
      </c>
      <c r="BC65" s="27">
        <f>rebio23_80ml!BC66/50</f>
        <v>0</v>
      </c>
      <c r="BD65" s="27">
        <f>rebio23_80ml!BD66/50</f>
        <v>0</v>
      </c>
      <c r="BE65" s="27">
        <f>rebio23_80ml!BE66/50</f>
        <v>0</v>
      </c>
      <c r="BF65" s="27">
        <f>rebio23_80ml!BF66/50</f>
        <v>0</v>
      </c>
      <c r="BG65" s="27">
        <f>rebio23_80ml!BG66/50</f>
        <v>0</v>
      </c>
    </row>
    <row r="66" spans="1:59" ht="12.75" customHeight="1" x14ac:dyDescent="0.25">
      <c r="A66" s="15" t="str">
        <f>rebio23_80ml!A67</f>
        <v>C-B-P10-H2</v>
      </c>
      <c r="B66" s="27">
        <f>rebio23_80ml!B67/50</f>
        <v>0.22</v>
      </c>
      <c r="C66" s="27">
        <f>rebio23_80ml!C67/50</f>
        <v>0.02</v>
      </c>
      <c r="D66" s="27">
        <f>rebio23_80ml!D67/50</f>
        <v>0.04</v>
      </c>
      <c r="E66" s="27">
        <f>rebio23_80ml!E67/50</f>
        <v>2.3199999999999998</v>
      </c>
      <c r="F66" s="27">
        <f>rebio23_80ml!F67/50</f>
        <v>0</v>
      </c>
      <c r="G66" s="27">
        <f>rebio23_80ml!G67/50</f>
        <v>0.02</v>
      </c>
      <c r="H66" s="27">
        <f>rebio23_80ml!H67/50</f>
        <v>0</v>
      </c>
      <c r="I66" s="27">
        <f>rebio23_80ml!I67/50</f>
        <v>0.16</v>
      </c>
      <c r="J66" s="27">
        <f>rebio23_80ml!J67/50</f>
        <v>0.2</v>
      </c>
      <c r="K66" s="27">
        <f>rebio23_80ml!K67/50</f>
        <v>0</v>
      </c>
      <c r="L66" s="27">
        <f>rebio23_80ml!L67/50</f>
        <v>0</v>
      </c>
      <c r="M66" s="27">
        <f>rebio23_80ml!M67/50</f>
        <v>0</v>
      </c>
      <c r="N66" s="27">
        <f>rebio23_80ml!N67/50</f>
        <v>0</v>
      </c>
      <c r="O66" s="27">
        <f>rebio23_80ml!O67/50</f>
        <v>0</v>
      </c>
      <c r="P66" s="27">
        <f>rebio23_80ml!P67/50</f>
        <v>0</v>
      </c>
      <c r="Q66" s="27">
        <f>rebio23_80ml!Q67/50</f>
        <v>0.1</v>
      </c>
      <c r="R66" s="27">
        <f>rebio23_80ml!R67/50</f>
        <v>0</v>
      </c>
      <c r="S66" s="27">
        <f>rebio23_80ml!S67/50</f>
        <v>0</v>
      </c>
      <c r="T66" s="27">
        <f>rebio23_80ml!T67/50</f>
        <v>0</v>
      </c>
      <c r="U66" s="27">
        <f>rebio23_80ml!U67/50</f>
        <v>0.02</v>
      </c>
      <c r="V66" s="27">
        <f>rebio23_80ml!V67/50</f>
        <v>0.06</v>
      </c>
      <c r="W66" s="27">
        <f>rebio23_80ml!W67/50</f>
        <v>0</v>
      </c>
      <c r="X66" s="27">
        <f>rebio23_80ml!X67/50</f>
        <v>0</v>
      </c>
      <c r="Y66" s="27">
        <f>rebio23_80ml!Y67/50</f>
        <v>0</v>
      </c>
      <c r="Z66" s="27">
        <f>rebio23_80ml!Z67/50</f>
        <v>0</v>
      </c>
      <c r="AA66" s="27">
        <f>rebio23_80ml!AA67/50</f>
        <v>0</v>
      </c>
      <c r="AB66" s="27">
        <f>rebio23_80ml!AB67/50</f>
        <v>0</v>
      </c>
      <c r="AC66" s="27">
        <f>rebio23_80ml!AC67/50</f>
        <v>0</v>
      </c>
      <c r="AD66" s="27">
        <f>rebio23_80ml!AD67/50</f>
        <v>0</v>
      </c>
      <c r="AE66" s="27">
        <f>rebio23_80ml!AE67/50</f>
        <v>0</v>
      </c>
      <c r="AF66" s="27">
        <f>rebio23_80ml!AF67/50</f>
        <v>0</v>
      </c>
      <c r="AG66" s="27">
        <f>rebio23_80ml!AG67/50</f>
        <v>0</v>
      </c>
      <c r="AH66" s="27">
        <f>rebio23_80ml!AH67/50</f>
        <v>0</v>
      </c>
      <c r="AI66" s="27">
        <f>rebio23_80ml!AI67/50</f>
        <v>0</v>
      </c>
      <c r="AJ66" s="27">
        <f>rebio23_80ml!AJ67/50</f>
        <v>0</v>
      </c>
      <c r="AK66" s="27">
        <f>rebio23_80ml!AK67/50</f>
        <v>0</v>
      </c>
      <c r="AL66" s="27">
        <f>rebio23_80ml!AL67/50</f>
        <v>0.02</v>
      </c>
      <c r="AM66" s="27">
        <f>rebio23_80ml!AM67/50</f>
        <v>0</v>
      </c>
      <c r="AN66" s="27">
        <f>rebio23_80ml!AN67/50</f>
        <v>0</v>
      </c>
      <c r="AO66" s="27">
        <f>rebio23_80ml!AO67/50</f>
        <v>0</v>
      </c>
      <c r="AP66" s="27">
        <f>rebio23_80ml!AP67/50</f>
        <v>0</v>
      </c>
      <c r="AQ66" s="27">
        <f>rebio23_80ml!AQ67/50</f>
        <v>0</v>
      </c>
      <c r="AR66" s="27">
        <f>rebio23_80ml!AR67/50</f>
        <v>0</v>
      </c>
      <c r="AS66" s="27">
        <f>rebio23_80ml!AS67/50</f>
        <v>0</v>
      </c>
      <c r="AT66" s="27">
        <f>rebio23_80ml!AT67/50</f>
        <v>0</v>
      </c>
      <c r="AU66" s="27">
        <f>rebio23_80ml!AU67/50</f>
        <v>0</v>
      </c>
      <c r="AV66" s="27">
        <f>rebio23_80ml!AV67/50</f>
        <v>0.14000000000000001</v>
      </c>
      <c r="AW66" s="27">
        <f>rebio23_80ml!AW67/50</f>
        <v>0</v>
      </c>
      <c r="AX66" s="27">
        <f>rebio23_80ml!AX67/50</f>
        <v>0</v>
      </c>
      <c r="AY66" s="27">
        <f>rebio23_80ml!AY67/50</f>
        <v>0.7</v>
      </c>
      <c r="AZ66" s="27">
        <f>rebio23_80ml!AZ67/50</f>
        <v>0</v>
      </c>
      <c r="BA66" s="27">
        <f>rebio23_80ml!BA67/50</f>
        <v>0</v>
      </c>
      <c r="BB66" s="27">
        <f>rebio23_80ml!BB67/50</f>
        <v>0</v>
      </c>
      <c r="BC66" s="27">
        <f>rebio23_80ml!BC67/50</f>
        <v>0</v>
      </c>
      <c r="BD66" s="27">
        <f>rebio23_80ml!BD67/50</f>
        <v>0.02</v>
      </c>
      <c r="BE66" s="27">
        <f>rebio23_80ml!BE67/50</f>
        <v>0</v>
      </c>
      <c r="BF66" s="27">
        <f>rebio23_80ml!BF67/50</f>
        <v>0</v>
      </c>
      <c r="BG66" s="27">
        <f>rebio23_80ml!BG67/50</f>
        <v>0</v>
      </c>
    </row>
    <row r="67" spans="1:59" ht="12.75" customHeight="1" x14ac:dyDescent="0.25">
      <c r="A67" s="15" t="str">
        <f>rebio23_80ml!A68</f>
        <v>C-B-P10-H3</v>
      </c>
      <c r="B67" s="27">
        <f>rebio23_80ml!B68/50</f>
        <v>0.72</v>
      </c>
      <c r="C67" s="27">
        <f>rebio23_80ml!C68/50</f>
        <v>0.16</v>
      </c>
      <c r="D67" s="27">
        <f>rebio23_80ml!D68/50</f>
        <v>0.1</v>
      </c>
      <c r="E67" s="27">
        <f>rebio23_80ml!E68/50</f>
        <v>4.4000000000000004</v>
      </c>
      <c r="F67" s="27">
        <f>rebio23_80ml!F68/50</f>
        <v>0.04</v>
      </c>
      <c r="G67" s="27">
        <f>rebio23_80ml!G68/50</f>
        <v>0.14000000000000001</v>
      </c>
      <c r="H67" s="27">
        <f>rebio23_80ml!H68/50</f>
        <v>0</v>
      </c>
      <c r="I67" s="27">
        <f>rebio23_80ml!I68/50</f>
        <v>1.4</v>
      </c>
      <c r="J67" s="27">
        <f>rebio23_80ml!J68/50</f>
        <v>0.26</v>
      </c>
      <c r="K67" s="27">
        <f>rebio23_80ml!K68/50</f>
        <v>0</v>
      </c>
      <c r="L67" s="27">
        <f>rebio23_80ml!L68/50</f>
        <v>0.2</v>
      </c>
      <c r="M67" s="27">
        <f>rebio23_80ml!M68/50</f>
        <v>0</v>
      </c>
      <c r="N67" s="27">
        <f>rebio23_80ml!N68/50</f>
        <v>0</v>
      </c>
      <c r="O67" s="27">
        <f>rebio23_80ml!O68/50</f>
        <v>0</v>
      </c>
      <c r="P67" s="27">
        <f>rebio23_80ml!P68/50</f>
        <v>0</v>
      </c>
      <c r="Q67" s="27">
        <f>rebio23_80ml!Q68/50</f>
        <v>0.2</v>
      </c>
      <c r="R67" s="27">
        <f>rebio23_80ml!R68/50</f>
        <v>0</v>
      </c>
      <c r="S67" s="27">
        <f>rebio23_80ml!S68/50</f>
        <v>0</v>
      </c>
      <c r="T67" s="27">
        <f>rebio23_80ml!T68/50</f>
        <v>0</v>
      </c>
      <c r="U67" s="27">
        <f>rebio23_80ml!U68/50</f>
        <v>0</v>
      </c>
      <c r="V67" s="27">
        <f>rebio23_80ml!V68/50</f>
        <v>0</v>
      </c>
      <c r="W67" s="27">
        <f>rebio23_80ml!W68/50</f>
        <v>0</v>
      </c>
      <c r="X67" s="27">
        <f>rebio23_80ml!X68/50</f>
        <v>0</v>
      </c>
      <c r="Y67" s="27">
        <f>rebio23_80ml!Y68/50</f>
        <v>0.12</v>
      </c>
      <c r="Z67" s="27">
        <f>rebio23_80ml!Z68/50</f>
        <v>0.04</v>
      </c>
      <c r="AA67" s="27">
        <f>rebio23_80ml!AA68/50</f>
        <v>0.04</v>
      </c>
      <c r="AB67" s="27">
        <f>rebio23_80ml!AB68/50</f>
        <v>0</v>
      </c>
      <c r="AC67" s="27">
        <f>rebio23_80ml!AC68/50</f>
        <v>0</v>
      </c>
      <c r="AD67" s="27">
        <f>rebio23_80ml!AD68/50</f>
        <v>0</v>
      </c>
      <c r="AE67" s="27">
        <f>rebio23_80ml!AE68/50</f>
        <v>0</v>
      </c>
      <c r="AF67" s="27">
        <f>rebio23_80ml!AF68/50</f>
        <v>0</v>
      </c>
      <c r="AG67" s="27">
        <f>rebio23_80ml!AG68/50</f>
        <v>0</v>
      </c>
      <c r="AH67" s="27">
        <f>rebio23_80ml!AH68/50</f>
        <v>0</v>
      </c>
      <c r="AI67" s="27">
        <f>rebio23_80ml!AI68/50</f>
        <v>0</v>
      </c>
      <c r="AJ67" s="27">
        <f>rebio23_80ml!AJ68/50</f>
        <v>0</v>
      </c>
      <c r="AK67" s="27">
        <f>rebio23_80ml!AK68/50</f>
        <v>0</v>
      </c>
      <c r="AL67" s="27">
        <f>rebio23_80ml!AL68/50</f>
        <v>0.08</v>
      </c>
      <c r="AM67" s="27">
        <f>rebio23_80ml!AM68/50</f>
        <v>0</v>
      </c>
      <c r="AN67" s="27">
        <f>rebio23_80ml!AN68/50</f>
        <v>0</v>
      </c>
      <c r="AO67" s="27">
        <f>rebio23_80ml!AO68/50</f>
        <v>0</v>
      </c>
      <c r="AP67" s="27">
        <f>rebio23_80ml!AP68/50</f>
        <v>0</v>
      </c>
      <c r="AQ67" s="27">
        <f>rebio23_80ml!AQ68/50</f>
        <v>0</v>
      </c>
      <c r="AR67" s="27">
        <f>rebio23_80ml!AR68/50</f>
        <v>0</v>
      </c>
      <c r="AS67" s="27">
        <f>rebio23_80ml!AS68/50</f>
        <v>0</v>
      </c>
      <c r="AT67" s="27">
        <f>rebio23_80ml!AT68/50</f>
        <v>0</v>
      </c>
      <c r="AU67" s="27">
        <f>rebio23_80ml!AU68/50</f>
        <v>0</v>
      </c>
      <c r="AV67" s="27">
        <f>rebio23_80ml!AV68/50</f>
        <v>2.14</v>
      </c>
      <c r="AW67" s="27">
        <f>rebio23_80ml!AW68/50</f>
        <v>0</v>
      </c>
      <c r="AX67" s="27">
        <f>rebio23_80ml!AX68/50</f>
        <v>0.02</v>
      </c>
      <c r="AY67" s="27">
        <f>rebio23_80ml!AY68/50</f>
        <v>2.58</v>
      </c>
      <c r="AZ67" s="27">
        <f>rebio23_80ml!AZ68/50</f>
        <v>0</v>
      </c>
      <c r="BA67" s="27">
        <f>rebio23_80ml!BA68/50</f>
        <v>0</v>
      </c>
      <c r="BB67" s="27">
        <f>rebio23_80ml!BB68/50</f>
        <v>0</v>
      </c>
      <c r="BC67" s="27">
        <f>rebio23_80ml!BC68/50</f>
        <v>0</v>
      </c>
      <c r="BD67" s="27">
        <f>rebio23_80ml!BD68/50</f>
        <v>0</v>
      </c>
      <c r="BE67" s="27">
        <f>rebio23_80ml!BE68/50</f>
        <v>0</v>
      </c>
      <c r="BF67" s="27">
        <f>rebio23_80ml!BF68/50</f>
        <v>0.02</v>
      </c>
      <c r="BG67" s="27">
        <f>rebio23_80ml!BG68/50</f>
        <v>0</v>
      </c>
    </row>
    <row r="68" spans="1:59" ht="12.75" customHeight="1" x14ac:dyDescent="0.25">
      <c r="A68" s="50" t="str">
        <f>rebio23_80ml!A69</f>
        <v>C-C-P11-H1</v>
      </c>
      <c r="B68" s="51">
        <f>rebio23_80ml!B69/50</f>
        <v>0</v>
      </c>
      <c r="C68" s="51">
        <f>rebio23_80ml!C69/50</f>
        <v>0</v>
      </c>
      <c r="D68" s="51">
        <f>rebio23_80ml!D69/50</f>
        <v>0</v>
      </c>
      <c r="E68" s="51">
        <f>rebio23_80ml!E69/50</f>
        <v>0</v>
      </c>
      <c r="F68" s="51">
        <f>rebio23_80ml!F69/50</f>
        <v>0</v>
      </c>
      <c r="G68" s="51">
        <f>rebio23_80ml!G69/50</f>
        <v>0</v>
      </c>
      <c r="H68" s="51">
        <f>rebio23_80ml!H69/50</f>
        <v>0</v>
      </c>
      <c r="I68" s="51">
        <f>rebio23_80ml!I69/50</f>
        <v>0</v>
      </c>
      <c r="J68" s="51">
        <f>rebio23_80ml!J69/50</f>
        <v>0</v>
      </c>
      <c r="K68" s="51">
        <f>rebio23_80ml!K69/50</f>
        <v>0</v>
      </c>
      <c r="L68" s="51">
        <f>rebio23_80ml!L69/50</f>
        <v>0</v>
      </c>
      <c r="M68" s="51">
        <f>rebio23_80ml!M69/50</f>
        <v>0</v>
      </c>
      <c r="N68" s="51">
        <f>rebio23_80ml!N69/50</f>
        <v>0</v>
      </c>
      <c r="O68" s="51">
        <f>rebio23_80ml!O69/50</f>
        <v>0</v>
      </c>
      <c r="P68" s="51">
        <f>rebio23_80ml!P69/50</f>
        <v>0</v>
      </c>
      <c r="Q68" s="51">
        <f>rebio23_80ml!Q69/50</f>
        <v>0</v>
      </c>
      <c r="R68" s="51">
        <f>rebio23_80ml!R69/50</f>
        <v>0</v>
      </c>
      <c r="S68" s="51">
        <f>rebio23_80ml!S69/50</f>
        <v>0</v>
      </c>
      <c r="T68" s="51">
        <f>rebio23_80ml!T69/50</f>
        <v>0</v>
      </c>
      <c r="U68" s="51">
        <f>rebio23_80ml!U69/50</f>
        <v>0</v>
      </c>
      <c r="V68" s="51">
        <f>rebio23_80ml!V69/50</f>
        <v>0</v>
      </c>
      <c r="W68" s="51">
        <f>rebio23_80ml!W69/50</f>
        <v>0</v>
      </c>
      <c r="X68" s="51">
        <f>rebio23_80ml!X69/50</f>
        <v>0</v>
      </c>
      <c r="Y68" s="51">
        <f>rebio23_80ml!Y69/50</f>
        <v>0</v>
      </c>
      <c r="Z68" s="51">
        <f>rebio23_80ml!Z69/50</f>
        <v>0</v>
      </c>
      <c r="AA68" s="51">
        <f>rebio23_80ml!AA69/50</f>
        <v>0</v>
      </c>
      <c r="AB68" s="51">
        <f>rebio23_80ml!AB69/50</f>
        <v>0</v>
      </c>
      <c r="AC68" s="51">
        <f>rebio23_80ml!AC69/50</f>
        <v>0</v>
      </c>
      <c r="AD68" s="51">
        <f>rebio23_80ml!AD69/50</f>
        <v>0</v>
      </c>
      <c r="AE68" s="51">
        <f>rebio23_80ml!AE69/50</f>
        <v>0</v>
      </c>
      <c r="AF68" s="51">
        <f>rebio23_80ml!AF69/50</f>
        <v>0</v>
      </c>
      <c r="AG68" s="51">
        <f>rebio23_80ml!AG69/50</f>
        <v>0</v>
      </c>
      <c r="AH68" s="51">
        <f>rebio23_80ml!AH69/50</f>
        <v>0</v>
      </c>
      <c r="AI68" s="51">
        <f>rebio23_80ml!AI69/50</f>
        <v>0</v>
      </c>
      <c r="AJ68" s="51">
        <f>rebio23_80ml!AJ69/50</f>
        <v>0</v>
      </c>
      <c r="AK68" s="51">
        <f>rebio23_80ml!AK69/50</f>
        <v>0</v>
      </c>
      <c r="AL68" s="51">
        <f>rebio23_80ml!AL69/50</f>
        <v>0</v>
      </c>
      <c r="AM68" s="51">
        <f>rebio23_80ml!AM69/50</f>
        <v>0</v>
      </c>
      <c r="AN68" s="51">
        <f>rebio23_80ml!AN69/50</f>
        <v>0</v>
      </c>
      <c r="AO68" s="51">
        <f>rebio23_80ml!AO69/50</f>
        <v>0</v>
      </c>
      <c r="AP68" s="51">
        <f>rebio23_80ml!AP69/50</f>
        <v>0</v>
      </c>
      <c r="AQ68" s="51">
        <f>rebio23_80ml!AQ69/50</f>
        <v>0</v>
      </c>
      <c r="AR68" s="51">
        <f>rebio23_80ml!AR69/50</f>
        <v>0</v>
      </c>
      <c r="AS68" s="51">
        <f>rebio23_80ml!AS69/50</f>
        <v>0</v>
      </c>
      <c r="AT68" s="51">
        <f>rebio23_80ml!AT69/50</f>
        <v>0</v>
      </c>
      <c r="AU68" s="51">
        <f>rebio23_80ml!AU69/50</f>
        <v>0</v>
      </c>
      <c r="AV68" s="51">
        <f>rebio23_80ml!AV69/50</f>
        <v>0</v>
      </c>
      <c r="AW68" s="51">
        <f>rebio23_80ml!AW69/50</f>
        <v>0</v>
      </c>
      <c r="AX68" s="51">
        <f>rebio23_80ml!AX69/50</f>
        <v>0</v>
      </c>
      <c r="AY68" s="51">
        <f>rebio23_80ml!AY69/50</f>
        <v>0</v>
      </c>
      <c r="AZ68" s="51">
        <f>rebio23_80ml!AZ69/50</f>
        <v>0</v>
      </c>
      <c r="BA68" s="51">
        <f>rebio23_80ml!BA69/50</f>
        <v>0</v>
      </c>
      <c r="BB68" s="51">
        <f>rebio23_80ml!BB69/50</f>
        <v>0</v>
      </c>
      <c r="BC68" s="51">
        <f>rebio23_80ml!BC69/50</f>
        <v>0</v>
      </c>
      <c r="BD68" s="51">
        <f>rebio23_80ml!BD69/50</f>
        <v>0</v>
      </c>
      <c r="BE68" s="51">
        <f>rebio23_80ml!BE69/50</f>
        <v>0</v>
      </c>
      <c r="BF68" s="51">
        <f>rebio23_80ml!BF69/50</f>
        <v>0</v>
      </c>
      <c r="BG68" s="51">
        <f>rebio23_80ml!BG69/50</f>
        <v>0</v>
      </c>
    </row>
    <row r="69" spans="1:59" ht="12.75" customHeight="1" x14ac:dyDescent="0.25">
      <c r="A69" s="50" t="str">
        <f>rebio23_80ml!A70</f>
        <v>C-C-P11-H2</v>
      </c>
      <c r="B69" s="51">
        <f>rebio23_80ml!B70/50</f>
        <v>0</v>
      </c>
      <c r="C69" s="51">
        <f>rebio23_80ml!C70/50</f>
        <v>0</v>
      </c>
      <c r="D69" s="51">
        <f>rebio23_80ml!D70/50</f>
        <v>0</v>
      </c>
      <c r="E69" s="51">
        <f>rebio23_80ml!E70/50</f>
        <v>0</v>
      </c>
      <c r="F69" s="51">
        <f>rebio23_80ml!F70/50</f>
        <v>0</v>
      </c>
      <c r="G69" s="51">
        <f>rebio23_80ml!G70/50</f>
        <v>0</v>
      </c>
      <c r="H69" s="51">
        <f>rebio23_80ml!H70/50</f>
        <v>0</v>
      </c>
      <c r="I69" s="51">
        <f>rebio23_80ml!I70/50</f>
        <v>0</v>
      </c>
      <c r="J69" s="51">
        <f>rebio23_80ml!J70/50</f>
        <v>0</v>
      </c>
      <c r="K69" s="51">
        <f>rebio23_80ml!K70/50</f>
        <v>0</v>
      </c>
      <c r="L69" s="51">
        <f>rebio23_80ml!L70/50</f>
        <v>0</v>
      </c>
      <c r="M69" s="51">
        <f>rebio23_80ml!M70/50</f>
        <v>0</v>
      </c>
      <c r="N69" s="51">
        <f>rebio23_80ml!N70/50</f>
        <v>0</v>
      </c>
      <c r="O69" s="51">
        <f>rebio23_80ml!O70/50</f>
        <v>0</v>
      </c>
      <c r="P69" s="51">
        <f>rebio23_80ml!P70/50</f>
        <v>0</v>
      </c>
      <c r="Q69" s="51">
        <f>rebio23_80ml!Q70/50</f>
        <v>0</v>
      </c>
      <c r="R69" s="51">
        <f>rebio23_80ml!R70/50</f>
        <v>0</v>
      </c>
      <c r="S69" s="51">
        <f>rebio23_80ml!S70/50</f>
        <v>0</v>
      </c>
      <c r="T69" s="51">
        <f>rebio23_80ml!T70/50</f>
        <v>0</v>
      </c>
      <c r="U69" s="51">
        <f>rebio23_80ml!U70/50</f>
        <v>0</v>
      </c>
      <c r="V69" s="51">
        <f>rebio23_80ml!V70/50</f>
        <v>0</v>
      </c>
      <c r="W69" s="51">
        <f>rebio23_80ml!W70/50</f>
        <v>0</v>
      </c>
      <c r="X69" s="51">
        <f>rebio23_80ml!X70/50</f>
        <v>0</v>
      </c>
      <c r="Y69" s="51">
        <f>rebio23_80ml!Y70/50</f>
        <v>0</v>
      </c>
      <c r="Z69" s="51">
        <f>rebio23_80ml!Z70/50</f>
        <v>0</v>
      </c>
      <c r="AA69" s="51">
        <f>rebio23_80ml!AA70/50</f>
        <v>0</v>
      </c>
      <c r="AB69" s="51">
        <f>rebio23_80ml!AB70/50</f>
        <v>0</v>
      </c>
      <c r="AC69" s="51">
        <f>rebio23_80ml!AC70/50</f>
        <v>0</v>
      </c>
      <c r="AD69" s="51">
        <f>rebio23_80ml!AD70/50</f>
        <v>0</v>
      </c>
      <c r="AE69" s="51">
        <f>rebio23_80ml!AE70/50</f>
        <v>0</v>
      </c>
      <c r="AF69" s="51">
        <f>rebio23_80ml!AF70/50</f>
        <v>0</v>
      </c>
      <c r="AG69" s="51">
        <f>rebio23_80ml!AG70/50</f>
        <v>0</v>
      </c>
      <c r="AH69" s="51">
        <f>rebio23_80ml!AH70/50</f>
        <v>0</v>
      </c>
      <c r="AI69" s="51">
        <f>rebio23_80ml!AI70/50</f>
        <v>0</v>
      </c>
      <c r="AJ69" s="51">
        <f>rebio23_80ml!AJ70/50</f>
        <v>0</v>
      </c>
      <c r="AK69" s="51">
        <f>rebio23_80ml!AK70/50</f>
        <v>0</v>
      </c>
      <c r="AL69" s="51">
        <f>rebio23_80ml!AL70/50</f>
        <v>0</v>
      </c>
      <c r="AM69" s="51">
        <f>rebio23_80ml!AM70/50</f>
        <v>0</v>
      </c>
      <c r="AN69" s="51">
        <f>rebio23_80ml!AN70/50</f>
        <v>0</v>
      </c>
      <c r="AO69" s="51">
        <f>rebio23_80ml!AO70/50</f>
        <v>0</v>
      </c>
      <c r="AP69" s="51">
        <f>rebio23_80ml!AP70/50</f>
        <v>0</v>
      </c>
      <c r="AQ69" s="51">
        <f>rebio23_80ml!AQ70/50</f>
        <v>0</v>
      </c>
      <c r="AR69" s="51">
        <f>rebio23_80ml!AR70/50</f>
        <v>0</v>
      </c>
      <c r="AS69" s="51">
        <f>rebio23_80ml!AS70/50</f>
        <v>0</v>
      </c>
      <c r="AT69" s="51">
        <f>rebio23_80ml!AT70/50</f>
        <v>0</v>
      </c>
      <c r="AU69" s="51">
        <f>rebio23_80ml!AU70/50</f>
        <v>0</v>
      </c>
      <c r="AV69" s="51">
        <f>rebio23_80ml!AV70/50</f>
        <v>0</v>
      </c>
      <c r="AW69" s="51">
        <f>rebio23_80ml!AW70/50</f>
        <v>0</v>
      </c>
      <c r="AX69" s="51">
        <f>rebio23_80ml!AX70/50</f>
        <v>0</v>
      </c>
      <c r="AY69" s="51">
        <f>rebio23_80ml!AY70/50</f>
        <v>0</v>
      </c>
      <c r="AZ69" s="51">
        <f>rebio23_80ml!AZ70/50</f>
        <v>0</v>
      </c>
      <c r="BA69" s="51">
        <f>rebio23_80ml!BA70/50</f>
        <v>0</v>
      </c>
      <c r="BB69" s="51">
        <f>rebio23_80ml!BB70/50</f>
        <v>0</v>
      </c>
      <c r="BC69" s="51">
        <f>rebio23_80ml!BC70/50</f>
        <v>0</v>
      </c>
      <c r="BD69" s="51">
        <f>rebio23_80ml!BD70/50</f>
        <v>0</v>
      </c>
      <c r="BE69" s="51">
        <f>rebio23_80ml!BE70/50</f>
        <v>0</v>
      </c>
      <c r="BF69" s="51">
        <f>rebio23_80ml!BF70/50</f>
        <v>0</v>
      </c>
      <c r="BG69" s="51">
        <f>rebio23_80ml!BG70/50</f>
        <v>0</v>
      </c>
    </row>
    <row r="70" spans="1:59" ht="12.75" customHeight="1" x14ac:dyDescent="0.25">
      <c r="A70" s="50" t="str">
        <f>rebio23_80ml!A71</f>
        <v>C-C-P11-H3</v>
      </c>
      <c r="B70" s="51">
        <f>rebio23_80ml!B71/50</f>
        <v>0</v>
      </c>
      <c r="C70" s="51">
        <f>rebio23_80ml!C71/50</f>
        <v>0</v>
      </c>
      <c r="D70" s="51">
        <f>rebio23_80ml!D71/50</f>
        <v>0</v>
      </c>
      <c r="E70" s="51">
        <f>rebio23_80ml!E71/50</f>
        <v>0</v>
      </c>
      <c r="F70" s="51">
        <f>rebio23_80ml!F71/50</f>
        <v>0</v>
      </c>
      <c r="G70" s="51">
        <f>rebio23_80ml!G71/50</f>
        <v>0</v>
      </c>
      <c r="H70" s="51">
        <f>rebio23_80ml!H71/50</f>
        <v>0</v>
      </c>
      <c r="I70" s="51">
        <f>rebio23_80ml!I71/50</f>
        <v>0</v>
      </c>
      <c r="J70" s="51">
        <f>rebio23_80ml!J71/50</f>
        <v>0</v>
      </c>
      <c r="K70" s="51">
        <f>rebio23_80ml!K71/50</f>
        <v>0</v>
      </c>
      <c r="L70" s="51">
        <f>rebio23_80ml!L71/50</f>
        <v>0</v>
      </c>
      <c r="M70" s="51">
        <f>rebio23_80ml!M71/50</f>
        <v>0</v>
      </c>
      <c r="N70" s="51">
        <f>rebio23_80ml!N71/50</f>
        <v>0</v>
      </c>
      <c r="O70" s="51">
        <f>rebio23_80ml!O71/50</f>
        <v>0</v>
      </c>
      <c r="P70" s="51">
        <f>rebio23_80ml!P71/50</f>
        <v>0</v>
      </c>
      <c r="Q70" s="51">
        <f>rebio23_80ml!Q71/50</f>
        <v>0</v>
      </c>
      <c r="R70" s="51">
        <f>rebio23_80ml!R71/50</f>
        <v>0</v>
      </c>
      <c r="S70" s="51">
        <f>rebio23_80ml!S71/50</f>
        <v>0</v>
      </c>
      <c r="T70" s="51">
        <f>rebio23_80ml!T71/50</f>
        <v>0</v>
      </c>
      <c r="U70" s="51">
        <f>rebio23_80ml!U71/50</f>
        <v>0</v>
      </c>
      <c r="V70" s="51">
        <f>rebio23_80ml!V71/50</f>
        <v>0</v>
      </c>
      <c r="W70" s="51">
        <f>rebio23_80ml!W71/50</f>
        <v>0</v>
      </c>
      <c r="X70" s="51">
        <f>rebio23_80ml!X71/50</f>
        <v>0</v>
      </c>
      <c r="Y70" s="51">
        <f>rebio23_80ml!Y71/50</f>
        <v>0</v>
      </c>
      <c r="Z70" s="51">
        <f>rebio23_80ml!Z71/50</f>
        <v>0</v>
      </c>
      <c r="AA70" s="51">
        <f>rebio23_80ml!AA71/50</f>
        <v>0</v>
      </c>
      <c r="AB70" s="51">
        <f>rebio23_80ml!AB71/50</f>
        <v>0</v>
      </c>
      <c r="AC70" s="51">
        <f>rebio23_80ml!AC71/50</f>
        <v>0</v>
      </c>
      <c r="AD70" s="51">
        <f>rebio23_80ml!AD71/50</f>
        <v>0</v>
      </c>
      <c r="AE70" s="51">
        <f>rebio23_80ml!AE71/50</f>
        <v>0</v>
      </c>
      <c r="AF70" s="51">
        <f>rebio23_80ml!AF71/50</f>
        <v>0</v>
      </c>
      <c r="AG70" s="51">
        <f>rebio23_80ml!AG71/50</f>
        <v>0</v>
      </c>
      <c r="AH70" s="51">
        <f>rebio23_80ml!AH71/50</f>
        <v>0</v>
      </c>
      <c r="AI70" s="51">
        <f>rebio23_80ml!AI71/50</f>
        <v>0</v>
      </c>
      <c r="AJ70" s="51">
        <f>rebio23_80ml!AJ71/50</f>
        <v>0</v>
      </c>
      <c r="AK70" s="51">
        <f>rebio23_80ml!AK71/50</f>
        <v>0</v>
      </c>
      <c r="AL70" s="51">
        <f>rebio23_80ml!AL71/50</f>
        <v>0</v>
      </c>
      <c r="AM70" s="51">
        <f>rebio23_80ml!AM71/50</f>
        <v>0</v>
      </c>
      <c r="AN70" s="51">
        <f>rebio23_80ml!AN71/50</f>
        <v>0</v>
      </c>
      <c r="AO70" s="51">
        <f>rebio23_80ml!AO71/50</f>
        <v>0</v>
      </c>
      <c r="AP70" s="51">
        <f>rebio23_80ml!AP71/50</f>
        <v>0</v>
      </c>
      <c r="AQ70" s="51">
        <f>rebio23_80ml!AQ71/50</f>
        <v>0</v>
      </c>
      <c r="AR70" s="51">
        <f>rebio23_80ml!AR71/50</f>
        <v>0</v>
      </c>
      <c r="AS70" s="51">
        <f>rebio23_80ml!AS71/50</f>
        <v>0</v>
      </c>
      <c r="AT70" s="51">
        <f>rebio23_80ml!AT71/50</f>
        <v>0</v>
      </c>
      <c r="AU70" s="51">
        <f>rebio23_80ml!AU71/50</f>
        <v>0</v>
      </c>
      <c r="AV70" s="51">
        <f>rebio23_80ml!AV71/50</f>
        <v>0</v>
      </c>
      <c r="AW70" s="51">
        <f>rebio23_80ml!AW71/50</f>
        <v>0</v>
      </c>
      <c r="AX70" s="51">
        <f>rebio23_80ml!AX71/50</f>
        <v>0</v>
      </c>
      <c r="AY70" s="51">
        <f>rebio23_80ml!AY71/50</f>
        <v>0</v>
      </c>
      <c r="AZ70" s="51">
        <f>rebio23_80ml!AZ71/50</f>
        <v>0</v>
      </c>
      <c r="BA70" s="51">
        <f>rebio23_80ml!BA71/50</f>
        <v>0</v>
      </c>
      <c r="BB70" s="51">
        <f>rebio23_80ml!BB71/50</f>
        <v>0</v>
      </c>
      <c r="BC70" s="51">
        <f>rebio23_80ml!BC71/50</f>
        <v>0</v>
      </c>
      <c r="BD70" s="51">
        <f>rebio23_80ml!BD71/50</f>
        <v>0</v>
      </c>
      <c r="BE70" s="51">
        <f>rebio23_80ml!BE71/50</f>
        <v>0</v>
      </c>
      <c r="BF70" s="51">
        <f>rebio23_80ml!BF71/50</f>
        <v>0</v>
      </c>
      <c r="BG70" s="51">
        <f>rebio23_80ml!BG71/50</f>
        <v>0</v>
      </c>
    </row>
    <row r="71" spans="1:59" ht="12.75" customHeight="1" x14ac:dyDescent="0.25">
      <c r="A71" s="15" t="str">
        <f>rebio23_80ml!A72</f>
        <v>C-C-P12-H1</v>
      </c>
      <c r="B71" s="27">
        <f>rebio23_80ml!B72/50</f>
        <v>0.06</v>
      </c>
      <c r="C71" s="27">
        <f>rebio23_80ml!C72/50</f>
        <v>0</v>
      </c>
      <c r="D71" s="27">
        <f>rebio23_80ml!D72/50</f>
        <v>0</v>
      </c>
      <c r="E71" s="27">
        <f>rebio23_80ml!E72/50</f>
        <v>2.62</v>
      </c>
      <c r="F71" s="27">
        <f>rebio23_80ml!F72/50</f>
        <v>0</v>
      </c>
      <c r="G71" s="27">
        <f>rebio23_80ml!G72/50</f>
        <v>0</v>
      </c>
      <c r="H71" s="27">
        <f>rebio23_80ml!H72/50</f>
        <v>0</v>
      </c>
      <c r="I71" s="27">
        <f>rebio23_80ml!I72/50</f>
        <v>0.2</v>
      </c>
      <c r="J71" s="27">
        <f>rebio23_80ml!J72/50</f>
        <v>0</v>
      </c>
      <c r="K71" s="27">
        <f>rebio23_80ml!K72/50</f>
        <v>0</v>
      </c>
      <c r="L71" s="27">
        <f>rebio23_80ml!L72/50</f>
        <v>0</v>
      </c>
      <c r="M71" s="27">
        <f>rebio23_80ml!M72/50</f>
        <v>0</v>
      </c>
      <c r="N71" s="27">
        <f>rebio23_80ml!N72/50</f>
        <v>0</v>
      </c>
      <c r="O71" s="27">
        <f>rebio23_80ml!O72/50</f>
        <v>0</v>
      </c>
      <c r="P71" s="27">
        <f>rebio23_80ml!P72/50</f>
        <v>0</v>
      </c>
      <c r="Q71" s="27">
        <f>rebio23_80ml!Q72/50</f>
        <v>0</v>
      </c>
      <c r="R71" s="27">
        <f>rebio23_80ml!R72/50</f>
        <v>0</v>
      </c>
      <c r="S71" s="27">
        <f>rebio23_80ml!S72/50</f>
        <v>0</v>
      </c>
      <c r="T71" s="27">
        <f>rebio23_80ml!T72/50</f>
        <v>0</v>
      </c>
      <c r="U71" s="27">
        <f>rebio23_80ml!U72/50</f>
        <v>0</v>
      </c>
      <c r="V71" s="27">
        <f>rebio23_80ml!V72/50</f>
        <v>0</v>
      </c>
      <c r="W71" s="27">
        <f>rebio23_80ml!W72/50</f>
        <v>0</v>
      </c>
      <c r="X71" s="27">
        <f>rebio23_80ml!X72/50</f>
        <v>0</v>
      </c>
      <c r="Y71" s="27">
        <f>rebio23_80ml!Y72/50</f>
        <v>0</v>
      </c>
      <c r="Z71" s="27">
        <f>rebio23_80ml!Z72/50</f>
        <v>0.04</v>
      </c>
      <c r="AA71" s="27">
        <f>rebio23_80ml!AA72/50</f>
        <v>0.06</v>
      </c>
      <c r="AB71" s="27">
        <f>rebio23_80ml!AB72/50</f>
        <v>0</v>
      </c>
      <c r="AC71" s="27">
        <f>rebio23_80ml!AC72/50</f>
        <v>0</v>
      </c>
      <c r="AD71" s="27">
        <f>rebio23_80ml!AD72/50</f>
        <v>0</v>
      </c>
      <c r="AE71" s="27">
        <f>rebio23_80ml!AE72/50</f>
        <v>0</v>
      </c>
      <c r="AF71" s="27">
        <f>rebio23_80ml!AF72/50</f>
        <v>0</v>
      </c>
      <c r="AG71" s="27">
        <f>rebio23_80ml!AG72/50</f>
        <v>0</v>
      </c>
      <c r="AH71" s="27">
        <f>rebio23_80ml!AH72/50</f>
        <v>0</v>
      </c>
      <c r="AI71" s="27">
        <f>rebio23_80ml!AI72/50</f>
        <v>0</v>
      </c>
      <c r="AJ71" s="27">
        <f>rebio23_80ml!AJ72/50</f>
        <v>0</v>
      </c>
      <c r="AK71" s="27">
        <f>rebio23_80ml!AK72/50</f>
        <v>0</v>
      </c>
      <c r="AL71" s="27">
        <f>rebio23_80ml!AL72/50</f>
        <v>0</v>
      </c>
      <c r="AM71" s="27">
        <f>rebio23_80ml!AM72/50</f>
        <v>0</v>
      </c>
      <c r="AN71" s="27">
        <f>rebio23_80ml!AN72/50</f>
        <v>0</v>
      </c>
      <c r="AO71" s="27">
        <f>rebio23_80ml!AO72/50</f>
        <v>0</v>
      </c>
      <c r="AP71" s="27">
        <f>rebio23_80ml!AP72/50</f>
        <v>0</v>
      </c>
      <c r="AQ71" s="27">
        <f>rebio23_80ml!AQ72/50</f>
        <v>0</v>
      </c>
      <c r="AR71" s="27">
        <f>rebio23_80ml!AR72/50</f>
        <v>0</v>
      </c>
      <c r="AS71" s="27">
        <f>rebio23_80ml!AS72/50</f>
        <v>0</v>
      </c>
      <c r="AT71" s="27">
        <f>rebio23_80ml!AT72/50</f>
        <v>0</v>
      </c>
      <c r="AU71" s="27">
        <f>rebio23_80ml!AU72/50</f>
        <v>0</v>
      </c>
      <c r="AV71" s="27">
        <f>rebio23_80ml!AV72/50</f>
        <v>0.08</v>
      </c>
      <c r="AW71" s="27">
        <f>rebio23_80ml!AW72/50</f>
        <v>0</v>
      </c>
      <c r="AX71" s="27">
        <f>rebio23_80ml!AX72/50</f>
        <v>0</v>
      </c>
      <c r="AY71" s="27">
        <f>rebio23_80ml!AY72/50</f>
        <v>0.02</v>
      </c>
      <c r="AZ71" s="27">
        <f>rebio23_80ml!AZ72/50</f>
        <v>0</v>
      </c>
      <c r="BA71" s="27">
        <f>rebio23_80ml!BA72/50</f>
        <v>0</v>
      </c>
      <c r="BB71" s="27">
        <f>rebio23_80ml!BB72/50</f>
        <v>0</v>
      </c>
      <c r="BC71" s="27">
        <f>rebio23_80ml!BC72/50</f>
        <v>0</v>
      </c>
      <c r="BD71" s="27">
        <f>rebio23_80ml!BD72/50</f>
        <v>0</v>
      </c>
      <c r="BE71" s="27">
        <f>rebio23_80ml!BE72/50</f>
        <v>0</v>
      </c>
      <c r="BF71" s="27">
        <f>rebio23_80ml!BF72/50</f>
        <v>0</v>
      </c>
      <c r="BG71" s="27">
        <f>rebio23_80ml!BG72/50</f>
        <v>0</v>
      </c>
    </row>
    <row r="72" spans="1:59" ht="12.75" customHeight="1" x14ac:dyDescent="0.25">
      <c r="A72" s="15" t="str">
        <f>rebio23_80ml!A73</f>
        <v>C-C-P12-H2</v>
      </c>
      <c r="B72" s="27">
        <f>rebio23_80ml!B73/50</f>
        <v>0.04</v>
      </c>
      <c r="C72" s="27">
        <f>rebio23_80ml!C73/50</f>
        <v>0</v>
      </c>
      <c r="D72" s="27">
        <f>rebio23_80ml!D73/50</f>
        <v>0</v>
      </c>
      <c r="E72" s="27">
        <f>rebio23_80ml!E73/50</f>
        <v>4.18</v>
      </c>
      <c r="F72" s="27">
        <f>rebio23_80ml!F73/50</f>
        <v>0</v>
      </c>
      <c r="G72" s="27">
        <f>rebio23_80ml!G73/50</f>
        <v>0</v>
      </c>
      <c r="H72" s="27">
        <f>rebio23_80ml!H73/50</f>
        <v>0</v>
      </c>
      <c r="I72" s="27">
        <f>rebio23_80ml!I73/50</f>
        <v>0.06</v>
      </c>
      <c r="J72" s="27">
        <f>rebio23_80ml!J73/50</f>
        <v>0</v>
      </c>
      <c r="K72" s="27">
        <f>rebio23_80ml!K73/50</f>
        <v>0</v>
      </c>
      <c r="L72" s="27">
        <f>rebio23_80ml!L73/50</f>
        <v>0</v>
      </c>
      <c r="M72" s="27">
        <f>rebio23_80ml!M73/50</f>
        <v>0</v>
      </c>
      <c r="N72" s="27">
        <f>rebio23_80ml!N73/50</f>
        <v>0</v>
      </c>
      <c r="O72" s="27">
        <f>rebio23_80ml!O73/50</f>
        <v>0</v>
      </c>
      <c r="P72" s="27">
        <f>rebio23_80ml!P73/50</f>
        <v>0</v>
      </c>
      <c r="Q72" s="27">
        <f>rebio23_80ml!Q73/50</f>
        <v>0</v>
      </c>
      <c r="R72" s="27">
        <f>rebio23_80ml!R73/50</f>
        <v>0</v>
      </c>
      <c r="S72" s="27">
        <f>rebio23_80ml!S73/50</f>
        <v>0.02</v>
      </c>
      <c r="T72" s="27">
        <f>rebio23_80ml!T73/50</f>
        <v>0</v>
      </c>
      <c r="U72" s="27">
        <f>rebio23_80ml!U73/50</f>
        <v>0</v>
      </c>
      <c r="V72" s="27">
        <f>rebio23_80ml!V73/50</f>
        <v>0</v>
      </c>
      <c r="W72" s="27">
        <f>rebio23_80ml!W73/50</f>
        <v>0</v>
      </c>
      <c r="X72" s="27">
        <f>rebio23_80ml!X73/50</f>
        <v>0</v>
      </c>
      <c r="Y72" s="27">
        <f>rebio23_80ml!Y73/50</f>
        <v>0</v>
      </c>
      <c r="Z72" s="27">
        <f>rebio23_80ml!Z73/50</f>
        <v>0.02</v>
      </c>
      <c r="AA72" s="27">
        <f>rebio23_80ml!AA73/50</f>
        <v>0</v>
      </c>
      <c r="AB72" s="27">
        <f>rebio23_80ml!AB73/50</f>
        <v>0</v>
      </c>
      <c r="AC72" s="27">
        <f>rebio23_80ml!AC73/50</f>
        <v>0</v>
      </c>
      <c r="AD72" s="27">
        <f>rebio23_80ml!AD73/50</f>
        <v>0</v>
      </c>
      <c r="AE72" s="27">
        <f>rebio23_80ml!AE73/50</f>
        <v>0</v>
      </c>
      <c r="AF72" s="27">
        <f>rebio23_80ml!AF73/50</f>
        <v>0</v>
      </c>
      <c r="AG72" s="27">
        <f>rebio23_80ml!AG73/50</f>
        <v>0</v>
      </c>
      <c r="AH72" s="27">
        <f>rebio23_80ml!AH73/50</f>
        <v>0</v>
      </c>
      <c r="AI72" s="27">
        <f>rebio23_80ml!AI73/50</f>
        <v>0</v>
      </c>
      <c r="AJ72" s="27">
        <f>rebio23_80ml!AJ73/50</f>
        <v>0</v>
      </c>
      <c r="AK72" s="27">
        <f>rebio23_80ml!AK73/50</f>
        <v>0</v>
      </c>
      <c r="AL72" s="27">
        <f>rebio23_80ml!AL73/50</f>
        <v>0</v>
      </c>
      <c r="AM72" s="27">
        <f>rebio23_80ml!AM73/50</f>
        <v>0</v>
      </c>
      <c r="AN72" s="27">
        <f>rebio23_80ml!AN73/50</f>
        <v>0</v>
      </c>
      <c r="AO72" s="27">
        <f>rebio23_80ml!AO73/50</f>
        <v>0</v>
      </c>
      <c r="AP72" s="27">
        <f>rebio23_80ml!AP73/50</f>
        <v>0</v>
      </c>
      <c r="AQ72" s="27">
        <f>rebio23_80ml!AQ73/50</f>
        <v>0</v>
      </c>
      <c r="AR72" s="27">
        <f>rebio23_80ml!AR73/50</f>
        <v>0</v>
      </c>
      <c r="AS72" s="27">
        <f>rebio23_80ml!AS73/50</f>
        <v>0</v>
      </c>
      <c r="AT72" s="27">
        <f>rebio23_80ml!AT73/50</f>
        <v>0</v>
      </c>
      <c r="AU72" s="27">
        <f>rebio23_80ml!AU73/50</f>
        <v>0</v>
      </c>
      <c r="AV72" s="27">
        <f>rebio23_80ml!AV73/50</f>
        <v>0.14000000000000001</v>
      </c>
      <c r="AW72" s="27">
        <f>rebio23_80ml!AW73/50</f>
        <v>0</v>
      </c>
      <c r="AX72" s="27">
        <f>rebio23_80ml!AX73/50</f>
        <v>0</v>
      </c>
      <c r="AY72" s="27">
        <f>rebio23_80ml!AY73/50</f>
        <v>0.02</v>
      </c>
      <c r="AZ72" s="27">
        <f>rebio23_80ml!AZ73/50</f>
        <v>0</v>
      </c>
      <c r="BA72" s="27">
        <f>rebio23_80ml!BA73/50</f>
        <v>0</v>
      </c>
      <c r="BB72" s="27">
        <f>rebio23_80ml!BB73/50</f>
        <v>0</v>
      </c>
      <c r="BC72" s="27">
        <f>rebio23_80ml!BC73/50</f>
        <v>0</v>
      </c>
      <c r="BD72" s="27">
        <f>rebio23_80ml!BD73/50</f>
        <v>0</v>
      </c>
      <c r="BE72" s="27">
        <f>rebio23_80ml!BE73/50</f>
        <v>0</v>
      </c>
      <c r="BF72" s="27">
        <f>rebio23_80ml!BF73/50</f>
        <v>0</v>
      </c>
      <c r="BG72" s="27">
        <f>rebio23_80ml!BG73/50</f>
        <v>0</v>
      </c>
    </row>
    <row r="73" spans="1:59" ht="12.75" customHeight="1" x14ac:dyDescent="0.25">
      <c r="A73" s="15" t="str">
        <f>rebio23_80ml!A74</f>
        <v>C-C-P12-H3</v>
      </c>
      <c r="B73" s="27">
        <f>rebio23_80ml!B74/50</f>
        <v>0.1</v>
      </c>
      <c r="C73" s="27">
        <f>rebio23_80ml!C74/50</f>
        <v>0</v>
      </c>
      <c r="D73" s="27">
        <f>rebio23_80ml!D74/50</f>
        <v>0</v>
      </c>
      <c r="E73" s="27">
        <f>rebio23_80ml!E74/50</f>
        <v>3.16</v>
      </c>
      <c r="F73" s="27">
        <f>rebio23_80ml!F74/50</f>
        <v>0</v>
      </c>
      <c r="G73" s="27">
        <f>rebio23_80ml!G74/50</f>
        <v>0</v>
      </c>
      <c r="H73" s="27">
        <f>rebio23_80ml!H74/50</f>
        <v>0</v>
      </c>
      <c r="I73" s="27">
        <f>rebio23_80ml!I74/50</f>
        <v>0.08</v>
      </c>
      <c r="J73" s="27">
        <f>rebio23_80ml!J74/50</f>
        <v>0</v>
      </c>
      <c r="K73" s="27">
        <f>rebio23_80ml!K74/50</f>
        <v>0</v>
      </c>
      <c r="L73" s="27">
        <f>rebio23_80ml!L74/50</f>
        <v>0</v>
      </c>
      <c r="M73" s="27">
        <f>rebio23_80ml!M74/50</f>
        <v>0</v>
      </c>
      <c r="N73" s="27">
        <f>rebio23_80ml!N74/50</f>
        <v>0</v>
      </c>
      <c r="O73" s="27">
        <f>rebio23_80ml!O74/50</f>
        <v>0</v>
      </c>
      <c r="P73" s="27">
        <f>rebio23_80ml!P74/50</f>
        <v>0</v>
      </c>
      <c r="Q73" s="27">
        <f>rebio23_80ml!Q74/50</f>
        <v>0</v>
      </c>
      <c r="R73" s="27">
        <f>rebio23_80ml!R74/50</f>
        <v>0</v>
      </c>
      <c r="S73" s="27">
        <f>rebio23_80ml!S74/50</f>
        <v>0</v>
      </c>
      <c r="T73" s="27">
        <f>rebio23_80ml!T74/50</f>
        <v>0</v>
      </c>
      <c r="U73" s="27">
        <f>rebio23_80ml!U74/50</f>
        <v>0</v>
      </c>
      <c r="V73" s="27">
        <f>rebio23_80ml!V74/50</f>
        <v>0</v>
      </c>
      <c r="W73" s="27">
        <f>rebio23_80ml!W74/50</f>
        <v>0</v>
      </c>
      <c r="X73" s="27">
        <f>rebio23_80ml!X74/50</f>
        <v>0</v>
      </c>
      <c r="Y73" s="27">
        <f>rebio23_80ml!Y74/50</f>
        <v>0</v>
      </c>
      <c r="Z73" s="27">
        <f>rebio23_80ml!Z74/50</f>
        <v>0</v>
      </c>
      <c r="AA73" s="27">
        <f>rebio23_80ml!AA74/50</f>
        <v>0.02</v>
      </c>
      <c r="AB73" s="27">
        <f>rebio23_80ml!AB74/50</f>
        <v>0</v>
      </c>
      <c r="AC73" s="27">
        <f>rebio23_80ml!AC74/50</f>
        <v>0</v>
      </c>
      <c r="AD73" s="27">
        <f>rebio23_80ml!AD74/50</f>
        <v>0</v>
      </c>
      <c r="AE73" s="27">
        <f>rebio23_80ml!AE74/50</f>
        <v>0</v>
      </c>
      <c r="AF73" s="27">
        <f>rebio23_80ml!AF74/50</f>
        <v>0</v>
      </c>
      <c r="AG73" s="27">
        <f>rebio23_80ml!AG74/50</f>
        <v>0</v>
      </c>
      <c r="AH73" s="27">
        <f>rebio23_80ml!AH74/50</f>
        <v>0</v>
      </c>
      <c r="AI73" s="27">
        <f>rebio23_80ml!AI74/50</f>
        <v>0</v>
      </c>
      <c r="AJ73" s="27">
        <f>rebio23_80ml!AJ74/50</f>
        <v>0</v>
      </c>
      <c r="AK73" s="27">
        <f>rebio23_80ml!AK74/50</f>
        <v>0</v>
      </c>
      <c r="AL73" s="27">
        <f>rebio23_80ml!AL74/50</f>
        <v>0</v>
      </c>
      <c r="AM73" s="27">
        <f>rebio23_80ml!AM74/50</f>
        <v>0</v>
      </c>
      <c r="AN73" s="27">
        <f>rebio23_80ml!AN74/50</f>
        <v>0</v>
      </c>
      <c r="AO73" s="27">
        <f>rebio23_80ml!AO74/50</f>
        <v>0</v>
      </c>
      <c r="AP73" s="27">
        <f>rebio23_80ml!AP74/50</f>
        <v>0</v>
      </c>
      <c r="AQ73" s="27">
        <f>rebio23_80ml!AQ74/50</f>
        <v>0</v>
      </c>
      <c r="AR73" s="27">
        <f>rebio23_80ml!AR74/50</f>
        <v>0</v>
      </c>
      <c r="AS73" s="27">
        <f>rebio23_80ml!AS74/50</f>
        <v>0</v>
      </c>
      <c r="AT73" s="27">
        <f>rebio23_80ml!AT74/50</f>
        <v>0</v>
      </c>
      <c r="AU73" s="27">
        <f>rebio23_80ml!AU74/50</f>
        <v>0</v>
      </c>
      <c r="AV73" s="27">
        <f>rebio23_80ml!AV74/50</f>
        <v>0.24</v>
      </c>
      <c r="AW73" s="27">
        <f>rebio23_80ml!AW74/50</f>
        <v>0</v>
      </c>
      <c r="AX73" s="27">
        <f>rebio23_80ml!AX74/50</f>
        <v>0</v>
      </c>
      <c r="AY73" s="27">
        <f>rebio23_80ml!AY74/50</f>
        <v>0</v>
      </c>
      <c r="AZ73" s="27">
        <f>rebio23_80ml!AZ74/50</f>
        <v>0</v>
      </c>
      <c r="BA73" s="27">
        <f>rebio23_80ml!BA74/50</f>
        <v>0</v>
      </c>
      <c r="BB73" s="27">
        <f>rebio23_80ml!BB74/50</f>
        <v>0</v>
      </c>
      <c r="BC73" s="27">
        <f>rebio23_80ml!BC74/50</f>
        <v>0</v>
      </c>
      <c r="BD73" s="27">
        <f>rebio23_80ml!BD74/50</f>
        <v>0</v>
      </c>
      <c r="BE73" s="27">
        <f>rebio23_80ml!BE74/50</f>
        <v>0</v>
      </c>
      <c r="BF73" s="27">
        <f>rebio23_80ml!BF74/50</f>
        <v>0</v>
      </c>
      <c r="BG73" s="27">
        <f>rebio23_80ml!BG74/50</f>
        <v>0</v>
      </c>
    </row>
    <row r="74" spans="1:59" ht="12.75" customHeight="1" x14ac:dyDescent="0.25">
      <c r="A74" s="15" t="str">
        <f>rebio23_80ml!A75</f>
        <v>C-C-P13-H1</v>
      </c>
      <c r="B74" s="27">
        <f>rebio23_80ml!B75/50</f>
        <v>0.1</v>
      </c>
      <c r="C74" s="27">
        <f>rebio23_80ml!C75/50</f>
        <v>0</v>
      </c>
      <c r="D74" s="27">
        <f>rebio23_80ml!D75/50</f>
        <v>0</v>
      </c>
      <c r="E74" s="27">
        <f>rebio23_80ml!E75/50</f>
        <v>2.14</v>
      </c>
      <c r="F74" s="27">
        <f>rebio23_80ml!F75/50</f>
        <v>0.02</v>
      </c>
      <c r="G74" s="27">
        <f>rebio23_80ml!G75/50</f>
        <v>0</v>
      </c>
      <c r="H74" s="27">
        <f>rebio23_80ml!H75/50</f>
        <v>0</v>
      </c>
      <c r="I74" s="27">
        <f>rebio23_80ml!I75/50</f>
        <v>0.28000000000000003</v>
      </c>
      <c r="J74" s="27">
        <f>rebio23_80ml!J75/50</f>
        <v>0.02</v>
      </c>
      <c r="K74" s="27">
        <f>rebio23_80ml!K75/50</f>
        <v>0</v>
      </c>
      <c r="L74" s="27">
        <f>rebio23_80ml!L75/50</f>
        <v>0.02</v>
      </c>
      <c r="M74" s="27">
        <f>rebio23_80ml!M75/50</f>
        <v>0</v>
      </c>
      <c r="N74" s="27">
        <f>rebio23_80ml!N75/50</f>
        <v>0</v>
      </c>
      <c r="O74" s="27">
        <f>rebio23_80ml!O75/50</f>
        <v>0</v>
      </c>
      <c r="P74" s="27">
        <f>rebio23_80ml!P75/50</f>
        <v>0</v>
      </c>
      <c r="Q74" s="27">
        <f>rebio23_80ml!Q75/50</f>
        <v>0</v>
      </c>
      <c r="R74" s="27">
        <f>rebio23_80ml!R75/50</f>
        <v>0</v>
      </c>
      <c r="S74" s="27">
        <f>rebio23_80ml!S75/50</f>
        <v>0</v>
      </c>
      <c r="T74" s="27">
        <f>rebio23_80ml!T75/50</f>
        <v>0.02</v>
      </c>
      <c r="U74" s="27">
        <f>rebio23_80ml!U75/50</f>
        <v>0</v>
      </c>
      <c r="V74" s="27">
        <f>rebio23_80ml!V75/50</f>
        <v>0</v>
      </c>
      <c r="W74" s="27">
        <f>rebio23_80ml!W75/50</f>
        <v>0</v>
      </c>
      <c r="X74" s="27">
        <f>rebio23_80ml!X75/50</f>
        <v>0</v>
      </c>
      <c r="Y74" s="27">
        <f>rebio23_80ml!Y75/50</f>
        <v>0</v>
      </c>
      <c r="Z74" s="27">
        <f>rebio23_80ml!Z75/50</f>
        <v>0</v>
      </c>
      <c r="AA74" s="27">
        <f>rebio23_80ml!AA75/50</f>
        <v>0.02</v>
      </c>
      <c r="AB74" s="27">
        <f>rebio23_80ml!AB75/50</f>
        <v>0</v>
      </c>
      <c r="AC74" s="27">
        <f>rebio23_80ml!AC75/50</f>
        <v>0</v>
      </c>
      <c r="AD74" s="27">
        <f>rebio23_80ml!AD75/50</f>
        <v>0</v>
      </c>
      <c r="AE74" s="27">
        <f>rebio23_80ml!AE75/50</f>
        <v>0</v>
      </c>
      <c r="AF74" s="27">
        <f>rebio23_80ml!AF75/50</f>
        <v>0</v>
      </c>
      <c r="AG74" s="27">
        <f>rebio23_80ml!AG75/50</f>
        <v>0</v>
      </c>
      <c r="AH74" s="27">
        <f>rebio23_80ml!AH75/50</f>
        <v>0</v>
      </c>
      <c r="AI74" s="27">
        <f>rebio23_80ml!AI75/50</f>
        <v>0</v>
      </c>
      <c r="AJ74" s="27">
        <f>rebio23_80ml!AJ75/50</f>
        <v>0</v>
      </c>
      <c r="AK74" s="27">
        <f>rebio23_80ml!AK75/50</f>
        <v>0</v>
      </c>
      <c r="AL74" s="27">
        <f>rebio23_80ml!AL75/50</f>
        <v>0</v>
      </c>
      <c r="AM74" s="27">
        <f>rebio23_80ml!AM75/50</f>
        <v>0</v>
      </c>
      <c r="AN74" s="27">
        <f>rebio23_80ml!AN75/50</f>
        <v>0</v>
      </c>
      <c r="AO74" s="27">
        <f>rebio23_80ml!AO75/50</f>
        <v>0</v>
      </c>
      <c r="AP74" s="27">
        <f>rebio23_80ml!AP75/50</f>
        <v>0</v>
      </c>
      <c r="AQ74" s="27">
        <f>rebio23_80ml!AQ75/50</f>
        <v>0</v>
      </c>
      <c r="AR74" s="27">
        <f>rebio23_80ml!AR75/50</f>
        <v>0</v>
      </c>
      <c r="AS74" s="27">
        <f>rebio23_80ml!AS75/50</f>
        <v>0</v>
      </c>
      <c r="AT74" s="27">
        <f>rebio23_80ml!AT75/50</f>
        <v>0</v>
      </c>
      <c r="AU74" s="27">
        <f>rebio23_80ml!AU75/50</f>
        <v>0</v>
      </c>
      <c r="AV74" s="27">
        <f>rebio23_80ml!AV75/50</f>
        <v>0.1</v>
      </c>
      <c r="AW74" s="27">
        <f>rebio23_80ml!AW75/50</f>
        <v>0</v>
      </c>
      <c r="AX74" s="27">
        <f>rebio23_80ml!AX75/50</f>
        <v>0.02</v>
      </c>
      <c r="AY74" s="27">
        <f>rebio23_80ml!AY75/50</f>
        <v>0</v>
      </c>
      <c r="AZ74" s="27">
        <f>rebio23_80ml!AZ75/50</f>
        <v>0</v>
      </c>
      <c r="BA74" s="27">
        <f>rebio23_80ml!BA75/50</f>
        <v>0</v>
      </c>
      <c r="BB74" s="27">
        <f>rebio23_80ml!BB75/50</f>
        <v>0</v>
      </c>
      <c r="BC74" s="27">
        <f>rebio23_80ml!BC75/50</f>
        <v>0</v>
      </c>
      <c r="BD74" s="27">
        <f>rebio23_80ml!BD75/50</f>
        <v>0</v>
      </c>
      <c r="BE74" s="27">
        <f>rebio23_80ml!BE75/50</f>
        <v>0</v>
      </c>
      <c r="BF74" s="27">
        <f>rebio23_80ml!BF75/50</f>
        <v>0</v>
      </c>
      <c r="BG74" s="27">
        <f>rebio23_80ml!BG75/50</f>
        <v>0</v>
      </c>
    </row>
    <row r="75" spans="1:59" ht="12.75" customHeight="1" x14ac:dyDescent="0.25">
      <c r="A75" s="15" t="str">
        <f>rebio23_80ml!A76</f>
        <v>C-C-P13-H2</v>
      </c>
      <c r="B75" s="27">
        <f>rebio23_80ml!B76/50</f>
        <v>0.08</v>
      </c>
      <c r="C75" s="27">
        <f>rebio23_80ml!C76/50</f>
        <v>0</v>
      </c>
      <c r="D75" s="27">
        <f>rebio23_80ml!D76/50</f>
        <v>0</v>
      </c>
      <c r="E75" s="27">
        <f>rebio23_80ml!E76/50</f>
        <v>2.1</v>
      </c>
      <c r="F75" s="27">
        <f>rebio23_80ml!F76/50</f>
        <v>0</v>
      </c>
      <c r="G75" s="27">
        <f>rebio23_80ml!G76/50</f>
        <v>0</v>
      </c>
      <c r="H75" s="27">
        <f>rebio23_80ml!H76/50</f>
        <v>0</v>
      </c>
      <c r="I75" s="27">
        <f>rebio23_80ml!I76/50</f>
        <v>0.22</v>
      </c>
      <c r="J75" s="27">
        <f>rebio23_80ml!J76/50</f>
        <v>0</v>
      </c>
      <c r="K75" s="27">
        <f>rebio23_80ml!K76/50</f>
        <v>0</v>
      </c>
      <c r="L75" s="27">
        <f>rebio23_80ml!L76/50</f>
        <v>0.02</v>
      </c>
      <c r="M75" s="27">
        <f>rebio23_80ml!M76/50</f>
        <v>0</v>
      </c>
      <c r="N75" s="27">
        <f>rebio23_80ml!N76/50</f>
        <v>0</v>
      </c>
      <c r="O75" s="27">
        <f>rebio23_80ml!O76/50</f>
        <v>0</v>
      </c>
      <c r="P75" s="27">
        <f>rebio23_80ml!P76/50</f>
        <v>0</v>
      </c>
      <c r="Q75" s="27">
        <f>rebio23_80ml!Q76/50</f>
        <v>0</v>
      </c>
      <c r="R75" s="27">
        <f>rebio23_80ml!R76/50</f>
        <v>0</v>
      </c>
      <c r="S75" s="27">
        <f>rebio23_80ml!S76/50</f>
        <v>0</v>
      </c>
      <c r="T75" s="27">
        <f>rebio23_80ml!T76/50</f>
        <v>0.02</v>
      </c>
      <c r="U75" s="27">
        <f>rebio23_80ml!U76/50</f>
        <v>0</v>
      </c>
      <c r="V75" s="27">
        <f>rebio23_80ml!V76/50</f>
        <v>0</v>
      </c>
      <c r="W75" s="27">
        <f>rebio23_80ml!W76/50</f>
        <v>0</v>
      </c>
      <c r="X75" s="27">
        <f>rebio23_80ml!X76/50</f>
        <v>0</v>
      </c>
      <c r="Y75" s="27">
        <f>rebio23_80ml!Y76/50</f>
        <v>0</v>
      </c>
      <c r="Z75" s="27">
        <f>rebio23_80ml!Z76/50</f>
        <v>0.02</v>
      </c>
      <c r="AA75" s="27">
        <f>rebio23_80ml!AA76/50</f>
        <v>0</v>
      </c>
      <c r="AB75" s="27">
        <f>rebio23_80ml!AB76/50</f>
        <v>0</v>
      </c>
      <c r="AC75" s="27">
        <f>rebio23_80ml!AC76/50</f>
        <v>0</v>
      </c>
      <c r="AD75" s="27">
        <f>rebio23_80ml!AD76/50</f>
        <v>0</v>
      </c>
      <c r="AE75" s="27">
        <f>rebio23_80ml!AE76/50</f>
        <v>0</v>
      </c>
      <c r="AF75" s="27">
        <f>rebio23_80ml!AF76/50</f>
        <v>0</v>
      </c>
      <c r="AG75" s="27">
        <f>rebio23_80ml!AG76/50</f>
        <v>0</v>
      </c>
      <c r="AH75" s="27">
        <f>rebio23_80ml!AH76/50</f>
        <v>0</v>
      </c>
      <c r="AI75" s="27">
        <f>rebio23_80ml!AI76/50</f>
        <v>0</v>
      </c>
      <c r="AJ75" s="27">
        <f>rebio23_80ml!AJ76/50</f>
        <v>0</v>
      </c>
      <c r="AK75" s="27">
        <f>rebio23_80ml!AK76/50</f>
        <v>0</v>
      </c>
      <c r="AL75" s="27">
        <f>rebio23_80ml!AL76/50</f>
        <v>0.04</v>
      </c>
      <c r="AM75" s="27">
        <f>rebio23_80ml!AM76/50</f>
        <v>0</v>
      </c>
      <c r="AN75" s="27">
        <f>rebio23_80ml!AN76/50</f>
        <v>0</v>
      </c>
      <c r="AO75" s="27">
        <f>rebio23_80ml!AO76/50</f>
        <v>0</v>
      </c>
      <c r="AP75" s="27">
        <f>rebio23_80ml!AP76/50</f>
        <v>0</v>
      </c>
      <c r="AQ75" s="27">
        <f>rebio23_80ml!AQ76/50</f>
        <v>0</v>
      </c>
      <c r="AR75" s="27">
        <f>rebio23_80ml!AR76/50</f>
        <v>0</v>
      </c>
      <c r="AS75" s="27">
        <f>rebio23_80ml!AS76/50</f>
        <v>0</v>
      </c>
      <c r="AT75" s="27">
        <f>rebio23_80ml!AT76/50</f>
        <v>0</v>
      </c>
      <c r="AU75" s="27">
        <f>rebio23_80ml!AU76/50</f>
        <v>0</v>
      </c>
      <c r="AV75" s="27">
        <f>rebio23_80ml!AV76/50</f>
        <v>0.32</v>
      </c>
      <c r="AW75" s="27">
        <f>rebio23_80ml!AW76/50</f>
        <v>0</v>
      </c>
      <c r="AX75" s="27">
        <f>rebio23_80ml!AX76/50</f>
        <v>0.06</v>
      </c>
      <c r="AY75" s="27">
        <f>rebio23_80ml!AY76/50</f>
        <v>0</v>
      </c>
      <c r="AZ75" s="27">
        <f>rebio23_80ml!AZ76/50</f>
        <v>0</v>
      </c>
      <c r="BA75" s="27">
        <f>rebio23_80ml!BA76/50</f>
        <v>0</v>
      </c>
      <c r="BB75" s="27">
        <f>rebio23_80ml!BB76/50</f>
        <v>0</v>
      </c>
      <c r="BC75" s="27">
        <f>rebio23_80ml!BC76/50</f>
        <v>0</v>
      </c>
      <c r="BD75" s="27">
        <f>rebio23_80ml!BD76/50</f>
        <v>0</v>
      </c>
      <c r="BE75" s="27">
        <f>rebio23_80ml!BE76/50</f>
        <v>0</v>
      </c>
      <c r="BF75" s="27">
        <f>rebio23_80ml!BF76/50</f>
        <v>0</v>
      </c>
      <c r="BG75" s="27">
        <f>rebio23_80ml!BG76/50</f>
        <v>0</v>
      </c>
    </row>
    <row r="76" spans="1:59" ht="12.75" customHeight="1" x14ac:dyDescent="0.25">
      <c r="A76" s="15" t="str">
        <f>rebio23_80ml!A77</f>
        <v>C-C-P13-H3</v>
      </c>
      <c r="B76" s="27">
        <f>rebio23_80ml!B77/50</f>
        <v>0.06</v>
      </c>
      <c r="C76" s="27">
        <f>rebio23_80ml!C77/50</f>
        <v>0.04</v>
      </c>
      <c r="D76" s="27">
        <f>rebio23_80ml!D77/50</f>
        <v>0</v>
      </c>
      <c r="E76" s="27">
        <f>rebio23_80ml!E77/50</f>
        <v>3.14</v>
      </c>
      <c r="F76" s="27">
        <f>rebio23_80ml!F77/50</f>
        <v>0</v>
      </c>
      <c r="G76" s="27">
        <f>rebio23_80ml!G77/50</f>
        <v>0</v>
      </c>
      <c r="H76" s="27">
        <f>rebio23_80ml!H77/50</f>
        <v>0</v>
      </c>
      <c r="I76" s="27">
        <f>rebio23_80ml!I77/50</f>
        <v>0.26</v>
      </c>
      <c r="J76" s="27">
        <f>rebio23_80ml!J77/50</f>
        <v>0</v>
      </c>
      <c r="K76" s="27">
        <f>rebio23_80ml!K77/50</f>
        <v>0</v>
      </c>
      <c r="L76" s="27">
        <f>rebio23_80ml!L77/50</f>
        <v>0</v>
      </c>
      <c r="M76" s="27">
        <f>rebio23_80ml!M77/50</f>
        <v>0</v>
      </c>
      <c r="N76" s="27">
        <f>rebio23_80ml!N77/50</f>
        <v>0</v>
      </c>
      <c r="O76" s="27">
        <f>rebio23_80ml!O77/50</f>
        <v>0</v>
      </c>
      <c r="P76" s="27">
        <f>rebio23_80ml!P77/50</f>
        <v>0</v>
      </c>
      <c r="Q76" s="27">
        <f>rebio23_80ml!Q77/50</f>
        <v>0</v>
      </c>
      <c r="R76" s="27">
        <f>rebio23_80ml!R77/50</f>
        <v>0</v>
      </c>
      <c r="S76" s="27">
        <f>rebio23_80ml!S77/50</f>
        <v>0</v>
      </c>
      <c r="T76" s="27">
        <f>rebio23_80ml!T77/50</f>
        <v>0</v>
      </c>
      <c r="U76" s="27">
        <f>rebio23_80ml!U77/50</f>
        <v>0</v>
      </c>
      <c r="V76" s="27">
        <f>rebio23_80ml!V77/50</f>
        <v>0</v>
      </c>
      <c r="W76" s="27">
        <f>rebio23_80ml!W77/50</f>
        <v>0</v>
      </c>
      <c r="X76" s="27">
        <f>rebio23_80ml!X77/50</f>
        <v>0</v>
      </c>
      <c r="Y76" s="27">
        <f>rebio23_80ml!Y77/50</f>
        <v>0</v>
      </c>
      <c r="Z76" s="27">
        <f>rebio23_80ml!Z77/50</f>
        <v>0</v>
      </c>
      <c r="AA76" s="27">
        <f>rebio23_80ml!AA77/50</f>
        <v>0</v>
      </c>
      <c r="AB76" s="27">
        <f>rebio23_80ml!AB77/50</f>
        <v>0</v>
      </c>
      <c r="AC76" s="27">
        <f>rebio23_80ml!AC77/50</f>
        <v>0</v>
      </c>
      <c r="AD76" s="27">
        <f>rebio23_80ml!AD77/50</f>
        <v>0</v>
      </c>
      <c r="AE76" s="27">
        <f>rebio23_80ml!AE77/50</f>
        <v>0</v>
      </c>
      <c r="AF76" s="27">
        <f>rebio23_80ml!AF77/50</f>
        <v>0</v>
      </c>
      <c r="AG76" s="27">
        <f>rebio23_80ml!AG77/50</f>
        <v>0</v>
      </c>
      <c r="AH76" s="27">
        <f>rebio23_80ml!AH77/50</f>
        <v>0</v>
      </c>
      <c r="AI76" s="27">
        <f>rebio23_80ml!AI77/50</f>
        <v>0</v>
      </c>
      <c r="AJ76" s="27">
        <f>rebio23_80ml!AJ77/50</f>
        <v>0</v>
      </c>
      <c r="AK76" s="27">
        <f>rebio23_80ml!AK77/50</f>
        <v>0</v>
      </c>
      <c r="AL76" s="27">
        <f>rebio23_80ml!AL77/50</f>
        <v>0</v>
      </c>
      <c r="AM76" s="27">
        <f>rebio23_80ml!AM77/50</f>
        <v>0</v>
      </c>
      <c r="AN76" s="27">
        <f>rebio23_80ml!AN77/50</f>
        <v>0</v>
      </c>
      <c r="AO76" s="27">
        <f>rebio23_80ml!AO77/50</f>
        <v>0</v>
      </c>
      <c r="AP76" s="27">
        <f>rebio23_80ml!AP77/50</f>
        <v>0</v>
      </c>
      <c r="AQ76" s="27">
        <f>rebio23_80ml!AQ77/50</f>
        <v>0</v>
      </c>
      <c r="AR76" s="27">
        <f>rebio23_80ml!AR77/50</f>
        <v>0</v>
      </c>
      <c r="AS76" s="27">
        <f>rebio23_80ml!AS77/50</f>
        <v>0</v>
      </c>
      <c r="AT76" s="27">
        <f>rebio23_80ml!AT77/50</f>
        <v>0</v>
      </c>
      <c r="AU76" s="27">
        <f>rebio23_80ml!AU77/50</f>
        <v>0</v>
      </c>
      <c r="AV76" s="27">
        <f>rebio23_80ml!AV77/50</f>
        <v>0.02</v>
      </c>
      <c r="AW76" s="27">
        <f>rebio23_80ml!AW77/50</f>
        <v>0</v>
      </c>
      <c r="AX76" s="27">
        <f>rebio23_80ml!AX77/50</f>
        <v>0</v>
      </c>
      <c r="AY76" s="27">
        <f>rebio23_80ml!AY77/50</f>
        <v>0</v>
      </c>
      <c r="AZ76" s="27">
        <f>rebio23_80ml!AZ77/50</f>
        <v>0</v>
      </c>
      <c r="BA76" s="27">
        <f>rebio23_80ml!BA77/50</f>
        <v>0</v>
      </c>
      <c r="BB76" s="27">
        <f>rebio23_80ml!BB77/50</f>
        <v>0</v>
      </c>
      <c r="BC76" s="27">
        <f>rebio23_80ml!BC77/50</f>
        <v>0</v>
      </c>
      <c r="BD76" s="27">
        <f>rebio23_80ml!BD77/50</f>
        <v>0</v>
      </c>
      <c r="BE76" s="27">
        <f>rebio23_80ml!BE77/50</f>
        <v>0</v>
      </c>
      <c r="BF76" s="27">
        <f>rebio23_80ml!BF77/50</f>
        <v>0</v>
      </c>
      <c r="BG76" s="27">
        <f>rebio23_80ml!BG77/50</f>
        <v>0</v>
      </c>
    </row>
    <row r="77" spans="1:59" ht="12.75" customHeight="1" x14ac:dyDescent="0.25">
      <c r="A77" s="15" t="str">
        <f>rebio23_80ml!A78</f>
        <v>C-C-P14-H1</v>
      </c>
      <c r="B77" s="27">
        <f>rebio23_80ml!B78/50</f>
        <v>0</v>
      </c>
      <c r="C77" s="27">
        <f>rebio23_80ml!C78/50</f>
        <v>0.02</v>
      </c>
      <c r="D77" s="27">
        <f>rebio23_80ml!D78/50</f>
        <v>0</v>
      </c>
      <c r="E77" s="27">
        <f>rebio23_80ml!E78/50</f>
        <v>1.92</v>
      </c>
      <c r="F77" s="27">
        <f>rebio23_80ml!F78/50</f>
        <v>0.02</v>
      </c>
      <c r="G77" s="27">
        <f>rebio23_80ml!G78/50</f>
        <v>0</v>
      </c>
      <c r="H77" s="27">
        <f>rebio23_80ml!H78/50</f>
        <v>0</v>
      </c>
      <c r="I77" s="27">
        <f>rebio23_80ml!I78/50</f>
        <v>0.08</v>
      </c>
      <c r="J77" s="27">
        <f>rebio23_80ml!J78/50</f>
        <v>0</v>
      </c>
      <c r="K77" s="27">
        <f>rebio23_80ml!K78/50</f>
        <v>0</v>
      </c>
      <c r="L77" s="27">
        <f>rebio23_80ml!L78/50</f>
        <v>0</v>
      </c>
      <c r="M77" s="27">
        <f>rebio23_80ml!M78/50</f>
        <v>0</v>
      </c>
      <c r="N77" s="27">
        <f>rebio23_80ml!N78/50</f>
        <v>0</v>
      </c>
      <c r="O77" s="27">
        <f>rebio23_80ml!O78/50</f>
        <v>0</v>
      </c>
      <c r="P77" s="27">
        <f>rebio23_80ml!P78/50</f>
        <v>0</v>
      </c>
      <c r="Q77" s="27">
        <f>rebio23_80ml!Q78/50</f>
        <v>0</v>
      </c>
      <c r="R77" s="27">
        <f>rebio23_80ml!R78/50</f>
        <v>0</v>
      </c>
      <c r="S77" s="27">
        <f>rebio23_80ml!S78/50</f>
        <v>0</v>
      </c>
      <c r="T77" s="27">
        <f>rebio23_80ml!T78/50</f>
        <v>0</v>
      </c>
      <c r="U77" s="27">
        <f>rebio23_80ml!U78/50</f>
        <v>0</v>
      </c>
      <c r="V77" s="27">
        <f>rebio23_80ml!V78/50</f>
        <v>0</v>
      </c>
      <c r="W77" s="27">
        <f>rebio23_80ml!W78/50</f>
        <v>0</v>
      </c>
      <c r="X77" s="27">
        <f>rebio23_80ml!X78/50</f>
        <v>0</v>
      </c>
      <c r="Y77" s="27">
        <f>rebio23_80ml!Y78/50</f>
        <v>0</v>
      </c>
      <c r="Z77" s="27">
        <f>rebio23_80ml!Z78/50</f>
        <v>0</v>
      </c>
      <c r="AA77" s="27">
        <f>rebio23_80ml!AA78/50</f>
        <v>0</v>
      </c>
      <c r="AB77" s="27">
        <f>rebio23_80ml!AB78/50</f>
        <v>0</v>
      </c>
      <c r="AC77" s="27">
        <f>rebio23_80ml!AC78/50</f>
        <v>0</v>
      </c>
      <c r="AD77" s="27">
        <f>rebio23_80ml!AD78/50</f>
        <v>0</v>
      </c>
      <c r="AE77" s="27">
        <f>rebio23_80ml!AE78/50</f>
        <v>0</v>
      </c>
      <c r="AF77" s="27">
        <f>rebio23_80ml!AF78/50</f>
        <v>0</v>
      </c>
      <c r="AG77" s="27">
        <f>rebio23_80ml!AG78/50</f>
        <v>0</v>
      </c>
      <c r="AH77" s="27">
        <f>rebio23_80ml!AH78/50</f>
        <v>0</v>
      </c>
      <c r="AI77" s="27">
        <f>rebio23_80ml!AI78/50</f>
        <v>0</v>
      </c>
      <c r="AJ77" s="27">
        <f>rebio23_80ml!AJ78/50</f>
        <v>0</v>
      </c>
      <c r="AK77" s="27">
        <f>rebio23_80ml!AK78/50</f>
        <v>0</v>
      </c>
      <c r="AL77" s="27">
        <f>rebio23_80ml!AL78/50</f>
        <v>0</v>
      </c>
      <c r="AM77" s="27">
        <f>rebio23_80ml!AM78/50</f>
        <v>0</v>
      </c>
      <c r="AN77" s="27">
        <f>rebio23_80ml!AN78/50</f>
        <v>0</v>
      </c>
      <c r="AO77" s="27">
        <f>rebio23_80ml!AO78/50</f>
        <v>0</v>
      </c>
      <c r="AP77" s="27">
        <f>rebio23_80ml!AP78/50</f>
        <v>0</v>
      </c>
      <c r="AQ77" s="27">
        <f>rebio23_80ml!AQ78/50</f>
        <v>0</v>
      </c>
      <c r="AR77" s="27">
        <f>rebio23_80ml!AR78/50</f>
        <v>0</v>
      </c>
      <c r="AS77" s="27">
        <f>rebio23_80ml!AS78/50</f>
        <v>0</v>
      </c>
      <c r="AT77" s="27">
        <f>rebio23_80ml!AT78/50</f>
        <v>0</v>
      </c>
      <c r="AU77" s="27">
        <f>rebio23_80ml!AU78/50</f>
        <v>0</v>
      </c>
      <c r="AV77" s="27">
        <f>rebio23_80ml!AV78/50</f>
        <v>0.18</v>
      </c>
      <c r="AW77" s="27">
        <f>rebio23_80ml!AW78/50</f>
        <v>0</v>
      </c>
      <c r="AX77" s="27">
        <f>rebio23_80ml!AX78/50</f>
        <v>0</v>
      </c>
      <c r="AY77" s="27">
        <f>rebio23_80ml!AY78/50</f>
        <v>0</v>
      </c>
      <c r="AZ77" s="27">
        <f>rebio23_80ml!AZ78/50</f>
        <v>0</v>
      </c>
      <c r="BA77" s="27">
        <f>rebio23_80ml!BA78/50</f>
        <v>0</v>
      </c>
      <c r="BB77" s="27">
        <f>rebio23_80ml!BB78/50</f>
        <v>0</v>
      </c>
      <c r="BC77" s="27">
        <f>rebio23_80ml!BC78/50</f>
        <v>0.02</v>
      </c>
      <c r="BD77" s="27">
        <f>rebio23_80ml!BD78/50</f>
        <v>0</v>
      </c>
      <c r="BE77" s="27">
        <f>rebio23_80ml!BE78/50</f>
        <v>0</v>
      </c>
      <c r="BF77" s="27">
        <f>rebio23_80ml!BF78/50</f>
        <v>0</v>
      </c>
      <c r="BG77" s="27">
        <f>rebio23_80ml!BG78/50</f>
        <v>0</v>
      </c>
    </row>
    <row r="78" spans="1:59" ht="12.75" customHeight="1" x14ac:dyDescent="0.25">
      <c r="A78" s="15" t="str">
        <f>rebio23_80ml!A79</f>
        <v>C-C-P14-H2</v>
      </c>
      <c r="B78" s="27">
        <f>rebio23_80ml!B79/50</f>
        <v>0.16</v>
      </c>
      <c r="C78" s="27">
        <f>rebio23_80ml!C79/50</f>
        <v>0</v>
      </c>
      <c r="D78" s="27">
        <f>rebio23_80ml!D79/50</f>
        <v>0</v>
      </c>
      <c r="E78" s="27">
        <f>rebio23_80ml!E79/50</f>
        <v>1.96</v>
      </c>
      <c r="F78" s="27">
        <f>rebio23_80ml!F79/50</f>
        <v>0</v>
      </c>
      <c r="G78" s="27">
        <f>rebio23_80ml!G79/50</f>
        <v>0</v>
      </c>
      <c r="H78" s="27">
        <f>rebio23_80ml!H79/50</f>
        <v>0</v>
      </c>
      <c r="I78" s="27">
        <f>rebio23_80ml!I79/50</f>
        <v>0.18</v>
      </c>
      <c r="J78" s="27">
        <f>rebio23_80ml!J79/50</f>
        <v>0</v>
      </c>
      <c r="K78" s="27">
        <f>rebio23_80ml!K79/50</f>
        <v>0</v>
      </c>
      <c r="L78" s="27">
        <f>rebio23_80ml!L79/50</f>
        <v>0.1</v>
      </c>
      <c r="M78" s="27">
        <f>rebio23_80ml!M79/50</f>
        <v>0</v>
      </c>
      <c r="N78" s="27">
        <f>rebio23_80ml!N79/50</f>
        <v>0</v>
      </c>
      <c r="O78" s="27">
        <f>rebio23_80ml!O79/50</f>
        <v>0</v>
      </c>
      <c r="P78" s="27">
        <f>rebio23_80ml!P79/50</f>
        <v>0</v>
      </c>
      <c r="Q78" s="27">
        <f>rebio23_80ml!Q79/50</f>
        <v>0</v>
      </c>
      <c r="R78" s="27">
        <f>rebio23_80ml!R79/50</f>
        <v>0</v>
      </c>
      <c r="S78" s="27">
        <f>rebio23_80ml!S79/50</f>
        <v>0</v>
      </c>
      <c r="T78" s="27">
        <f>rebio23_80ml!T79/50</f>
        <v>0.04</v>
      </c>
      <c r="U78" s="27">
        <f>rebio23_80ml!U79/50</f>
        <v>0</v>
      </c>
      <c r="V78" s="27">
        <f>rebio23_80ml!V79/50</f>
        <v>0</v>
      </c>
      <c r="W78" s="27">
        <f>rebio23_80ml!W79/50</f>
        <v>0</v>
      </c>
      <c r="X78" s="27">
        <f>rebio23_80ml!X79/50</f>
        <v>0</v>
      </c>
      <c r="Y78" s="27">
        <f>rebio23_80ml!Y79/50</f>
        <v>0</v>
      </c>
      <c r="Z78" s="27">
        <f>rebio23_80ml!Z79/50</f>
        <v>0.1</v>
      </c>
      <c r="AA78" s="27">
        <f>rebio23_80ml!AA79/50</f>
        <v>0</v>
      </c>
      <c r="AB78" s="27">
        <f>rebio23_80ml!AB79/50</f>
        <v>0</v>
      </c>
      <c r="AC78" s="27">
        <f>rebio23_80ml!AC79/50</f>
        <v>0</v>
      </c>
      <c r="AD78" s="27">
        <f>rebio23_80ml!AD79/50</f>
        <v>0</v>
      </c>
      <c r="AE78" s="27">
        <f>rebio23_80ml!AE79/50</f>
        <v>0</v>
      </c>
      <c r="AF78" s="27">
        <f>rebio23_80ml!AF79/50</f>
        <v>0</v>
      </c>
      <c r="AG78" s="27">
        <f>rebio23_80ml!AG79/50</f>
        <v>0</v>
      </c>
      <c r="AH78" s="27">
        <f>rebio23_80ml!AH79/50</f>
        <v>0</v>
      </c>
      <c r="AI78" s="27">
        <f>rebio23_80ml!AI79/50</f>
        <v>0</v>
      </c>
      <c r="AJ78" s="27">
        <f>rebio23_80ml!AJ79/50</f>
        <v>0</v>
      </c>
      <c r="AK78" s="27">
        <f>rebio23_80ml!AK79/50</f>
        <v>0</v>
      </c>
      <c r="AL78" s="27">
        <f>rebio23_80ml!AL79/50</f>
        <v>0</v>
      </c>
      <c r="AM78" s="27">
        <f>rebio23_80ml!AM79/50</f>
        <v>0</v>
      </c>
      <c r="AN78" s="27">
        <f>rebio23_80ml!AN79/50</f>
        <v>0</v>
      </c>
      <c r="AO78" s="27">
        <f>rebio23_80ml!AO79/50</f>
        <v>0</v>
      </c>
      <c r="AP78" s="27">
        <f>rebio23_80ml!AP79/50</f>
        <v>0</v>
      </c>
      <c r="AQ78" s="27">
        <f>rebio23_80ml!AQ79/50</f>
        <v>0</v>
      </c>
      <c r="AR78" s="27">
        <f>rebio23_80ml!AR79/50</f>
        <v>0</v>
      </c>
      <c r="AS78" s="27">
        <f>rebio23_80ml!AS79/50</f>
        <v>0</v>
      </c>
      <c r="AT78" s="27">
        <f>rebio23_80ml!AT79/50</f>
        <v>0</v>
      </c>
      <c r="AU78" s="27">
        <f>rebio23_80ml!AU79/50</f>
        <v>0</v>
      </c>
      <c r="AV78" s="27">
        <f>rebio23_80ml!AV79/50</f>
        <v>0.12</v>
      </c>
      <c r="AW78" s="27">
        <f>rebio23_80ml!AW79/50</f>
        <v>0</v>
      </c>
      <c r="AX78" s="27">
        <f>rebio23_80ml!AX79/50</f>
        <v>0</v>
      </c>
      <c r="AY78" s="27">
        <f>rebio23_80ml!AY79/50</f>
        <v>0</v>
      </c>
      <c r="AZ78" s="27">
        <f>rebio23_80ml!AZ79/50</f>
        <v>0</v>
      </c>
      <c r="BA78" s="27">
        <f>rebio23_80ml!BA79/50</f>
        <v>0</v>
      </c>
      <c r="BB78" s="27">
        <f>rebio23_80ml!BB79/50</f>
        <v>0</v>
      </c>
      <c r="BC78" s="27">
        <f>rebio23_80ml!BC79/50</f>
        <v>0</v>
      </c>
      <c r="BD78" s="27">
        <f>rebio23_80ml!BD79/50</f>
        <v>0</v>
      </c>
      <c r="BE78" s="27">
        <f>rebio23_80ml!BE79/50</f>
        <v>0</v>
      </c>
      <c r="BF78" s="27">
        <f>rebio23_80ml!BF79/50</f>
        <v>0</v>
      </c>
      <c r="BG78" s="27">
        <f>rebio23_80ml!BG79/50</f>
        <v>0</v>
      </c>
    </row>
    <row r="79" spans="1:59" ht="12.75" customHeight="1" x14ac:dyDescent="0.25">
      <c r="A79" s="15" t="str">
        <f>rebio23_80ml!A80</f>
        <v>C-C-P14-H3</v>
      </c>
      <c r="B79" s="27">
        <f>rebio23_80ml!B80/50</f>
        <v>0.04</v>
      </c>
      <c r="C79" s="27">
        <f>rebio23_80ml!C80/50</f>
        <v>0</v>
      </c>
      <c r="D79" s="27">
        <f>rebio23_80ml!D80/50</f>
        <v>0</v>
      </c>
      <c r="E79" s="27">
        <f>rebio23_80ml!E80/50</f>
        <v>1.36</v>
      </c>
      <c r="F79" s="27">
        <f>rebio23_80ml!F80/50</f>
        <v>0</v>
      </c>
      <c r="G79" s="27">
        <f>rebio23_80ml!G80/50</f>
        <v>0</v>
      </c>
      <c r="H79" s="27">
        <f>rebio23_80ml!H80/50</f>
        <v>0</v>
      </c>
      <c r="I79" s="27">
        <f>rebio23_80ml!I80/50</f>
        <v>0.04</v>
      </c>
      <c r="J79" s="27">
        <f>rebio23_80ml!J80/50</f>
        <v>0</v>
      </c>
      <c r="K79" s="27">
        <f>rebio23_80ml!K80/50</f>
        <v>0</v>
      </c>
      <c r="L79" s="27">
        <f>rebio23_80ml!L80/50</f>
        <v>0.04</v>
      </c>
      <c r="M79" s="27">
        <f>rebio23_80ml!M80/50</f>
        <v>0</v>
      </c>
      <c r="N79" s="27">
        <f>rebio23_80ml!N80/50</f>
        <v>0</v>
      </c>
      <c r="O79" s="27">
        <f>rebio23_80ml!O80/50</f>
        <v>0</v>
      </c>
      <c r="P79" s="27">
        <f>rebio23_80ml!P80/50</f>
        <v>0</v>
      </c>
      <c r="Q79" s="27">
        <f>rebio23_80ml!Q80/50</f>
        <v>0.02</v>
      </c>
      <c r="R79" s="27">
        <f>rebio23_80ml!R80/50</f>
        <v>0</v>
      </c>
      <c r="S79" s="27">
        <f>rebio23_80ml!S80/50</f>
        <v>0</v>
      </c>
      <c r="T79" s="27">
        <f>rebio23_80ml!T80/50</f>
        <v>0.02</v>
      </c>
      <c r="U79" s="27">
        <f>rebio23_80ml!U80/50</f>
        <v>0</v>
      </c>
      <c r="V79" s="27">
        <f>rebio23_80ml!V80/50</f>
        <v>0.02</v>
      </c>
      <c r="W79" s="27">
        <f>rebio23_80ml!W80/50</f>
        <v>0</v>
      </c>
      <c r="X79" s="27">
        <f>rebio23_80ml!X80/50</f>
        <v>0</v>
      </c>
      <c r="Y79" s="27">
        <f>rebio23_80ml!Y80/50</f>
        <v>0.02</v>
      </c>
      <c r="Z79" s="27">
        <f>rebio23_80ml!Z80/50</f>
        <v>0</v>
      </c>
      <c r="AA79" s="27">
        <f>rebio23_80ml!AA80/50</f>
        <v>0</v>
      </c>
      <c r="AB79" s="27">
        <f>rebio23_80ml!AB80/50</f>
        <v>0</v>
      </c>
      <c r="AC79" s="27">
        <f>rebio23_80ml!AC80/50</f>
        <v>0</v>
      </c>
      <c r="AD79" s="27">
        <f>rebio23_80ml!AD80/50</f>
        <v>0</v>
      </c>
      <c r="AE79" s="27">
        <f>rebio23_80ml!AE80/50</f>
        <v>0</v>
      </c>
      <c r="AF79" s="27">
        <f>rebio23_80ml!AF80/50</f>
        <v>0</v>
      </c>
      <c r="AG79" s="27">
        <f>rebio23_80ml!AG80/50</f>
        <v>0</v>
      </c>
      <c r="AH79" s="27">
        <f>rebio23_80ml!AH80/50</f>
        <v>0</v>
      </c>
      <c r="AI79" s="27">
        <f>rebio23_80ml!AI80/50</f>
        <v>0</v>
      </c>
      <c r="AJ79" s="27">
        <f>rebio23_80ml!AJ80/50</f>
        <v>0</v>
      </c>
      <c r="AK79" s="27">
        <f>rebio23_80ml!AK80/50</f>
        <v>0</v>
      </c>
      <c r="AL79" s="27">
        <f>rebio23_80ml!AL80/50</f>
        <v>0</v>
      </c>
      <c r="AM79" s="27">
        <f>rebio23_80ml!AM80/50</f>
        <v>0</v>
      </c>
      <c r="AN79" s="27">
        <f>rebio23_80ml!AN80/50</f>
        <v>0</v>
      </c>
      <c r="AO79" s="27">
        <f>rebio23_80ml!AO80/50</f>
        <v>0</v>
      </c>
      <c r="AP79" s="27">
        <f>rebio23_80ml!AP80/50</f>
        <v>0</v>
      </c>
      <c r="AQ79" s="27">
        <f>rebio23_80ml!AQ80/50</f>
        <v>0</v>
      </c>
      <c r="AR79" s="27">
        <f>rebio23_80ml!AR80/50</f>
        <v>0</v>
      </c>
      <c r="AS79" s="27">
        <f>rebio23_80ml!AS80/50</f>
        <v>0</v>
      </c>
      <c r="AT79" s="27">
        <f>rebio23_80ml!AT80/50</f>
        <v>0</v>
      </c>
      <c r="AU79" s="27">
        <f>rebio23_80ml!AU80/50</f>
        <v>0</v>
      </c>
      <c r="AV79" s="27">
        <f>rebio23_80ml!AV80/50</f>
        <v>0.1</v>
      </c>
      <c r="AW79" s="27">
        <f>rebio23_80ml!AW80/50</f>
        <v>0</v>
      </c>
      <c r="AX79" s="27">
        <f>rebio23_80ml!AX80/50</f>
        <v>0</v>
      </c>
      <c r="AY79" s="27">
        <f>rebio23_80ml!AY80/50</f>
        <v>0</v>
      </c>
      <c r="AZ79" s="27">
        <f>rebio23_80ml!AZ80/50</f>
        <v>0</v>
      </c>
      <c r="BA79" s="27">
        <f>rebio23_80ml!BA80/50</f>
        <v>0</v>
      </c>
      <c r="BB79" s="27">
        <f>rebio23_80ml!BB80/50</f>
        <v>0</v>
      </c>
      <c r="BC79" s="27">
        <f>rebio23_80ml!BC80/50</f>
        <v>0</v>
      </c>
      <c r="BD79" s="27">
        <f>rebio23_80ml!BD80/50</f>
        <v>0</v>
      </c>
      <c r="BE79" s="27">
        <f>rebio23_80ml!BE80/50</f>
        <v>0</v>
      </c>
      <c r="BF79" s="27">
        <f>rebio23_80ml!BF80/50</f>
        <v>0</v>
      </c>
      <c r="BG79" s="27">
        <f>rebio23_80ml!BG80/50</f>
        <v>0</v>
      </c>
    </row>
    <row r="80" spans="1:59" ht="12.75" customHeight="1" x14ac:dyDescent="0.25">
      <c r="A80" s="15" t="str">
        <f>rebio23_80ml!A81</f>
        <v>C-C-P15-H1</v>
      </c>
      <c r="B80" s="27">
        <f>rebio23_80ml!B81/50</f>
        <v>0.04</v>
      </c>
      <c r="C80" s="27">
        <f>rebio23_80ml!C81/50</f>
        <v>0</v>
      </c>
      <c r="D80" s="27">
        <f>rebio23_80ml!D81/50</f>
        <v>0</v>
      </c>
      <c r="E80" s="27">
        <f>rebio23_80ml!E81/50</f>
        <v>2.68</v>
      </c>
      <c r="F80" s="27">
        <f>rebio23_80ml!F81/50</f>
        <v>0.08</v>
      </c>
      <c r="G80" s="27">
        <f>rebio23_80ml!G81/50</f>
        <v>0</v>
      </c>
      <c r="H80" s="27">
        <f>rebio23_80ml!H81/50</f>
        <v>0</v>
      </c>
      <c r="I80" s="27">
        <f>rebio23_80ml!I81/50</f>
        <v>0.04</v>
      </c>
      <c r="J80" s="27">
        <f>rebio23_80ml!J81/50</f>
        <v>0</v>
      </c>
      <c r="K80" s="27">
        <f>rebio23_80ml!K81/50</f>
        <v>0</v>
      </c>
      <c r="L80" s="27">
        <f>rebio23_80ml!L81/50</f>
        <v>0</v>
      </c>
      <c r="M80" s="27">
        <f>rebio23_80ml!M81/50</f>
        <v>0</v>
      </c>
      <c r="N80" s="27">
        <f>rebio23_80ml!N81/50</f>
        <v>0</v>
      </c>
      <c r="O80" s="27">
        <f>rebio23_80ml!O81/50</f>
        <v>0</v>
      </c>
      <c r="P80" s="27">
        <f>rebio23_80ml!P81/50</f>
        <v>0</v>
      </c>
      <c r="Q80" s="27">
        <f>rebio23_80ml!Q81/50</f>
        <v>0</v>
      </c>
      <c r="R80" s="27">
        <f>rebio23_80ml!R81/50</f>
        <v>0</v>
      </c>
      <c r="S80" s="27">
        <f>rebio23_80ml!S81/50</f>
        <v>0</v>
      </c>
      <c r="T80" s="27">
        <f>rebio23_80ml!T81/50</f>
        <v>0</v>
      </c>
      <c r="U80" s="27">
        <f>rebio23_80ml!U81/50</f>
        <v>0</v>
      </c>
      <c r="V80" s="27">
        <f>rebio23_80ml!V81/50</f>
        <v>0</v>
      </c>
      <c r="W80" s="27">
        <f>rebio23_80ml!W81/50</f>
        <v>0</v>
      </c>
      <c r="X80" s="27">
        <f>rebio23_80ml!X81/50</f>
        <v>0</v>
      </c>
      <c r="Y80" s="27">
        <f>rebio23_80ml!Y81/50</f>
        <v>0</v>
      </c>
      <c r="Z80" s="27">
        <f>rebio23_80ml!Z81/50</f>
        <v>0</v>
      </c>
      <c r="AA80" s="27">
        <f>rebio23_80ml!AA81/50</f>
        <v>0</v>
      </c>
      <c r="AB80" s="27">
        <f>rebio23_80ml!AB81/50</f>
        <v>0</v>
      </c>
      <c r="AC80" s="27">
        <f>rebio23_80ml!AC81/50</f>
        <v>0</v>
      </c>
      <c r="AD80" s="27">
        <f>rebio23_80ml!AD81/50</f>
        <v>0</v>
      </c>
      <c r="AE80" s="27">
        <f>rebio23_80ml!AE81/50</f>
        <v>0</v>
      </c>
      <c r="AF80" s="27">
        <f>rebio23_80ml!AF81/50</f>
        <v>0</v>
      </c>
      <c r="AG80" s="27">
        <f>rebio23_80ml!AG81/50</f>
        <v>0</v>
      </c>
      <c r="AH80" s="27">
        <f>rebio23_80ml!AH81/50</f>
        <v>0</v>
      </c>
      <c r="AI80" s="27">
        <f>rebio23_80ml!AI81/50</f>
        <v>0</v>
      </c>
      <c r="AJ80" s="27">
        <f>rebio23_80ml!AJ81/50</f>
        <v>0</v>
      </c>
      <c r="AK80" s="27">
        <f>rebio23_80ml!AK81/50</f>
        <v>0</v>
      </c>
      <c r="AL80" s="27">
        <f>rebio23_80ml!AL81/50</f>
        <v>0</v>
      </c>
      <c r="AM80" s="27">
        <f>rebio23_80ml!AM81/50</f>
        <v>0</v>
      </c>
      <c r="AN80" s="27">
        <f>rebio23_80ml!AN81/50</f>
        <v>0</v>
      </c>
      <c r="AO80" s="27">
        <f>rebio23_80ml!AO81/50</f>
        <v>0</v>
      </c>
      <c r="AP80" s="27">
        <f>rebio23_80ml!AP81/50</f>
        <v>0</v>
      </c>
      <c r="AQ80" s="27">
        <f>rebio23_80ml!AQ81/50</f>
        <v>0</v>
      </c>
      <c r="AR80" s="27">
        <f>rebio23_80ml!AR81/50</f>
        <v>0</v>
      </c>
      <c r="AS80" s="27">
        <f>rebio23_80ml!AS81/50</f>
        <v>0</v>
      </c>
      <c r="AT80" s="27">
        <f>rebio23_80ml!AT81/50</f>
        <v>0</v>
      </c>
      <c r="AU80" s="27">
        <f>rebio23_80ml!AU81/50</f>
        <v>0</v>
      </c>
      <c r="AV80" s="27">
        <f>rebio23_80ml!AV81/50</f>
        <v>0.08</v>
      </c>
      <c r="AW80" s="27">
        <f>rebio23_80ml!AW81/50</f>
        <v>0</v>
      </c>
      <c r="AX80" s="27">
        <f>rebio23_80ml!AX81/50</f>
        <v>0.02</v>
      </c>
      <c r="AY80" s="27">
        <f>rebio23_80ml!AY81/50</f>
        <v>0.08</v>
      </c>
      <c r="AZ80" s="27">
        <f>rebio23_80ml!AZ81/50</f>
        <v>0</v>
      </c>
      <c r="BA80" s="27">
        <f>rebio23_80ml!BA81/50</f>
        <v>0</v>
      </c>
      <c r="BB80" s="27">
        <f>rebio23_80ml!BB81/50</f>
        <v>0</v>
      </c>
      <c r="BC80" s="27">
        <f>rebio23_80ml!BC81/50</f>
        <v>0</v>
      </c>
      <c r="BD80" s="27">
        <f>rebio23_80ml!BD81/50</f>
        <v>0</v>
      </c>
      <c r="BE80" s="27">
        <f>rebio23_80ml!BE81/50</f>
        <v>0.02</v>
      </c>
      <c r="BF80" s="27">
        <f>rebio23_80ml!BF81/50</f>
        <v>0</v>
      </c>
      <c r="BG80" s="27">
        <f>rebio23_80ml!BG81/50</f>
        <v>0</v>
      </c>
    </row>
    <row r="81" spans="1:59" ht="12.75" customHeight="1" x14ac:dyDescent="0.25">
      <c r="A81" s="15" t="str">
        <f>rebio23_80ml!A82</f>
        <v>C-C-P15-H2</v>
      </c>
      <c r="B81" s="27">
        <f>rebio23_80ml!B82/50</f>
        <v>0</v>
      </c>
      <c r="C81" s="27">
        <f>rebio23_80ml!C82/50</f>
        <v>0</v>
      </c>
      <c r="D81" s="27">
        <f>rebio23_80ml!D82/50</f>
        <v>0</v>
      </c>
      <c r="E81" s="27">
        <f>rebio23_80ml!E82/50</f>
        <v>1.38</v>
      </c>
      <c r="F81" s="27">
        <f>rebio23_80ml!F82/50</f>
        <v>0.04</v>
      </c>
      <c r="G81" s="27">
        <f>rebio23_80ml!G82/50</f>
        <v>0</v>
      </c>
      <c r="H81" s="27">
        <f>rebio23_80ml!H82/50</f>
        <v>0</v>
      </c>
      <c r="I81" s="27">
        <f>rebio23_80ml!I82/50</f>
        <v>0.04</v>
      </c>
      <c r="J81" s="27">
        <f>rebio23_80ml!J82/50</f>
        <v>0</v>
      </c>
      <c r="K81" s="27">
        <f>rebio23_80ml!K82/50</f>
        <v>0</v>
      </c>
      <c r="L81" s="27">
        <f>rebio23_80ml!L82/50</f>
        <v>0</v>
      </c>
      <c r="M81" s="27">
        <f>rebio23_80ml!M82/50</f>
        <v>0</v>
      </c>
      <c r="N81" s="27">
        <f>rebio23_80ml!N82/50</f>
        <v>0</v>
      </c>
      <c r="O81" s="27">
        <f>rebio23_80ml!O82/50</f>
        <v>0</v>
      </c>
      <c r="P81" s="27">
        <f>rebio23_80ml!P82/50</f>
        <v>0</v>
      </c>
      <c r="Q81" s="27">
        <f>rebio23_80ml!Q82/50</f>
        <v>0</v>
      </c>
      <c r="R81" s="27">
        <f>rebio23_80ml!R82/50</f>
        <v>0</v>
      </c>
      <c r="S81" s="27">
        <f>rebio23_80ml!S82/50</f>
        <v>0</v>
      </c>
      <c r="T81" s="27">
        <f>rebio23_80ml!T82/50</f>
        <v>0</v>
      </c>
      <c r="U81" s="27">
        <f>rebio23_80ml!U82/50</f>
        <v>0</v>
      </c>
      <c r="V81" s="27">
        <f>rebio23_80ml!V82/50</f>
        <v>0.02</v>
      </c>
      <c r="W81" s="27">
        <f>rebio23_80ml!W82/50</f>
        <v>0</v>
      </c>
      <c r="X81" s="27">
        <f>rebio23_80ml!X82/50</f>
        <v>0</v>
      </c>
      <c r="Y81" s="27">
        <f>rebio23_80ml!Y82/50</f>
        <v>0</v>
      </c>
      <c r="Z81" s="27">
        <f>rebio23_80ml!Z82/50</f>
        <v>0.02</v>
      </c>
      <c r="AA81" s="27">
        <f>rebio23_80ml!AA82/50</f>
        <v>0</v>
      </c>
      <c r="AB81" s="27">
        <f>rebio23_80ml!AB82/50</f>
        <v>0</v>
      </c>
      <c r="AC81" s="27">
        <f>rebio23_80ml!AC82/50</f>
        <v>0</v>
      </c>
      <c r="AD81" s="27">
        <f>rebio23_80ml!AD82/50</f>
        <v>0</v>
      </c>
      <c r="AE81" s="27">
        <f>rebio23_80ml!AE82/50</f>
        <v>0</v>
      </c>
      <c r="AF81" s="27">
        <f>rebio23_80ml!AF82/50</f>
        <v>0</v>
      </c>
      <c r="AG81" s="27">
        <f>rebio23_80ml!AG82/50</f>
        <v>0</v>
      </c>
      <c r="AH81" s="27">
        <f>rebio23_80ml!AH82/50</f>
        <v>0</v>
      </c>
      <c r="AI81" s="27">
        <f>rebio23_80ml!AI82/50</f>
        <v>0</v>
      </c>
      <c r="AJ81" s="27">
        <f>rebio23_80ml!AJ82/50</f>
        <v>0</v>
      </c>
      <c r="AK81" s="27">
        <f>rebio23_80ml!AK82/50</f>
        <v>0</v>
      </c>
      <c r="AL81" s="27">
        <f>rebio23_80ml!AL82/50</f>
        <v>0</v>
      </c>
      <c r="AM81" s="27">
        <f>rebio23_80ml!AM82/50</f>
        <v>0</v>
      </c>
      <c r="AN81" s="27">
        <f>rebio23_80ml!AN82/50</f>
        <v>0</v>
      </c>
      <c r="AO81" s="27">
        <f>rebio23_80ml!AO82/50</f>
        <v>0</v>
      </c>
      <c r="AP81" s="27">
        <f>rebio23_80ml!AP82/50</f>
        <v>0</v>
      </c>
      <c r="AQ81" s="27">
        <f>rebio23_80ml!AQ82/50</f>
        <v>0</v>
      </c>
      <c r="AR81" s="27">
        <f>rebio23_80ml!AR82/50</f>
        <v>0</v>
      </c>
      <c r="AS81" s="27">
        <f>rebio23_80ml!AS82/50</f>
        <v>0</v>
      </c>
      <c r="AT81" s="27">
        <f>rebio23_80ml!AT82/50</f>
        <v>0</v>
      </c>
      <c r="AU81" s="27">
        <f>rebio23_80ml!AU82/50</f>
        <v>0</v>
      </c>
      <c r="AV81" s="27">
        <f>rebio23_80ml!AV82/50</f>
        <v>0.04</v>
      </c>
      <c r="AW81" s="27">
        <f>rebio23_80ml!AW82/50</f>
        <v>0</v>
      </c>
      <c r="AX81" s="27">
        <f>rebio23_80ml!AX82/50</f>
        <v>0</v>
      </c>
      <c r="AY81" s="27">
        <f>rebio23_80ml!AY82/50</f>
        <v>0.02</v>
      </c>
      <c r="AZ81" s="27">
        <f>rebio23_80ml!AZ82/50</f>
        <v>0</v>
      </c>
      <c r="BA81" s="27">
        <f>rebio23_80ml!BA82/50</f>
        <v>0</v>
      </c>
      <c r="BB81" s="27">
        <f>rebio23_80ml!BB82/50</f>
        <v>0</v>
      </c>
      <c r="BC81" s="27">
        <f>rebio23_80ml!BC82/50</f>
        <v>0</v>
      </c>
      <c r="BD81" s="27">
        <f>rebio23_80ml!BD82/50</f>
        <v>0.04</v>
      </c>
      <c r="BE81" s="27">
        <f>rebio23_80ml!BE82/50</f>
        <v>0</v>
      </c>
      <c r="BF81" s="27">
        <f>rebio23_80ml!BF82/50</f>
        <v>0</v>
      </c>
      <c r="BG81" s="27">
        <f>rebio23_80ml!BG82/50</f>
        <v>0</v>
      </c>
    </row>
    <row r="82" spans="1:59" ht="12.75" customHeight="1" x14ac:dyDescent="0.25">
      <c r="A82" s="15" t="str">
        <f>rebio23_80ml!A83</f>
        <v>C-C-P15-H3</v>
      </c>
      <c r="B82" s="27">
        <f>rebio23_80ml!B83/50</f>
        <v>0.04</v>
      </c>
      <c r="C82" s="27">
        <f>rebio23_80ml!C83/50</f>
        <v>0</v>
      </c>
      <c r="D82" s="27">
        <f>rebio23_80ml!D83/50</f>
        <v>0</v>
      </c>
      <c r="E82" s="27">
        <f>rebio23_80ml!E83/50</f>
        <v>1.56</v>
      </c>
      <c r="F82" s="27">
        <f>rebio23_80ml!F83/50</f>
        <v>0</v>
      </c>
      <c r="G82" s="27">
        <f>rebio23_80ml!G83/50</f>
        <v>0</v>
      </c>
      <c r="H82" s="27">
        <f>rebio23_80ml!H83/50</f>
        <v>0</v>
      </c>
      <c r="I82" s="27">
        <f>rebio23_80ml!I83/50</f>
        <v>0.04</v>
      </c>
      <c r="J82" s="27">
        <f>rebio23_80ml!J83/50</f>
        <v>0</v>
      </c>
      <c r="K82" s="27">
        <f>rebio23_80ml!K83/50</f>
        <v>0</v>
      </c>
      <c r="L82" s="27">
        <f>rebio23_80ml!L83/50</f>
        <v>0</v>
      </c>
      <c r="M82" s="27">
        <f>rebio23_80ml!M83/50</f>
        <v>0</v>
      </c>
      <c r="N82" s="27">
        <f>rebio23_80ml!N83/50</f>
        <v>0</v>
      </c>
      <c r="O82" s="27">
        <f>rebio23_80ml!O83/50</f>
        <v>0</v>
      </c>
      <c r="P82" s="27">
        <f>rebio23_80ml!P83/50</f>
        <v>0</v>
      </c>
      <c r="Q82" s="27">
        <f>rebio23_80ml!Q83/50</f>
        <v>0</v>
      </c>
      <c r="R82" s="27">
        <f>rebio23_80ml!R83/50</f>
        <v>0</v>
      </c>
      <c r="S82" s="27">
        <f>rebio23_80ml!S83/50</f>
        <v>0</v>
      </c>
      <c r="T82" s="27">
        <f>rebio23_80ml!T83/50</f>
        <v>0</v>
      </c>
      <c r="U82" s="27">
        <f>rebio23_80ml!U83/50</f>
        <v>0</v>
      </c>
      <c r="V82" s="27">
        <f>rebio23_80ml!V83/50</f>
        <v>0</v>
      </c>
      <c r="W82" s="27">
        <f>rebio23_80ml!W83/50</f>
        <v>0</v>
      </c>
      <c r="X82" s="27">
        <f>rebio23_80ml!X83/50</f>
        <v>0</v>
      </c>
      <c r="Y82" s="27">
        <f>rebio23_80ml!Y83/50</f>
        <v>0</v>
      </c>
      <c r="Z82" s="27">
        <f>rebio23_80ml!Z83/50</f>
        <v>0</v>
      </c>
      <c r="AA82" s="27">
        <f>rebio23_80ml!AA83/50</f>
        <v>0.02</v>
      </c>
      <c r="AB82" s="27">
        <f>rebio23_80ml!AB83/50</f>
        <v>0</v>
      </c>
      <c r="AC82" s="27">
        <f>rebio23_80ml!AC83/50</f>
        <v>0</v>
      </c>
      <c r="AD82" s="27">
        <f>rebio23_80ml!AD83/50</f>
        <v>0</v>
      </c>
      <c r="AE82" s="27">
        <f>rebio23_80ml!AE83/50</f>
        <v>0</v>
      </c>
      <c r="AF82" s="27">
        <f>rebio23_80ml!AF83/50</f>
        <v>0</v>
      </c>
      <c r="AG82" s="27">
        <f>rebio23_80ml!AG83/50</f>
        <v>0</v>
      </c>
      <c r="AH82" s="27">
        <f>rebio23_80ml!AH83/50</f>
        <v>0</v>
      </c>
      <c r="AI82" s="27">
        <f>rebio23_80ml!AI83/50</f>
        <v>0</v>
      </c>
      <c r="AJ82" s="27">
        <f>rebio23_80ml!AJ83/50</f>
        <v>0</v>
      </c>
      <c r="AK82" s="27">
        <f>rebio23_80ml!AK83/50</f>
        <v>0</v>
      </c>
      <c r="AL82" s="27">
        <f>rebio23_80ml!AL83/50</f>
        <v>0</v>
      </c>
      <c r="AM82" s="27">
        <f>rebio23_80ml!AM83/50</f>
        <v>0</v>
      </c>
      <c r="AN82" s="27">
        <f>rebio23_80ml!AN83/50</f>
        <v>0</v>
      </c>
      <c r="AO82" s="27">
        <f>rebio23_80ml!AO83/50</f>
        <v>0</v>
      </c>
      <c r="AP82" s="27">
        <f>rebio23_80ml!AP83/50</f>
        <v>0</v>
      </c>
      <c r="AQ82" s="27">
        <f>rebio23_80ml!AQ83/50</f>
        <v>0</v>
      </c>
      <c r="AR82" s="27">
        <f>rebio23_80ml!AR83/50</f>
        <v>0</v>
      </c>
      <c r="AS82" s="27">
        <f>rebio23_80ml!AS83/50</f>
        <v>0</v>
      </c>
      <c r="AT82" s="27">
        <f>rebio23_80ml!AT83/50</f>
        <v>0</v>
      </c>
      <c r="AU82" s="27">
        <f>rebio23_80ml!AU83/50</f>
        <v>0</v>
      </c>
      <c r="AV82" s="27">
        <f>rebio23_80ml!AV83/50</f>
        <v>0.04</v>
      </c>
      <c r="AW82" s="27">
        <f>rebio23_80ml!AW83/50</f>
        <v>0</v>
      </c>
      <c r="AX82" s="27">
        <f>rebio23_80ml!AX83/50</f>
        <v>0</v>
      </c>
      <c r="AY82" s="27">
        <f>rebio23_80ml!AY83/50</f>
        <v>0</v>
      </c>
      <c r="AZ82" s="27">
        <f>rebio23_80ml!AZ83/50</f>
        <v>0</v>
      </c>
      <c r="BA82" s="27">
        <f>rebio23_80ml!BA83/50</f>
        <v>0</v>
      </c>
      <c r="BB82" s="27">
        <f>rebio23_80ml!BB83/50</f>
        <v>0</v>
      </c>
      <c r="BC82" s="27">
        <f>rebio23_80ml!BC83/50</f>
        <v>0</v>
      </c>
      <c r="BD82" s="27">
        <f>rebio23_80ml!BD83/50</f>
        <v>0</v>
      </c>
      <c r="BE82" s="27">
        <f>rebio23_80ml!BE83/50</f>
        <v>0</v>
      </c>
      <c r="BF82" s="27">
        <f>rebio23_80ml!BF83/50</f>
        <v>0</v>
      </c>
      <c r="BG82" s="27">
        <f>rebio23_80ml!BG83/50</f>
        <v>0</v>
      </c>
    </row>
    <row r="83" spans="1:59" ht="12.75" customHeight="1" x14ac:dyDescent="0.25">
      <c r="A83" s="15" t="str">
        <f>rebio23_80ml!A84</f>
        <v>C-C-P16-H1</v>
      </c>
      <c r="B83" s="27">
        <f>rebio23_80ml!B84/50</f>
        <v>1</v>
      </c>
      <c r="C83" s="27">
        <f>rebio23_80ml!C84/50</f>
        <v>0.34</v>
      </c>
      <c r="D83" s="27">
        <f>rebio23_80ml!D84/50</f>
        <v>0.52</v>
      </c>
      <c r="E83" s="27">
        <f>rebio23_80ml!E84/50</f>
        <v>3.38</v>
      </c>
      <c r="F83" s="27">
        <f>rebio23_80ml!F84/50</f>
        <v>1.7</v>
      </c>
      <c r="G83" s="27">
        <f>rebio23_80ml!G84/50</f>
        <v>0</v>
      </c>
      <c r="H83" s="27">
        <f>rebio23_80ml!H84/50</f>
        <v>0</v>
      </c>
      <c r="I83" s="27">
        <f>rebio23_80ml!I84/50</f>
        <v>8.9</v>
      </c>
      <c r="J83" s="27">
        <f>rebio23_80ml!J84/50</f>
        <v>2.84</v>
      </c>
      <c r="K83" s="27">
        <f>rebio23_80ml!K84/50</f>
        <v>0</v>
      </c>
      <c r="L83" s="27">
        <f>rebio23_80ml!L84/50</f>
        <v>2.9</v>
      </c>
      <c r="M83" s="27">
        <f>rebio23_80ml!M84/50</f>
        <v>0</v>
      </c>
      <c r="N83" s="27">
        <f>rebio23_80ml!N84/50</f>
        <v>0</v>
      </c>
      <c r="O83" s="27">
        <f>rebio23_80ml!O84/50</f>
        <v>0</v>
      </c>
      <c r="P83" s="27">
        <f>rebio23_80ml!P84/50</f>
        <v>0</v>
      </c>
      <c r="Q83" s="27">
        <f>rebio23_80ml!Q84/50</f>
        <v>1.3</v>
      </c>
      <c r="R83" s="27">
        <f>rebio23_80ml!R84/50</f>
        <v>0.5</v>
      </c>
      <c r="S83" s="27">
        <f>rebio23_80ml!S84/50</f>
        <v>0.34</v>
      </c>
      <c r="T83" s="27">
        <f>rebio23_80ml!T84/50</f>
        <v>0.76</v>
      </c>
      <c r="U83" s="27">
        <f>rebio23_80ml!U84/50</f>
        <v>0</v>
      </c>
      <c r="V83" s="27">
        <f>rebio23_80ml!V84/50</f>
        <v>2.82</v>
      </c>
      <c r="W83" s="27">
        <f>rebio23_80ml!W84/50</f>
        <v>0</v>
      </c>
      <c r="X83" s="27">
        <f>rebio23_80ml!X84/50</f>
        <v>0</v>
      </c>
      <c r="Y83" s="27">
        <f>rebio23_80ml!Y84/50</f>
        <v>0.26</v>
      </c>
      <c r="Z83" s="27">
        <f>rebio23_80ml!Z84/50</f>
        <v>0.72</v>
      </c>
      <c r="AA83" s="27">
        <f>rebio23_80ml!AA84/50</f>
        <v>0.68</v>
      </c>
      <c r="AB83" s="27">
        <f>rebio23_80ml!AB84/50</f>
        <v>0</v>
      </c>
      <c r="AC83" s="27">
        <f>rebio23_80ml!AC84/50</f>
        <v>0</v>
      </c>
      <c r="AD83" s="27">
        <f>rebio23_80ml!AD84/50</f>
        <v>0.38</v>
      </c>
      <c r="AE83" s="27">
        <f>rebio23_80ml!AE84/50</f>
        <v>0</v>
      </c>
      <c r="AF83" s="27">
        <f>rebio23_80ml!AF84/50</f>
        <v>0</v>
      </c>
      <c r="AG83" s="27">
        <f>rebio23_80ml!AG84/50</f>
        <v>0.22</v>
      </c>
      <c r="AH83" s="27">
        <f>rebio23_80ml!AH84/50</f>
        <v>0</v>
      </c>
      <c r="AI83" s="27">
        <f>rebio23_80ml!AI84/50</f>
        <v>0</v>
      </c>
      <c r="AJ83" s="27">
        <f>rebio23_80ml!AJ84/50</f>
        <v>0</v>
      </c>
      <c r="AK83" s="27">
        <f>rebio23_80ml!AK84/50</f>
        <v>0</v>
      </c>
      <c r="AL83" s="27">
        <f>rebio23_80ml!AL84/50</f>
        <v>0.24</v>
      </c>
      <c r="AM83" s="27">
        <f>rebio23_80ml!AM84/50</f>
        <v>0</v>
      </c>
      <c r="AN83" s="27">
        <f>rebio23_80ml!AN84/50</f>
        <v>0</v>
      </c>
      <c r="AO83" s="27">
        <f>rebio23_80ml!AO84/50</f>
        <v>0</v>
      </c>
      <c r="AP83" s="27">
        <f>rebio23_80ml!AP84/50</f>
        <v>0.82</v>
      </c>
      <c r="AQ83" s="27">
        <f>rebio23_80ml!AQ84/50</f>
        <v>2.12</v>
      </c>
      <c r="AR83" s="27">
        <f>rebio23_80ml!AR84/50</f>
        <v>0.08</v>
      </c>
      <c r="AS83" s="27">
        <f>rebio23_80ml!AS84/50</f>
        <v>0</v>
      </c>
      <c r="AT83" s="27">
        <f>rebio23_80ml!AT84/50</f>
        <v>0</v>
      </c>
      <c r="AU83" s="27">
        <f>rebio23_80ml!AU84/50</f>
        <v>0</v>
      </c>
      <c r="AV83" s="27">
        <f>rebio23_80ml!AV84/50</f>
        <v>3.38</v>
      </c>
      <c r="AW83" s="27">
        <f>rebio23_80ml!AW84/50</f>
        <v>0</v>
      </c>
      <c r="AX83" s="27">
        <f>rebio23_80ml!AX84/50</f>
        <v>0.28000000000000003</v>
      </c>
      <c r="AY83" s="27">
        <f>rebio23_80ml!AY84/50</f>
        <v>0.56000000000000005</v>
      </c>
      <c r="AZ83" s="27">
        <f>rebio23_80ml!AZ84/50</f>
        <v>0</v>
      </c>
      <c r="BA83" s="27">
        <f>rebio23_80ml!BA84/50</f>
        <v>0</v>
      </c>
      <c r="BB83" s="27">
        <f>rebio23_80ml!BB84/50</f>
        <v>0</v>
      </c>
      <c r="BC83" s="27">
        <f>rebio23_80ml!BC84/50</f>
        <v>0</v>
      </c>
      <c r="BD83" s="27">
        <f>rebio23_80ml!BD84/50</f>
        <v>0.36</v>
      </c>
      <c r="BE83" s="27">
        <f>rebio23_80ml!BE84/50</f>
        <v>0.26</v>
      </c>
      <c r="BF83" s="27">
        <f>rebio23_80ml!BF84/50</f>
        <v>0</v>
      </c>
      <c r="BG83" s="27">
        <f>rebio23_80ml!BG84/50</f>
        <v>0</v>
      </c>
    </row>
    <row r="84" spans="1:59" ht="12.75" customHeight="1" x14ac:dyDescent="0.25">
      <c r="A84" s="15" t="str">
        <f>rebio23_80ml!A85</f>
        <v>C-C-P16-H2</v>
      </c>
      <c r="B84" s="27">
        <f>rebio23_80ml!B85/50</f>
        <v>0.06</v>
      </c>
      <c r="C84" s="27">
        <f>rebio23_80ml!C85/50</f>
        <v>0</v>
      </c>
      <c r="D84" s="27">
        <f>rebio23_80ml!D85/50</f>
        <v>0.1</v>
      </c>
      <c r="E84" s="27">
        <f>rebio23_80ml!E85/50</f>
        <v>1.36</v>
      </c>
      <c r="F84" s="27">
        <f>rebio23_80ml!F85/50</f>
        <v>0.8</v>
      </c>
      <c r="G84" s="27">
        <f>rebio23_80ml!G85/50</f>
        <v>0</v>
      </c>
      <c r="H84" s="27">
        <f>rebio23_80ml!H85/50</f>
        <v>0.14000000000000001</v>
      </c>
      <c r="I84" s="27">
        <f>rebio23_80ml!I85/50</f>
        <v>7.1</v>
      </c>
      <c r="J84" s="27">
        <f>rebio23_80ml!J85/50</f>
        <v>1.1599999999999999</v>
      </c>
      <c r="K84" s="27">
        <f>rebio23_80ml!K85/50</f>
        <v>0</v>
      </c>
      <c r="L84" s="27">
        <f>rebio23_80ml!L85/50</f>
        <v>1.3</v>
      </c>
      <c r="M84" s="27">
        <f>rebio23_80ml!M85/50</f>
        <v>0</v>
      </c>
      <c r="N84" s="27">
        <f>rebio23_80ml!N85/50</f>
        <v>0</v>
      </c>
      <c r="O84" s="27">
        <f>rebio23_80ml!O85/50</f>
        <v>0</v>
      </c>
      <c r="P84" s="27">
        <f>rebio23_80ml!P85/50</f>
        <v>0</v>
      </c>
      <c r="Q84" s="27">
        <f>rebio23_80ml!Q85/50</f>
        <v>1</v>
      </c>
      <c r="R84" s="27">
        <f>rebio23_80ml!R85/50</f>
        <v>0</v>
      </c>
      <c r="S84" s="27">
        <f>rebio23_80ml!S85/50</f>
        <v>0</v>
      </c>
      <c r="T84" s="27">
        <f>rebio23_80ml!T85/50</f>
        <v>0.7</v>
      </c>
      <c r="U84" s="27">
        <f>rebio23_80ml!U85/50</f>
        <v>0</v>
      </c>
      <c r="V84" s="27">
        <f>rebio23_80ml!V85/50</f>
        <v>0.8</v>
      </c>
      <c r="W84" s="27">
        <f>rebio23_80ml!W85/50</f>
        <v>0</v>
      </c>
      <c r="X84" s="27">
        <f>rebio23_80ml!X85/50</f>
        <v>0</v>
      </c>
      <c r="Y84" s="27">
        <f>rebio23_80ml!Y85/50</f>
        <v>0.08</v>
      </c>
      <c r="Z84" s="27">
        <f>rebio23_80ml!Z85/50</f>
        <v>0</v>
      </c>
      <c r="AA84" s="27">
        <f>rebio23_80ml!AA85/50</f>
        <v>0.7</v>
      </c>
      <c r="AB84" s="27">
        <f>rebio23_80ml!AB85/50</f>
        <v>0</v>
      </c>
      <c r="AC84" s="27">
        <f>rebio23_80ml!AC85/50</f>
        <v>0</v>
      </c>
      <c r="AD84" s="27">
        <f>rebio23_80ml!AD85/50</f>
        <v>0.2</v>
      </c>
      <c r="AE84" s="27">
        <f>rebio23_80ml!AE85/50</f>
        <v>0</v>
      </c>
      <c r="AF84" s="27">
        <f>rebio23_80ml!AF85/50</f>
        <v>0</v>
      </c>
      <c r="AG84" s="27">
        <f>rebio23_80ml!AG85/50</f>
        <v>0</v>
      </c>
      <c r="AH84" s="27">
        <f>rebio23_80ml!AH85/50</f>
        <v>0</v>
      </c>
      <c r="AI84" s="27">
        <f>rebio23_80ml!AI85/50</f>
        <v>0</v>
      </c>
      <c r="AJ84" s="27">
        <f>rebio23_80ml!AJ85/50</f>
        <v>0</v>
      </c>
      <c r="AK84" s="27">
        <f>rebio23_80ml!AK85/50</f>
        <v>0</v>
      </c>
      <c r="AL84" s="27">
        <f>rebio23_80ml!AL85/50</f>
        <v>0.32</v>
      </c>
      <c r="AM84" s="27">
        <f>rebio23_80ml!AM85/50</f>
        <v>0</v>
      </c>
      <c r="AN84" s="27">
        <f>rebio23_80ml!AN85/50</f>
        <v>0</v>
      </c>
      <c r="AO84" s="27">
        <f>rebio23_80ml!AO85/50</f>
        <v>0</v>
      </c>
      <c r="AP84" s="27">
        <f>rebio23_80ml!AP85/50</f>
        <v>1.62</v>
      </c>
      <c r="AQ84" s="27">
        <f>rebio23_80ml!AQ85/50</f>
        <v>0.5</v>
      </c>
      <c r="AR84" s="27">
        <f>rebio23_80ml!AR85/50</f>
        <v>0.08</v>
      </c>
      <c r="AS84" s="27">
        <f>rebio23_80ml!AS85/50</f>
        <v>0</v>
      </c>
      <c r="AT84" s="27">
        <f>rebio23_80ml!AT85/50</f>
        <v>0</v>
      </c>
      <c r="AU84" s="27">
        <f>rebio23_80ml!AU85/50</f>
        <v>0</v>
      </c>
      <c r="AV84" s="27">
        <f>rebio23_80ml!AV85/50</f>
        <v>1.84</v>
      </c>
      <c r="AW84" s="27">
        <f>rebio23_80ml!AW85/50</f>
        <v>0.3</v>
      </c>
      <c r="AX84" s="27">
        <f>rebio23_80ml!AX85/50</f>
        <v>0.1</v>
      </c>
      <c r="AY84" s="27">
        <f>rebio23_80ml!AY85/50</f>
        <v>0.5</v>
      </c>
      <c r="AZ84" s="27">
        <f>rebio23_80ml!AZ85/50</f>
        <v>0</v>
      </c>
      <c r="BA84" s="27">
        <f>rebio23_80ml!BA85/50</f>
        <v>0</v>
      </c>
      <c r="BB84" s="27">
        <f>rebio23_80ml!BB85/50</f>
        <v>0</v>
      </c>
      <c r="BC84" s="27">
        <f>rebio23_80ml!BC85/50</f>
        <v>0</v>
      </c>
      <c r="BD84" s="27">
        <f>rebio23_80ml!BD85/50</f>
        <v>0.22</v>
      </c>
      <c r="BE84" s="27">
        <f>rebio23_80ml!BE85/50</f>
        <v>0.2</v>
      </c>
      <c r="BF84" s="27">
        <f>rebio23_80ml!BF85/50</f>
        <v>0</v>
      </c>
      <c r="BG84" s="27">
        <f>rebio23_80ml!BG85/50</f>
        <v>0</v>
      </c>
    </row>
    <row r="85" spans="1:59" ht="12.75" customHeight="1" x14ac:dyDescent="0.25">
      <c r="A85" s="15" t="str">
        <f>rebio23_80ml!A86</f>
        <v>C-C-P16-H3</v>
      </c>
      <c r="B85" s="27">
        <f>rebio23_80ml!B86/50</f>
        <v>0.84</v>
      </c>
      <c r="C85" s="27">
        <f>rebio23_80ml!C86/50</f>
        <v>0.32</v>
      </c>
      <c r="D85" s="27">
        <f>rebio23_80ml!D86/50</f>
        <v>0</v>
      </c>
      <c r="E85" s="27">
        <f>rebio23_80ml!E86/50</f>
        <v>0.88</v>
      </c>
      <c r="F85" s="27">
        <f>rebio23_80ml!F86/50</f>
        <v>1.22</v>
      </c>
      <c r="G85" s="27">
        <f>rebio23_80ml!G86/50</f>
        <v>0</v>
      </c>
      <c r="H85" s="27">
        <f>rebio23_80ml!H86/50</f>
        <v>0.02</v>
      </c>
      <c r="I85" s="27">
        <f>rebio23_80ml!I86/50</f>
        <v>7.62</v>
      </c>
      <c r="J85" s="27">
        <f>rebio23_80ml!J86/50</f>
        <v>1.56</v>
      </c>
      <c r="K85" s="27">
        <f>rebio23_80ml!K86/50</f>
        <v>0</v>
      </c>
      <c r="L85" s="27">
        <f>rebio23_80ml!L86/50</f>
        <v>1.54</v>
      </c>
      <c r="M85" s="27">
        <f>rebio23_80ml!M86/50</f>
        <v>0</v>
      </c>
      <c r="N85" s="27">
        <f>rebio23_80ml!N86/50</f>
        <v>0</v>
      </c>
      <c r="O85" s="27">
        <f>rebio23_80ml!O86/50</f>
        <v>0</v>
      </c>
      <c r="P85" s="27">
        <f>rebio23_80ml!P86/50</f>
        <v>0</v>
      </c>
      <c r="Q85" s="27">
        <f>rebio23_80ml!Q86/50</f>
        <v>1.64</v>
      </c>
      <c r="R85" s="27">
        <f>rebio23_80ml!R86/50</f>
        <v>0.38</v>
      </c>
      <c r="S85" s="27">
        <f>rebio23_80ml!S86/50</f>
        <v>0.04</v>
      </c>
      <c r="T85" s="27">
        <f>rebio23_80ml!T86/50</f>
        <v>0.6</v>
      </c>
      <c r="U85" s="27">
        <f>rebio23_80ml!U86/50</f>
        <v>0.2</v>
      </c>
      <c r="V85" s="27">
        <f>rebio23_80ml!V86/50</f>
        <v>8.34</v>
      </c>
      <c r="W85" s="27">
        <f>rebio23_80ml!W86/50</f>
        <v>0</v>
      </c>
      <c r="X85" s="27">
        <f>rebio23_80ml!X86/50</f>
        <v>0</v>
      </c>
      <c r="Y85" s="27">
        <f>rebio23_80ml!Y86/50</f>
        <v>0.06</v>
      </c>
      <c r="Z85" s="27">
        <f>rebio23_80ml!Z86/50</f>
        <v>0.38</v>
      </c>
      <c r="AA85" s="27">
        <f>rebio23_80ml!AA86/50</f>
        <v>1.34</v>
      </c>
      <c r="AB85" s="27">
        <f>rebio23_80ml!AB86/50</f>
        <v>0</v>
      </c>
      <c r="AC85" s="27">
        <f>rebio23_80ml!AC86/50</f>
        <v>0</v>
      </c>
      <c r="AD85" s="27">
        <f>rebio23_80ml!AD86/50</f>
        <v>0</v>
      </c>
      <c r="AE85" s="27">
        <f>rebio23_80ml!AE86/50</f>
        <v>0</v>
      </c>
      <c r="AF85" s="27">
        <f>rebio23_80ml!AF86/50</f>
        <v>0</v>
      </c>
      <c r="AG85" s="27">
        <f>rebio23_80ml!AG86/50</f>
        <v>0.24</v>
      </c>
      <c r="AH85" s="27">
        <f>rebio23_80ml!AH86/50</f>
        <v>0</v>
      </c>
      <c r="AI85" s="27">
        <f>rebio23_80ml!AI86/50</f>
        <v>0</v>
      </c>
      <c r="AJ85" s="27">
        <f>rebio23_80ml!AJ86/50</f>
        <v>0</v>
      </c>
      <c r="AK85" s="27">
        <f>rebio23_80ml!AK86/50</f>
        <v>0</v>
      </c>
      <c r="AL85" s="27">
        <f>rebio23_80ml!AL86/50</f>
        <v>0.18</v>
      </c>
      <c r="AM85" s="27">
        <f>rebio23_80ml!AM86/50</f>
        <v>0</v>
      </c>
      <c r="AN85" s="27">
        <f>rebio23_80ml!AN86/50</f>
        <v>0</v>
      </c>
      <c r="AO85" s="27">
        <f>rebio23_80ml!AO86/50</f>
        <v>0</v>
      </c>
      <c r="AP85" s="27">
        <f>rebio23_80ml!AP86/50</f>
        <v>1.08</v>
      </c>
      <c r="AQ85" s="27">
        <f>rebio23_80ml!AQ86/50</f>
        <v>1.64</v>
      </c>
      <c r="AR85" s="27">
        <f>rebio23_80ml!AR86/50</f>
        <v>0.72</v>
      </c>
      <c r="AS85" s="27">
        <f>rebio23_80ml!AS86/50</f>
        <v>0</v>
      </c>
      <c r="AT85" s="27">
        <f>rebio23_80ml!AT86/50</f>
        <v>0</v>
      </c>
      <c r="AU85" s="27">
        <f>rebio23_80ml!AU86/50</f>
        <v>0</v>
      </c>
      <c r="AV85" s="27">
        <f>rebio23_80ml!AV86/50</f>
        <v>1.98</v>
      </c>
      <c r="AW85" s="27">
        <f>rebio23_80ml!AW86/50</f>
        <v>0</v>
      </c>
      <c r="AX85" s="27">
        <f>rebio23_80ml!AX86/50</f>
        <v>0.2</v>
      </c>
      <c r="AY85" s="27">
        <f>rebio23_80ml!AY86/50</f>
        <v>2.56</v>
      </c>
      <c r="AZ85" s="27">
        <f>rebio23_80ml!AZ86/50</f>
        <v>0</v>
      </c>
      <c r="BA85" s="27">
        <f>rebio23_80ml!BA86/50</f>
        <v>0</v>
      </c>
      <c r="BB85" s="27">
        <f>rebio23_80ml!BB86/50</f>
        <v>0</v>
      </c>
      <c r="BC85" s="27">
        <f>rebio23_80ml!BC86/50</f>
        <v>0</v>
      </c>
      <c r="BD85" s="27">
        <f>rebio23_80ml!BD86/50</f>
        <v>0.16</v>
      </c>
      <c r="BE85" s="27">
        <f>rebio23_80ml!BE86/50</f>
        <v>0.2</v>
      </c>
      <c r="BF85" s="27">
        <f>rebio23_80ml!BF86/50</f>
        <v>0</v>
      </c>
      <c r="BG85" s="27">
        <f>rebio23_80ml!BG86/50</f>
        <v>0</v>
      </c>
    </row>
    <row r="86" spans="1:59" ht="12.75" customHeight="1" x14ac:dyDescent="0.25">
      <c r="A86" s="15" t="str">
        <f>rebio23_80ml!A87</f>
        <v>C-C-P17-H1</v>
      </c>
      <c r="B86" s="27">
        <f>rebio23_80ml!B87/50</f>
        <v>0.02</v>
      </c>
      <c r="C86" s="27">
        <f>rebio23_80ml!C87/50</f>
        <v>0</v>
      </c>
      <c r="D86" s="27">
        <f>rebio23_80ml!D87/50</f>
        <v>0</v>
      </c>
      <c r="E86" s="27">
        <f>rebio23_80ml!E87/50</f>
        <v>1.66</v>
      </c>
      <c r="F86" s="27">
        <f>rebio23_80ml!F87/50</f>
        <v>0.04</v>
      </c>
      <c r="G86" s="27">
        <f>rebio23_80ml!G87/50</f>
        <v>0</v>
      </c>
      <c r="H86" s="27">
        <f>rebio23_80ml!H87/50</f>
        <v>0</v>
      </c>
      <c r="I86" s="27">
        <f>rebio23_80ml!I87/50</f>
        <v>0.1</v>
      </c>
      <c r="J86" s="27">
        <f>rebio23_80ml!J87/50</f>
        <v>0.06</v>
      </c>
      <c r="K86" s="27">
        <f>rebio23_80ml!K87/50</f>
        <v>0</v>
      </c>
      <c r="L86" s="27">
        <f>rebio23_80ml!L87/50</f>
        <v>0</v>
      </c>
      <c r="M86" s="27">
        <f>rebio23_80ml!M87/50</f>
        <v>0</v>
      </c>
      <c r="N86" s="27">
        <f>rebio23_80ml!N87/50</f>
        <v>0</v>
      </c>
      <c r="O86" s="27">
        <f>rebio23_80ml!O87/50</f>
        <v>0</v>
      </c>
      <c r="P86" s="27">
        <f>rebio23_80ml!P87/50</f>
        <v>0</v>
      </c>
      <c r="Q86" s="27">
        <f>rebio23_80ml!Q87/50</f>
        <v>0</v>
      </c>
      <c r="R86" s="27">
        <f>rebio23_80ml!R87/50</f>
        <v>0</v>
      </c>
      <c r="S86" s="27">
        <f>rebio23_80ml!S87/50</f>
        <v>0</v>
      </c>
      <c r="T86" s="27">
        <f>rebio23_80ml!T87/50</f>
        <v>0.04</v>
      </c>
      <c r="U86" s="27">
        <f>rebio23_80ml!U87/50</f>
        <v>0</v>
      </c>
      <c r="V86" s="27">
        <f>rebio23_80ml!V87/50</f>
        <v>0</v>
      </c>
      <c r="W86" s="27">
        <f>rebio23_80ml!W87/50</f>
        <v>0</v>
      </c>
      <c r="X86" s="27">
        <f>rebio23_80ml!X87/50</f>
        <v>0</v>
      </c>
      <c r="Y86" s="27">
        <f>rebio23_80ml!Y87/50</f>
        <v>0</v>
      </c>
      <c r="Z86" s="27">
        <f>rebio23_80ml!Z87/50</f>
        <v>0</v>
      </c>
      <c r="AA86" s="27">
        <f>rebio23_80ml!AA87/50</f>
        <v>0.04</v>
      </c>
      <c r="AB86" s="27">
        <f>rebio23_80ml!AB87/50</f>
        <v>0</v>
      </c>
      <c r="AC86" s="27">
        <f>rebio23_80ml!AC87/50</f>
        <v>0</v>
      </c>
      <c r="AD86" s="27">
        <f>rebio23_80ml!AD87/50</f>
        <v>0</v>
      </c>
      <c r="AE86" s="27">
        <f>rebio23_80ml!AE87/50</f>
        <v>0</v>
      </c>
      <c r="AF86" s="27">
        <f>rebio23_80ml!AF87/50</f>
        <v>0</v>
      </c>
      <c r="AG86" s="27">
        <f>rebio23_80ml!AG87/50</f>
        <v>0</v>
      </c>
      <c r="AH86" s="27">
        <f>rebio23_80ml!AH87/50</f>
        <v>0</v>
      </c>
      <c r="AI86" s="27">
        <f>rebio23_80ml!AI87/50</f>
        <v>0</v>
      </c>
      <c r="AJ86" s="27">
        <f>rebio23_80ml!AJ87/50</f>
        <v>0</v>
      </c>
      <c r="AK86" s="27">
        <f>rebio23_80ml!AK87/50</f>
        <v>0</v>
      </c>
      <c r="AL86" s="27">
        <f>rebio23_80ml!AL87/50</f>
        <v>0</v>
      </c>
      <c r="AM86" s="27">
        <f>rebio23_80ml!AM87/50</f>
        <v>0</v>
      </c>
      <c r="AN86" s="27">
        <f>rebio23_80ml!AN87/50</f>
        <v>0</v>
      </c>
      <c r="AO86" s="27">
        <f>rebio23_80ml!AO87/50</f>
        <v>0</v>
      </c>
      <c r="AP86" s="27">
        <f>rebio23_80ml!AP87/50</f>
        <v>0</v>
      </c>
      <c r="AQ86" s="27">
        <f>rebio23_80ml!AQ87/50</f>
        <v>0</v>
      </c>
      <c r="AR86" s="27">
        <f>rebio23_80ml!AR87/50</f>
        <v>0</v>
      </c>
      <c r="AS86" s="27">
        <f>rebio23_80ml!AS87/50</f>
        <v>0</v>
      </c>
      <c r="AT86" s="27">
        <f>rebio23_80ml!AT87/50</f>
        <v>0</v>
      </c>
      <c r="AU86" s="27">
        <f>rebio23_80ml!AU87/50</f>
        <v>0</v>
      </c>
      <c r="AV86" s="27">
        <f>rebio23_80ml!AV87/50</f>
        <v>0.14000000000000001</v>
      </c>
      <c r="AW86" s="27">
        <f>rebio23_80ml!AW87/50</f>
        <v>0</v>
      </c>
      <c r="AX86" s="27">
        <f>rebio23_80ml!AX87/50</f>
        <v>0</v>
      </c>
      <c r="AY86" s="27">
        <f>rebio23_80ml!AY87/50</f>
        <v>0.02</v>
      </c>
      <c r="AZ86" s="27">
        <f>rebio23_80ml!AZ87/50</f>
        <v>0</v>
      </c>
      <c r="BA86" s="27">
        <f>rebio23_80ml!BA87/50</f>
        <v>0</v>
      </c>
      <c r="BB86" s="27">
        <f>rebio23_80ml!BB87/50</f>
        <v>0</v>
      </c>
      <c r="BC86" s="27">
        <f>rebio23_80ml!BC87/50</f>
        <v>0</v>
      </c>
      <c r="BD86" s="27">
        <f>rebio23_80ml!BD87/50</f>
        <v>0</v>
      </c>
      <c r="BE86" s="27">
        <f>rebio23_80ml!BE87/50</f>
        <v>0</v>
      </c>
      <c r="BF86" s="27">
        <f>rebio23_80ml!BF87/50</f>
        <v>0</v>
      </c>
      <c r="BG86" s="27">
        <f>rebio23_80ml!BG87/50</f>
        <v>0</v>
      </c>
    </row>
    <row r="87" spans="1:59" ht="12.75" customHeight="1" x14ac:dyDescent="0.25">
      <c r="A87" s="15" t="str">
        <f>rebio23_80ml!A88</f>
        <v>C-C-P17-H2</v>
      </c>
      <c r="B87" s="27">
        <f>rebio23_80ml!B88/50</f>
        <v>0.36</v>
      </c>
      <c r="C87" s="27">
        <f>rebio23_80ml!C88/50</f>
        <v>0</v>
      </c>
      <c r="D87" s="27">
        <f>rebio23_80ml!D88/50</f>
        <v>0.06</v>
      </c>
      <c r="E87" s="27">
        <f>rebio23_80ml!E88/50</f>
        <v>1.82</v>
      </c>
      <c r="F87" s="27">
        <f>rebio23_80ml!F88/50</f>
        <v>0.28000000000000003</v>
      </c>
      <c r="G87" s="27">
        <f>rebio23_80ml!G88/50</f>
        <v>0</v>
      </c>
      <c r="H87" s="27">
        <f>rebio23_80ml!H88/50</f>
        <v>0</v>
      </c>
      <c r="I87" s="27">
        <f>rebio23_80ml!I88/50</f>
        <v>0.76</v>
      </c>
      <c r="J87" s="27">
        <f>rebio23_80ml!J88/50</f>
        <v>0.42</v>
      </c>
      <c r="K87" s="27">
        <f>rebio23_80ml!K88/50</f>
        <v>0</v>
      </c>
      <c r="L87" s="27">
        <f>rebio23_80ml!L88/50</f>
        <v>0.24</v>
      </c>
      <c r="M87" s="27">
        <f>rebio23_80ml!M88/50</f>
        <v>0</v>
      </c>
      <c r="N87" s="27">
        <f>rebio23_80ml!N88/50</f>
        <v>0</v>
      </c>
      <c r="O87" s="27">
        <f>rebio23_80ml!O88/50</f>
        <v>0</v>
      </c>
      <c r="P87" s="27">
        <f>rebio23_80ml!P88/50</f>
        <v>0.02</v>
      </c>
      <c r="Q87" s="27">
        <f>rebio23_80ml!Q88/50</f>
        <v>0.04</v>
      </c>
      <c r="R87" s="27">
        <f>rebio23_80ml!R88/50</f>
        <v>0.22</v>
      </c>
      <c r="S87" s="27">
        <f>rebio23_80ml!S88/50</f>
        <v>0.04</v>
      </c>
      <c r="T87" s="27">
        <f>rebio23_80ml!T88/50</f>
        <v>0.02</v>
      </c>
      <c r="U87" s="27">
        <f>rebio23_80ml!U88/50</f>
        <v>0</v>
      </c>
      <c r="V87" s="27">
        <f>rebio23_80ml!V88/50</f>
        <v>0.16</v>
      </c>
      <c r="W87" s="27">
        <f>rebio23_80ml!W88/50</f>
        <v>0</v>
      </c>
      <c r="X87" s="27">
        <f>rebio23_80ml!X88/50</f>
        <v>0</v>
      </c>
      <c r="Y87" s="27">
        <f>rebio23_80ml!Y88/50</f>
        <v>0</v>
      </c>
      <c r="Z87" s="27">
        <f>rebio23_80ml!Z88/50</f>
        <v>0.16</v>
      </c>
      <c r="AA87" s="27">
        <f>rebio23_80ml!AA88/50</f>
        <v>0.56000000000000005</v>
      </c>
      <c r="AB87" s="27">
        <f>rebio23_80ml!AB88/50</f>
        <v>0</v>
      </c>
      <c r="AC87" s="27">
        <f>rebio23_80ml!AC88/50</f>
        <v>0</v>
      </c>
      <c r="AD87" s="27">
        <f>rebio23_80ml!AD88/50</f>
        <v>0.02</v>
      </c>
      <c r="AE87" s="27">
        <f>rebio23_80ml!AE88/50</f>
        <v>0</v>
      </c>
      <c r="AF87" s="27">
        <f>rebio23_80ml!AF88/50</f>
        <v>0</v>
      </c>
      <c r="AG87" s="27">
        <f>rebio23_80ml!AG88/50</f>
        <v>0.08</v>
      </c>
      <c r="AH87" s="27">
        <f>rebio23_80ml!AH88/50</f>
        <v>0</v>
      </c>
      <c r="AI87" s="27">
        <f>rebio23_80ml!AI88/50</f>
        <v>0</v>
      </c>
      <c r="AJ87" s="27">
        <f>rebio23_80ml!AJ88/50</f>
        <v>0</v>
      </c>
      <c r="AK87" s="27">
        <f>rebio23_80ml!AK88/50</f>
        <v>0</v>
      </c>
      <c r="AL87" s="27">
        <f>rebio23_80ml!AL88/50</f>
        <v>0</v>
      </c>
      <c r="AM87" s="27">
        <f>rebio23_80ml!AM88/50</f>
        <v>0</v>
      </c>
      <c r="AN87" s="27">
        <f>rebio23_80ml!AN88/50</f>
        <v>0</v>
      </c>
      <c r="AO87" s="27">
        <f>rebio23_80ml!AO88/50</f>
        <v>0</v>
      </c>
      <c r="AP87" s="27">
        <f>rebio23_80ml!AP88/50</f>
        <v>0</v>
      </c>
      <c r="AQ87" s="27">
        <f>rebio23_80ml!AQ88/50</f>
        <v>0.28000000000000003</v>
      </c>
      <c r="AR87" s="27">
        <f>rebio23_80ml!AR88/50</f>
        <v>0</v>
      </c>
      <c r="AS87" s="27">
        <f>rebio23_80ml!AS88/50</f>
        <v>0</v>
      </c>
      <c r="AT87" s="27">
        <f>rebio23_80ml!AT88/50</f>
        <v>0</v>
      </c>
      <c r="AU87" s="27">
        <f>rebio23_80ml!AU88/50</f>
        <v>0</v>
      </c>
      <c r="AV87" s="27">
        <f>rebio23_80ml!AV88/50</f>
        <v>0.26</v>
      </c>
      <c r="AW87" s="27">
        <f>rebio23_80ml!AW88/50</f>
        <v>0</v>
      </c>
      <c r="AX87" s="27">
        <f>rebio23_80ml!AX88/50</f>
        <v>0</v>
      </c>
      <c r="AY87" s="27">
        <f>rebio23_80ml!AY88/50</f>
        <v>0.12</v>
      </c>
      <c r="AZ87" s="27">
        <f>rebio23_80ml!AZ88/50</f>
        <v>0</v>
      </c>
      <c r="BA87" s="27">
        <f>rebio23_80ml!BA88/50</f>
        <v>0</v>
      </c>
      <c r="BB87" s="27">
        <f>rebio23_80ml!BB88/50</f>
        <v>0</v>
      </c>
      <c r="BC87" s="27">
        <f>rebio23_80ml!BC88/50</f>
        <v>0</v>
      </c>
      <c r="BD87" s="27">
        <f>rebio23_80ml!BD88/50</f>
        <v>0.32</v>
      </c>
      <c r="BE87" s="27">
        <f>rebio23_80ml!BE88/50</f>
        <v>0.08</v>
      </c>
      <c r="BF87" s="27">
        <f>rebio23_80ml!BF88/50</f>
        <v>0</v>
      </c>
      <c r="BG87" s="27">
        <f>rebio23_80ml!BG88/50</f>
        <v>0</v>
      </c>
    </row>
    <row r="88" spans="1:59" ht="12.75" customHeight="1" x14ac:dyDescent="0.25">
      <c r="A88" s="15" t="str">
        <f>rebio23_80ml!A89</f>
        <v>C-C-P17-H3</v>
      </c>
      <c r="B88" s="27">
        <f>rebio23_80ml!B89/50</f>
        <v>0</v>
      </c>
      <c r="C88" s="27">
        <f>rebio23_80ml!C89/50</f>
        <v>0</v>
      </c>
      <c r="D88" s="27">
        <f>rebio23_80ml!D89/50</f>
        <v>0</v>
      </c>
      <c r="E88" s="27">
        <f>rebio23_80ml!E89/50</f>
        <v>1.1399999999999999</v>
      </c>
      <c r="F88" s="27">
        <f>rebio23_80ml!F89/50</f>
        <v>0.08</v>
      </c>
      <c r="G88" s="27">
        <f>rebio23_80ml!G89/50</f>
        <v>0</v>
      </c>
      <c r="H88" s="27">
        <f>rebio23_80ml!H89/50</f>
        <v>0</v>
      </c>
      <c r="I88" s="27">
        <f>rebio23_80ml!I89/50</f>
        <v>0.26</v>
      </c>
      <c r="J88" s="27">
        <f>rebio23_80ml!J89/50</f>
        <v>0.18</v>
      </c>
      <c r="K88" s="27">
        <f>rebio23_80ml!K89/50</f>
        <v>0</v>
      </c>
      <c r="L88" s="27">
        <f>rebio23_80ml!L89/50</f>
        <v>0.1</v>
      </c>
      <c r="M88" s="27">
        <f>rebio23_80ml!M89/50</f>
        <v>0</v>
      </c>
      <c r="N88" s="27">
        <f>rebio23_80ml!N89/50</f>
        <v>0</v>
      </c>
      <c r="O88" s="27">
        <f>rebio23_80ml!O89/50</f>
        <v>0</v>
      </c>
      <c r="P88" s="27">
        <f>rebio23_80ml!P89/50</f>
        <v>0</v>
      </c>
      <c r="Q88" s="27">
        <f>rebio23_80ml!Q89/50</f>
        <v>0</v>
      </c>
      <c r="R88" s="27">
        <f>rebio23_80ml!R89/50</f>
        <v>0.1</v>
      </c>
      <c r="S88" s="27">
        <f>rebio23_80ml!S89/50</f>
        <v>0</v>
      </c>
      <c r="T88" s="27">
        <f>rebio23_80ml!T89/50</f>
        <v>0.12</v>
      </c>
      <c r="U88" s="27">
        <f>rebio23_80ml!U89/50</f>
        <v>0</v>
      </c>
      <c r="V88" s="27">
        <f>rebio23_80ml!V89/50</f>
        <v>0</v>
      </c>
      <c r="W88" s="27">
        <f>rebio23_80ml!W89/50</f>
        <v>0</v>
      </c>
      <c r="X88" s="27">
        <f>rebio23_80ml!X89/50</f>
        <v>0</v>
      </c>
      <c r="Y88" s="27">
        <f>rebio23_80ml!Y89/50</f>
        <v>0</v>
      </c>
      <c r="Z88" s="27">
        <f>rebio23_80ml!Z89/50</f>
        <v>0</v>
      </c>
      <c r="AA88" s="27">
        <f>rebio23_80ml!AA89/50</f>
        <v>0.04</v>
      </c>
      <c r="AB88" s="27">
        <f>rebio23_80ml!AB89/50</f>
        <v>0</v>
      </c>
      <c r="AC88" s="27">
        <f>rebio23_80ml!AC89/50</f>
        <v>0</v>
      </c>
      <c r="AD88" s="27">
        <f>rebio23_80ml!AD89/50</f>
        <v>0</v>
      </c>
      <c r="AE88" s="27">
        <f>rebio23_80ml!AE89/50</f>
        <v>0</v>
      </c>
      <c r="AF88" s="27">
        <f>rebio23_80ml!AF89/50</f>
        <v>0</v>
      </c>
      <c r="AG88" s="27">
        <f>rebio23_80ml!AG89/50</f>
        <v>0.02</v>
      </c>
      <c r="AH88" s="27">
        <f>rebio23_80ml!AH89/50</f>
        <v>0</v>
      </c>
      <c r="AI88" s="27">
        <f>rebio23_80ml!AI89/50</f>
        <v>0</v>
      </c>
      <c r="AJ88" s="27">
        <f>rebio23_80ml!AJ89/50</f>
        <v>0</v>
      </c>
      <c r="AK88" s="27">
        <f>rebio23_80ml!AK89/50</f>
        <v>0</v>
      </c>
      <c r="AL88" s="27">
        <f>rebio23_80ml!AL89/50</f>
        <v>0</v>
      </c>
      <c r="AM88" s="27">
        <f>rebio23_80ml!AM89/50</f>
        <v>0</v>
      </c>
      <c r="AN88" s="27">
        <f>rebio23_80ml!AN89/50</f>
        <v>0</v>
      </c>
      <c r="AO88" s="27">
        <f>rebio23_80ml!AO89/50</f>
        <v>0</v>
      </c>
      <c r="AP88" s="27">
        <f>rebio23_80ml!AP89/50</f>
        <v>0</v>
      </c>
      <c r="AQ88" s="27">
        <f>rebio23_80ml!AQ89/50</f>
        <v>0</v>
      </c>
      <c r="AR88" s="27">
        <f>rebio23_80ml!AR89/50</f>
        <v>0</v>
      </c>
      <c r="AS88" s="27">
        <f>rebio23_80ml!AS89/50</f>
        <v>0</v>
      </c>
      <c r="AT88" s="27">
        <f>rebio23_80ml!AT89/50</f>
        <v>0</v>
      </c>
      <c r="AU88" s="27">
        <f>rebio23_80ml!AU89/50</f>
        <v>0</v>
      </c>
      <c r="AV88" s="27">
        <f>rebio23_80ml!AV89/50</f>
        <v>0</v>
      </c>
      <c r="AW88" s="27">
        <f>rebio23_80ml!AW89/50</f>
        <v>0</v>
      </c>
      <c r="AX88" s="27">
        <f>rebio23_80ml!AX89/50</f>
        <v>0</v>
      </c>
      <c r="AY88" s="27">
        <f>rebio23_80ml!AY89/50</f>
        <v>0</v>
      </c>
      <c r="AZ88" s="27">
        <f>rebio23_80ml!AZ89/50</f>
        <v>0</v>
      </c>
      <c r="BA88" s="27">
        <f>rebio23_80ml!BA89/50</f>
        <v>0</v>
      </c>
      <c r="BB88" s="27">
        <f>rebio23_80ml!BB89/50</f>
        <v>0</v>
      </c>
      <c r="BC88" s="27">
        <f>rebio23_80ml!BC89/50</f>
        <v>0</v>
      </c>
      <c r="BD88" s="27">
        <f>rebio23_80ml!BD89/50</f>
        <v>0</v>
      </c>
      <c r="BE88" s="27">
        <f>rebio23_80ml!BE89/50</f>
        <v>0</v>
      </c>
      <c r="BF88" s="27">
        <f>rebio23_80ml!BF89/50</f>
        <v>0</v>
      </c>
      <c r="BG88" s="27">
        <f>rebio23_80ml!BG89/50</f>
        <v>0</v>
      </c>
    </row>
    <row r="89" spans="1:59" ht="12.75" customHeight="1" x14ac:dyDescent="0.25">
      <c r="A89" s="15" t="str">
        <f>rebio23_80ml!A90</f>
        <v>C-C-P18-H1</v>
      </c>
      <c r="B89" s="27">
        <f>rebio23_80ml!B90/50</f>
        <v>0.08</v>
      </c>
      <c r="C89" s="27">
        <f>rebio23_80ml!C90/50</f>
        <v>0.02</v>
      </c>
      <c r="D89" s="27">
        <f>rebio23_80ml!D90/50</f>
        <v>0</v>
      </c>
      <c r="E89" s="27">
        <f>rebio23_80ml!E90/50</f>
        <v>1.3</v>
      </c>
      <c r="F89" s="27">
        <f>rebio23_80ml!F90/50</f>
        <v>0.04</v>
      </c>
      <c r="G89" s="27">
        <f>rebio23_80ml!G90/50</f>
        <v>0</v>
      </c>
      <c r="H89" s="27">
        <f>rebio23_80ml!H90/50</f>
        <v>0</v>
      </c>
      <c r="I89" s="27">
        <f>rebio23_80ml!I90/50</f>
        <v>0.12</v>
      </c>
      <c r="J89" s="27">
        <f>rebio23_80ml!J90/50</f>
        <v>0.06</v>
      </c>
      <c r="K89" s="27">
        <f>rebio23_80ml!K90/50</f>
        <v>0</v>
      </c>
      <c r="L89" s="27">
        <f>rebio23_80ml!L90/50</f>
        <v>0.02</v>
      </c>
      <c r="M89" s="27">
        <f>rebio23_80ml!M90/50</f>
        <v>0</v>
      </c>
      <c r="N89" s="27">
        <f>rebio23_80ml!N90/50</f>
        <v>0</v>
      </c>
      <c r="O89" s="27">
        <f>rebio23_80ml!O90/50</f>
        <v>0</v>
      </c>
      <c r="P89" s="27">
        <f>rebio23_80ml!P90/50</f>
        <v>0</v>
      </c>
      <c r="Q89" s="27">
        <f>rebio23_80ml!Q90/50</f>
        <v>0</v>
      </c>
      <c r="R89" s="27">
        <f>rebio23_80ml!R90/50</f>
        <v>0.02</v>
      </c>
      <c r="S89" s="27">
        <f>rebio23_80ml!S90/50</f>
        <v>0</v>
      </c>
      <c r="T89" s="27">
        <f>rebio23_80ml!T90/50</f>
        <v>0</v>
      </c>
      <c r="U89" s="27">
        <f>rebio23_80ml!U90/50</f>
        <v>0</v>
      </c>
      <c r="V89" s="27">
        <f>rebio23_80ml!V90/50</f>
        <v>0</v>
      </c>
      <c r="W89" s="27">
        <f>rebio23_80ml!W90/50</f>
        <v>0</v>
      </c>
      <c r="X89" s="27">
        <f>rebio23_80ml!X90/50</f>
        <v>0</v>
      </c>
      <c r="Y89" s="27">
        <f>rebio23_80ml!Y90/50</f>
        <v>0</v>
      </c>
      <c r="Z89" s="27">
        <f>rebio23_80ml!Z90/50</f>
        <v>0</v>
      </c>
      <c r="AA89" s="27">
        <f>rebio23_80ml!AA90/50</f>
        <v>0.02</v>
      </c>
      <c r="AB89" s="27">
        <f>rebio23_80ml!AB90/50</f>
        <v>0</v>
      </c>
      <c r="AC89" s="27">
        <f>rebio23_80ml!AC90/50</f>
        <v>0</v>
      </c>
      <c r="AD89" s="27">
        <f>rebio23_80ml!AD90/50</f>
        <v>0</v>
      </c>
      <c r="AE89" s="27">
        <f>rebio23_80ml!AE90/50</f>
        <v>0</v>
      </c>
      <c r="AF89" s="27">
        <f>rebio23_80ml!AF90/50</f>
        <v>0</v>
      </c>
      <c r="AG89" s="27">
        <f>rebio23_80ml!AG90/50</f>
        <v>0</v>
      </c>
      <c r="AH89" s="27">
        <f>rebio23_80ml!AH90/50</f>
        <v>0</v>
      </c>
      <c r="AI89" s="27">
        <f>rebio23_80ml!AI90/50</f>
        <v>0</v>
      </c>
      <c r="AJ89" s="27">
        <f>rebio23_80ml!AJ90/50</f>
        <v>0</v>
      </c>
      <c r="AK89" s="27">
        <f>rebio23_80ml!AK90/50</f>
        <v>0</v>
      </c>
      <c r="AL89" s="27">
        <f>rebio23_80ml!AL90/50</f>
        <v>0</v>
      </c>
      <c r="AM89" s="27">
        <f>rebio23_80ml!AM90/50</f>
        <v>0</v>
      </c>
      <c r="AN89" s="27">
        <f>rebio23_80ml!AN90/50</f>
        <v>0</v>
      </c>
      <c r="AO89" s="27">
        <f>rebio23_80ml!AO90/50</f>
        <v>0</v>
      </c>
      <c r="AP89" s="27">
        <f>rebio23_80ml!AP90/50</f>
        <v>0</v>
      </c>
      <c r="AQ89" s="27">
        <f>rebio23_80ml!AQ90/50</f>
        <v>0.04</v>
      </c>
      <c r="AR89" s="27">
        <f>rebio23_80ml!AR90/50</f>
        <v>0</v>
      </c>
      <c r="AS89" s="27">
        <f>rebio23_80ml!AS90/50</f>
        <v>0</v>
      </c>
      <c r="AT89" s="27">
        <f>rebio23_80ml!AT90/50</f>
        <v>0</v>
      </c>
      <c r="AU89" s="27">
        <f>rebio23_80ml!AU90/50</f>
        <v>0</v>
      </c>
      <c r="AV89" s="27">
        <f>rebio23_80ml!AV90/50</f>
        <v>0.02</v>
      </c>
      <c r="AW89" s="27">
        <f>rebio23_80ml!AW90/50</f>
        <v>0</v>
      </c>
      <c r="AX89" s="27">
        <f>rebio23_80ml!AX90/50</f>
        <v>0</v>
      </c>
      <c r="AY89" s="27">
        <f>rebio23_80ml!AY90/50</f>
        <v>0.06</v>
      </c>
      <c r="AZ89" s="27">
        <f>rebio23_80ml!AZ90/50</f>
        <v>0</v>
      </c>
      <c r="BA89" s="27">
        <f>rebio23_80ml!BA90/50</f>
        <v>0</v>
      </c>
      <c r="BB89" s="27">
        <f>rebio23_80ml!BB90/50</f>
        <v>0</v>
      </c>
      <c r="BC89" s="27">
        <f>rebio23_80ml!BC90/50</f>
        <v>0</v>
      </c>
      <c r="BD89" s="27">
        <f>rebio23_80ml!BD90/50</f>
        <v>0</v>
      </c>
      <c r="BE89" s="27">
        <f>rebio23_80ml!BE90/50</f>
        <v>0</v>
      </c>
      <c r="BF89" s="27">
        <f>rebio23_80ml!BF90/50</f>
        <v>0</v>
      </c>
      <c r="BG89" s="27">
        <f>rebio23_80ml!BG90/50</f>
        <v>0</v>
      </c>
    </row>
    <row r="90" spans="1:59" ht="12.75" customHeight="1" x14ac:dyDescent="0.25">
      <c r="A90" s="15" t="str">
        <f>rebio23_80ml!A91</f>
        <v>C-C-P18-H2</v>
      </c>
      <c r="B90" s="27">
        <f>rebio23_80ml!B91/50</f>
        <v>0.12</v>
      </c>
      <c r="C90" s="27">
        <f>rebio23_80ml!C91/50</f>
        <v>0</v>
      </c>
      <c r="D90" s="27">
        <f>rebio23_80ml!D91/50</f>
        <v>0</v>
      </c>
      <c r="E90" s="27">
        <f>rebio23_80ml!E91/50</f>
        <v>2.14</v>
      </c>
      <c r="F90" s="27">
        <f>rebio23_80ml!F91/50</f>
        <v>0.08</v>
      </c>
      <c r="G90" s="27">
        <f>rebio23_80ml!G91/50</f>
        <v>0</v>
      </c>
      <c r="H90" s="27">
        <f>rebio23_80ml!H91/50</f>
        <v>0</v>
      </c>
      <c r="I90" s="27">
        <f>rebio23_80ml!I91/50</f>
        <v>1.68</v>
      </c>
      <c r="J90" s="27">
        <f>rebio23_80ml!J91/50</f>
        <v>0.24</v>
      </c>
      <c r="K90" s="27">
        <f>rebio23_80ml!K91/50</f>
        <v>0</v>
      </c>
      <c r="L90" s="27">
        <f>rebio23_80ml!L91/50</f>
        <v>0.46</v>
      </c>
      <c r="M90" s="27">
        <f>rebio23_80ml!M91/50</f>
        <v>0</v>
      </c>
      <c r="N90" s="27">
        <f>rebio23_80ml!N91/50</f>
        <v>0</v>
      </c>
      <c r="O90" s="27">
        <f>rebio23_80ml!O91/50</f>
        <v>0</v>
      </c>
      <c r="P90" s="27">
        <f>rebio23_80ml!P91/50</f>
        <v>0</v>
      </c>
      <c r="Q90" s="27">
        <f>rebio23_80ml!Q91/50</f>
        <v>0.04</v>
      </c>
      <c r="R90" s="27">
        <f>rebio23_80ml!R91/50</f>
        <v>0</v>
      </c>
      <c r="S90" s="27">
        <f>rebio23_80ml!S91/50</f>
        <v>0</v>
      </c>
      <c r="T90" s="27">
        <f>rebio23_80ml!T91/50</f>
        <v>0.02</v>
      </c>
      <c r="U90" s="27">
        <f>rebio23_80ml!U91/50</f>
        <v>0</v>
      </c>
      <c r="V90" s="27">
        <f>rebio23_80ml!V91/50</f>
        <v>0.08</v>
      </c>
      <c r="W90" s="27">
        <f>rebio23_80ml!W91/50</f>
        <v>0</v>
      </c>
      <c r="X90" s="27">
        <f>rebio23_80ml!X91/50</f>
        <v>0</v>
      </c>
      <c r="Y90" s="27">
        <f>rebio23_80ml!Y91/50</f>
        <v>0.06</v>
      </c>
      <c r="Z90" s="27">
        <f>rebio23_80ml!Z91/50</f>
        <v>0.02</v>
      </c>
      <c r="AA90" s="27">
        <f>rebio23_80ml!AA91/50</f>
        <v>0.06</v>
      </c>
      <c r="AB90" s="27">
        <f>rebio23_80ml!AB91/50</f>
        <v>0</v>
      </c>
      <c r="AC90" s="27">
        <f>rebio23_80ml!AC91/50</f>
        <v>0</v>
      </c>
      <c r="AD90" s="27">
        <f>rebio23_80ml!AD91/50</f>
        <v>0</v>
      </c>
      <c r="AE90" s="27">
        <f>rebio23_80ml!AE91/50</f>
        <v>0</v>
      </c>
      <c r="AF90" s="27">
        <f>rebio23_80ml!AF91/50</f>
        <v>0</v>
      </c>
      <c r="AG90" s="27">
        <f>rebio23_80ml!AG91/50</f>
        <v>0</v>
      </c>
      <c r="AH90" s="27">
        <f>rebio23_80ml!AH91/50</f>
        <v>0</v>
      </c>
      <c r="AI90" s="27">
        <f>rebio23_80ml!AI91/50</f>
        <v>0</v>
      </c>
      <c r="AJ90" s="27">
        <f>rebio23_80ml!AJ91/50</f>
        <v>0</v>
      </c>
      <c r="AK90" s="27">
        <f>rebio23_80ml!AK91/50</f>
        <v>0</v>
      </c>
      <c r="AL90" s="27">
        <f>rebio23_80ml!AL91/50</f>
        <v>0.06</v>
      </c>
      <c r="AM90" s="27">
        <f>rebio23_80ml!AM91/50</f>
        <v>0</v>
      </c>
      <c r="AN90" s="27">
        <f>rebio23_80ml!AN91/50</f>
        <v>0</v>
      </c>
      <c r="AO90" s="27">
        <f>rebio23_80ml!AO91/50</f>
        <v>0</v>
      </c>
      <c r="AP90" s="27">
        <f>rebio23_80ml!AP91/50</f>
        <v>0</v>
      </c>
      <c r="AQ90" s="27">
        <f>rebio23_80ml!AQ91/50</f>
        <v>0.02</v>
      </c>
      <c r="AR90" s="27">
        <f>rebio23_80ml!AR91/50</f>
        <v>0</v>
      </c>
      <c r="AS90" s="27">
        <f>rebio23_80ml!AS91/50</f>
        <v>0</v>
      </c>
      <c r="AT90" s="27">
        <f>rebio23_80ml!AT91/50</f>
        <v>0</v>
      </c>
      <c r="AU90" s="27">
        <f>rebio23_80ml!AU91/50</f>
        <v>0</v>
      </c>
      <c r="AV90" s="27">
        <f>rebio23_80ml!AV91/50</f>
        <v>0.82</v>
      </c>
      <c r="AW90" s="27">
        <f>rebio23_80ml!AW91/50</f>
        <v>0.02</v>
      </c>
      <c r="AX90" s="27">
        <f>rebio23_80ml!AX91/50</f>
        <v>0.24</v>
      </c>
      <c r="AY90" s="27">
        <f>rebio23_80ml!AY91/50</f>
        <v>0.08</v>
      </c>
      <c r="AZ90" s="27">
        <f>rebio23_80ml!AZ91/50</f>
        <v>0</v>
      </c>
      <c r="BA90" s="27">
        <f>rebio23_80ml!BA91/50</f>
        <v>0</v>
      </c>
      <c r="BB90" s="27">
        <f>rebio23_80ml!BB91/50</f>
        <v>0</v>
      </c>
      <c r="BC90" s="27">
        <f>rebio23_80ml!BC91/50</f>
        <v>0</v>
      </c>
      <c r="BD90" s="27">
        <f>rebio23_80ml!BD91/50</f>
        <v>0</v>
      </c>
      <c r="BE90" s="27">
        <f>rebio23_80ml!BE91/50</f>
        <v>0</v>
      </c>
      <c r="BF90" s="27">
        <f>rebio23_80ml!BF91/50</f>
        <v>0</v>
      </c>
      <c r="BG90" s="27">
        <f>rebio23_80ml!BG91/50</f>
        <v>0</v>
      </c>
    </row>
    <row r="91" spans="1:59" ht="12.75" customHeight="1" x14ac:dyDescent="0.25">
      <c r="A91" s="15" t="str">
        <f>rebio23_80ml!A92</f>
        <v>C-C-P18-H3</v>
      </c>
      <c r="B91" s="27">
        <f>rebio23_80ml!B92/50</f>
        <v>0.14000000000000001</v>
      </c>
      <c r="C91" s="27">
        <f>rebio23_80ml!C92/50</f>
        <v>0</v>
      </c>
      <c r="D91" s="27">
        <f>rebio23_80ml!D92/50</f>
        <v>0</v>
      </c>
      <c r="E91" s="27">
        <f>rebio23_80ml!E92/50</f>
        <v>0.78</v>
      </c>
      <c r="F91" s="27">
        <f>rebio23_80ml!F92/50</f>
        <v>0.02</v>
      </c>
      <c r="G91" s="27">
        <f>rebio23_80ml!G92/50</f>
        <v>0</v>
      </c>
      <c r="H91" s="27">
        <f>rebio23_80ml!H92/50</f>
        <v>0</v>
      </c>
      <c r="I91" s="27">
        <f>rebio23_80ml!I92/50</f>
        <v>0.98</v>
      </c>
      <c r="J91" s="27">
        <f>rebio23_80ml!J92/50</f>
        <v>0.04</v>
      </c>
      <c r="K91" s="27">
        <f>rebio23_80ml!K92/50</f>
        <v>0</v>
      </c>
      <c r="L91" s="27">
        <f>rebio23_80ml!L92/50</f>
        <v>0.18</v>
      </c>
      <c r="M91" s="27">
        <f>rebio23_80ml!M92/50</f>
        <v>0</v>
      </c>
      <c r="N91" s="27">
        <f>rebio23_80ml!N92/50</f>
        <v>0</v>
      </c>
      <c r="O91" s="27">
        <f>rebio23_80ml!O92/50</f>
        <v>0</v>
      </c>
      <c r="P91" s="27">
        <f>rebio23_80ml!P92/50</f>
        <v>0</v>
      </c>
      <c r="Q91" s="27">
        <f>rebio23_80ml!Q92/50</f>
        <v>0</v>
      </c>
      <c r="R91" s="27">
        <f>rebio23_80ml!R92/50</f>
        <v>0.02</v>
      </c>
      <c r="S91" s="27">
        <f>rebio23_80ml!S92/50</f>
        <v>0</v>
      </c>
      <c r="T91" s="27">
        <f>rebio23_80ml!T92/50</f>
        <v>0.04</v>
      </c>
      <c r="U91" s="27">
        <f>rebio23_80ml!U92/50</f>
        <v>0</v>
      </c>
      <c r="V91" s="27">
        <f>rebio23_80ml!V92/50</f>
        <v>0.04</v>
      </c>
      <c r="W91" s="27">
        <f>rebio23_80ml!W92/50</f>
        <v>0</v>
      </c>
      <c r="X91" s="27">
        <f>rebio23_80ml!X92/50</f>
        <v>0</v>
      </c>
      <c r="Y91" s="27">
        <f>rebio23_80ml!Y92/50</f>
        <v>0.04</v>
      </c>
      <c r="Z91" s="27">
        <f>rebio23_80ml!Z92/50</f>
        <v>0</v>
      </c>
      <c r="AA91" s="27">
        <f>rebio23_80ml!AA92/50</f>
        <v>0.04</v>
      </c>
      <c r="AB91" s="27">
        <f>rebio23_80ml!AB92/50</f>
        <v>0</v>
      </c>
      <c r="AC91" s="27">
        <f>rebio23_80ml!AC92/50</f>
        <v>0</v>
      </c>
      <c r="AD91" s="27">
        <f>rebio23_80ml!AD92/50</f>
        <v>0.02</v>
      </c>
      <c r="AE91" s="27">
        <f>rebio23_80ml!AE92/50</f>
        <v>0</v>
      </c>
      <c r="AF91" s="27">
        <f>rebio23_80ml!AF92/50</f>
        <v>0</v>
      </c>
      <c r="AG91" s="27">
        <f>rebio23_80ml!AG92/50</f>
        <v>0</v>
      </c>
      <c r="AH91" s="27">
        <f>rebio23_80ml!AH92/50</f>
        <v>0</v>
      </c>
      <c r="AI91" s="27">
        <f>rebio23_80ml!AI92/50</f>
        <v>0</v>
      </c>
      <c r="AJ91" s="27">
        <f>rebio23_80ml!AJ92/50</f>
        <v>0</v>
      </c>
      <c r="AK91" s="27">
        <f>rebio23_80ml!AK92/50</f>
        <v>0</v>
      </c>
      <c r="AL91" s="27">
        <f>rebio23_80ml!AL92/50</f>
        <v>0</v>
      </c>
      <c r="AM91" s="27">
        <f>rebio23_80ml!AM92/50</f>
        <v>0</v>
      </c>
      <c r="AN91" s="27">
        <f>rebio23_80ml!AN92/50</f>
        <v>0</v>
      </c>
      <c r="AO91" s="27">
        <f>rebio23_80ml!AO92/50</f>
        <v>0</v>
      </c>
      <c r="AP91" s="27">
        <f>rebio23_80ml!AP92/50</f>
        <v>0</v>
      </c>
      <c r="AQ91" s="27">
        <f>rebio23_80ml!AQ92/50</f>
        <v>0.04</v>
      </c>
      <c r="AR91" s="27">
        <f>rebio23_80ml!AR92/50</f>
        <v>0</v>
      </c>
      <c r="AS91" s="27">
        <f>rebio23_80ml!AS92/50</f>
        <v>0</v>
      </c>
      <c r="AT91" s="27">
        <f>rebio23_80ml!AT92/50</f>
        <v>0</v>
      </c>
      <c r="AU91" s="27">
        <f>rebio23_80ml!AU92/50</f>
        <v>0</v>
      </c>
      <c r="AV91" s="27">
        <f>rebio23_80ml!AV92/50</f>
        <v>0.42</v>
      </c>
      <c r="AW91" s="27">
        <f>rebio23_80ml!AW92/50</f>
        <v>0.32</v>
      </c>
      <c r="AX91" s="27">
        <f>rebio23_80ml!AX92/50</f>
        <v>0.04</v>
      </c>
      <c r="AY91" s="27">
        <f>rebio23_80ml!AY92/50</f>
        <v>0.08</v>
      </c>
      <c r="AZ91" s="27">
        <f>rebio23_80ml!AZ92/50</f>
        <v>0</v>
      </c>
      <c r="BA91" s="27">
        <f>rebio23_80ml!BA92/50</f>
        <v>0.02</v>
      </c>
      <c r="BB91" s="27">
        <f>rebio23_80ml!BB92/50</f>
        <v>0</v>
      </c>
      <c r="BC91" s="27">
        <f>rebio23_80ml!BC92/50</f>
        <v>0</v>
      </c>
      <c r="BD91" s="27">
        <f>rebio23_80ml!BD92/50</f>
        <v>0.02</v>
      </c>
      <c r="BE91" s="27">
        <f>rebio23_80ml!BE92/50</f>
        <v>0.02</v>
      </c>
      <c r="BF91" s="27">
        <f>rebio23_80ml!BF92/50</f>
        <v>0</v>
      </c>
      <c r="BG91" s="27">
        <f>rebio23_80ml!BG92/50</f>
        <v>0</v>
      </c>
    </row>
    <row r="92" spans="1:59" ht="12.75" customHeight="1" x14ac:dyDescent="0.25">
      <c r="A92" s="15" t="str">
        <f>rebio23_80ml!A93</f>
        <v>C-C-P19-H1</v>
      </c>
      <c r="B92" s="27">
        <f>rebio23_80ml!B93/50</f>
        <v>0.02</v>
      </c>
      <c r="C92" s="27">
        <f>rebio23_80ml!C93/50</f>
        <v>0.04</v>
      </c>
      <c r="D92" s="27">
        <f>rebio23_80ml!D93/50</f>
        <v>0</v>
      </c>
      <c r="E92" s="27">
        <f>rebio23_80ml!E93/50</f>
        <v>2.1</v>
      </c>
      <c r="F92" s="27">
        <f>rebio23_80ml!F93/50</f>
        <v>0</v>
      </c>
      <c r="G92" s="27">
        <f>rebio23_80ml!G93/50</f>
        <v>0</v>
      </c>
      <c r="H92" s="27">
        <f>rebio23_80ml!H93/50</f>
        <v>0</v>
      </c>
      <c r="I92" s="27">
        <f>rebio23_80ml!I93/50</f>
        <v>0.06</v>
      </c>
      <c r="J92" s="27">
        <f>rebio23_80ml!J93/50</f>
        <v>0</v>
      </c>
      <c r="K92" s="27">
        <f>rebio23_80ml!K93/50</f>
        <v>0</v>
      </c>
      <c r="L92" s="27">
        <f>rebio23_80ml!L93/50</f>
        <v>0</v>
      </c>
      <c r="M92" s="27">
        <f>rebio23_80ml!M93/50</f>
        <v>0</v>
      </c>
      <c r="N92" s="27">
        <f>rebio23_80ml!N93/50</f>
        <v>0</v>
      </c>
      <c r="O92" s="27">
        <f>rebio23_80ml!O93/50</f>
        <v>0</v>
      </c>
      <c r="P92" s="27">
        <f>rebio23_80ml!P93/50</f>
        <v>0</v>
      </c>
      <c r="Q92" s="27">
        <f>rebio23_80ml!Q93/50</f>
        <v>0</v>
      </c>
      <c r="R92" s="27">
        <f>rebio23_80ml!R93/50</f>
        <v>0</v>
      </c>
      <c r="S92" s="27">
        <f>rebio23_80ml!S93/50</f>
        <v>0</v>
      </c>
      <c r="T92" s="27">
        <f>rebio23_80ml!T93/50</f>
        <v>0</v>
      </c>
      <c r="U92" s="27">
        <f>rebio23_80ml!U93/50</f>
        <v>0</v>
      </c>
      <c r="V92" s="27">
        <f>rebio23_80ml!V93/50</f>
        <v>0</v>
      </c>
      <c r="W92" s="27">
        <f>rebio23_80ml!W93/50</f>
        <v>0</v>
      </c>
      <c r="X92" s="27">
        <f>rebio23_80ml!X93/50</f>
        <v>0</v>
      </c>
      <c r="Y92" s="27">
        <f>rebio23_80ml!Y93/50</f>
        <v>0.02</v>
      </c>
      <c r="Z92" s="27">
        <f>rebio23_80ml!Z93/50</f>
        <v>0</v>
      </c>
      <c r="AA92" s="27">
        <f>rebio23_80ml!AA93/50</f>
        <v>0</v>
      </c>
      <c r="AB92" s="27">
        <f>rebio23_80ml!AB93/50</f>
        <v>0</v>
      </c>
      <c r="AC92" s="27">
        <f>rebio23_80ml!AC93/50</f>
        <v>0</v>
      </c>
      <c r="AD92" s="27">
        <f>rebio23_80ml!AD93/50</f>
        <v>0</v>
      </c>
      <c r="AE92" s="27">
        <f>rebio23_80ml!AE93/50</f>
        <v>0</v>
      </c>
      <c r="AF92" s="27">
        <f>rebio23_80ml!AF93/50</f>
        <v>0</v>
      </c>
      <c r="AG92" s="27">
        <f>rebio23_80ml!AG93/50</f>
        <v>0</v>
      </c>
      <c r="AH92" s="27">
        <f>rebio23_80ml!AH93/50</f>
        <v>0</v>
      </c>
      <c r="AI92" s="27">
        <f>rebio23_80ml!AI93/50</f>
        <v>0</v>
      </c>
      <c r="AJ92" s="27">
        <f>rebio23_80ml!AJ93/50</f>
        <v>0</v>
      </c>
      <c r="AK92" s="27">
        <f>rebio23_80ml!AK93/50</f>
        <v>0</v>
      </c>
      <c r="AL92" s="27">
        <f>rebio23_80ml!AL93/50</f>
        <v>0</v>
      </c>
      <c r="AM92" s="27">
        <f>rebio23_80ml!AM93/50</f>
        <v>0</v>
      </c>
      <c r="AN92" s="27">
        <f>rebio23_80ml!AN93/50</f>
        <v>0</v>
      </c>
      <c r="AO92" s="27">
        <f>rebio23_80ml!AO93/50</f>
        <v>0</v>
      </c>
      <c r="AP92" s="27">
        <f>rebio23_80ml!AP93/50</f>
        <v>0</v>
      </c>
      <c r="AQ92" s="27">
        <f>rebio23_80ml!AQ93/50</f>
        <v>0</v>
      </c>
      <c r="AR92" s="27">
        <f>rebio23_80ml!AR93/50</f>
        <v>0</v>
      </c>
      <c r="AS92" s="27">
        <f>rebio23_80ml!AS93/50</f>
        <v>0</v>
      </c>
      <c r="AT92" s="27">
        <f>rebio23_80ml!AT93/50</f>
        <v>0</v>
      </c>
      <c r="AU92" s="27">
        <f>rebio23_80ml!AU93/50</f>
        <v>0</v>
      </c>
      <c r="AV92" s="27">
        <f>rebio23_80ml!AV93/50</f>
        <v>0.06</v>
      </c>
      <c r="AW92" s="27">
        <f>rebio23_80ml!AW93/50</f>
        <v>0</v>
      </c>
      <c r="AX92" s="27">
        <f>rebio23_80ml!AX93/50</f>
        <v>0</v>
      </c>
      <c r="AY92" s="27">
        <f>rebio23_80ml!AY93/50</f>
        <v>0</v>
      </c>
      <c r="AZ92" s="27">
        <f>rebio23_80ml!AZ93/50</f>
        <v>0</v>
      </c>
      <c r="BA92" s="27">
        <f>rebio23_80ml!BA93/50</f>
        <v>0</v>
      </c>
      <c r="BB92" s="27">
        <f>rebio23_80ml!BB93/50</f>
        <v>0</v>
      </c>
      <c r="BC92" s="27">
        <f>rebio23_80ml!BC93/50</f>
        <v>0</v>
      </c>
      <c r="BD92" s="27">
        <f>rebio23_80ml!BD93/50</f>
        <v>0</v>
      </c>
      <c r="BE92" s="27">
        <f>rebio23_80ml!BE93/50</f>
        <v>0</v>
      </c>
      <c r="BF92" s="27">
        <f>rebio23_80ml!BF93/50</f>
        <v>0</v>
      </c>
      <c r="BG92" s="27">
        <f>rebio23_80ml!BG93/50</f>
        <v>0</v>
      </c>
    </row>
    <row r="93" spans="1:59" ht="12.75" customHeight="1" x14ac:dyDescent="0.25">
      <c r="A93" s="15" t="str">
        <f>rebio23_80ml!A94</f>
        <v>C-C-P19-H2</v>
      </c>
      <c r="B93" s="27">
        <f>rebio23_80ml!B94/50</f>
        <v>0</v>
      </c>
      <c r="C93" s="27">
        <f>rebio23_80ml!C94/50</f>
        <v>0.06</v>
      </c>
      <c r="D93" s="27">
        <f>rebio23_80ml!D94/50</f>
        <v>0</v>
      </c>
      <c r="E93" s="27">
        <f>rebio23_80ml!E94/50</f>
        <v>0.74</v>
      </c>
      <c r="F93" s="27">
        <f>rebio23_80ml!F94/50</f>
        <v>0</v>
      </c>
      <c r="G93" s="27">
        <f>rebio23_80ml!G94/50</f>
        <v>0</v>
      </c>
      <c r="H93" s="27">
        <f>rebio23_80ml!H94/50</f>
        <v>0</v>
      </c>
      <c r="I93" s="27">
        <f>rebio23_80ml!I94/50</f>
        <v>0.02</v>
      </c>
      <c r="J93" s="27">
        <f>rebio23_80ml!J94/50</f>
        <v>0</v>
      </c>
      <c r="K93" s="27">
        <f>rebio23_80ml!K94/50</f>
        <v>0</v>
      </c>
      <c r="L93" s="27">
        <f>rebio23_80ml!L94/50</f>
        <v>0</v>
      </c>
      <c r="M93" s="27">
        <f>rebio23_80ml!M94/50</f>
        <v>0</v>
      </c>
      <c r="N93" s="27">
        <f>rebio23_80ml!N94/50</f>
        <v>0</v>
      </c>
      <c r="O93" s="27">
        <f>rebio23_80ml!O94/50</f>
        <v>0</v>
      </c>
      <c r="P93" s="27">
        <f>rebio23_80ml!P94/50</f>
        <v>0</v>
      </c>
      <c r="Q93" s="27">
        <f>rebio23_80ml!Q94/50</f>
        <v>0</v>
      </c>
      <c r="R93" s="27">
        <f>rebio23_80ml!R94/50</f>
        <v>0</v>
      </c>
      <c r="S93" s="27">
        <f>rebio23_80ml!S94/50</f>
        <v>0</v>
      </c>
      <c r="T93" s="27">
        <f>rebio23_80ml!T94/50</f>
        <v>0</v>
      </c>
      <c r="U93" s="27">
        <f>rebio23_80ml!U94/50</f>
        <v>0</v>
      </c>
      <c r="V93" s="27">
        <f>rebio23_80ml!V94/50</f>
        <v>0</v>
      </c>
      <c r="W93" s="27">
        <f>rebio23_80ml!W94/50</f>
        <v>0</v>
      </c>
      <c r="X93" s="27">
        <f>rebio23_80ml!X94/50</f>
        <v>0</v>
      </c>
      <c r="Y93" s="27">
        <f>rebio23_80ml!Y94/50</f>
        <v>0</v>
      </c>
      <c r="Z93" s="27">
        <f>rebio23_80ml!Z94/50</f>
        <v>0</v>
      </c>
      <c r="AA93" s="27">
        <f>rebio23_80ml!AA94/50</f>
        <v>0</v>
      </c>
      <c r="AB93" s="27">
        <f>rebio23_80ml!AB94/50</f>
        <v>0</v>
      </c>
      <c r="AC93" s="27">
        <f>rebio23_80ml!AC94/50</f>
        <v>0</v>
      </c>
      <c r="AD93" s="27">
        <f>rebio23_80ml!AD94/50</f>
        <v>0</v>
      </c>
      <c r="AE93" s="27">
        <f>rebio23_80ml!AE94/50</f>
        <v>0</v>
      </c>
      <c r="AF93" s="27">
        <f>rebio23_80ml!AF94/50</f>
        <v>0</v>
      </c>
      <c r="AG93" s="27">
        <f>rebio23_80ml!AG94/50</f>
        <v>0</v>
      </c>
      <c r="AH93" s="27">
        <f>rebio23_80ml!AH94/50</f>
        <v>0</v>
      </c>
      <c r="AI93" s="27">
        <f>rebio23_80ml!AI94/50</f>
        <v>0</v>
      </c>
      <c r="AJ93" s="27">
        <f>rebio23_80ml!AJ94/50</f>
        <v>0</v>
      </c>
      <c r="AK93" s="27">
        <f>rebio23_80ml!AK94/50</f>
        <v>0</v>
      </c>
      <c r="AL93" s="27">
        <f>rebio23_80ml!AL94/50</f>
        <v>0</v>
      </c>
      <c r="AM93" s="27">
        <f>rebio23_80ml!AM94/50</f>
        <v>0</v>
      </c>
      <c r="AN93" s="27">
        <f>rebio23_80ml!AN94/50</f>
        <v>0</v>
      </c>
      <c r="AO93" s="27">
        <f>rebio23_80ml!AO94/50</f>
        <v>0</v>
      </c>
      <c r="AP93" s="27">
        <f>rebio23_80ml!AP94/50</f>
        <v>0</v>
      </c>
      <c r="AQ93" s="27">
        <f>rebio23_80ml!AQ94/50</f>
        <v>0</v>
      </c>
      <c r="AR93" s="27">
        <f>rebio23_80ml!AR94/50</f>
        <v>0</v>
      </c>
      <c r="AS93" s="27">
        <f>rebio23_80ml!AS94/50</f>
        <v>0</v>
      </c>
      <c r="AT93" s="27">
        <f>rebio23_80ml!AT94/50</f>
        <v>0</v>
      </c>
      <c r="AU93" s="27">
        <f>rebio23_80ml!AU94/50</f>
        <v>0</v>
      </c>
      <c r="AV93" s="27">
        <f>rebio23_80ml!AV94/50</f>
        <v>0.04</v>
      </c>
      <c r="AW93" s="27">
        <f>rebio23_80ml!AW94/50</f>
        <v>0</v>
      </c>
      <c r="AX93" s="27">
        <f>rebio23_80ml!AX94/50</f>
        <v>0</v>
      </c>
      <c r="AY93" s="27">
        <f>rebio23_80ml!AY94/50</f>
        <v>0</v>
      </c>
      <c r="AZ93" s="27">
        <f>rebio23_80ml!AZ94/50</f>
        <v>0</v>
      </c>
      <c r="BA93" s="27">
        <f>rebio23_80ml!BA94/50</f>
        <v>0</v>
      </c>
      <c r="BB93" s="27">
        <f>rebio23_80ml!BB94/50</f>
        <v>0</v>
      </c>
      <c r="BC93" s="27">
        <f>rebio23_80ml!BC94/50</f>
        <v>0</v>
      </c>
      <c r="BD93" s="27">
        <f>rebio23_80ml!BD94/50</f>
        <v>0</v>
      </c>
      <c r="BE93" s="27">
        <f>rebio23_80ml!BE94/50</f>
        <v>0</v>
      </c>
      <c r="BF93" s="27">
        <f>rebio23_80ml!BF94/50</f>
        <v>0</v>
      </c>
      <c r="BG93" s="27">
        <f>rebio23_80ml!BG94/50</f>
        <v>0</v>
      </c>
    </row>
    <row r="94" spans="1:59" ht="12.75" customHeight="1" x14ac:dyDescent="0.25">
      <c r="A94" s="15" t="str">
        <f>rebio23_80ml!A95</f>
        <v>C-C-P19-H3</v>
      </c>
      <c r="B94" s="27">
        <f>rebio23_80ml!B95/50</f>
        <v>0</v>
      </c>
      <c r="C94" s="27">
        <f>rebio23_80ml!C95/50</f>
        <v>0.1</v>
      </c>
      <c r="D94" s="27">
        <f>rebio23_80ml!D95/50</f>
        <v>0</v>
      </c>
      <c r="E94" s="27">
        <f>rebio23_80ml!E95/50</f>
        <v>0.72</v>
      </c>
      <c r="F94" s="27">
        <f>rebio23_80ml!F95/50</f>
        <v>0</v>
      </c>
      <c r="G94" s="27">
        <f>rebio23_80ml!G95/50</f>
        <v>0</v>
      </c>
      <c r="H94" s="27">
        <f>rebio23_80ml!H95/50</f>
        <v>0</v>
      </c>
      <c r="I94" s="27">
        <f>rebio23_80ml!I95/50</f>
        <v>0.02</v>
      </c>
      <c r="J94" s="27">
        <f>rebio23_80ml!J95/50</f>
        <v>0</v>
      </c>
      <c r="K94" s="27">
        <f>rebio23_80ml!K95/50</f>
        <v>0</v>
      </c>
      <c r="L94" s="27">
        <f>rebio23_80ml!L95/50</f>
        <v>0</v>
      </c>
      <c r="M94" s="27">
        <f>rebio23_80ml!M95/50</f>
        <v>0</v>
      </c>
      <c r="N94" s="27">
        <f>rebio23_80ml!N95/50</f>
        <v>0</v>
      </c>
      <c r="O94" s="27">
        <f>rebio23_80ml!O95/50</f>
        <v>0</v>
      </c>
      <c r="P94" s="27">
        <f>rebio23_80ml!P95/50</f>
        <v>0</v>
      </c>
      <c r="Q94" s="27">
        <f>rebio23_80ml!Q95/50</f>
        <v>0</v>
      </c>
      <c r="R94" s="27">
        <f>rebio23_80ml!R95/50</f>
        <v>0</v>
      </c>
      <c r="S94" s="27">
        <f>rebio23_80ml!S95/50</f>
        <v>0</v>
      </c>
      <c r="T94" s="27">
        <f>rebio23_80ml!T95/50</f>
        <v>0</v>
      </c>
      <c r="U94" s="27">
        <f>rebio23_80ml!U95/50</f>
        <v>0</v>
      </c>
      <c r="V94" s="27">
        <f>rebio23_80ml!V95/50</f>
        <v>0</v>
      </c>
      <c r="W94" s="27">
        <f>rebio23_80ml!W95/50</f>
        <v>0</v>
      </c>
      <c r="X94" s="27">
        <f>rebio23_80ml!X95/50</f>
        <v>0</v>
      </c>
      <c r="Y94" s="27">
        <f>rebio23_80ml!Y95/50</f>
        <v>0</v>
      </c>
      <c r="Z94" s="27">
        <f>rebio23_80ml!Z95/50</f>
        <v>0</v>
      </c>
      <c r="AA94" s="27">
        <f>rebio23_80ml!AA95/50</f>
        <v>0</v>
      </c>
      <c r="AB94" s="27">
        <f>rebio23_80ml!AB95/50</f>
        <v>0</v>
      </c>
      <c r="AC94" s="27">
        <f>rebio23_80ml!AC95/50</f>
        <v>0</v>
      </c>
      <c r="AD94" s="27">
        <f>rebio23_80ml!AD95/50</f>
        <v>0</v>
      </c>
      <c r="AE94" s="27">
        <f>rebio23_80ml!AE95/50</f>
        <v>0</v>
      </c>
      <c r="AF94" s="27">
        <f>rebio23_80ml!AF95/50</f>
        <v>0</v>
      </c>
      <c r="AG94" s="27">
        <f>rebio23_80ml!AG95/50</f>
        <v>0</v>
      </c>
      <c r="AH94" s="27">
        <f>rebio23_80ml!AH95/50</f>
        <v>0</v>
      </c>
      <c r="AI94" s="27">
        <f>rebio23_80ml!AI95/50</f>
        <v>0</v>
      </c>
      <c r="AJ94" s="27">
        <f>rebio23_80ml!AJ95/50</f>
        <v>0</v>
      </c>
      <c r="AK94" s="27">
        <f>rebio23_80ml!AK95/50</f>
        <v>0</v>
      </c>
      <c r="AL94" s="27">
        <f>rebio23_80ml!AL95/50</f>
        <v>0</v>
      </c>
      <c r="AM94" s="27">
        <f>rebio23_80ml!AM95/50</f>
        <v>0</v>
      </c>
      <c r="AN94" s="27">
        <f>rebio23_80ml!AN95/50</f>
        <v>0</v>
      </c>
      <c r="AO94" s="27">
        <f>rebio23_80ml!AO95/50</f>
        <v>0</v>
      </c>
      <c r="AP94" s="27">
        <f>rebio23_80ml!AP95/50</f>
        <v>0</v>
      </c>
      <c r="AQ94" s="27">
        <f>rebio23_80ml!AQ95/50</f>
        <v>0</v>
      </c>
      <c r="AR94" s="27">
        <f>rebio23_80ml!AR95/50</f>
        <v>0</v>
      </c>
      <c r="AS94" s="27">
        <f>rebio23_80ml!AS95/50</f>
        <v>0</v>
      </c>
      <c r="AT94" s="27">
        <f>rebio23_80ml!AT95/50</f>
        <v>0</v>
      </c>
      <c r="AU94" s="27">
        <f>rebio23_80ml!AU95/50</f>
        <v>0</v>
      </c>
      <c r="AV94" s="27">
        <f>rebio23_80ml!AV95/50</f>
        <v>0.04</v>
      </c>
      <c r="AW94" s="27">
        <f>rebio23_80ml!AW95/50</f>
        <v>0</v>
      </c>
      <c r="AX94" s="27">
        <f>rebio23_80ml!AX95/50</f>
        <v>0</v>
      </c>
      <c r="AY94" s="27">
        <f>rebio23_80ml!AY95/50</f>
        <v>0</v>
      </c>
      <c r="AZ94" s="27">
        <f>rebio23_80ml!AZ95/50</f>
        <v>0</v>
      </c>
      <c r="BA94" s="27">
        <f>rebio23_80ml!BA95/50</f>
        <v>0</v>
      </c>
      <c r="BB94" s="27">
        <f>rebio23_80ml!BB95/50</f>
        <v>0</v>
      </c>
      <c r="BC94" s="27">
        <f>rebio23_80ml!BC95/50</f>
        <v>0</v>
      </c>
      <c r="BD94" s="27">
        <f>rebio23_80ml!BD95/50</f>
        <v>0</v>
      </c>
      <c r="BE94" s="27">
        <f>rebio23_80ml!BE95/50</f>
        <v>0</v>
      </c>
      <c r="BF94" s="27">
        <f>rebio23_80ml!BF95/50</f>
        <v>0</v>
      </c>
      <c r="BG94" s="27">
        <f>rebio23_80ml!BG95/50</f>
        <v>0</v>
      </c>
    </row>
    <row r="95" spans="1:59" ht="12.75" customHeight="1" x14ac:dyDescent="0.25">
      <c r="A95" s="15" t="str">
        <f>rebio23_80ml!A96</f>
        <v>C-C-P20-H1</v>
      </c>
      <c r="B95" s="27">
        <f>rebio23_80ml!B96/50</f>
        <v>0.02</v>
      </c>
      <c r="C95" s="27">
        <f>rebio23_80ml!C96/50</f>
        <v>0</v>
      </c>
      <c r="D95" s="27">
        <f>rebio23_80ml!D96/50</f>
        <v>0</v>
      </c>
      <c r="E95" s="27">
        <f>rebio23_80ml!E96/50</f>
        <v>0.7</v>
      </c>
      <c r="F95" s="27">
        <f>rebio23_80ml!F96/50</f>
        <v>0</v>
      </c>
      <c r="G95" s="27">
        <f>rebio23_80ml!G96/50</f>
        <v>0</v>
      </c>
      <c r="H95" s="27">
        <f>rebio23_80ml!H96/50</f>
        <v>0</v>
      </c>
      <c r="I95" s="27">
        <f>rebio23_80ml!I96/50</f>
        <v>0.02</v>
      </c>
      <c r="J95" s="27">
        <f>rebio23_80ml!J96/50</f>
        <v>0.04</v>
      </c>
      <c r="K95" s="27">
        <f>rebio23_80ml!K96/50</f>
        <v>0</v>
      </c>
      <c r="L95" s="27">
        <f>rebio23_80ml!L96/50</f>
        <v>0</v>
      </c>
      <c r="M95" s="27">
        <f>rebio23_80ml!M96/50</f>
        <v>0</v>
      </c>
      <c r="N95" s="27">
        <f>rebio23_80ml!N96/50</f>
        <v>0</v>
      </c>
      <c r="O95" s="27">
        <f>rebio23_80ml!O96/50</f>
        <v>0</v>
      </c>
      <c r="P95" s="27">
        <f>rebio23_80ml!P96/50</f>
        <v>0</v>
      </c>
      <c r="Q95" s="27">
        <f>rebio23_80ml!Q96/50</f>
        <v>0</v>
      </c>
      <c r="R95" s="27">
        <f>rebio23_80ml!R96/50</f>
        <v>0</v>
      </c>
      <c r="S95" s="27">
        <f>rebio23_80ml!S96/50</f>
        <v>0</v>
      </c>
      <c r="T95" s="27">
        <f>rebio23_80ml!T96/50</f>
        <v>0</v>
      </c>
      <c r="U95" s="27">
        <f>rebio23_80ml!U96/50</f>
        <v>0</v>
      </c>
      <c r="V95" s="27">
        <f>rebio23_80ml!V96/50</f>
        <v>0</v>
      </c>
      <c r="W95" s="27">
        <f>rebio23_80ml!W96/50</f>
        <v>0</v>
      </c>
      <c r="X95" s="27">
        <f>rebio23_80ml!X96/50</f>
        <v>0</v>
      </c>
      <c r="Y95" s="27">
        <f>rebio23_80ml!Y96/50</f>
        <v>0</v>
      </c>
      <c r="Z95" s="27">
        <f>rebio23_80ml!Z96/50</f>
        <v>0</v>
      </c>
      <c r="AA95" s="27">
        <f>rebio23_80ml!AA96/50</f>
        <v>0</v>
      </c>
      <c r="AB95" s="27">
        <f>rebio23_80ml!AB96/50</f>
        <v>0</v>
      </c>
      <c r="AC95" s="27">
        <f>rebio23_80ml!AC96/50</f>
        <v>0</v>
      </c>
      <c r="AD95" s="27">
        <f>rebio23_80ml!AD96/50</f>
        <v>0</v>
      </c>
      <c r="AE95" s="27">
        <f>rebio23_80ml!AE96/50</f>
        <v>0</v>
      </c>
      <c r="AF95" s="27">
        <f>rebio23_80ml!AF96/50</f>
        <v>0</v>
      </c>
      <c r="AG95" s="27">
        <f>rebio23_80ml!AG96/50</f>
        <v>0</v>
      </c>
      <c r="AH95" s="27">
        <f>rebio23_80ml!AH96/50</f>
        <v>0</v>
      </c>
      <c r="AI95" s="27">
        <f>rebio23_80ml!AI96/50</f>
        <v>0</v>
      </c>
      <c r="AJ95" s="27">
        <f>rebio23_80ml!AJ96/50</f>
        <v>0</v>
      </c>
      <c r="AK95" s="27">
        <f>rebio23_80ml!AK96/50</f>
        <v>0</v>
      </c>
      <c r="AL95" s="27">
        <f>rebio23_80ml!AL96/50</f>
        <v>0</v>
      </c>
      <c r="AM95" s="27">
        <f>rebio23_80ml!AM96/50</f>
        <v>0</v>
      </c>
      <c r="AN95" s="27">
        <f>rebio23_80ml!AN96/50</f>
        <v>0</v>
      </c>
      <c r="AO95" s="27">
        <f>rebio23_80ml!AO96/50</f>
        <v>0</v>
      </c>
      <c r="AP95" s="27">
        <f>rebio23_80ml!AP96/50</f>
        <v>0.02</v>
      </c>
      <c r="AQ95" s="27">
        <f>rebio23_80ml!AQ96/50</f>
        <v>0</v>
      </c>
      <c r="AR95" s="27">
        <f>rebio23_80ml!AR96/50</f>
        <v>0</v>
      </c>
      <c r="AS95" s="27">
        <f>rebio23_80ml!AS96/50</f>
        <v>0</v>
      </c>
      <c r="AT95" s="27">
        <f>rebio23_80ml!AT96/50</f>
        <v>0</v>
      </c>
      <c r="AU95" s="27">
        <f>rebio23_80ml!AU96/50</f>
        <v>0</v>
      </c>
      <c r="AV95" s="27">
        <f>rebio23_80ml!AV96/50</f>
        <v>0.02</v>
      </c>
      <c r="AW95" s="27">
        <f>rebio23_80ml!AW96/50</f>
        <v>0</v>
      </c>
      <c r="AX95" s="27">
        <f>rebio23_80ml!AX96/50</f>
        <v>0</v>
      </c>
      <c r="AY95" s="27">
        <f>rebio23_80ml!AY96/50</f>
        <v>0</v>
      </c>
      <c r="AZ95" s="27">
        <f>rebio23_80ml!AZ96/50</f>
        <v>0</v>
      </c>
      <c r="BA95" s="27">
        <f>rebio23_80ml!BA96/50</f>
        <v>0</v>
      </c>
      <c r="BB95" s="27">
        <f>rebio23_80ml!BB96/50</f>
        <v>0</v>
      </c>
      <c r="BC95" s="27">
        <f>rebio23_80ml!BC96/50</f>
        <v>0</v>
      </c>
      <c r="BD95" s="27">
        <f>rebio23_80ml!BD96/50</f>
        <v>0</v>
      </c>
      <c r="BE95" s="27">
        <f>rebio23_80ml!BE96/50</f>
        <v>0</v>
      </c>
      <c r="BF95" s="27">
        <f>rebio23_80ml!BF96/50</f>
        <v>0</v>
      </c>
      <c r="BG95" s="27">
        <f>rebio23_80ml!BG96/50</f>
        <v>0</v>
      </c>
    </row>
    <row r="96" spans="1:59" ht="12.75" customHeight="1" x14ac:dyDescent="0.25">
      <c r="A96" s="15" t="str">
        <f>rebio23_80ml!A97</f>
        <v>C-C-P20-H2</v>
      </c>
      <c r="B96" s="27">
        <f>rebio23_80ml!B97/50</f>
        <v>0</v>
      </c>
      <c r="C96" s="27">
        <f>rebio23_80ml!C97/50</f>
        <v>0.02</v>
      </c>
      <c r="D96" s="27">
        <f>rebio23_80ml!D97/50</f>
        <v>0</v>
      </c>
      <c r="E96" s="27">
        <f>rebio23_80ml!E97/50</f>
        <v>0.78</v>
      </c>
      <c r="F96" s="27">
        <f>rebio23_80ml!F97/50</f>
        <v>0</v>
      </c>
      <c r="G96" s="27">
        <f>rebio23_80ml!G97/50</f>
        <v>0</v>
      </c>
      <c r="H96" s="27">
        <f>rebio23_80ml!H97/50</f>
        <v>0</v>
      </c>
      <c r="I96" s="27">
        <f>rebio23_80ml!I97/50</f>
        <v>0</v>
      </c>
      <c r="J96" s="27">
        <f>rebio23_80ml!J97/50</f>
        <v>0</v>
      </c>
      <c r="K96" s="27">
        <f>rebio23_80ml!K97/50</f>
        <v>0</v>
      </c>
      <c r="L96" s="27">
        <f>rebio23_80ml!L97/50</f>
        <v>0</v>
      </c>
      <c r="M96" s="27">
        <f>rebio23_80ml!M97/50</f>
        <v>0</v>
      </c>
      <c r="N96" s="27">
        <f>rebio23_80ml!N97/50</f>
        <v>0</v>
      </c>
      <c r="O96" s="27">
        <f>rebio23_80ml!O97/50</f>
        <v>0</v>
      </c>
      <c r="P96" s="27">
        <f>rebio23_80ml!P97/50</f>
        <v>0</v>
      </c>
      <c r="Q96" s="27">
        <f>rebio23_80ml!Q97/50</f>
        <v>0</v>
      </c>
      <c r="R96" s="27">
        <f>rebio23_80ml!R97/50</f>
        <v>0</v>
      </c>
      <c r="S96" s="27">
        <f>rebio23_80ml!S97/50</f>
        <v>0</v>
      </c>
      <c r="T96" s="27">
        <f>rebio23_80ml!T97/50</f>
        <v>0</v>
      </c>
      <c r="U96" s="27">
        <f>rebio23_80ml!U97/50</f>
        <v>0</v>
      </c>
      <c r="V96" s="27">
        <f>rebio23_80ml!V97/50</f>
        <v>0</v>
      </c>
      <c r="W96" s="27">
        <f>rebio23_80ml!W97/50</f>
        <v>0</v>
      </c>
      <c r="X96" s="27">
        <f>rebio23_80ml!X97/50</f>
        <v>0</v>
      </c>
      <c r="Y96" s="27">
        <f>rebio23_80ml!Y97/50</f>
        <v>0</v>
      </c>
      <c r="Z96" s="27">
        <f>rebio23_80ml!Z97/50</f>
        <v>0</v>
      </c>
      <c r="AA96" s="27">
        <f>rebio23_80ml!AA97/50</f>
        <v>0.02</v>
      </c>
      <c r="AB96" s="27">
        <f>rebio23_80ml!AB97/50</f>
        <v>0</v>
      </c>
      <c r="AC96" s="27">
        <f>rebio23_80ml!AC97/50</f>
        <v>0</v>
      </c>
      <c r="AD96" s="27">
        <f>rebio23_80ml!AD97/50</f>
        <v>0</v>
      </c>
      <c r="AE96" s="27">
        <f>rebio23_80ml!AE97/50</f>
        <v>0</v>
      </c>
      <c r="AF96" s="27">
        <f>rebio23_80ml!AF97/50</f>
        <v>0</v>
      </c>
      <c r="AG96" s="27">
        <f>rebio23_80ml!AG97/50</f>
        <v>0</v>
      </c>
      <c r="AH96" s="27">
        <f>rebio23_80ml!AH97/50</f>
        <v>0</v>
      </c>
      <c r="AI96" s="27">
        <f>rebio23_80ml!AI97/50</f>
        <v>0</v>
      </c>
      <c r="AJ96" s="27">
        <f>rebio23_80ml!AJ97/50</f>
        <v>0</v>
      </c>
      <c r="AK96" s="27">
        <f>rebio23_80ml!AK97/50</f>
        <v>0</v>
      </c>
      <c r="AL96" s="27">
        <f>rebio23_80ml!AL97/50</f>
        <v>0</v>
      </c>
      <c r="AM96" s="27">
        <f>rebio23_80ml!AM97/50</f>
        <v>0</v>
      </c>
      <c r="AN96" s="27">
        <f>rebio23_80ml!AN97/50</f>
        <v>0</v>
      </c>
      <c r="AO96" s="27">
        <f>rebio23_80ml!AO97/50</f>
        <v>0</v>
      </c>
      <c r="AP96" s="27">
        <f>rebio23_80ml!AP97/50</f>
        <v>0</v>
      </c>
      <c r="AQ96" s="27">
        <f>rebio23_80ml!AQ97/50</f>
        <v>0</v>
      </c>
      <c r="AR96" s="27">
        <f>rebio23_80ml!AR97/50</f>
        <v>0</v>
      </c>
      <c r="AS96" s="27">
        <f>rebio23_80ml!AS97/50</f>
        <v>0</v>
      </c>
      <c r="AT96" s="27">
        <f>rebio23_80ml!AT97/50</f>
        <v>0</v>
      </c>
      <c r="AU96" s="27">
        <f>rebio23_80ml!AU97/50</f>
        <v>0</v>
      </c>
      <c r="AV96" s="27">
        <f>rebio23_80ml!AV97/50</f>
        <v>0.02</v>
      </c>
      <c r="AW96" s="27">
        <f>rebio23_80ml!AW97/50</f>
        <v>0</v>
      </c>
      <c r="AX96" s="27">
        <f>rebio23_80ml!AX97/50</f>
        <v>0</v>
      </c>
      <c r="AY96" s="27">
        <f>rebio23_80ml!AY97/50</f>
        <v>0.02</v>
      </c>
      <c r="AZ96" s="27">
        <f>rebio23_80ml!AZ97/50</f>
        <v>0</v>
      </c>
      <c r="BA96" s="27">
        <f>rebio23_80ml!BA97/50</f>
        <v>0</v>
      </c>
      <c r="BB96" s="27">
        <f>rebio23_80ml!BB97/50</f>
        <v>0</v>
      </c>
      <c r="BC96" s="27">
        <f>rebio23_80ml!BC97/50</f>
        <v>0</v>
      </c>
      <c r="BD96" s="27">
        <f>rebio23_80ml!BD97/50</f>
        <v>0.02</v>
      </c>
      <c r="BE96" s="27">
        <f>rebio23_80ml!BE97/50</f>
        <v>0</v>
      </c>
      <c r="BF96" s="27">
        <f>rebio23_80ml!BF97/50</f>
        <v>0.04</v>
      </c>
      <c r="BG96" s="27">
        <f>rebio23_80ml!BG97/50</f>
        <v>0</v>
      </c>
    </row>
    <row r="97" spans="1:59" ht="12.75" customHeight="1" x14ac:dyDescent="0.25">
      <c r="A97" s="15" t="str">
        <f>rebio23_80ml!A98</f>
        <v>C-C-P20-H3</v>
      </c>
      <c r="B97" s="27">
        <f>rebio23_80ml!B98/50</f>
        <v>0</v>
      </c>
      <c r="C97" s="27">
        <f>rebio23_80ml!C98/50</f>
        <v>0</v>
      </c>
      <c r="D97" s="27">
        <f>rebio23_80ml!D98/50</f>
        <v>0</v>
      </c>
      <c r="E97" s="27">
        <f>rebio23_80ml!E98/50</f>
        <v>1</v>
      </c>
      <c r="F97" s="27">
        <f>rebio23_80ml!F98/50</f>
        <v>0</v>
      </c>
      <c r="G97" s="27">
        <f>rebio23_80ml!G98/50</f>
        <v>0</v>
      </c>
      <c r="H97" s="27">
        <f>rebio23_80ml!H98/50</f>
        <v>0</v>
      </c>
      <c r="I97" s="27">
        <f>rebio23_80ml!I98/50</f>
        <v>0.02</v>
      </c>
      <c r="J97" s="27">
        <f>rebio23_80ml!J98/50</f>
        <v>0</v>
      </c>
      <c r="K97" s="27">
        <f>rebio23_80ml!K98/50</f>
        <v>0</v>
      </c>
      <c r="L97" s="27">
        <f>rebio23_80ml!L98/50</f>
        <v>0</v>
      </c>
      <c r="M97" s="27">
        <f>rebio23_80ml!M98/50</f>
        <v>0</v>
      </c>
      <c r="N97" s="27">
        <f>rebio23_80ml!N98/50</f>
        <v>0</v>
      </c>
      <c r="O97" s="27">
        <f>rebio23_80ml!O98/50</f>
        <v>0</v>
      </c>
      <c r="P97" s="27">
        <f>rebio23_80ml!P98/50</f>
        <v>0</v>
      </c>
      <c r="Q97" s="27">
        <f>rebio23_80ml!Q98/50</f>
        <v>0</v>
      </c>
      <c r="R97" s="27">
        <f>rebio23_80ml!R98/50</f>
        <v>0</v>
      </c>
      <c r="S97" s="27">
        <f>rebio23_80ml!S98/50</f>
        <v>0</v>
      </c>
      <c r="T97" s="27">
        <f>rebio23_80ml!T98/50</f>
        <v>0</v>
      </c>
      <c r="U97" s="27">
        <f>rebio23_80ml!U98/50</f>
        <v>0</v>
      </c>
      <c r="V97" s="27">
        <f>rebio23_80ml!V98/50</f>
        <v>0</v>
      </c>
      <c r="W97" s="27">
        <f>rebio23_80ml!W98/50</f>
        <v>0</v>
      </c>
      <c r="X97" s="27">
        <f>rebio23_80ml!X98/50</f>
        <v>0</v>
      </c>
      <c r="Y97" s="27">
        <f>rebio23_80ml!Y98/50</f>
        <v>0</v>
      </c>
      <c r="Z97" s="27">
        <f>rebio23_80ml!Z98/50</f>
        <v>0</v>
      </c>
      <c r="AA97" s="27">
        <f>rebio23_80ml!AA98/50</f>
        <v>0</v>
      </c>
      <c r="AB97" s="27">
        <f>rebio23_80ml!AB98/50</f>
        <v>0</v>
      </c>
      <c r="AC97" s="27">
        <f>rebio23_80ml!AC98/50</f>
        <v>0</v>
      </c>
      <c r="AD97" s="27">
        <f>rebio23_80ml!AD98/50</f>
        <v>0</v>
      </c>
      <c r="AE97" s="27">
        <f>rebio23_80ml!AE98/50</f>
        <v>0</v>
      </c>
      <c r="AF97" s="27">
        <f>rebio23_80ml!AF98/50</f>
        <v>0</v>
      </c>
      <c r="AG97" s="27">
        <f>rebio23_80ml!AG98/50</f>
        <v>0</v>
      </c>
      <c r="AH97" s="27">
        <f>rebio23_80ml!AH98/50</f>
        <v>0</v>
      </c>
      <c r="AI97" s="27">
        <f>rebio23_80ml!AI98/50</f>
        <v>0</v>
      </c>
      <c r="AJ97" s="27">
        <f>rebio23_80ml!AJ98/50</f>
        <v>0</v>
      </c>
      <c r="AK97" s="27">
        <f>rebio23_80ml!AK98/50</f>
        <v>0</v>
      </c>
      <c r="AL97" s="27">
        <f>rebio23_80ml!AL98/50</f>
        <v>0</v>
      </c>
      <c r="AM97" s="27">
        <f>rebio23_80ml!AM98/50</f>
        <v>0</v>
      </c>
      <c r="AN97" s="27">
        <f>rebio23_80ml!AN98/50</f>
        <v>0</v>
      </c>
      <c r="AO97" s="27">
        <f>rebio23_80ml!AO98/50</f>
        <v>0</v>
      </c>
      <c r="AP97" s="27">
        <f>rebio23_80ml!AP98/50</f>
        <v>0</v>
      </c>
      <c r="AQ97" s="27">
        <f>rebio23_80ml!AQ98/50</f>
        <v>0</v>
      </c>
      <c r="AR97" s="27">
        <f>rebio23_80ml!AR98/50</f>
        <v>0</v>
      </c>
      <c r="AS97" s="27">
        <f>rebio23_80ml!AS98/50</f>
        <v>0</v>
      </c>
      <c r="AT97" s="27">
        <f>rebio23_80ml!AT98/50</f>
        <v>0</v>
      </c>
      <c r="AU97" s="27">
        <f>rebio23_80ml!AU98/50</f>
        <v>0</v>
      </c>
      <c r="AV97" s="27">
        <f>rebio23_80ml!AV98/50</f>
        <v>0</v>
      </c>
      <c r="AW97" s="27">
        <f>rebio23_80ml!AW98/50</f>
        <v>0</v>
      </c>
      <c r="AX97" s="27">
        <f>rebio23_80ml!AX98/50</f>
        <v>0</v>
      </c>
      <c r="AY97" s="27">
        <f>rebio23_80ml!AY98/50</f>
        <v>0</v>
      </c>
      <c r="AZ97" s="27">
        <f>rebio23_80ml!AZ98/50</f>
        <v>0</v>
      </c>
      <c r="BA97" s="27">
        <f>rebio23_80ml!BA98/50</f>
        <v>0</v>
      </c>
      <c r="BB97" s="27">
        <f>rebio23_80ml!BB98/50</f>
        <v>0</v>
      </c>
      <c r="BC97" s="27">
        <f>rebio23_80ml!BC98/50</f>
        <v>0</v>
      </c>
      <c r="BD97" s="27">
        <f>rebio23_80ml!BD98/50</f>
        <v>0</v>
      </c>
      <c r="BE97" s="27">
        <f>rebio23_80ml!BE98/50</f>
        <v>0</v>
      </c>
      <c r="BF97" s="27">
        <f>rebio23_80ml!BF98/50</f>
        <v>0</v>
      </c>
      <c r="BG97" s="27">
        <f>rebio23_80ml!BG98/50</f>
        <v>0</v>
      </c>
    </row>
    <row r="98" spans="1:59" ht="12.7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59" ht="12.7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59" ht="12.7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59" ht="12.7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59" ht="12.7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59" ht="12.7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59" ht="12.7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59" ht="12.7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59" ht="12.7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59" ht="12.7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59" ht="12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59" ht="12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59" ht="12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59" ht="12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59" ht="12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2.7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2.7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2.7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2.7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2.7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2.7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2.7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2.7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2.7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2.7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2.7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2.7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2.7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2.7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2.7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2.7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2.7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2.7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2.7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2.7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2.7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2.7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2.7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2.7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2.7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2.7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2.7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2.7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2.7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2.7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2.7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2.7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2.7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2.7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2.7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2.7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2.7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2.7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2.7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2.7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2.7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2.7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2.7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2.7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2.7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2.7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2.7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2.7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2.7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2.7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2.7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2.7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2.7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2.7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2.7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2.7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2.7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2.7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2.7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2.7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2.7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2.7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2.7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2.7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2.7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2.7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2.7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2.7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2.7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2.7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2.7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2.7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2.7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2.7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2.7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2.7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2.7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2.7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2.7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2.7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2.7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2.7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2.7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2.7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2.7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2.7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2.7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2.7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7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7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7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7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7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7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7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7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7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7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7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7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7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7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7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7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7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7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7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7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7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7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7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7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7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7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7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7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7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7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7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7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7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2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2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2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2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2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2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2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2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2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2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2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2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2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2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2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2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2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2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2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2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2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2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2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2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2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2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2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2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2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2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2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2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2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2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2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2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2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2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2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2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2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2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2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2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2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2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2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2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2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2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2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2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2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2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2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2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2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2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2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2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2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2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2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2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2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2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2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2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2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1048561" ht="12.75" customHeight="1" x14ac:dyDescent="0.25"/>
    <row r="1048562" ht="12.75" customHeight="1" x14ac:dyDescent="0.25"/>
    <row r="1048563" ht="12.75" customHeight="1" x14ac:dyDescent="0.25"/>
    <row r="1048564" ht="12.75" customHeight="1" x14ac:dyDescent="0.25"/>
    <row r="1048565" ht="12.75" customHeight="1" x14ac:dyDescent="0.25"/>
    <row r="1048566" ht="12.75" customHeight="1" x14ac:dyDescent="0.25"/>
    <row r="1048567" ht="12.75" customHeight="1" x14ac:dyDescent="0.25"/>
    <row r="1048568" ht="12.75" customHeight="1" x14ac:dyDescent="0.25"/>
    <row r="1048569" ht="12.75" customHeight="1" x14ac:dyDescent="0.25"/>
    <row r="1048570" ht="12.75" customHeight="1" x14ac:dyDescent="0.25"/>
    <row r="1048571" ht="12.75" customHeight="1" x14ac:dyDescent="0.25"/>
    <row r="1048572" ht="12.75" customHeight="1" x14ac:dyDescent="0.25"/>
    <row r="1048573" ht="12.75" customHeight="1" x14ac:dyDescent="0.25"/>
    <row r="1048574" ht="12.75" customHeight="1" x14ac:dyDescent="0.25"/>
    <row r="1048575" ht="12.75" customHeight="1" x14ac:dyDescent="0.25"/>
    <row r="1048576" ht="12.75" customHeight="1" x14ac:dyDescent="0.25"/>
  </sheetData>
  <pageMargins left="0.7" right="0.7" top="2.3250000000000002" bottom="2.3250000000000002" header="0.511811023622047" footer="0.511811023622047"/>
  <pageSetup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O1000"/>
  <sheetViews>
    <sheetView zoomScale="60" zoomScaleNormal="60" workbookViewId="0"/>
  </sheetViews>
  <sheetFormatPr defaultColWidth="11.5703125" defaultRowHeight="15" customHeight="1" x14ac:dyDescent="0.25"/>
  <cols>
    <col min="1" max="1" width="8.42578125" customWidth="1"/>
    <col min="2" max="1024" width="9.42578125" customWidth="1"/>
  </cols>
  <sheetData>
    <row r="1" spans="1:67" ht="12.75" customHeight="1" x14ac:dyDescent="0.25">
      <c r="A1" s="26"/>
      <c r="B1" s="3" t="str">
        <f>rebio23_80ml!B2</f>
        <v>Alo.dadayi</v>
      </c>
      <c r="C1" s="3" t="str">
        <f>rebio23_80ml!C2</f>
        <v>Alo.hamulata</v>
      </c>
      <c r="D1" s="3" t="str">
        <f>rebio23_80ml!D2</f>
        <v>Alonella.sp</v>
      </c>
      <c r="E1" s="3" t="str">
        <f>rebio23_80ml!E2</f>
        <v>Bdelloidea</v>
      </c>
      <c r="F1" s="3" t="str">
        <f>rebio23_80ml!F2</f>
        <v>Bra.patulus</v>
      </c>
      <c r="G1" s="3" t="str">
        <f>rebio23_80ml!G2</f>
        <v>Cephalodella.sp</v>
      </c>
      <c r="H1" s="3" t="str">
        <f>rebio23_80ml!H2</f>
        <v>Colurella.sp</v>
      </c>
      <c r="I1" s="3" t="str">
        <f>rebio23_80ml!I2</f>
        <v>Copepodite</v>
      </c>
      <c r="J1" s="3" t="str">
        <f>rebio23_80ml!J2</f>
        <v>Chydorus.sp</v>
      </c>
      <c r="K1" s="3" t="str">
        <f>rebio23_80ml!K2</f>
        <v>Dicranophoroides.sp</v>
      </c>
      <c r="L1" s="3" t="str">
        <f>rebio23_80ml!L2</f>
        <v>Dia.birgei</v>
      </c>
      <c r="M1" s="3" t="str">
        <f>rebio23_80ml!M2</f>
        <v>Dia.spinulosum</v>
      </c>
      <c r="N1" s="3" t="str">
        <f>rebio23_80ml!N2</f>
        <v>Dis.aculeata</v>
      </c>
      <c r="O1" s="3" t="str">
        <f>rebio23_80ml!O2</f>
        <v>Euc.dilatata</v>
      </c>
      <c r="P1" s="3" t="str">
        <f>rebio23_80ml!P2</f>
        <v>Fil.longiseta</v>
      </c>
      <c r="Q1" s="3" t="str">
        <f>rebio23_80ml!Q2</f>
        <v>Ily.spinifer</v>
      </c>
      <c r="R1" s="3" t="str">
        <f>rebio23_80ml!R2</f>
        <v>Lec.aculeata</v>
      </c>
      <c r="S1" s="3" t="str">
        <f>rebio23_80ml!S2</f>
        <v>Lec.bulla</v>
      </c>
      <c r="T1" s="3" t="str">
        <f>rebio23_80ml!T2</f>
        <v>Lec.cornuta</v>
      </c>
      <c r="U1" s="3" t="str">
        <f>rebio23_80ml!U2</f>
        <v>Lec.crepida</v>
      </c>
      <c r="V1" s="3" t="str">
        <f>rebio23_80ml!V2</f>
        <v>Lec.curvicornis</v>
      </c>
      <c r="W1" s="3" t="str">
        <f>rebio23_80ml!W2</f>
        <v>Lec.furcata</v>
      </c>
      <c r="X1" s="3" t="str">
        <f>rebio23_80ml!X2</f>
        <v>Lecane.sp1</v>
      </c>
      <c r="Y1" s="3" t="str">
        <f>rebio23_80ml!Y2</f>
        <v>Lec.leontina</v>
      </c>
      <c r="Z1" s="3" t="str">
        <f>rebio23_80ml!Z2</f>
        <v>Lec.lunaris</v>
      </c>
      <c r="AA1" s="3" t="str">
        <f>rebio23_80ml!AA2</f>
        <v>Lec.luna</v>
      </c>
      <c r="AB1" s="3" t="str">
        <f>rebio23_80ml!AB2</f>
        <v>Lec.monostyla</v>
      </c>
      <c r="AC1" s="3" t="str">
        <f>rebio23_80ml!AC2</f>
        <v>Lecane.sp2</v>
      </c>
      <c r="AD1" s="3" t="str">
        <f>rebio23_80ml!AD2</f>
        <v>Lec.papuana</v>
      </c>
      <c r="AE1" s="3" t="str">
        <f>rebio23_80ml!AE2</f>
        <v>Lec.quadridentata</v>
      </c>
      <c r="AF1" s="3" t="str">
        <f>rebio23_80ml!AF2</f>
        <v>Lecane.sp3</v>
      </c>
      <c r="AG1" s="3" t="str">
        <f>rebio23_80ml!AG2</f>
        <v>Leydigia.sp</v>
      </c>
      <c r="AH1" s="3" t="str">
        <f>rebio23_80ml!AH2</f>
        <v>Lepadella.sp1</v>
      </c>
      <c r="AI1" s="3" t="str">
        <f>rebio23_80ml!AI2</f>
        <v>Lepadella.sp2</v>
      </c>
      <c r="AJ1" s="3" t="str">
        <f>rebio23_80ml!AJ2</f>
        <v>Lep.ovalis</v>
      </c>
      <c r="AK1" s="3" t="str">
        <f>rebio23_80ml!AK2</f>
        <v>Lep.patella</v>
      </c>
      <c r="AL1" s="3" t="str">
        <f>rebio23_80ml!AL2</f>
        <v>Mesocyclops.sp</v>
      </c>
      <c r="AM1" s="3" t="str">
        <f>rebio23_80ml!AM2</f>
        <v>Macrocyclops.sp</v>
      </c>
      <c r="AN1" s="3" t="str">
        <f>rebio23_80ml!AN2</f>
        <v>Macrochaetus.sp</v>
      </c>
      <c r="AO1" s="3" t="str">
        <f>rebio23_80ml!AO2</f>
        <v>Macrothrix.sp</v>
      </c>
      <c r="AP1" s="3" t="str">
        <f>rebio23_80ml!AP2</f>
        <v>Mac.mira</v>
      </c>
      <c r="AQ1" s="3" t="str">
        <f>rebio23_80ml!AQ2</f>
        <v>Mac.laticornis</v>
      </c>
      <c r="AR1" s="3" t="str">
        <f>rebio23_80ml!AR2</f>
        <v>Moi.minuta</v>
      </c>
      <c r="AS1" s="3" t="str">
        <f>rebio23_80ml!AS2</f>
        <v>Myt.crassipes</v>
      </c>
      <c r="AT1" s="3" t="str">
        <f>rebio23_80ml!AT2</f>
        <v>Mytilina.sp</v>
      </c>
      <c r="AU1" s="3" t="str">
        <f>rebio23_80ml!AU2</f>
        <v>Myt.bisulcata</v>
      </c>
      <c r="AV1" s="3" t="str">
        <f>rebio23_80ml!AV2</f>
        <v>Nauplii</v>
      </c>
      <c r="AW1" s="3" t="str">
        <f>rebio23_80ml!AW2</f>
        <v>Notodiaptomus.sp</v>
      </c>
      <c r="AX1" s="3" t="str">
        <f>rebio23_80ml!AX2</f>
        <v>Paracyclops.sp</v>
      </c>
      <c r="AY1" s="3" t="str">
        <f>rebio23_80ml!AY2</f>
        <v>Pla.quadricornis</v>
      </c>
      <c r="AZ1" s="3" t="str">
        <f>rebio23_80ml!AZ2</f>
        <v>Polyarthra.sp</v>
      </c>
      <c r="BA1" s="3" t="str">
        <f>rebio23_80ml!BA2</f>
        <v>Pol.bicerca</v>
      </c>
      <c r="BB1" s="3" t="str">
        <f>rebio23_80ml!BB2</f>
        <v>Pol.dolichoptera</v>
      </c>
      <c r="BC1" s="3" t="str">
        <f>rebio23_80ml!BC2</f>
        <v>Pol.vulgaris</v>
      </c>
      <c r="BD1" s="3" t="str">
        <f>rebio23_80ml!BD2</f>
        <v>Tes.patina</v>
      </c>
      <c r="BE1" s="3" t="str">
        <f>rebio23_80ml!BE2</f>
        <v>Tes.mucronata</v>
      </c>
      <c r="BF1" s="3" t="str">
        <f>rebio23_80ml!BF2</f>
        <v>Trichocerca.sp</v>
      </c>
      <c r="BG1" s="3" t="str">
        <f>rebio23_80ml!BG2</f>
        <v>Tri.tetractis</v>
      </c>
      <c r="BI1" s="3"/>
      <c r="BJ1" s="3"/>
      <c r="BK1" s="3"/>
      <c r="BL1" s="3"/>
      <c r="BM1" s="3"/>
      <c r="BN1" s="3"/>
      <c r="BO1" s="3"/>
    </row>
    <row r="2" spans="1:67" ht="12.75" customHeight="1" x14ac:dyDescent="0.25">
      <c r="A2" s="4" t="s">
        <v>305</v>
      </c>
      <c r="B2" s="28">
        <f>AVERAGE(densidade_hab_indL!B2:B4)</f>
        <v>0</v>
      </c>
      <c r="C2" s="28">
        <f>AVERAGE(densidade_hab_indL!C2:C4)</f>
        <v>0</v>
      </c>
      <c r="D2" s="28">
        <f>AVERAGE(densidade_hab_indL!D2:D4)</f>
        <v>0</v>
      </c>
      <c r="E2" s="28">
        <f>AVERAGE(densidade_hab_indL!E2:E4)</f>
        <v>0.61333333333333329</v>
      </c>
      <c r="F2" s="28">
        <f>AVERAGE(densidade_hab_indL!F2:F4)</f>
        <v>0</v>
      </c>
      <c r="G2" s="28">
        <f>AVERAGE(densidade_hab_indL!G2:G4)</f>
        <v>0</v>
      </c>
      <c r="H2" s="28">
        <f>AVERAGE(densidade_hab_indL!H2:H4)</f>
        <v>0</v>
      </c>
      <c r="I2" s="28">
        <f>AVERAGE(densidade_hab_indL!I2:I4)</f>
        <v>0.04</v>
      </c>
      <c r="J2" s="28">
        <f>AVERAGE(densidade_hab_indL!J2:J4)</f>
        <v>0</v>
      </c>
      <c r="K2" s="28">
        <f>AVERAGE(densidade_hab_indL!K2:K4)</f>
        <v>0</v>
      </c>
      <c r="L2" s="28">
        <f>AVERAGE(densidade_hab_indL!L2:L4)</f>
        <v>0</v>
      </c>
      <c r="M2" s="28">
        <f>AVERAGE(densidade_hab_indL!M2:M4)</f>
        <v>0</v>
      </c>
      <c r="N2" s="28">
        <f>AVERAGE(densidade_hab_indL!N2:N4)</f>
        <v>0</v>
      </c>
      <c r="O2" s="28">
        <f>AVERAGE(densidade_hab_indL!O2:O4)</f>
        <v>0</v>
      </c>
      <c r="P2" s="28">
        <f>AVERAGE(densidade_hab_indL!P2:P4)</f>
        <v>0</v>
      </c>
      <c r="Q2" s="28">
        <f>AVERAGE(densidade_hab_indL!Q2:Q4)</f>
        <v>0</v>
      </c>
      <c r="R2" s="28">
        <f>AVERAGE(densidade_hab_indL!R2:R4)</f>
        <v>0</v>
      </c>
      <c r="S2" s="28">
        <f>AVERAGE(densidade_hab_indL!S2:S4)</f>
        <v>0.02</v>
      </c>
      <c r="T2" s="28">
        <f>AVERAGE(densidade_hab_indL!T2:T4)</f>
        <v>0</v>
      </c>
      <c r="U2" s="28">
        <f>AVERAGE(densidade_hab_indL!U2:U4)</f>
        <v>0</v>
      </c>
      <c r="V2" s="28">
        <f>AVERAGE(densidade_hab_indL!V2:V4)</f>
        <v>0</v>
      </c>
      <c r="W2" s="28">
        <f>AVERAGE(densidade_hab_indL!W2:W4)</f>
        <v>0</v>
      </c>
      <c r="X2" s="28">
        <f>AVERAGE(densidade_hab_indL!X2:X4)</f>
        <v>0</v>
      </c>
      <c r="Y2" s="28">
        <f>AVERAGE(densidade_hab_indL!Y2:Y4)</f>
        <v>0</v>
      </c>
      <c r="Z2" s="28">
        <f>AVERAGE(densidade_hab_indL!Z2:Z4)</f>
        <v>0</v>
      </c>
      <c r="AA2" s="28">
        <f>AVERAGE(densidade_hab_indL!AA2:AA4)</f>
        <v>0</v>
      </c>
      <c r="AB2" s="28">
        <f>AVERAGE(densidade_hab_indL!AB2:AB4)</f>
        <v>0</v>
      </c>
      <c r="AC2" s="28">
        <f>AVERAGE(densidade_hab_indL!AC2:AC4)</f>
        <v>0</v>
      </c>
      <c r="AD2" s="28">
        <f>AVERAGE(densidade_hab_indL!AD2:AD4)</f>
        <v>0</v>
      </c>
      <c r="AE2" s="28">
        <f>AVERAGE(densidade_hab_indL!AE2:AE4)</f>
        <v>0</v>
      </c>
      <c r="AF2" s="28">
        <f>AVERAGE(densidade_hab_indL!AF2:AF4)</f>
        <v>0</v>
      </c>
      <c r="AG2" s="28">
        <f>AVERAGE(densidade_hab_indL!AG2:AG4)</f>
        <v>0</v>
      </c>
      <c r="AH2" s="28">
        <f>AVERAGE(densidade_hab_indL!AH2:AH4)</f>
        <v>0</v>
      </c>
      <c r="AI2" s="28">
        <f>AVERAGE(densidade_hab_indL!AI2:AI4)</f>
        <v>0</v>
      </c>
      <c r="AJ2" s="28">
        <f>AVERAGE(densidade_hab_indL!AJ2:AJ4)</f>
        <v>0</v>
      </c>
      <c r="AK2" s="28">
        <f>AVERAGE(densidade_hab_indL!AK2:AK4)</f>
        <v>0</v>
      </c>
      <c r="AL2" s="28">
        <f>AVERAGE(densidade_hab_indL!AL2:AL4)</f>
        <v>0</v>
      </c>
      <c r="AM2" s="28">
        <f>AVERAGE(densidade_hab_indL!AM2:AM4)</f>
        <v>0</v>
      </c>
      <c r="AN2" s="28">
        <f>AVERAGE(densidade_hab_indL!AN2:AN4)</f>
        <v>0</v>
      </c>
      <c r="AO2" s="28">
        <f>AVERAGE(densidade_hab_indL!AO2:AO4)</f>
        <v>6.6666666666666671E-3</v>
      </c>
      <c r="AP2" s="28">
        <f>AVERAGE(densidade_hab_indL!AP2:AP4)</f>
        <v>0</v>
      </c>
      <c r="AQ2" s="28">
        <f>AVERAGE(densidade_hab_indL!AQ2:AQ4)</f>
        <v>0</v>
      </c>
      <c r="AR2" s="28">
        <f>AVERAGE(densidade_hab_indL!AR2:AR4)</f>
        <v>0</v>
      </c>
      <c r="AS2" s="28">
        <f>AVERAGE(densidade_hab_indL!AS2:AS4)</f>
        <v>0</v>
      </c>
      <c r="AT2" s="28">
        <f>AVERAGE(densidade_hab_indL!AT2:AT4)</f>
        <v>0</v>
      </c>
      <c r="AU2" s="28">
        <f>AVERAGE(densidade_hab_indL!AU2:AU4)</f>
        <v>0</v>
      </c>
      <c r="AV2" s="28">
        <f>AVERAGE(densidade_hab_indL!AV2:AV4)</f>
        <v>0.06</v>
      </c>
      <c r="AW2" s="28">
        <f>AVERAGE(densidade_hab_indL!AW2:AW4)</f>
        <v>0</v>
      </c>
      <c r="AX2" s="28">
        <f>AVERAGE(densidade_hab_indL!AX2:AX4)</f>
        <v>1.3333333333333334E-2</v>
      </c>
      <c r="AY2" s="28">
        <f>AVERAGE(densidade_hab_indL!AY2:AY4)</f>
        <v>0</v>
      </c>
      <c r="AZ2" s="28">
        <f>AVERAGE(densidade_hab_indL!AZ2:AZ4)</f>
        <v>6.6666666666666671E-3</v>
      </c>
      <c r="BA2" s="28">
        <f>AVERAGE(densidade_hab_indL!BA2:BA4)</f>
        <v>0</v>
      </c>
      <c r="BB2" s="28">
        <f>AVERAGE(densidade_hab_indL!BB2:BB4)</f>
        <v>6.6666666666666671E-3</v>
      </c>
      <c r="BC2" s="28">
        <f>AVERAGE(densidade_hab_indL!BC2:BC4)</f>
        <v>0</v>
      </c>
      <c r="BD2" s="28">
        <f>AVERAGE(densidade_hab_indL!BD2:BD4)</f>
        <v>0</v>
      </c>
      <c r="BE2" s="28">
        <f>AVERAGE(densidade_hab_indL!BE2:BE4)</f>
        <v>0</v>
      </c>
      <c r="BF2" s="28">
        <f>AVERAGE(densidade_hab_indL!BF2:BF4)</f>
        <v>0</v>
      </c>
      <c r="BG2" s="28">
        <f>AVERAGE(densidade_hab_indL!BG2:BG4)</f>
        <v>0</v>
      </c>
    </row>
    <row r="3" spans="1:67" ht="12.75" customHeight="1" x14ac:dyDescent="0.25">
      <c r="A3" s="4" t="s">
        <v>306</v>
      </c>
      <c r="B3" s="28">
        <f>AVERAGE(densidade_hab_indL!B5:B7)</f>
        <v>6.6666666666666671E-3</v>
      </c>
      <c r="C3" s="28">
        <f>AVERAGE(densidade_hab_indL!C5:C7)</f>
        <v>0</v>
      </c>
      <c r="D3" s="28">
        <f>AVERAGE(densidade_hab_indL!D5:D7)</f>
        <v>0</v>
      </c>
      <c r="E3" s="28">
        <f>AVERAGE(densidade_hab_indL!E5:E7)</f>
        <v>1.1533333333333333</v>
      </c>
      <c r="F3" s="28">
        <f>AVERAGE(densidade_hab_indL!F5:F7)</f>
        <v>0</v>
      </c>
      <c r="G3" s="28">
        <f>AVERAGE(densidade_hab_indL!G5:G7)</f>
        <v>0</v>
      </c>
      <c r="H3" s="28">
        <f>AVERAGE(densidade_hab_indL!H5:H7)</f>
        <v>0</v>
      </c>
      <c r="I3" s="28">
        <f>AVERAGE(densidade_hab_indL!I5:I7)</f>
        <v>6.6666666666666671E-3</v>
      </c>
      <c r="J3" s="28">
        <f>AVERAGE(densidade_hab_indL!J5:J7)</f>
        <v>0</v>
      </c>
      <c r="K3" s="28">
        <f>AVERAGE(densidade_hab_indL!K5:K7)</f>
        <v>0</v>
      </c>
      <c r="L3" s="28">
        <f>AVERAGE(densidade_hab_indL!L5:L7)</f>
        <v>0</v>
      </c>
      <c r="M3" s="28">
        <f>AVERAGE(densidade_hab_indL!M5:M7)</f>
        <v>0</v>
      </c>
      <c r="N3" s="28">
        <f>AVERAGE(densidade_hab_indL!N5:N7)</f>
        <v>0</v>
      </c>
      <c r="O3" s="28">
        <f>AVERAGE(densidade_hab_indL!O5:O7)</f>
        <v>0</v>
      </c>
      <c r="P3" s="28">
        <f>AVERAGE(densidade_hab_indL!P5:P7)</f>
        <v>0</v>
      </c>
      <c r="Q3" s="28">
        <f>AVERAGE(densidade_hab_indL!Q5:Q7)</f>
        <v>0</v>
      </c>
      <c r="R3" s="28">
        <f>AVERAGE(densidade_hab_indL!R5:R7)</f>
        <v>0</v>
      </c>
      <c r="S3" s="28">
        <f>AVERAGE(densidade_hab_indL!S5:S7)</f>
        <v>0</v>
      </c>
      <c r="T3" s="28">
        <f>AVERAGE(densidade_hab_indL!T5:T7)</f>
        <v>0</v>
      </c>
      <c r="U3" s="28">
        <f>AVERAGE(densidade_hab_indL!U5:U7)</f>
        <v>0</v>
      </c>
      <c r="V3" s="28">
        <f>AVERAGE(densidade_hab_indL!V5:V7)</f>
        <v>0</v>
      </c>
      <c r="W3" s="28">
        <f>AVERAGE(densidade_hab_indL!W5:W7)</f>
        <v>0</v>
      </c>
      <c r="X3" s="28">
        <f>AVERAGE(densidade_hab_indL!X5:X7)</f>
        <v>0</v>
      </c>
      <c r="Y3" s="28">
        <f>AVERAGE(densidade_hab_indL!Y5:Y7)</f>
        <v>0</v>
      </c>
      <c r="Z3" s="28">
        <f>AVERAGE(densidade_hab_indL!Z5:Z7)</f>
        <v>0</v>
      </c>
      <c r="AA3" s="28">
        <f>AVERAGE(densidade_hab_indL!AA5:AA7)</f>
        <v>0</v>
      </c>
      <c r="AB3" s="28">
        <f>AVERAGE(densidade_hab_indL!AB5:AB7)</f>
        <v>0</v>
      </c>
      <c r="AC3" s="28">
        <f>AVERAGE(densidade_hab_indL!AC5:AC7)</f>
        <v>0</v>
      </c>
      <c r="AD3" s="28">
        <f>AVERAGE(densidade_hab_indL!AD5:AD7)</f>
        <v>0</v>
      </c>
      <c r="AE3" s="28">
        <f>AVERAGE(densidade_hab_indL!AE5:AE7)</f>
        <v>0</v>
      </c>
      <c r="AF3" s="28">
        <f>AVERAGE(densidade_hab_indL!AF5:AF7)</f>
        <v>0</v>
      </c>
      <c r="AG3" s="28">
        <f>AVERAGE(densidade_hab_indL!AG5:AG7)</f>
        <v>0</v>
      </c>
      <c r="AH3" s="28">
        <f>AVERAGE(densidade_hab_indL!AH5:AH7)</f>
        <v>0</v>
      </c>
      <c r="AI3" s="28">
        <f>AVERAGE(densidade_hab_indL!AI5:AI7)</f>
        <v>0</v>
      </c>
      <c r="AJ3" s="28">
        <f>AVERAGE(densidade_hab_indL!AJ5:AJ7)</f>
        <v>0</v>
      </c>
      <c r="AK3" s="28">
        <f>AVERAGE(densidade_hab_indL!AK5:AK7)</f>
        <v>0</v>
      </c>
      <c r="AL3" s="28">
        <f>AVERAGE(densidade_hab_indL!AL5:AL7)</f>
        <v>0</v>
      </c>
      <c r="AM3" s="28">
        <f>AVERAGE(densidade_hab_indL!AM5:AM7)</f>
        <v>0</v>
      </c>
      <c r="AN3" s="28">
        <f>AVERAGE(densidade_hab_indL!AN5:AN7)</f>
        <v>0</v>
      </c>
      <c r="AO3" s="28">
        <f>AVERAGE(densidade_hab_indL!AO5:AO7)</f>
        <v>0</v>
      </c>
      <c r="AP3" s="28">
        <f>AVERAGE(densidade_hab_indL!AP5:AP7)</f>
        <v>0</v>
      </c>
      <c r="AQ3" s="28">
        <f>AVERAGE(densidade_hab_indL!AQ5:AQ7)</f>
        <v>0</v>
      </c>
      <c r="AR3" s="28">
        <f>AVERAGE(densidade_hab_indL!AR5:AR7)</f>
        <v>0</v>
      </c>
      <c r="AS3" s="28">
        <f>AVERAGE(densidade_hab_indL!AS5:AS7)</f>
        <v>0</v>
      </c>
      <c r="AT3" s="28">
        <f>AVERAGE(densidade_hab_indL!AT5:AT7)</f>
        <v>0</v>
      </c>
      <c r="AU3" s="28">
        <f>AVERAGE(densidade_hab_indL!AU5:AU7)</f>
        <v>0</v>
      </c>
      <c r="AV3" s="28">
        <f>AVERAGE(densidade_hab_indL!AV5:AV7)</f>
        <v>2.6666666666666668E-2</v>
      </c>
      <c r="AW3" s="28">
        <f>AVERAGE(densidade_hab_indL!AW5:AW7)</f>
        <v>0</v>
      </c>
      <c r="AX3" s="28">
        <f>AVERAGE(densidade_hab_indL!AX5:AX7)</f>
        <v>0</v>
      </c>
      <c r="AY3" s="28">
        <f>AVERAGE(densidade_hab_indL!AY5:AY7)</f>
        <v>0</v>
      </c>
      <c r="AZ3" s="28">
        <f>AVERAGE(densidade_hab_indL!AZ5:AZ7)</f>
        <v>0</v>
      </c>
      <c r="BA3" s="28">
        <f>AVERAGE(densidade_hab_indL!BA5:BA7)</f>
        <v>0</v>
      </c>
      <c r="BB3" s="28">
        <f>AVERAGE(densidade_hab_indL!BB5:BB7)</f>
        <v>0</v>
      </c>
      <c r="BC3" s="28">
        <f>AVERAGE(densidade_hab_indL!BC5:BC7)</f>
        <v>0</v>
      </c>
      <c r="BD3" s="28">
        <f>AVERAGE(densidade_hab_indL!BD5:BD7)</f>
        <v>0</v>
      </c>
      <c r="BE3" s="28">
        <f>AVERAGE(densidade_hab_indL!BE5:BE7)</f>
        <v>0</v>
      </c>
      <c r="BF3" s="28">
        <f>AVERAGE(densidade_hab_indL!BF5:BF7)</f>
        <v>0</v>
      </c>
      <c r="BG3" s="28">
        <f>AVERAGE(densidade_hab_indL!BG5:BG7)</f>
        <v>0</v>
      </c>
    </row>
    <row r="4" spans="1:67" ht="12.75" customHeight="1" x14ac:dyDescent="0.25">
      <c r="A4" s="4" t="s">
        <v>307</v>
      </c>
      <c r="B4" s="28">
        <f>AVERAGE(densidade_hab_indL!B8:B10)</f>
        <v>0</v>
      </c>
      <c r="C4" s="28">
        <f>AVERAGE(densidade_hab_indL!C8:C10)</f>
        <v>0</v>
      </c>
      <c r="D4" s="28">
        <f>AVERAGE(densidade_hab_indL!D8:D10)</f>
        <v>0</v>
      </c>
      <c r="E4" s="28">
        <f>AVERAGE(densidade_hab_indL!E8:E10)</f>
        <v>0.97333333333333327</v>
      </c>
      <c r="F4" s="28">
        <f>AVERAGE(densidade_hab_indL!F8:F10)</f>
        <v>0</v>
      </c>
      <c r="G4" s="28">
        <f>AVERAGE(densidade_hab_indL!G8:G10)</f>
        <v>0</v>
      </c>
      <c r="H4" s="28">
        <f>AVERAGE(densidade_hab_indL!H8:H10)</f>
        <v>0</v>
      </c>
      <c r="I4" s="28">
        <f>AVERAGE(densidade_hab_indL!I8:I10)</f>
        <v>1.3333333333333334E-2</v>
      </c>
      <c r="J4" s="28">
        <f>AVERAGE(densidade_hab_indL!J8:J10)</f>
        <v>0</v>
      </c>
      <c r="K4" s="28">
        <f>AVERAGE(densidade_hab_indL!K8:K10)</f>
        <v>0</v>
      </c>
      <c r="L4" s="28">
        <f>AVERAGE(densidade_hab_indL!L8:L10)</f>
        <v>0</v>
      </c>
      <c r="M4" s="28">
        <f>AVERAGE(densidade_hab_indL!M8:M10)</f>
        <v>0</v>
      </c>
      <c r="N4" s="28">
        <f>AVERAGE(densidade_hab_indL!N8:N10)</f>
        <v>0</v>
      </c>
      <c r="O4" s="28">
        <f>AVERAGE(densidade_hab_indL!O8:O10)</f>
        <v>0</v>
      </c>
      <c r="P4" s="28">
        <f>AVERAGE(densidade_hab_indL!P8:P10)</f>
        <v>0</v>
      </c>
      <c r="Q4" s="28">
        <f>AVERAGE(densidade_hab_indL!Q8:Q10)</f>
        <v>0</v>
      </c>
      <c r="R4" s="28">
        <f>AVERAGE(densidade_hab_indL!R8:R10)</f>
        <v>0</v>
      </c>
      <c r="S4" s="28">
        <f>AVERAGE(densidade_hab_indL!S8:S10)</f>
        <v>6.6666666666666671E-3</v>
      </c>
      <c r="T4" s="28">
        <f>AVERAGE(densidade_hab_indL!T8:T10)</f>
        <v>0</v>
      </c>
      <c r="U4" s="28">
        <f>AVERAGE(densidade_hab_indL!U8:U10)</f>
        <v>0</v>
      </c>
      <c r="V4" s="28">
        <f>AVERAGE(densidade_hab_indL!V8:V10)</f>
        <v>0</v>
      </c>
      <c r="W4" s="28">
        <f>AVERAGE(densidade_hab_indL!W8:W10)</f>
        <v>0</v>
      </c>
      <c r="X4" s="28">
        <f>AVERAGE(densidade_hab_indL!X8:X10)</f>
        <v>0</v>
      </c>
      <c r="Y4" s="28">
        <f>AVERAGE(densidade_hab_indL!Y8:Y10)</f>
        <v>0</v>
      </c>
      <c r="Z4" s="28">
        <f>AVERAGE(densidade_hab_indL!Z8:Z10)</f>
        <v>0</v>
      </c>
      <c r="AA4" s="28">
        <f>AVERAGE(densidade_hab_indL!AA8:AA10)</f>
        <v>0</v>
      </c>
      <c r="AB4" s="28">
        <f>AVERAGE(densidade_hab_indL!AB8:AB10)</f>
        <v>0</v>
      </c>
      <c r="AC4" s="28">
        <f>AVERAGE(densidade_hab_indL!AC8:AC10)</f>
        <v>0</v>
      </c>
      <c r="AD4" s="28">
        <f>AVERAGE(densidade_hab_indL!AD8:AD10)</f>
        <v>0</v>
      </c>
      <c r="AE4" s="28">
        <f>AVERAGE(densidade_hab_indL!AE8:AE10)</f>
        <v>0</v>
      </c>
      <c r="AF4" s="28">
        <f>AVERAGE(densidade_hab_indL!AF8:AF10)</f>
        <v>6.6666666666666671E-3</v>
      </c>
      <c r="AG4" s="28">
        <f>AVERAGE(densidade_hab_indL!AG8:AG10)</f>
        <v>0</v>
      </c>
      <c r="AH4" s="28">
        <f>AVERAGE(densidade_hab_indL!AH8:AH10)</f>
        <v>0</v>
      </c>
      <c r="AI4" s="28">
        <f>AVERAGE(densidade_hab_indL!AI8:AI10)</f>
        <v>0</v>
      </c>
      <c r="AJ4" s="28">
        <f>AVERAGE(densidade_hab_indL!AJ8:AJ10)</f>
        <v>0</v>
      </c>
      <c r="AK4" s="28">
        <f>AVERAGE(densidade_hab_indL!AK8:AK10)</f>
        <v>0</v>
      </c>
      <c r="AL4" s="28">
        <f>AVERAGE(densidade_hab_indL!AL8:AL10)</f>
        <v>0</v>
      </c>
      <c r="AM4" s="28">
        <f>AVERAGE(densidade_hab_indL!AM8:AM10)</f>
        <v>0</v>
      </c>
      <c r="AN4" s="28">
        <f>AVERAGE(densidade_hab_indL!AN8:AN10)</f>
        <v>0</v>
      </c>
      <c r="AO4" s="28">
        <f>AVERAGE(densidade_hab_indL!AO8:AO10)</f>
        <v>0</v>
      </c>
      <c r="AP4" s="28">
        <f>AVERAGE(densidade_hab_indL!AP8:AP10)</f>
        <v>0</v>
      </c>
      <c r="AQ4" s="28">
        <f>AVERAGE(densidade_hab_indL!AQ8:AQ10)</f>
        <v>0</v>
      </c>
      <c r="AR4" s="28">
        <f>AVERAGE(densidade_hab_indL!AR8:AR10)</f>
        <v>0</v>
      </c>
      <c r="AS4" s="28">
        <f>AVERAGE(densidade_hab_indL!AS8:AS10)</f>
        <v>0</v>
      </c>
      <c r="AT4" s="28">
        <f>AVERAGE(densidade_hab_indL!AT8:AT10)</f>
        <v>0</v>
      </c>
      <c r="AU4" s="28">
        <f>AVERAGE(densidade_hab_indL!AU8:AU10)</f>
        <v>0</v>
      </c>
      <c r="AV4" s="28">
        <f>AVERAGE(densidade_hab_indL!AV8:AV10)</f>
        <v>4.6666666666666669E-2</v>
      </c>
      <c r="AW4" s="28">
        <f>AVERAGE(densidade_hab_indL!AW8:AW10)</f>
        <v>0</v>
      </c>
      <c r="AX4" s="28">
        <f>AVERAGE(densidade_hab_indL!AX8:AX10)</f>
        <v>6.6666666666666671E-3</v>
      </c>
      <c r="AY4" s="28">
        <f>AVERAGE(densidade_hab_indL!AY8:AY10)</f>
        <v>0</v>
      </c>
      <c r="AZ4" s="28">
        <f>AVERAGE(densidade_hab_indL!AZ8:AZ10)</f>
        <v>1.3333333333333334E-2</v>
      </c>
      <c r="BA4" s="28">
        <f>AVERAGE(densidade_hab_indL!BA8:BA10)</f>
        <v>0</v>
      </c>
      <c r="BB4" s="28">
        <f>AVERAGE(densidade_hab_indL!BB8:BB10)</f>
        <v>0</v>
      </c>
      <c r="BC4" s="28">
        <f>AVERAGE(densidade_hab_indL!BC8:BC10)</f>
        <v>0</v>
      </c>
      <c r="BD4" s="28">
        <f>AVERAGE(densidade_hab_indL!BD8:BD10)</f>
        <v>0</v>
      </c>
      <c r="BE4" s="28">
        <f>AVERAGE(densidade_hab_indL!BE8:BE10)</f>
        <v>0</v>
      </c>
      <c r="BF4" s="28">
        <f>AVERAGE(densidade_hab_indL!BF8:BF10)</f>
        <v>0</v>
      </c>
      <c r="BG4" s="28">
        <f>AVERAGE(densidade_hab_indL!BG8:BG10)</f>
        <v>0</v>
      </c>
    </row>
    <row r="5" spans="1:67" ht="12.75" customHeight="1" x14ac:dyDescent="0.25">
      <c r="A5" s="4" t="s">
        <v>308</v>
      </c>
      <c r="B5" s="28">
        <f>AVERAGE(densidade_hab_indL!B11:B13)</f>
        <v>5.3333333333333323E-2</v>
      </c>
      <c r="C5" s="28">
        <f>AVERAGE(densidade_hab_indL!C11:C13)</f>
        <v>0</v>
      </c>
      <c r="D5" s="28">
        <f>AVERAGE(densidade_hab_indL!D11:D13)</f>
        <v>0</v>
      </c>
      <c r="E5" s="28">
        <f>AVERAGE(densidade_hab_indL!E11:E13)</f>
        <v>1.1333333333333333</v>
      </c>
      <c r="F5" s="28">
        <f>AVERAGE(densidade_hab_indL!F11:F13)</f>
        <v>0</v>
      </c>
      <c r="G5" s="28">
        <f>AVERAGE(densidade_hab_indL!G11:G13)</f>
        <v>0</v>
      </c>
      <c r="H5" s="28">
        <f>AVERAGE(densidade_hab_indL!H11:H13)</f>
        <v>6.6666666666666671E-3</v>
      </c>
      <c r="I5" s="28">
        <f>AVERAGE(densidade_hab_indL!I11:I13)</f>
        <v>1.04</v>
      </c>
      <c r="J5" s="28">
        <f>AVERAGE(densidade_hab_indL!J11:J13)</f>
        <v>0</v>
      </c>
      <c r="K5" s="28">
        <f>AVERAGE(densidade_hab_indL!K11:K13)</f>
        <v>0</v>
      </c>
      <c r="L5" s="28">
        <f>AVERAGE(densidade_hab_indL!L11:L13)</f>
        <v>0</v>
      </c>
      <c r="M5" s="28">
        <f>AVERAGE(densidade_hab_indL!M11:M13)</f>
        <v>0</v>
      </c>
      <c r="N5" s="28">
        <f>AVERAGE(densidade_hab_indL!N11:N13)</f>
        <v>0</v>
      </c>
      <c r="O5" s="28">
        <f>AVERAGE(densidade_hab_indL!O11:O13)</f>
        <v>0</v>
      </c>
      <c r="P5" s="28">
        <f>AVERAGE(densidade_hab_indL!P11:P13)</f>
        <v>6.6666666666666671E-3</v>
      </c>
      <c r="Q5" s="28">
        <f>AVERAGE(densidade_hab_indL!Q11:Q13)</f>
        <v>6.6666666666666671E-3</v>
      </c>
      <c r="R5" s="28">
        <f>AVERAGE(densidade_hab_indL!R11:R13)</f>
        <v>0</v>
      </c>
      <c r="S5" s="28">
        <f>AVERAGE(densidade_hab_indL!S11:S13)</f>
        <v>6.6666666666666666E-2</v>
      </c>
      <c r="T5" s="28">
        <f>AVERAGE(densidade_hab_indL!T11:T13)</f>
        <v>0</v>
      </c>
      <c r="U5" s="28">
        <f>AVERAGE(densidade_hab_indL!U11:U13)</f>
        <v>3.3333333333333333E-2</v>
      </c>
      <c r="V5" s="28">
        <f>AVERAGE(densidade_hab_indL!V11:V13)</f>
        <v>6.6666666666666671E-3</v>
      </c>
      <c r="W5" s="28">
        <f>AVERAGE(densidade_hab_indL!W11:W13)</f>
        <v>0</v>
      </c>
      <c r="X5" s="28">
        <f>AVERAGE(densidade_hab_indL!X11:X13)</f>
        <v>6.6666666666666671E-3</v>
      </c>
      <c r="Y5" s="28">
        <f>AVERAGE(densidade_hab_indL!Y11:Y13)</f>
        <v>6.6666666666666671E-3</v>
      </c>
      <c r="Z5" s="28">
        <f>AVERAGE(densidade_hab_indL!Z11:Z13)</f>
        <v>1.3333333333333334E-2</v>
      </c>
      <c r="AA5" s="28">
        <f>AVERAGE(densidade_hab_indL!AA11:AA13)</f>
        <v>6.6666666666666666E-2</v>
      </c>
      <c r="AB5" s="28">
        <f>AVERAGE(densidade_hab_indL!AB11:AB13)</f>
        <v>6.6666666666666671E-3</v>
      </c>
      <c r="AC5" s="28">
        <f>AVERAGE(densidade_hab_indL!AC11:AC13)</f>
        <v>0</v>
      </c>
      <c r="AD5" s="28">
        <f>AVERAGE(densidade_hab_indL!AD11:AD13)</f>
        <v>1.3333333333333334E-2</v>
      </c>
      <c r="AE5" s="28">
        <f>AVERAGE(densidade_hab_indL!AE11:AE13)</f>
        <v>1.3333333333333334E-2</v>
      </c>
      <c r="AF5" s="28">
        <f>AVERAGE(densidade_hab_indL!AF11:AF13)</f>
        <v>0</v>
      </c>
      <c r="AG5" s="28">
        <f>AVERAGE(densidade_hab_indL!AG11:AG13)</f>
        <v>0</v>
      </c>
      <c r="AH5" s="28">
        <f>AVERAGE(densidade_hab_indL!AH11:AH13)</f>
        <v>0</v>
      </c>
      <c r="AI5" s="28">
        <f>AVERAGE(densidade_hab_indL!AI11:AI13)</f>
        <v>0</v>
      </c>
      <c r="AJ5" s="28">
        <f>AVERAGE(densidade_hab_indL!AJ11:AJ13)</f>
        <v>1.3333333333333334E-2</v>
      </c>
      <c r="AK5" s="28">
        <f>AVERAGE(densidade_hab_indL!AK11:AK13)</f>
        <v>0</v>
      </c>
      <c r="AL5" s="28">
        <f>AVERAGE(densidade_hab_indL!AL11:AL13)</f>
        <v>2.6666666666666668E-2</v>
      </c>
      <c r="AM5" s="28">
        <f>AVERAGE(densidade_hab_indL!AM11:AM13)</f>
        <v>1.3333333333333334E-2</v>
      </c>
      <c r="AN5" s="28">
        <f>AVERAGE(densidade_hab_indL!AN11:AN13)</f>
        <v>0</v>
      </c>
      <c r="AO5" s="28">
        <f>AVERAGE(densidade_hab_indL!AO11:AO13)</f>
        <v>0</v>
      </c>
      <c r="AP5" s="28">
        <f>AVERAGE(densidade_hab_indL!AP11:AP13)</f>
        <v>6.6666666666666671E-3</v>
      </c>
      <c r="AQ5" s="28">
        <f>AVERAGE(densidade_hab_indL!AQ11:AQ13)</f>
        <v>0</v>
      </c>
      <c r="AR5" s="28">
        <f>AVERAGE(densidade_hab_indL!AR11:AR13)</f>
        <v>0</v>
      </c>
      <c r="AS5" s="28">
        <f>AVERAGE(densidade_hab_indL!AS11:AS13)</f>
        <v>0</v>
      </c>
      <c r="AT5" s="28">
        <f>AVERAGE(densidade_hab_indL!AT11:AT13)</f>
        <v>0</v>
      </c>
      <c r="AU5" s="28">
        <f>AVERAGE(densidade_hab_indL!AU11:AU13)</f>
        <v>6.6666666666666671E-3</v>
      </c>
      <c r="AV5" s="28">
        <f>AVERAGE(densidade_hab_indL!AV11:AV13)</f>
        <v>0.6</v>
      </c>
      <c r="AW5" s="28">
        <f>AVERAGE(densidade_hab_indL!AW11:AW13)</f>
        <v>0</v>
      </c>
      <c r="AX5" s="28">
        <f>AVERAGE(densidade_hab_indL!AX11:AX13)</f>
        <v>9.3333333333333338E-2</v>
      </c>
      <c r="AY5" s="28">
        <f>AVERAGE(densidade_hab_indL!AY11:AY13)</f>
        <v>0</v>
      </c>
      <c r="AZ5" s="28">
        <f>AVERAGE(densidade_hab_indL!AZ11:AZ13)</f>
        <v>0</v>
      </c>
      <c r="BA5" s="28">
        <f>AVERAGE(densidade_hab_indL!BA11:BA13)</f>
        <v>0</v>
      </c>
      <c r="BB5" s="28">
        <f>AVERAGE(densidade_hab_indL!BB11:BB13)</f>
        <v>6.6666666666666671E-3</v>
      </c>
      <c r="BC5" s="28">
        <f>AVERAGE(densidade_hab_indL!BC11:BC13)</f>
        <v>0</v>
      </c>
      <c r="BD5" s="28">
        <f>AVERAGE(densidade_hab_indL!BD11:BD13)</f>
        <v>0</v>
      </c>
      <c r="BE5" s="28">
        <f>AVERAGE(densidade_hab_indL!BE11:BE13)</f>
        <v>0</v>
      </c>
      <c r="BF5" s="28">
        <f>AVERAGE(densidade_hab_indL!BF11:BF13)</f>
        <v>0</v>
      </c>
      <c r="BG5" s="28">
        <f>AVERAGE(densidade_hab_indL!BG11:BG13)</f>
        <v>0</v>
      </c>
    </row>
    <row r="6" spans="1:67" ht="12.75" customHeight="1" x14ac:dyDescent="0.25">
      <c r="A6" s="4" t="s">
        <v>309</v>
      </c>
      <c r="B6" s="28">
        <f>AVERAGE(densidade_hab_indL!B14:B16)</f>
        <v>0</v>
      </c>
      <c r="C6" s="28">
        <f>AVERAGE(densidade_hab_indL!C14:C16)</f>
        <v>0</v>
      </c>
      <c r="D6" s="28">
        <f>AVERAGE(densidade_hab_indL!D14:D16)</f>
        <v>0</v>
      </c>
      <c r="E6" s="28">
        <f>AVERAGE(densidade_hab_indL!E14:E16)</f>
        <v>1.4866666666666666</v>
      </c>
      <c r="F6" s="28">
        <f>AVERAGE(densidade_hab_indL!F14:F16)</f>
        <v>0</v>
      </c>
      <c r="G6" s="28">
        <f>AVERAGE(densidade_hab_indL!G14:G16)</f>
        <v>0</v>
      </c>
      <c r="H6" s="28">
        <f>AVERAGE(densidade_hab_indL!H14:H16)</f>
        <v>1.3333333333333334E-2</v>
      </c>
      <c r="I6" s="28">
        <f>AVERAGE(densidade_hab_indL!I14:I16)</f>
        <v>6.6666666666666671E-3</v>
      </c>
      <c r="J6" s="28">
        <f>AVERAGE(densidade_hab_indL!J14:J16)</f>
        <v>6.6666666666666671E-3</v>
      </c>
      <c r="K6" s="28">
        <f>AVERAGE(densidade_hab_indL!K14:K16)</f>
        <v>0</v>
      </c>
      <c r="L6" s="28">
        <f>AVERAGE(densidade_hab_indL!L14:L16)</f>
        <v>0</v>
      </c>
      <c r="M6" s="28">
        <f>AVERAGE(densidade_hab_indL!M14:M16)</f>
        <v>0</v>
      </c>
      <c r="N6" s="28">
        <f>AVERAGE(densidade_hab_indL!N14:N16)</f>
        <v>0</v>
      </c>
      <c r="O6" s="28">
        <f>AVERAGE(densidade_hab_indL!O14:O16)</f>
        <v>0</v>
      </c>
      <c r="P6" s="28">
        <f>AVERAGE(densidade_hab_indL!P14:P16)</f>
        <v>0</v>
      </c>
      <c r="Q6" s="28">
        <f>AVERAGE(densidade_hab_indL!Q14:Q16)</f>
        <v>0</v>
      </c>
      <c r="R6" s="28">
        <f>AVERAGE(densidade_hab_indL!R14:R16)</f>
        <v>0</v>
      </c>
      <c r="S6" s="28">
        <f>AVERAGE(densidade_hab_indL!S14:S16)</f>
        <v>4.6666666666666669E-2</v>
      </c>
      <c r="T6" s="28">
        <f>AVERAGE(densidade_hab_indL!T14:T16)</f>
        <v>1.3333333333333334E-2</v>
      </c>
      <c r="U6" s="28">
        <f>AVERAGE(densidade_hab_indL!U14:U16)</f>
        <v>6.6666666666666671E-3</v>
      </c>
      <c r="V6" s="28">
        <f>AVERAGE(densidade_hab_indL!V14:V16)</f>
        <v>0</v>
      </c>
      <c r="W6" s="28">
        <f>AVERAGE(densidade_hab_indL!W14:W16)</f>
        <v>0</v>
      </c>
      <c r="X6" s="28">
        <f>AVERAGE(densidade_hab_indL!X14:X16)</f>
        <v>0</v>
      </c>
      <c r="Y6" s="28">
        <f>AVERAGE(densidade_hab_indL!Y14:Y16)</f>
        <v>6.6666666666666671E-3</v>
      </c>
      <c r="Z6" s="28">
        <f>AVERAGE(densidade_hab_indL!Z14:Z16)</f>
        <v>0.02</v>
      </c>
      <c r="AA6" s="28">
        <f>AVERAGE(densidade_hab_indL!AA14:AA16)</f>
        <v>0</v>
      </c>
      <c r="AB6" s="28">
        <f>AVERAGE(densidade_hab_indL!AB14:AB16)</f>
        <v>0</v>
      </c>
      <c r="AC6" s="28">
        <f>AVERAGE(densidade_hab_indL!AC14:AC16)</f>
        <v>0</v>
      </c>
      <c r="AD6" s="28">
        <f>AVERAGE(densidade_hab_indL!AD14:AD16)</f>
        <v>0</v>
      </c>
      <c r="AE6" s="28">
        <f>AVERAGE(densidade_hab_indL!AE14:AE16)</f>
        <v>0</v>
      </c>
      <c r="AF6" s="28">
        <f>AVERAGE(densidade_hab_indL!AF14:AF16)</f>
        <v>0</v>
      </c>
      <c r="AG6" s="28">
        <f>AVERAGE(densidade_hab_indL!AG14:AG16)</f>
        <v>0</v>
      </c>
      <c r="AH6" s="28">
        <f>AVERAGE(densidade_hab_indL!AH14:AH16)</f>
        <v>0</v>
      </c>
      <c r="AI6" s="28">
        <f>AVERAGE(densidade_hab_indL!AI14:AI16)</f>
        <v>0</v>
      </c>
      <c r="AJ6" s="28">
        <f>AVERAGE(densidade_hab_indL!AJ14:AJ16)</f>
        <v>0.02</v>
      </c>
      <c r="AK6" s="28">
        <f>AVERAGE(densidade_hab_indL!AK14:AK16)</f>
        <v>6.6666666666666671E-3</v>
      </c>
      <c r="AL6" s="28">
        <f>AVERAGE(densidade_hab_indL!AL14:AL16)</f>
        <v>0</v>
      </c>
      <c r="AM6" s="28">
        <f>AVERAGE(densidade_hab_indL!AM14:AM16)</f>
        <v>0</v>
      </c>
      <c r="AN6" s="28">
        <f>AVERAGE(densidade_hab_indL!AN14:AN16)</f>
        <v>0</v>
      </c>
      <c r="AO6" s="28">
        <f>AVERAGE(densidade_hab_indL!AO14:AO16)</f>
        <v>0</v>
      </c>
      <c r="AP6" s="28">
        <f>AVERAGE(densidade_hab_indL!AP14:AP16)</f>
        <v>0</v>
      </c>
      <c r="AQ6" s="28">
        <f>AVERAGE(densidade_hab_indL!AQ14:AQ16)</f>
        <v>0</v>
      </c>
      <c r="AR6" s="28">
        <f>AVERAGE(densidade_hab_indL!AR14:AR16)</f>
        <v>0</v>
      </c>
      <c r="AS6" s="28">
        <f>AVERAGE(densidade_hab_indL!AS14:AS16)</f>
        <v>0</v>
      </c>
      <c r="AT6" s="28">
        <f>AVERAGE(densidade_hab_indL!AT14:AT16)</f>
        <v>0</v>
      </c>
      <c r="AU6" s="28">
        <f>AVERAGE(densidade_hab_indL!AU14:AU16)</f>
        <v>0</v>
      </c>
      <c r="AV6" s="28">
        <f>AVERAGE(densidade_hab_indL!AV14:AV16)</f>
        <v>0.06</v>
      </c>
      <c r="AW6" s="28">
        <f>AVERAGE(densidade_hab_indL!AW14:AW16)</f>
        <v>0</v>
      </c>
      <c r="AX6" s="28">
        <f>AVERAGE(densidade_hab_indL!AX14:AX16)</f>
        <v>0</v>
      </c>
      <c r="AY6" s="28">
        <f>AVERAGE(densidade_hab_indL!AY14:AY16)</f>
        <v>6.6666666666666671E-3</v>
      </c>
      <c r="AZ6" s="28">
        <f>AVERAGE(densidade_hab_indL!AZ14:AZ16)</f>
        <v>3.3333333333333333E-2</v>
      </c>
      <c r="BA6" s="28">
        <f>AVERAGE(densidade_hab_indL!BA14:BA16)</f>
        <v>0</v>
      </c>
      <c r="BB6" s="28">
        <f>AVERAGE(densidade_hab_indL!BB14:BB16)</f>
        <v>0</v>
      </c>
      <c r="BC6" s="28">
        <f>AVERAGE(densidade_hab_indL!BC14:BC16)</f>
        <v>0</v>
      </c>
      <c r="BD6" s="28">
        <f>AVERAGE(densidade_hab_indL!BD14:BD16)</f>
        <v>6.6666666666666671E-3</v>
      </c>
      <c r="BE6" s="28">
        <f>AVERAGE(densidade_hab_indL!BE14:BE16)</f>
        <v>0</v>
      </c>
      <c r="BF6" s="28">
        <f>AVERAGE(densidade_hab_indL!BF14:BF16)</f>
        <v>0</v>
      </c>
      <c r="BG6" s="28">
        <f>AVERAGE(densidade_hab_indL!BG14:BG16)</f>
        <v>0</v>
      </c>
    </row>
    <row r="7" spans="1:67" ht="12.75" customHeight="1" x14ac:dyDescent="0.25">
      <c r="A7" s="4" t="s">
        <v>310</v>
      </c>
      <c r="B7" s="28">
        <f>AVERAGE(densidade_hab_indL!B17:B19)</f>
        <v>2.6666666666666668E-2</v>
      </c>
      <c r="C7" s="28">
        <f>AVERAGE(densidade_hab_indL!C17:C19)</f>
        <v>0</v>
      </c>
      <c r="D7" s="28">
        <f>AVERAGE(densidade_hab_indL!D17:D19)</f>
        <v>0</v>
      </c>
      <c r="E7" s="28">
        <f>AVERAGE(densidade_hab_indL!E17:E19)</f>
        <v>1.2666666666666666</v>
      </c>
      <c r="F7" s="28">
        <f>AVERAGE(densidade_hab_indL!F17:F19)</f>
        <v>0.02</v>
      </c>
      <c r="G7" s="28">
        <f>AVERAGE(densidade_hab_indL!G17:G19)</f>
        <v>1.3333333333333334E-2</v>
      </c>
      <c r="H7" s="28">
        <f>AVERAGE(densidade_hab_indL!H17:H19)</f>
        <v>3.3333333333333333E-2</v>
      </c>
      <c r="I7" s="28">
        <f>AVERAGE(densidade_hab_indL!I17:I19)</f>
        <v>6.6666666666666671E-3</v>
      </c>
      <c r="J7" s="28">
        <f>AVERAGE(densidade_hab_indL!J17:J19)</f>
        <v>6.6666666666666671E-3</v>
      </c>
      <c r="K7" s="28">
        <f>AVERAGE(densidade_hab_indL!K17:K19)</f>
        <v>0</v>
      </c>
      <c r="L7" s="28">
        <f>AVERAGE(densidade_hab_indL!L17:L19)</f>
        <v>0</v>
      </c>
      <c r="M7" s="28">
        <f>AVERAGE(densidade_hab_indL!M17:M19)</f>
        <v>0</v>
      </c>
      <c r="N7" s="28">
        <f>AVERAGE(densidade_hab_indL!N17:N19)</f>
        <v>0</v>
      </c>
      <c r="O7" s="28">
        <f>AVERAGE(densidade_hab_indL!O17:O19)</f>
        <v>0</v>
      </c>
      <c r="P7" s="28">
        <f>AVERAGE(densidade_hab_indL!P17:P19)</f>
        <v>0</v>
      </c>
      <c r="Q7" s="28">
        <f>AVERAGE(densidade_hab_indL!Q17:Q19)</f>
        <v>0</v>
      </c>
      <c r="R7" s="28">
        <f>AVERAGE(densidade_hab_indL!R17:R19)</f>
        <v>6.6666666666666671E-3</v>
      </c>
      <c r="S7" s="28">
        <f>AVERAGE(densidade_hab_indL!S17:S19)</f>
        <v>0.26</v>
      </c>
      <c r="T7" s="28">
        <f>AVERAGE(densidade_hab_indL!T17:T19)</f>
        <v>1.3333333333333334E-2</v>
      </c>
      <c r="U7" s="28">
        <f>AVERAGE(densidade_hab_indL!U17:U19)</f>
        <v>4.6666666666666669E-2</v>
      </c>
      <c r="V7" s="28">
        <f>AVERAGE(densidade_hab_indL!V17:V19)</f>
        <v>0</v>
      </c>
      <c r="W7" s="28">
        <f>AVERAGE(densidade_hab_indL!W17:W19)</f>
        <v>6.6666666666666671E-3</v>
      </c>
      <c r="X7" s="28">
        <f>AVERAGE(densidade_hab_indL!X17:X19)</f>
        <v>0</v>
      </c>
      <c r="Y7" s="28">
        <f>AVERAGE(densidade_hab_indL!Y17:Y19)</f>
        <v>6.6666666666666671E-3</v>
      </c>
      <c r="Z7" s="28">
        <f>AVERAGE(densidade_hab_indL!Z17:Z19)</f>
        <v>1.3333333333333334E-2</v>
      </c>
      <c r="AA7" s="28">
        <f>AVERAGE(densidade_hab_indL!AA17:AA19)</f>
        <v>0.02</v>
      </c>
      <c r="AB7" s="28">
        <f>AVERAGE(densidade_hab_indL!AB17:AB19)</f>
        <v>0</v>
      </c>
      <c r="AC7" s="28">
        <f>AVERAGE(densidade_hab_indL!AC17:AC19)</f>
        <v>0</v>
      </c>
      <c r="AD7" s="28">
        <f>AVERAGE(densidade_hab_indL!AD17:AD19)</f>
        <v>0</v>
      </c>
      <c r="AE7" s="28">
        <f>AVERAGE(densidade_hab_indL!AE17:AE19)</f>
        <v>0</v>
      </c>
      <c r="AF7" s="28">
        <f>AVERAGE(densidade_hab_indL!AF17:AF19)</f>
        <v>0</v>
      </c>
      <c r="AG7" s="28">
        <f>AVERAGE(densidade_hab_indL!AG17:AG19)</f>
        <v>0</v>
      </c>
      <c r="AH7" s="28">
        <f>AVERAGE(densidade_hab_indL!AH17:AH19)</f>
        <v>0</v>
      </c>
      <c r="AI7" s="28">
        <f>AVERAGE(densidade_hab_indL!AI17:AI19)</f>
        <v>0</v>
      </c>
      <c r="AJ7" s="28">
        <f>AVERAGE(densidade_hab_indL!AJ17:AJ19)</f>
        <v>0.08</v>
      </c>
      <c r="AK7" s="28">
        <f>AVERAGE(densidade_hab_indL!AK17:AK19)</f>
        <v>6.6666666666666671E-3</v>
      </c>
      <c r="AL7" s="28">
        <f>AVERAGE(densidade_hab_indL!AL17:AL19)</f>
        <v>0</v>
      </c>
      <c r="AM7" s="28">
        <f>AVERAGE(densidade_hab_indL!AM17:AM19)</f>
        <v>0</v>
      </c>
      <c r="AN7" s="28">
        <f>AVERAGE(densidade_hab_indL!AN17:AN19)</f>
        <v>1.3333333333333334E-2</v>
      </c>
      <c r="AO7" s="28">
        <f>AVERAGE(densidade_hab_indL!AO17:AO19)</f>
        <v>1.3333333333333334E-2</v>
      </c>
      <c r="AP7" s="28">
        <f>AVERAGE(densidade_hab_indL!AP17:AP19)</f>
        <v>0</v>
      </c>
      <c r="AQ7" s="28">
        <f>AVERAGE(densidade_hab_indL!AQ17:AQ19)</f>
        <v>0</v>
      </c>
      <c r="AR7" s="28">
        <f>AVERAGE(densidade_hab_indL!AR17:AR19)</f>
        <v>0</v>
      </c>
      <c r="AS7" s="28">
        <f>AVERAGE(densidade_hab_indL!AS17:AS19)</f>
        <v>0</v>
      </c>
      <c r="AT7" s="28">
        <f>AVERAGE(densidade_hab_indL!AT17:AT19)</f>
        <v>6.6666666666666671E-3</v>
      </c>
      <c r="AU7" s="28">
        <f>AVERAGE(densidade_hab_indL!AU17:AU19)</f>
        <v>0</v>
      </c>
      <c r="AV7" s="28">
        <f>AVERAGE(densidade_hab_indL!AV17:AV19)</f>
        <v>0.24666666666666667</v>
      </c>
      <c r="AW7" s="28">
        <f>AVERAGE(densidade_hab_indL!AW17:AW19)</f>
        <v>0</v>
      </c>
      <c r="AX7" s="28">
        <f>AVERAGE(densidade_hab_indL!AX17:AX19)</f>
        <v>0</v>
      </c>
      <c r="AY7" s="28">
        <f>AVERAGE(densidade_hab_indL!AY17:AY19)</f>
        <v>3.3333333333333333E-2</v>
      </c>
      <c r="AZ7" s="28">
        <f>AVERAGE(densidade_hab_indL!AZ17:AZ19)</f>
        <v>0</v>
      </c>
      <c r="BA7" s="28">
        <f>AVERAGE(densidade_hab_indL!BA17:BA19)</f>
        <v>0</v>
      </c>
      <c r="BB7" s="28">
        <f>AVERAGE(densidade_hab_indL!BB17:BB19)</f>
        <v>0</v>
      </c>
      <c r="BC7" s="28">
        <f>AVERAGE(densidade_hab_indL!BC17:BC19)</f>
        <v>0</v>
      </c>
      <c r="BD7" s="28">
        <f>AVERAGE(densidade_hab_indL!BD17:BD19)</f>
        <v>0.02</v>
      </c>
      <c r="BE7" s="28">
        <f>AVERAGE(densidade_hab_indL!BE17:BE19)</f>
        <v>0</v>
      </c>
      <c r="BF7" s="28">
        <f>AVERAGE(densidade_hab_indL!BF17:BF19)</f>
        <v>0</v>
      </c>
      <c r="BG7" s="28">
        <f>AVERAGE(densidade_hab_indL!BG17:BG19)</f>
        <v>1.3333333333333334E-2</v>
      </c>
    </row>
    <row r="8" spans="1:67" ht="12.75" customHeight="1" x14ac:dyDescent="0.25">
      <c r="A8" s="4" t="s">
        <v>311</v>
      </c>
      <c r="B8" s="28" t="s">
        <v>304</v>
      </c>
      <c r="C8" s="28" t="s">
        <v>304</v>
      </c>
      <c r="D8" s="28" t="s">
        <v>304</v>
      </c>
      <c r="E8" s="28" t="s">
        <v>304</v>
      </c>
      <c r="F8" s="28" t="s">
        <v>304</v>
      </c>
      <c r="G8" s="28" t="s">
        <v>304</v>
      </c>
      <c r="H8" s="28" t="s">
        <v>304</v>
      </c>
      <c r="I8" s="28" t="s">
        <v>304</v>
      </c>
      <c r="J8" s="28" t="s">
        <v>304</v>
      </c>
      <c r="K8" s="28" t="s">
        <v>304</v>
      </c>
      <c r="L8" s="28" t="s">
        <v>304</v>
      </c>
      <c r="M8" s="28" t="s">
        <v>304</v>
      </c>
      <c r="N8" s="28" t="s">
        <v>304</v>
      </c>
      <c r="O8" s="28" t="s">
        <v>304</v>
      </c>
      <c r="P8" s="28" t="s">
        <v>304</v>
      </c>
      <c r="Q8" s="28" t="s">
        <v>304</v>
      </c>
      <c r="R8" s="28" t="s">
        <v>304</v>
      </c>
      <c r="S8" s="28" t="s">
        <v>304</v>
      </c>
      <c r="T8" s="28" t="s">
        <v>304</v>
      </c>
      <c r="U8" s="28" t="s">
        <v>304</v>
      </c>
      <c r="V8" s="28" t="s">
        <v>304</v>
      </c>
      <c r="W8" s="28" t="s">
        <v>304</v>
      </c>
      <c r="X8" s="28" t="s">
        <v>304</v>
      </c>
      <c r="Y8" s="28" t="s">
        <v>304</v>
      </c>
      <c r="Z8" s="28" t="s">
        <v>304</v>
      </c>
      <c r="AA8" s="28" t="s">
        <v>304</v>
      </c>
      <c r="AB8" s="28" t="s">
        <v>304</v>
      </c>
      <c r="AC8" s="28" t="s">
        <v>304</v>
      </c>
      <c r="AD8" s="28" t="s">
        <v>304</v>
      </c>
      <c r="AE8" s="28" t="s">
        <v>304</v>
      </c>
      <c r="AF8" s="28" t="s">
        <v>304</v>
      </c>
      <c r="AG8" s="28" t="s">
        <v>304</v>
      </c>
      <c r="AH8" s="28" t="s">
        <v>304</v>
      </c>
      <c r="AI8" s="28" t="s">
        <v>304</v>
      </c>
      <c r="AJ8" s="28" t="s">
        <v>304</v>
      </c>
      <c r="AK8" s="28" t="s">
        <v>304</v>
      </c>
      <c r="AL8" s="28" t="s">
        <v>304</v>
      </c>
      <c r="AM8" s="28" t="s">
        <v>304</v>
      </c>
      <c r="AN8" s="28" t="s">
        <v>304</v>
      </c>
      <c r="AO8" s="28" t="s">
        <v>304</v>
      </c>
      <c r="AP8" s="28" t="s">
        <v>304</v>
      </c>
      <c r="AQ8" s="28" t="s">
        <v>304</v>
      </c>
      <c r="AR8" s="28" t="s">
        <v>304</v>
      </c>
      <c r="AS8" s="28" t="s">
        <v>304</v>
      </c>
      <c r="AT8" s="28" t="s">
        <v>304</v>
      </c>
      <c r="AU8" s="28" t="s">
        <v>304</v>
      </c>
      <c r="AV8" s="28" t="s">
        <v>304</v>
      </c>
      <c r="AW8" s="28" t="s">
        <v>304</v>
      </c>
      <c r="AX8" s="28" t="s">
        <v>304</v>
      </c>
      <c r="AY8" s="28" t="s">
        <v>304</v>
      </c>
      <c r="AZ8" s="28" t="s">
        <v>304</v>
      </c>
      <c r="BA8" s="28" t="s">
        <v>304</v>
      </c>
      <c r="BB8" s="28" t="s">
        <v>304</v>
      </c>
      <c r="BC8" s="28" t="s">
        <v>304</v>
      </c>
      <c r="BD8" s="28" t="s">
        <v>304</v>
      </c>
      <c r="BE8" s="28" t="s">
        <v>304</v>
      </c>
      <c r="BF8" s="28" t="s">
        <v>304</v>
      </c>
      <c r="BG8" s="28" t="s">
        <v>304</v>
      </c>
    </row>
    <row r="9" spans="1:67" ht="12.75" customHeight="1" x14ac:dyDescent="0.25">
      <c r="A9" s="4" t="s">
        <v>312</v>
      </c>
      <c r="B9" s="28">
        <f>AVERAGE(densidade_hab_indL!B23:B25)</f>
        <v>2.6666666666666668E-2</v>
      </c>
      <c r="C9" s="28">
        <f>AVERAGE(densidade_hab_indL!C23:C25)</f>
        <v>0</v>
      </c>
      <c r="D9" s="28">
        <f>AVERAGE(densidade_hab_indL!D23:D25)</f>
        <v>0</v>
      </c>
      <c r="E9" s="28">
        <f>AVERAGE(densidade_hab_indL!E23:E25)</f>
        <v>0.44666666666666671</v>
      </c>
      <c r="F9" s="28">
        <f>AVERAGE(densidade_hab_indL!F23:F25)</f>
        <v>0</v>
      </c>
      <c r="G9" s="28">
        <f>AVERAGE(densidade_hab_indL!G23:G25)</f>
        <v>0</v>
      </c>
      <c r="H9" s="28">
        <f>AVERAGE(densidade_hab_indL!H23:H25)</f>
        <v>0</v>
      </c>
      <c r="I9" s="28">
        <f>AVERAGE(densidade_hab_indL!I23:I25)</f>
        <v>6.6666666666666666E-2</v>
      </c>
      <c r="J9" s="28">
        <f>AVERAGE(densidade_hab_indL!J23:J25)</f>
        <v>0</v>
      </c>
      <c r="K9" s="28">
        <f>AVERAGE(densidade_hab_indL!K23:K25)</f>
        <v>0</v>
      </c>
      <c r="L9" s="28">
        <f>AVERAGE(densidade_hab_indL!L23:L25)</f>
        <v>0</v>
      </c>
      <c r="M9" s="28">
        <f>AVERAGE(densidade_hab_indL!M23:M25)</f>
        <v>0</v>
      </c>
      <c r="N9" s="28">
        <f>AVERAGE(densidade_hab_indL!N23:N25)</f>
        <v>0</v>
      </c>
      <c r="O9" s="28">
        <f>AVERAGE(densidade_hab_indL!O23:O25)</f>
        <v>0</v>
      </c>
      <c r="P9" s="28">
        <f>AVERAGE(densidade_hab_indL!P23:P25)</f>
        <v>0</v>
      </c>
      <c r="Q9" s="28">
        <f>AVERAGE(densidade_hab_indL!Q23:Q25)</f>
        <v>0</v>
      </c>
      <c r="R9" s="28">
        <f>AVERAGE(densidade_hab_indL!R23:R25)</f>
        <v>0</v>
      </c>
      <c r="S9" s="28">
        <f>AVERAGE(densidade_hab_indL!S23:S25)</f>
        <v>5.3333333333333337E-2</v>
      </c>
      <c r="T9" s="28">
        <f>AVERAGE(densidade_hab_indL!T23:T25)</f>
        <v>1.3333333333333334E-2</v>
      </c>
      <c r="U9" s="28">
        <f>AVERAGE(densidade_hab_indL!U23:U25)</f>
        <v>6.6666666666666671E-3</v>
      </c>
      <c r="V9" s="28">
        <f>AVERAGE(densidade_hab_indL!V23:V25)</f>
        <v>0</v>
      </c>
      <c r="W9" s="28">
        <f>AVERAGE(densidade_hab_indL!W23:W25)</f>
        <v>0</v>
      </c>
      <c r="X9" s="28">
        <f>AVERAGE(densidade_hab_indL!X23:X25)</f>
        <v>6.6666666666666671E-3</v>
      </c>
      <c r="Y9" s="28">
        <f>AVERAGE(densidade_hab_indL!Y23:Y25)</f>
        <v>0</v>
      </c>
      <c r="Z9" s="28">
        <f>AVERAGE(densidade_hab_indL!Z23:Z25)</f>
        <v>6.6666666666666671E-3</v>
      </c>
      <c r="AA9" s="28">
        <f>AVERAGE(densidade_hab_indL!AA23:AA25)</f>
        <v>0.02</v>
      </c>
      <c r="AB9" s="28">
        <f>AVERAGE(densidade_hab_indL!AB23:AB25)</f>
        <v>0</v>
      </c>
      <c r="AC9" s="28">
        <f>AVERAGE(densidade_hab_indL!AC23:AC25)</f>
        <v>1.3333333333333334E-2</v>
      </c>
      <c r="AD9" s="28">
        <f>AVERAGE(densidade_hab_indL!AD23:AD25)</f>
        <v>6.6666666666666671E-3</v>
      </c>
      <c r="AE9" s="28">
        <f>AVERAGE(densidade_hab_indL!AE23:AE25)</f>
        <v>0</v>
      </c>
      <c r="AF9" s="28">
        <f>AVERAGE(densidade_hab_indL!AF23:AF25)</f>
        <v>0</v>
      </c>
      <c r="AG9" s="28">
        <f>AVERAGE(densidade_hab_indL!AG23:AG25)</f>
        <v>0</v>
      </c>
      <c r="AH9" s="28">
        <f>AVERAGE(densidade_hab_indL!AH23:AH25)</f>
        <v>6.6666666666666671E-3</v>
      </c>
      <c r="AI9" s="28">
        <f>AVERAGE(densidade_hab_indL!AI23:AI25)</f>
        <v>6.6666666666666671E-3</v>
      </c>
      <c r="AJ9" s="28">
        <f>AVERAGE(densidade_hab_indL!AJ23:AJ25)</f>
        <v>6.6666666666666671E-3</v>
      </c>
      <c r="AK9" s="28">
        <f>AVERAGE(densidade_hab_indL!AK23:AK25)</f>
        <v>0</v>
      </c>
      <c r="AL9" s="28">
        <f>AVERAGE(densidade_hab_indL!AL23:AL25)</f>
        <v>6.6666666666666671E-3</v>
      </c>
      <c r="AM9" s="28">
        <f>AVERAGE(densidade_hab_indL!AM23:AM25)</f>
        <v>0</v>
      </c>
      <c r="AN9" s="28">
        <f>AVERAGE(densidade_hab_indL!AN23:AN25)</f>
        <v>0</v>
      </c>
      <c r="AO9" s="28">
        <f>AVERAGE(densidade_hab_indL!AO23:AO25)</f>
        <v>0</v>
      </c>
      <c r="AP9" s="28">
        <f>AVERAGE(densidade_hab_indL!AP23:AP25)</f>
        <v>0</v>
      </c>
      <c r="AQ9" s="28">
        <f>AVERAGE(densidade_hab_indL!AQ23:AQ25)</f>
        <v>0</v>
      </c>
      <c r="AR9" s="28">
        <f>AVERAGE(densidade_hab_indL!AR23:AR25)</f>
        <v>0</v>
      </c>
      <c r="AS9" s="28">
        <f>AVERAGE(densidade_hab_indL!AS23:AS25)</f>
        <v>0</v>
      </c>
      <c r="AT9" s="28">
        <f>AVERAGE(densidade_hab_indL!AT23:AT25)</f>
        <v>0</v>
      </c>
      <c r="AU9" s="28">
        <f>AVERAGE(densidade_hab_indL!AU23:AU25)</f>
        <v>0</v>
      </c>
      <c r="AV9" s="28">
        <f>AVERAGE(densidade_hab_indL!AV23:AV25)</f>
        <v>0.12666666666666668</v>
      </c>
      <c r="AW9" s="28">
        <f>AVERAGE(densidade_hab_indL!AW23:AW25)</f>
        <v>0</v>
      </c>
      <c r="AX9" s="28">
        <f>AVERAGE(densidade_hab_indL!AX23:AX25)</f>
        <v>6.6666666666666671E-3</v>
      </c>
      <c r="AY9" s="28">
        <f>AVERAGE(densidade_hab_indL!AY23:AY25)</f>
        <v>0</v>
      </c>
      <c r="AZ9" s="28">
        <f>AVERAGE(densidade_hab_indL!AZ23:AZ25)</f>
        <v>0</v>
      </c>
      <c r="BA9" s="28">
        <f>AVERAGE(densidade_hab_indL!BA23:BA25)</f>
        <v>0</v>
      </c>
      <c r="BB9" s="28">
        <f>AVERAGE(densidade_hab_indL!BB23:BB25)</f>
        <v>0</v>
      </c>
      <c r="BC9" s="28">
        <f>AVERAGE(densidade_hab_indL!BC23:BC25)</f>
        <v>0</v>
      </c>
      <c r="BD9" s="28">
        <f>AVERAGE(densidade_hab_indL!BD23:BD25)</f>
        <v>0</v>
      </c>
      <c r="BE9" s="28">
        <f>AVERAGE(densidade_hab_indL!BE23:BE25)</f>
        <v>0</v>
      </c>
      <c r="BF9" s="28">
        <f>AVERAGE(densidade_hab_indL!BF23:BF25)</f>
        <v>0</v>
      </c>
      <c r="BG9" s="28">
        <f>AVERAGE(densidade_hab_indL!BG23:BG25)</f>
        <v>0</v>
      </c>
    </row>
    <row r="10" spans="1:67" ht="12.75" customHeight="1" x14ac:dyDescent="0.25">
      <c r="A10" s="4" t="s">
        <v>313</v>
      </c>
      <c r="B10" s="28">
        <f>AVERAGE(densidade_hab_indL!B26:B28)</f>
        <v>0</v>
      </c>
      <c r="C10" s="28">
        <f>AVERAGE(densidade_hab_indL!C26:C28)</f>
        <v>0</v>
      </c>
      <c r="D10" s="28">
        <f>AVERAGE(densidade_hab_indL!D26:D28)</f>
        <v>0</v>
      </c>
      <c r="E10" s="28">
        <f>AVERAGE(densidade_hab_indL!E26:E28)</f>
        <v>0.3666666666666667</v>
      </c>
      <c r="F10" s="28">
        <f>AVERAGE(densidade_hab_indL!F26:F28)</f>
        <v>0</v>
      </c>
      <c r="G10" s="28">
        <f>AVERAGE(densidade_hab_indL!G26:G28)</f>
        <v>0</v>
      </c>
      <c r="H10" s="28">
        <f>AVERAGE(densidade_hab_indL!H26:H28)</f>
        <v>0</v>
      </c>
      <c r="I10" s="28">
        <f>AVERAGE(densidade_hab_indL!I26:I28)</f>
        <v>0</v>
      </c>
      <c r="J10" s="28">
        <f>AVERAGE(densidade_hab_indL!J26:J28)</f>
        <v>0</v>
      </c>
      <c r="K10" s="28">
        <f>AVERAGE(densidade_hab_indL!K26:K28)</f>
        <v>0</v>
      </c>
      <c r="L10" s="28">
        <f>AVERAGE(densidade_hab_indL!L26:L28)</f>
        <v>0</v>
      </c>
      <c r="M10" s="28">
        <f>AVERAGE(densidade_hab_indL!M26:M28)</f>
        <v>0</v>
      </c>
      <c r="N10" s="28">
        <f>AVERAGE(densidade_hab_indL!N26:N28)</f>
        <v>0</v>
      </c>
      <c r="O10" s="28">
        <f>AVERAGE(densidade_hab_indL!O26:O28)</f>
        <v>0</v>
      </c>
      <c r="P10" s="28">
        <f>AVERAGE(densidade_hab_indL!P26:P28)</f>
        <v>0</v>
      </c>
      <c r="Q10" s="28">
        <f>AVERAGE(densidade_hab_indL!Q26:Q28)</f>
        <v>0</v>
      </c>
      <c r="R10" s="28">
        <f>AVERAGE(densidade_hab_indL!R26:R28)</f>
        <v>0</v>
      </c>
      <c r="S10" s="28">
        <f>AVERAGE(densidade_hab_indL!S26:S28)</f>
        <v>1.3333333333333334E-2</v>
      </c>
      <c r="T10" s="28">
        <f>AVERAGE(densidade_hab_indL!T26:T28)</f>
        <v>0</v>
      </c>
      <c r="U10" s="28">
        <f>AVERAGE(densidade_hab_indL!U26:U28)</f>
        <v>0</v>
      </c>
      <c r="V10" s="28">
        <f>AVERAGE(densidade_hab_indL!V26:V28)</f>
        <v>0</v>
      </c>
      <c r="W10" s="28">
        <f>AVERAGE(densidade_hab_indL!W26:W28)</f>
        <v>0</v>
      </c>
      <c r="X10" s="28">
        <f>AVERAGE(densidade_hab_indL!X26:X28)</f>
        <v>0</v>
      </c>
      <c r="Y10" s="28">
        <f>AVERAGE(densidade_hab_indL!Y26:Y28)</f>
        <v>0</v>
      </c>
      <c r="Z10" s="28">
        <f>AVERAGE(densidade_hab_indL!Z26:Z28)</f>
        <v>0</v>
      </c>
      <c r="AA10" s="28">
        <f>AVERAGE(densidade_hab_indL!AA26:AA28)</f>
        <v>0</v>
      </c>
      <c r="AB10" s="28">
        <f>AVERAGE(densidade_hab_indL!AB26:AB28)</f>
        <v>0</v>
      </c>
      <c r="AC10" s="28">
        <f>AVERAGE(densidade_hab_indL!AC26:AC28)</f>
        <v>0</v>
      </c>
      <c r="AD10" s="28">
        <f>AVERAGE(densidade_hab_indL!AD26:AD28)</f>
        <v>0</v>
      </c>
      <c r="AE10" s="28">
        <f>AVERAGE(densidade_hab_indL!AE26:AE28)</f>
        <v>0</v>
      </c>
      <c r="AF10" s="28">
        <f>AVERAGE(densidade_hab_indL!AF26:AF28)</f>
        <v>0</v>
      </c>
      <c r="AG10" s="28">
        <f>AVERAGE(densidade_hab_indL!AG26:AG28)</f>
        <v>0</v>
      </c>
      <c r="AH10" s="28">
        <f>AVERAGE(densidade_hab_indL!AH26:AH28)</f>
        <v>0</v>
      </c>
      <c r="AI10" s="28">
        <f>AVERAGE(densidade_hab_indL!AI26:AI28)</f>
        <v>0</v>
      </c>
      <c r="AJ10" s="28">
        <f>AVERAGE(densidade_hab_indL!AJ26:AJ28)</f>
        <v>0</v>
      </c>
      <c r="AK10" s="28">
        <f>AVERAGE(densidade_hab_indL!AK26:AK28)</f>
        <v>0</v>
      </c>
      <c r="AL10" s="28">
        <f>AVERAGE(densidade_hab_indL!AL26:AL28)</f>
        <v>0</v>
      </c>
      <c r="AM10" s="28">
        <f>AVERAGE(densidade_hab_indL!AM26:AM28)</f>
        <v>0</v>
      </c>
      <c r="AN10" s="28">
        <f>AVERAGE(densidade_hab_indL!AN26:AN28)</f>
        <v>0</v>
      </c>
      <c r="AO10" s="28">
        <f>AVERAGE(densidade_hab_indL!AO26:AO28)</f>
        <v>0</v>
      </c>
      <c r="AP10" s="28">
        <f>AVERAGE(densidade_hab_indL!AP26:AP28)</f>
        <v>0</v>
      </c>
      <c r="AQ10" s="28">
        <f>AVERAGE(densidade_hab_indL!AQ26:AQ28)</f>
        <v>0</v>
      </c>
      <c r="AR10" s="28">
        <f>AVERAGE(densidade_hab_indL!AR26:AR28)</f>
        <v>0</v>
      </c>
      <c r="AS10" s="28">
        <f>AVERAGE(densidade_hab_indL!AS26:AS28)</f>
        <v>0</v>
      </c>
      <c r="AT10" s="28">
        <f>AVERAGE(densidade_hab_indL!AT26:AT28)</f>
        <v>0</v>
      </c>
      <c r="AU10" s="28">
        <f>AVERAGE(densidade_hab_indL!AU26:AU28)</f>
        <v>0</v>
      </c>
      <c r="AV10" s="28">
        <f>AVERAGE(densidade_hab_indL!AV26:AV28)</f>
        <v>0.02</v>
      </c>
      <c r="AW10" s="28">
        <f>AVERAGE(densidade_hab_indL!AW26:AW28)</f>
        <v>0</v>
      </c>
      <c r="AX10" s="28">
        <f>AVERAGE(densidade_hab_indL!AX26:AX28)</f>
        <v>0</v>
      </c>
      <c r="AY10" s="28">
        <f>AVERAGE(densidade_hab_indL!AY26:AY28)</f>
        <v>0</v>
      </c>
      <c r="AZ10" s="28">
        <f>AVERAGE(densidade_hab_indL!AZ26:AZ28)</f>
        <v>0</v>
      </c>
      <c r="BA10" s="28">
        <f>AVERAGE(densidade_hab_indL!BA26:BA28)</f>
        <v>0</v>
      </c>
      <c r="BB10" s="28">
        <f>AVERAGE(densidade_hab_indL!BB26:BB28)</f>
        <v>0</v>
      </c>
      <c r="BC10" s="28">
        <f>AVERAGE(densidade_hab_indL!BC26:BC28)</f>
        <v>0</v>
      </c>
      <c r="BD10" s="28">
        <f>AVERAGE(densidade_hab_indL!BD26:BD28)</f>
        <v>0</v>
      </c>
      <c r="BE10" s="28">
        <f>AVERAGE(densidade_hab_indL!BE26:BE28)</f>
        <v>0</v>
      </c>
      <c r="BF10" s="28">
        <f>AVERAGE(densidade_hab_indL!BF26:BF28)</f>
        <v>0</v>
      </c>
      <c r="BG10" s="28">
        <f>AVERAGE(densidade_hab_indL!BG26:BG28)</f>
        <v>0</v>
      </c>
    </row>
    <row r="11" spans="1:67" ht="12.75" customHeight="1" x14ac:dyDescent="0.25">
      <c r="A11" s="4" t="s">
        <v>314</v>
      </c>
      <c r="B11" s="28">
        <f>AVERAGE(densidade_hab_indL!B29:B31)</f>
        <v>0</v>
      </c>
      <c r="C11" s="28">
        <f>AVERAGE(densidade_hab_indL!C29:C31)</f>
        <v>0</v>
      </c>
      <c r="D11" s="28">
        <f>AVERAGE(densidade_hab_indL!D29:D31)</f>
        <v>0</v>
      </c>
      <c r="E11" s="28">
        <f>AVERAGE(densidade_hab_indL!E29:E31)</f>
        <v>0.6</v>
      </c>
      <c r="F11" s="28">
        <f>AVERAGE(densidade_hab_indL!F29:F31)</f>
        <v>0</v>
      </c>
      <c r="G11" s="28">
        <f>AVERAGE(densidade_hab_indL!G29:G31)</f>
        <v>0</v>
      </c>
      <c r="H11" s="28">
        <f>AVERAGE(densidade_hab_indL!H29:H31)</f>
        <v>0</v>
      </c>
      <c r="I11" s="28">
        <f>AVERAGE(densidade_hab_indL!I29:I31)</f>
        <v>1.3333333333333334E-2</v>
      </c>
      <c r="J11" s="28">
        <f>AVERAGE(densidade_hab_indL!J29:J31)</f>
        <v>0</v>
      </c>
      <c r="K11" s="28">
        <f>AVERAGE(densidade_hab_indL!K29:K31)</f>
        <v>0</v>
      </c>
      <c r="L11" s="28">
        <f>AVERAGE(densidade_hab_indL!L29:L31)</f>
        <v>0</v>
      </c>
      <c r="M11" s="28">
        <f>AVERAGE(densidade_hab_indL!M29:M31)</f>
        <v>0</v>
      </c>
      <c r="N11" s="28">
        <f>AVERAGE(densidade_hab_indL!N29:N31)</f>
        <v>0</v>
      </c>
      <c r="O11" s="28">
        <f>AVERAGE(densidade_hab_indL!O29:O31)</f>
        <v>0</v>
      </c>
      <c r="P11" s="28">
        <f>AVERAGE(densidade_hab_indL!P29:P31)</f>
        <v>0</v>
      </c>
      <c r="Q11" s="28">
        <f>AVERAGE(densidade_hab_indL!Q29:Q31)</f>
        <v>0</v>
      </c>
      <c r="R11" s="28">
        <f>AVERAGE(densidade_hab_indL!R29:R31)</f>
        <v>0</v>
      </c>
      <c r="S11" s="28">
        <f>AVERAGE(densidade_hab_indL!S29:S31)</f>
        <v>6.6666666666666671E-3</v>
      </c>
      <c r="T11" s="28">
        <f>AVERAGE(densidade_hab_indL!T29:T31)</f>
        <v>0</v>
      </c>
      <c r="U11" s="28">
        <f>AVERAGE(densidade_hab_indL!U29:U31)</f>
        <v>0</v>
      </c>
      <c r="V11" s="28">
        <f>AVERAGE(densidade_hab_indL!V29:V31)</f>
        <v>0</v>
      </c>
      <c r="W11" s="28">
        <f>AVERAGE(densidade_hab_indL!W29:W31)</f>
        <v>0</v>
      </c>
      <c r="X11" s="28">
        <f>AVERAGE(densidade_hab_indL!X29:X31)</f>
        <v>0</v>
      </c>
      <c r="Y11" s="28">
        <f>AVERAGE(densidade_hab_indL!Y29:Y31)</f>
        <v>0</v>
      </c>
      <c r="Z11" s="28">
        <f>AVERAGE(densidade_hab_indL!Z29:Z31)</f>
        <v>6.6666666666666671E-3</v>
      </c>
      <c r="AA11" s="28">
        <f>AVERAGE(densidade_hab_indL!AA29:AA31)</f>
        <v>6.6666666666666671E-3</v>
      </c>
      <c r="AB11" s="28">
        <f>AVERAGE(densidade_hab_indL!AB29:AB31)</f>
        <v>0</v>
      </c>
      <c r="AC11" s="28">
        <f>AVERAGE(densidade_hab_indL!AC29:AC31)</f>
        <v>0</v>
      </c>
      <c r="AD11" s="28">
        <f>AVERAGE(densidade_hab_indL!AD29:AD31)</f>
        <v>0</v>
      </c>
      <c r="AE11" s="28">
        <f>AVERAGE(densidade_hab_indL!AE29:AE31)</f>
        <v>0</v>
      </c>
      <c r="AF11" s="28">
        <f>AVERAGE(densidade_hab_indL!AF29:AF31)</f>
        <v>0</v>
      </c>
      <c r="AG11" s="28">
        <f>AVERAGE(densidade_hab_indL!AG29:AG31)</f>
        <v>0</v>
      </c>
      <c r="AH11" s="28">
        <f>AVERAGE(densidade_hab_indL!AH29:AH31)</f>
        <v>0</v>
      </c>
      <c r="AI11" s="28">
        <f>AVERAGE(densidade_hab_indL!AI29:AI31)</f>
        <v>0</v>
      </c>
      <c r="AJ11" s="28">
        <f>AVERAGE(densidade_hab_indL!AJ29:AJ31)</f>
        <v>6.6666666666666671E-3</v>
      </c>
      <c r="AK11" s="28">
        <f>AVERAGE(densidade_hab_indL!AK29:AK31)</f>
        <v>0</v>
      </c>
      <c r="AL11" s="28">
        <f>AVERAGE(densidade_hab_indL!AL29:AL31)</f>
        <v>0</v>
      </c>
      <c r="AM11" s="28">
        <f>AVERAGE(densidade_hab_indL!AM29:AM31)</f>
        <v>0</v>
      </c>
      <c r="AN11" s="28">
        <f>AVERAGE(densidade_hab_indL!AN29:AN31)</f>
        <v>0</v>
      </c>
      <c r="AO11" s="28">
        <f>AVERAGE(densidade_hab_indL!AO29:AO31)</f>
        <v>0</v>
      </c>
      <c r="AP11" s="28">
        <f>AVERAGE(densidade_hab_indL!AP29:AP31)</f>
        <v>0</v>
      </c>
      <c r="AQ11" s="28">
        <f>AVERAGE(densidade_hab_indL!AQ29:AQ31)</f>
        <v>0</v>
      </c>
      <c r="AR11" s="28">
        <f>AVERAGE(densidade_hab_indL!AR29:AR31)</f>
        <v>0</v>
      </c>
      <c r="AS11" s="28">
        <f>AVERAGE(densidade_hab_indL!AS29:AS31)</f>
        <v>0</v>
      </c>
      <c r="AT11" s="28">
        <f>AVERAGE(densidade_hab_indL!AT29:AT31)</f>
        <v>0</v>
      </c>
      <c r="AU11" s="28">
        <f>AVERAGE(densidade_hab_indL!AU29:AU31)</f>
        <v>0</v>
      </c>
      <c r="AV11" s="28">
        <f>AVERAGE(densidade_hab_indL!AV29:AV31)</f>
        <v>6.6666666666666666E-2</v>
      </c>
      <c r="AW11" s="28">
        <f>AVERAGE(densidade_hab_indL!AW29:AW31)</f>
        <v>0</v>
      </c>
      <c r="AX11" s="28">
        <f>AVERAGE(densidade_hab_indL!AX29:AX31)</f>
        <v>0</v>
      </c>
      <c r="AY11" s="28">
        <f>AVERAGE(densidade_hab_indL!AY29:AY31)</f>
        <v>0</v>
      </c>
      <c r="AZ11" s="28">
        <f>AVERAGE(densidade_hab_indL!AZ29:AZ31)</f>
        <v>0</v>
      </c>
      <c r="BA11" s="28">
        <f>AVERAGE(densidade_hab_indL!BA29:BA31)</f>
        <v>0</v>
      </c>
      <c r="BB11" s="28">
        <f>AVERAGE(densidade_hab_indL!BB29:BB31)</f>
        <v>0</v>
      </c>
      <c r="BC11" s="28">
        <f>AVERAGE(densidade_hab_indL!BC29:BC31)</f>
        <v>0</v>
      </c>
      <c r="BD11" s="28">
        <f>AVERAGE(densidade_hab_indL!BD29:BD31)</f>
        <v>0</v>
      </c>
      <c r="BE11" s="28">
        <f>AVERAGE(densidade_hab_indL!BE29:BE31)</f>
        <v>0</v>
      </c>
      <c r="BF11" s="28">
        <f>AVERAGE(densidade_hab_indL!BF29:BF31)</f>
        <v>0</v>
      </c>
      <c r="BG11" s="28">
        <f>AVERAGE(densidade_hab_indL!BG29:BG31)</f>
        <v>0</v>
      </c>
    </row>
    <row r="12" spans="1:67" ht="12.75" customHeight="1" x14ac:dyDescent="0.25">
      <c r="A12" s="4" t="s">
        <v>315</v>
      </c>
      <c r="B12" s="28">
        <f>AVERAGE(densidade_hab_indL!B32:B34)</f>
        <v>0</v>
      </c>
      <c r="C12" s="28">
        <f>AVERAGE(densidade_hab_indL!C32:C34)</f>
        <v>0</v>
      </c>
      <c r="D12" s="28">
        <f>AVERAGE(densidade_hab_indL!D32:D34)</f>
        <v>0</v>
      </c>
      <c r="E12" s="28">
        <f>AVERAGE(densidade_hab_indL!E32:E34)</f>
        <v>0.3666666666666667</v>
      </c>
      <c r="F12" s="28">
        <f>AVERAGE(densidade_hab_indL!F32:F34)</f>
        <v>0</v>
      </c>
      <c r="G12" s="28">
        <f>AVERAGE(densidade_hab_indL!G32:G34)</f>
        <v>0</v>
      </c>
      <c r="H12" s="28">
        <f>AVERAGE(densidade_hab_indL!H32:H34)</f>
        <v>0</v>
      </c>
      <c r="I12" s="28">
        <f>AVERAGE(densidade_hab_indL!I32:I34)</f>
        <v>0.13333333333333333</v>
      </c>
      <c r="J12" s="28">
        <f>AVERAGE(densidade_hab_indL!J32:J34)</f>
        <v>0</v>
      </c>
      <c r="K12" s="28">
        <f>AVERAGE(densidade_hab_indL!K32:K34)</f>
        <v>0</v>
      </c>
      <c r="L12" s="28">
        <f>AVERAGE(densidade_hab_indL!L32:L34)</f>
        <v>0</v>
      </c>
      <c r="M12" s="28">
        <f>AVERAGE(densidade_hab_indL!M32:M34)</f>
        <v>0</v>
      </c>
      <c r="N12" s="28">
        <f>AVERAGE(densidade_hab_indL!N32:N34)</f>
        <v>0</v>
      </c>
      <c r="O12" s="28">
        <f>AVERAGE(densidade_hab_indL!O32:O34)</f>
        <v>0</v>
      </c>
      <c r="P12" s="28">
        <f>AVERAGE(densidade_hab_indL!P32:P34)</f>
        <v>0</v>
      </c>
      <c r="Q12" s="28">
        <f>AVERAGE(densidade_hab_indL!Q32:Q34)</f>
        <v>0</v>
      </c>
      <c r="R12" s="28">
        <f>AVERAGE(densidade_hab_indL!R32:R34)</f>
        <v>0</v>
      </c>
      <c r="S12" s="28">
        <f>AVERAGE(densidade_hab_indL!S32:S34)</f>
        <v>0</v>
      </c>
      <c r="T12" s="28">
        <f>AVERAGE(densidade_hab_indL!T32:T34)</f>
        <v>0</v>
      </c>
      <c r="U12" s="28">
        <f>AVERAGE(densidade_hab_indL!U32:U34)</f>
        <v>0</v>
      </c>
      <c r="V12" s="28">
        <f>AVERAGE(densidade_hab_indL!V32:V34)</f>
        <v>0</v>
      </c>
      <c r="W12" s="28">
        <f>AVERAGE(densidade_hab_indL!W32:W34)</f>
        <v>0</v>
      </c>
      <c r="X12" s="28">
        <f>AVERAGE(densidade_hab_indL!X32:X34)</f>
        <v>0</v>
      </c>
      <c r="Y12" s="28">
        <f>AVERAGE(densidade_hab_indL!Y32:Y34)</f>
        <v>0</v>
      </c>
      <c r="Z12" s="28">
        <f>AVERAGE(densidade_hab_indL!Z32:Z34)</f>
        <v>0</v>
      </c>
      <c r="AA12" s="28">
        <f>AVERAGE(densidade_hab_indL!AA32:AA34)</f>
        <v>0</v>
      </c>
      <c r="AB12" s="28">
        <f>AVERAGE(densidade_hab_indL!AB32:AB34)</f>
        <v>0</v>
      </c>
      <c r="AC12" s="28">
        <f>AVERAGE(densidade_hab_indL!AC32:AC34)</f>
        <v>0</v>
      </c>
      <c r="AD12" s="28">
        <f>AVERAGE(densidade_hab_indL!AD32:AD34)</f>
        <v>0</v>
      </c>
      <c r="AE12" s="28">
        <f>AVERAGE(densidade_hab_indL!AE32:AE34)</f>
        <v>0</v>
      </c>
      <c r="AF12" s="28">
        <f>AVERAGE(densidade_hab_indL!AF32:AF34)</f>
        <v>0</v>
      </c>
      <c r="AG12" s="28">
        <f>AVERAGE(densidade_hab_indL!AG32:AG34)</f>
        <v>0</v>
      </c>
      <c r="AH12" s="28">
        <f>AVERAGE(densidade_hab_indL!AH32:AH34)</f>
        <v>0</v>
      </c>
      <c r="AI12" s="28">
        <f>AVERAGE(densidade_hab_indL!AI32:AI34)</f>
        <v>0</v>
      </c>
      <c r="AJ12" s="28">
        <f>AVERAGE(densidade_hab_indL!AJ32:AJ34)</f>
        <v>6.6666666666666671E-3</v>
      </c>
      <c r="AK12" s="28">
        <f>AVERAGE(densidade_hab_indL!AK32:AK34)</f>
        <v>0</v>
      </c>
      <c r="AL12" s="28">
        <f>AVERAGE(densidade_hab_indL!AL32:AL34)</f>
        <v>0</v>
      </c>
      <c r="AM12" s="28">
        <f>AVERAGE(densidade_hab_indL!AM32:AM34)</f>
        <v>0</v>
      </c>
      <c r="AN12" s="28">
        <f>AVERAGE(densidade_hab_indL!AN32:AN34)</f>
        <v>0</v>
      </c>
      <c r="AO12" s="28">
        <f>AVERAGE(densidade_hab_indL!AO32:AO34)</f>
        <v>0</v>
      </c>
      <c r="AP12" s="28">
        <f>AVERAGE(densidade_hab_indL!AP32:AP34)</f>
        <v>0</v>
      </c>
      <c r="AQ12" s="28">
        <f>AVERAGE(densidade_hab_indL!AQ32:AQ34)</f>
        <v>6.6666666666666671E-3</v>
      </c>
      <c r="AR12" s="28">
        <f>AVERAGE(densidade_hab_indL!AR32:AR34)</f>
        <v>0</v>
      </c>
      <c r="AS12" s="28">
        <f>AVERAGE(densidade_hab_indL!AS32:AS34)</f>
        <v>0</v>
      </c>
      <c r="AT12" s="28">
        <f>AVERAGE(densidade_hab_indL!AT32:AT34)</f>
        <v>0</v>
      </c>
      <c r="AU12" s="28">
        <f>AVERAGE(densidade_hab_indL!AU32:AU34)</f>
        <v>0</v>
      </c>
      <c r="AV12" s="28">
        <f>AVERAGE(densidade_hab_indL!AV32:AV34)</f>
        <v>0.11333333333333333</v>
      </c>
      <c r="AW12" s="28">
        <f>AVERAGE(densidade_hab_indL!AW32:AW34)</f>
        <v>0</v>
      </c>
      <c r="AX12" s="28">
        <f>AVERAGE(densidade_hab_indL!AX32:AX34)</f>
        <v>2.6666666666666668E-2</v>
      </c>
      <c r="AY12" s="28">
        <f>AVERAGE(densidade_hab_indL!AY32:AY34)</f>
        <v>0</v>
      </c>
      <c r="AZ12" s="28">
        <f>AVERAGE(densidade_hab_indL!AZ32:AZ34)</f>
        <v>0</v>
      </c>
      <c r="BA12" s="28">
        <f>AVERAGE(densidade_hab_indL!BA32:BA34)</f>
        <v>0</v>
      </c>
      <c r="BB12" s="28">
        <f>AVERAGE(densidade_hab_indL!BB32:BB34)</f>
        <v>0</v>
      </c>
      <c r="BC12" s="28">
        <f>AVERAGE(densidade_hab_indL!BC32:BC34)</f>
        <v>0</v>
      </c>
      <c r="BD12" s="28">
        <f>AVERAGE(densidade_hab_indL!BD32:BD34)</f>
        <v>0</v>
      </c>
      <c r="BE12" s="28">
        <f>AVERAGE(densidade_hab_indL!BE32:BE34)</f>
        <v>0</v>
      </c>
      <c r="BF12" s="28">
        <f>AVERAGE(densidade_hab_indL!BF32:BF34)</f>
        <v>0</v>
      </c>
      <c r="BG12" s="28">
        <f>AVERAGE(densidade_hab_indL!BG32:BG34)</f>
        <v>0</v>
      </c>
    </row>
    <row r="13" spans="1:67" ht="12.75" customHeight="1" x14ac:dyDescent="0.25">
      <c r="A13" s="4" t="s">
        <v>316</v>
      </c>
      <c r="B13" s="28">
        <f>AVERAGE(densidade_hab_indL!B35:B37)</f>
        <v>0.02</v>
      </c>
      <c r="C13" s="28">
        <f>AVERAGE(densidade_hab_indL!C35:C37)</f>
        <v>0</v>
      </c>
      <c r="D13" s="28">
        <f>AVERAGE(densidade_hab_indL!D35:D37)</f>
        <v>0.02</v>
      </c>
      <c r="E13" s="28">
        <f>AVERAGE(densidade_hab_indL!E35:E37)</f>
        <v>0.52666666666666673</v>
      </c>
      <c r="F13" s="28">
        <f>AVERAGE(densidade_hab_indL!F35:F37)</f>
        <v>0</v>
      </c>
      <c r="G13" s="28">
        <f>AVERAGE(densidade_hab_indL!G35:G37)</f>
        <v>2.6666666666666668E-2</v>
      </c>
      <c r="H13" s="28">
        <f>AVERAGE(densidade_hab_indL!H35:H37)</f>
        <v>0</v>
      </c>
      <c r="I13" s="28">
        <f>AVERAGE(densidade_hab_indL!I35:I37)</f>
        <v>1.1133333333333333</v>
      </c>
      <c r="J13" s="28">
        <f>AVERAGE(densidade_hab_indL!J35:J37)</f>
        <v>0</v>
      </c>
      <c r="K13" s="28">
        <f>AVERAGE(densidade_hab_indL!K35:K37)</f>
        <v>6.6666666666666671E-3</v>
      </c>
      <c r="L13" s="28">
        <f>AVERAGE(densidade_hab_indL!L35:L37)</f>
        <v>0.22</v>
      </c>
      <c r="M13" s="28">
        <f>AVERAGE(densidade_hab_indL!M35:M37)</f>
        <v>0.12000000000000001</v>
      </c>
      <c r="N13" s="28">
        <f>AVERAGE(densidade_hab_indL!N35:N37)</f>
        <v>1.3333333333333334E-2</v>
      </c>
      <c r="O13" s="28">
        <f>AVERAGE(densidade_hab_indL!O35:O37)</f>
        <v>0</v>
      </c>
      <c r="P13" s="28">
        <f>AVERAGE(densidade_hab_indL!P35:P37)</f>
        <v>0</v>
      </c>
      <c r="Q13" s="28">
        <f>AVERAGE(densidade_hab_indL!Q35:Q37)</f>
        <v>0</v>
      </c>
      <c r="R13" s="28">
        <f>AVERAGE(densidade_hab_indL!R35:R37)</f>
        <v>0</v>
      </c>
      <c r="S13" s="28">
        <f>AVERAGE(densidade_hab_indL!S35:S37)</f>
        <v>5.3333333333333337E-2</v>
      </c>
      <c r="T13" s="28">
        <f>AVERAGE(densidade_hab_indL!T35:T37)</f>
        <v>0.02</v>
      </c>
      <c r="U13" s="28">
        <f>AVERAGE(densidade_hab_indL!U35:U37)</f>
        <v>6.6666666666666671E-3</v>
      </c>
      <c r="V13" s="28">
        <f>AVERAGE(densidade_hab_indL!V35:V37)</f>
        <v>2.6666666666666668E-2</v>
      </c>
      <c r="W13" s="28">
        <f>AVERAGE(densidade_hab_indL!W35:W37)</f>
        <v>0</v>
      </c>
      <c r="X13" s="28">
        <f>AVERAGE(densidade_hab_indL!X35:X37)</f>
        <v>0</v>
      </c>
      <c r="Y13" s="28">
        <f>AVERAGE(densidade_hab_indL!Y35:Y37)</f>
        <v>0.02</v>
      </c>
      <c r="Z13" s="28">
        <f>AVERAGE(densidade_hab_indL!Z35:Z37)</f>
        <v>0</v>
      </c>
      <c r="AA13" s="28">
        <f>AVERAGE(densidade_hab_indL!AA35:AA37)</f>
        <v>0.02</v>
      </c>
      <c r="AB13" s="28">
        <f>AVERAGE(densidade_hab_indL!AB35:AB37)</f>
        <v>6.6666666666666671E-3</v>
      </c>
      <c r="AC13" s="28">
        <f>AVERAGE(densidade_hab_indL!AC35:AC37)</f>
        <v>6.6666666666666671E-3</v>
      </c>
      <c r="AD13" s="28">
        <f>AVERAGE(densidade_hab_indL!AD35:AD37)</f>
        <v>6.6666666666666671E-3</v>
      </c>
      <c r="AE13" s="28">
        <f>AVERAGE(densidade_hab_indL!AE35:AE37)</f>
        <v>0</v>
      </c>
      <c r="AF13" s="28">
        <f>AVERAGE(densidade_hab_indL!AF35:AF37)</f>
        <v>0</v>
      </c>
      <c r="AG13" s="28">
        <f>AVERAGE(densidade_hab_indL!AG35:AG37)</f>
        <v>0</v>
      </c>
      <c r="AH13" s="28">
        <f>AVERAGE(densidade_hab_indL!AH35:AH37)</f>
        <v>0</v>
      </c>
      <c r="AI13" s="28">
        <f>AVERAGE(densidade_hab_indL!AI35:AI37)</f>
        <v>0</v>
      </c>
      <c r="AJ13" s="28">
        <f>AVERAGE(densidade_hab_indL!AJ35:AJ37)</f>
        <v>0</v>
      </c>
      <c r="AK13" s="28">
        <f>AVERAGE(densidade_hab_indL!AK35:AK37)</f>
        <v>0</v>
      </c>
      <c r="AL13" s="28">
        <f>AVERAGE(densidade_hab_indL!AL35:AL37)</f>
        <v>0</v>
      </c>
      <c r="AM13" s="28">
        <f>AVERAGE(densidade_hab_indL!AM35:AM37)</f>
        <v>0.02</v>
      </c>
      <c r="AN13" s="28">
        <f>AVERAGE(densidade_hab_indL!AN35:AN37)</f>
        <v>1.3333333333333334E-2</v>
      </c>
      <c r="AO13" s="28">
        <f>AVERAGE(densidade_hab_indL!AO35:AO37)</f>
        <v>2.6666666666666668E-2</v>
      </c>
      <c r="AP13" s="28">
        <f>AVERAGE(densidade_hab_indL!AP35:AP37)</f>
        <v>1.3333333333333334E-2</v>
      </c>
      <c r="AQ13" s="28">
        <f>AVERAGE(densidade_hab_indL!AQ35:AQ37)</f>
        <v>0.04</v>
      </c>
      <c r="AR13" s="28">
        <f>AVERAGE(densidade_hab_indL!AR35:AR37)</f>
        <v>0</v>
      </c>
      <c r="AS13" s="28">
        <f>AVERAGE(densidade_hab_indL!AS35:AS37)</f>
        <v>0</v>
      </c>
      <c r="AT13" s="28">
        <f>AVERAGE(densidade_hab_indL!AT35:AT37)</f>
        <v>0</v>
      </c>
      <c r="AU13" s="28">
        <f>AVERAGE(densidade_hab_indL!AU35:AU37)</f>
        <v>0</v>
      </c>
      <c r="AV13" s="28">
        <f>AVERAGE(densidade_hab_indL!AV35:AV37)</f>
        <v>6.3533333333333326</v>
      </c>
      <c r="AW13" s="28">
        <f>AVERAGE(densidade_hab_indL!AW35:AW37)</f>
        <v>0.32</v>
      </c>
      <c r="AX13" s="28">
        <f>AVERAGE(densidade_hab_indL!AX35:AX37)</f>
        <v>7.3333333333333348E-2</v>
      </c>
      <c r="AY13" s="28">
        <f>AVERAGE(densidade_hab_indL!AY35:AY37)</f>
        <v>0</v>
      </c>
      <c r="AZ13" s="28">
        <f>AVERAGE(densidade_hab_indL!AZ35:AZ37)</f>
        <v>0</v>
      </c>
      <c r="BA13" s="28">
        <f>AVERAGE(densidade_hab_indL!BA35:BA37)</f>
        <v>0.24000000000000002</v>
      </c>
      <c r="BB13" s="28">
        <f>AVERAGE(densidade_hab_indL!BB35:BB37)</f>
        <v>0</v>
      </c>
      <c r="BC13" s="28">
        <f>AVERAGE(densidade_hab_indL!BC35:BC37)</f>
        <v>0.96666666666666667</v>
      </c>
      <c r="BD13" s="28">
        <f>AVERAGE(densidade_hab_indL!BD35:BD37)</f>
        <v>7.333333333333332E-2</v>
      </c>
      <c r="BE13" s="28">
        <f>AVERAGE(densidade_hab_indL!BE35:BE37)</f>
        <v>0.02</v>
      </c>
      <c r="BF13" s="28">
        <f>AVERAGE(densidade_hab_indL!BF35:BF37)</f>
        <v>6.6666666666666671E-3</v>
      </c>
      <c r="BG13" s="28">
        <f>AVERAGE(densidade_hab_indL!BG35:BG37)</f>
        <v>0</v>
      </c>
    </row>
    <row r="14" spans="1:67" ht="12.75" customHeight="1" x14ac:dyDescent="0.25">
      <c r="A14" s="4" t="s">
        <v>317</v>
      </c>
      <c r="B14" s="28">
        <f>AVERAGE(densidade_hab_indL!B38:B40)</f>
        <v>0.02</v>
      </c>
      <c r="C14" s="28">
        <f>AVERAGE(densidade_hab_indL!C38:C40)</f>
        <v>0</v>
      </c>
      <c r="D14" s="28">
        <f>AVERAGE(densidade_hab_indL!D38:D40)</f>
        <v>0</v>
      </c>
      <c r="E14" s="28">
        <f>AVERAGE(densidade_hab_indL!E38:E40)</f>
        <v>0.77999999999999992</v>
      </c>
      <c r="F14" s="28">
        <f>AVERAGE(densidade_hab_indL!F38:F40)</f>
        <v>0</v>
      </c>
      <c r="G14" s="28">
        <f>AVERAGE(densidade_hab_indL!G38:G40)</f>
        <v>0</v>
      </c>
      <c r="H14" s="28">
        <f>AVERAGE(densidade_hab_indL!H38:H40)</f>
        <v>0</v>
      </c>
      <c r="I14" s="28">
        <f>AVERAGE(densidade_hab_indL!I38:I40)</f>
        <v>1.3133333333333332</v>
      </c>
      <c r="J14" s="28">
        <f>AVERAGE(densidade_hab_indL!J38:J40)</f>
        <v>0</v>
      </c>
      <c r="K14" s="28">
        <f>AVERAGE(densidade_hab_indL!K38:K40)</f>
        <v>6.6666666666666671E-3</v>
      </c>
      <c r="L14" s="28">
        <f>AVERAGE(densidade_hab_indL!L38:L40)</f>
        <v>0</v>
      </c>
      <c r="M14" s="28">
        <f>AVERAGE(densidade_hab_indL!M38:M40)</f>
        <v>0</v>
      </c>
      <c r="N14" s="28">
        <f>AVERAGE(densidade_hab_indL!N38:N40)</f>
        <v>0</v>
      </c>
      <c r="O14" s="28">
        <f>AVERAGE(densidade_hab_indL!O38:O40)</f>
        <v>6.6666666666666671E-3</v>
      </c>
      <c r="P14" s="28">
        <f>AVERAGE(densidade_hab_indL!P38:P40)</f>
        <v>6.6666666666666671E-3</v>
      </c>
      <c r="Q14" s="28">
        <f>AVERAGE(densidade_hab_indL!Q38:Q40)</f>
        <v>0.02</v>
      </c>
      <c r="R14" s="28">
        <f>AVERAGE(densidade_hab_indL!R38:R40)</f>
        <v>0</v>
      </c>
      <c r="S14" s="28">
        <f>AVERAGE(densidade_hab_indL!S38:S40)</f>
        <v>6.6666666666666671E-3</v>
      </c>
      <c r="T14" s="28">
        <f>AVERAGE(densidade_hab_indL!T38:T40)</f>
        <v>0</v>
      </c>
      <c r="U14" s="28">
        <f>AVERAGE(densidade_hab_indL!U38:U40)</f>
        <v>0</v>
      </c>
      <c r="V14" s="28">
        <f>AVERAGE(densidade_hab_indL!V38:V40)</f>
        <v>0</v>
      </c>
      <c r="W14" s="28">
        <f>AVERAGE(densidade_hab_indL!W38:W40)</f>
        <v>0</v>
      </c>
      <c r="X14" s="28">
        <f>AVERAGE(densidade_hab_indL!X38:X40)</f>
        <v>0</v>
      </c>
      <c r="Y14" s="28">
        <f>AVERAGE(densidade_hab_indL!Y38:Y40)</f>
        <v>6.6666666666666671E-3</v>
      </c>
      <c r="Z14" s="28">
        <f>AVERAGE(densidade_hab_indL!Z38:Z40)</f>
        <v>0</v>
      </c>
      <c r="AA14" s="28">
        <f>AVERAGE(densidade_hab_indL!AA38:AA40)</f>
        <v>0</v>
      </c>
      <c r="AB14" s="28">
        <f>AVERAGE(densidade_hab_indL!AB38:AB40)</f>
        <v>0</v>
      </c>
      <c r="AC14" s="28">
        <f>AVERAGE(densidade_hab_indL!AC38:AC40)</f>
        <v>0</v>
      </c>
      <c r="AD14" s="28">
        <f>AVERAGE(densidade_hab_indL!AD38:AD40)</f>
        <v>6.6666666666666671E-3</v>
      </c>
      <c r="AE14" s="28">
        <f>AVERAGE(densidade_hab_indL!AE38:AE40)</f>
        <v>0</v>
      </c>
      <c r="AF14" s="28">
        <f>AVERAGE(densidade_hab_indL!AF38:AF40)</f>
        <v>0</v>
      </c>
      <c r="AG14" s="28">
        <f>AVERAGE(densidade_hab_indL!AG38:AG40)</f>
        <v>6.6666666666666671E-3</v>
      </c>
      <c r="AH14" s="28">
        <f>AVERAGE(densidade_hab_indL!AH38:AH40)</f>
        <v>0</v>
      </c>
      <c r="AI14" s="28">
        <f>AVERAGE(densidade_hab_indL!AI38:AI40)</f>
        <v>0</v>
      </c>
      <c r="AJ14" s="28">
        <f>AVERAGE(densidade_hab_indL!AJ38:AJ40)</f>
        <v>0</v>
      </c>
      <c r="AK14" s="28">
        <f>AVERAGE(densidade_hab_indL!AK38:AK40)</f>
        <v>0</v>
      </c>
      <c r="AL14" s="28">
        <f>AVERAGE(densidade_hab_indL!AL38:AL40)</f>
        <v>0</v>
      </c>
      <c r="AM14" s="28">
        <f>AVERAGE(densidade_hab_indL!AM38:AM40)</f>
        <v>1.3333333333333334E-2</v>
      </c>
      <c r="AN14" s="28">
        <f>AVERAGE(densidade_hab_indL!AN38:AN40)</f>
        <v>0</v>
      </c>
      <c r="AO14" s="28">
        <f>AVERAGE(densidade_hab_indL!AO38:AO40)</f>
        <v>0.02</v>
      </c>
      <c r="AP14" s="28">
        <f>AVERAGE(densidade_hab_indL!AP38:AP40)</f>
        <v>0</v>
      </c>
      <c r="AQ14" s="28">
        <f>AVERAGE(densidade_hab_indL!AQ38:AQ40)</f>
        <v>6.6666666666666671E-3</v>
      </c>
      <c r="AR14" s="28">
        <f>AVERAGE(densidade_hab_indL!AR38:AR40)</f>
        <v>2.6666666666666668E-2</v>
      </c>
      <c r="AS14" s="28">
        <f>AVERAGE(densidade_hab_indL!AS38:AS40)</f>
        <v>6.6666666666666671E-3</v>
      </c>
      <c r="AT14" s="28">
        <f>AVERAGE(densidade_hab_indL!AT38:AT40)</f>
        <v>6.6666666666666671E-3</v>
      </c>
      <c r="AU14" s="28">
        <f>AVERAGE(densidade_hab_indL!AU38:AU40)</f>
        <v>0</v>
      </c>
      <c r="AV14" s="28">
        <f>AVERAGE(densidade_hab_indL!AV38:AV40)</f>
        <v>0.56666666666666665</v>
      </c>
      <c r="AW14" s="28">
        <f>AVERAGE(densidade_hab_indL!AW38:AW40)</f>
        <v>0.23333333333333336</v>
      </c>
      <c r="AX14" s="28">
        <f>AVERAGE(densidade_hab_indL!AX38:AX40)</f>
        <v>0.19999999999999998</v>
      </c>
      <c r="AY14" s="28">
        <f>AVERAGE(densidade_hab_indL!AY38:AY40)</f>
        <v>0</v>
      </c>
      <c r="AZ14" s="28">
        <f>AVERAGE(densidade_hab_indL!AZ38:AZ40)</f>
        <v>0</v>
      </c>
      <c r="BA14" s="28">
        <f>AVERAGE(densidade_hab_indL!BA38:BA40)</f>
        <v>0</v>
      </c>
      <c r="BB14" s="28">
        <f>AVERAGE(densidade_hab_indL!BB38:BB40)</f>
        <v>0</v>
      </c>
      <c r="BC14" s="28">
        <f>AVERAGE(densidade_hab_indL!BC38:BC40)</f>
        <v>0</v>
      </c>
      <c r="BD14" s="28">
        <f>AVERAGE(densidade_hab_indL!BD38:BD40)</f>
        <v>0</v>
      </c>
      <c r="BE14" s="28">
        <f>AVERAGE(densidade_hab_indL!BE38:BE40)</f>
        <v>0</v>
      </c>
      <c r="BF14" s="28">
        <f>AVERAGE(densidade_hab_indL!BF38:BF40)</f>
        <v>6.6666666666666671E-3</v>
      </c>
      <c r="BG14" s="28">
        <f>AVERAGE(densidade_hab_indL!BG38:BG40)</f>
        <v>0</v>
      </c>
    </row>
    <row r="15" spans="1:67" ht="12.75" customHeight="1" x14ac:dyDescent="0.25">
      <c r="A15" s="4" t="s">
        <v>318</v>
      </c>
      <c r="B15" s="28">
        <f>AVERAGE(densidade_hab_indL!B41:B43)</f>
        <v>0.02</v>
      </c>
      <c r="C15" s="28">
        <f>AVERAGE(densidade_hab_indL!C41:C43)</f>
        <v>0</v>
      </c>
      <c r="D15" s="28">
        <f>AVERAGE(densidade_hab_indL!D41:D43)</f>
        <v>0</v>
      </c>
      <c r="E15" s="28">
        <f>AVERAGE(densidade_hab_indL!E41:E43)</f>
        <v>0.3133333333333333</v>
      </c>
      <c r="F15" s="28">
        <f>AVERAGE(densidade_hab_indL!F41:F43)</f>
        <v>0</v>
      </c>
      <c r="G15" s="28">
        <f>AVERAGE(densidade_hab_indL!G41:G43)</f>
        <v>0.02</v>
      </c>
      <c r="H15" s="28">
        <f>AVERAGE(densidade_hab_indL!H41:H43)</f>
        <v>0</v>
      </c>
      <c r="I15" s="28">
        <f>AVERAGE(densidade_hab_indL!I41:I43)</f>
        <v>0.15333333333333335</v>
      </c>
      <c r="J15" s="28">
        <f>AVERAGE(densidade_hab_indL!J41:J43)</f>
        <v>0</v>
      </c>
      <c r="K15" s="28">
        <f>AVERAGE(densidade_hab_indL!K41:K43)</f>
        <v>0</v>
      </c>
      <c r="L15" s="28">
        <f>AVERAGE(densidade_hab_indL!L41:L43)</f>
        <v>0</v>
      </c>
      <c r="M15" s="28">
        <f>AVERAGE(densidade_hab_indL!M41:M43)</f>
        <v>0</v>
      </c>
      <c r="N15" s="28">
        <f>AVERAGE(densidade_hab_indL!N41:N43)</f>
        <v>0</v>
      </c>
      <c r="O15" s="28">
        <f>AVERAGE(densidade_hab_indL!O41:O43)</f>
        <v>0</v>
      </c>
      <c r="P15" s="28">
        <f>AVERAGE(densidade_hab_indL!P41:P43)</f>
        <v>0</v>
      </c>
      <c r="Q15" s="28">
        <f>AVERAGE(densidade_hab_indL!Q41:Q43)</f>
        <v>6.6666666666666671E-3</v>
      </c>
      <c r="R15" s="28">
        <f>AVERAGE(densidade_hab_indL!R41:R43)</f>
        <v>0</v>
      </c>
      <c r="S15" s="28">
        <f>AVERAGE(densidade_hab_indL!S41:S43)</f>
        <v>0</v>
      </c>
      <c r="T15" s="28">
        <f>AVERAGE(densidade_hab_indL!T41:T43)</f>
        <v>0</v>
      </c>
      <c r="U15" s="28">
        <f>AVERAGE(densidade_hab_indL!U41:U43)</f>
        <v>0</v>
      </c>
      <c r="V15" s="28">
        <f>AVERAGE(densidade_hab_indL!V41:V43)</f>
        <v>1.3333333333333334E-2</v>
      </c>
      <c r="W15" s="28">
        <f>AVERAGE(densidade_hab_indL!W41:W43)</f>
        <v>0</v>
      </c>
      <c r="X15" s="28">
        <f>AVERAGE(densidade_hab_indL!X41:X43)</f>
        <v>0</v>
      </c>
      <c r="Y15" s="28">
        <f>AVERAGE(densidade_hab_indL!Y41:Y43)</f>
        <v>0.02</v>
      </c>
      <c r="Z15" s="28">
        <f>AVERAGE(densidade_hab_indL!Z41:Z43)</f>
        <v>0</v>
      </c>
      <c r="AA15" s="28">
        <f>AVERAGE(densidade_hab_indL!AA41:AA43)</f>
        <v>0</v>
      </c>
      <c r="AB15" s="28">
        <f>AVERAGE(densidade_hab_indL!AB41:AB43)</f>
        <v>0</v>
      </c>
      <c r="AC15" s="28">
        <f>AVERAGE(densidade_hab_indL!AC41:AC43)</f>
        <v>0</v>
      </c>
      <c r="AD15" s="28">
        <f>AVERAGE(densidade_hab_indL!AD41:AD43)</f>
        <v>0</v>
      </c>
      <c r="AE15" s="28">
        <f>AVERAGE(densidade_hab_indL!AE41:AE43)</f>
        <v>0</v>
      </c>
      <c r="AF15" s="28">
        <f>AVERAGE(densidade_hab_indL!AF41:AF43)</f>
        <v>0</v>
      </c>
      <c r="AG15" s="28">
        <f>AVERAGE(densidade_hab_indL!AG41:AG43)</f>
        <v>0</v>
      </c>
      <c r="AH15" s="28">
        <f>AVERAGE(densidade_hab_indL!AH41:AH43)</f>
        <v>0</v>
      </c>
      <c r="AI15" s="28">
        <f>AVERAGE(densidade_hab_indL!AI41:AI43)</f>
        <v>0</v>
      </c>
      <c r="AJ15" s="28">
        <f>AVERAGE(densidade_hab_indL!AJ41:AJ43)</f>
        <v>0</v>
      </c>
      <c r="AK15" s="28">
        <f>AVERAGE(densidade_hab_indL!AK41:AK43)</f>
        <v>0</v>
      </c>
      <c r="AL15" s="28">
        <f>AVERAGE(densidade_hab_indL!AL41:AL43)</f>
        <v>0</v>
      </c>
      <c r="AM15" s="28">
        <f>AVERAGE(densidade_hab_indL!AM41:AM43)</f>
        <v>0</v>
      </c>
      <c r="AN15" s="28">
        <f>AVERAGE(densidade_hab_indL!AN41:AN43)</f>
        <v>0</v>
      </c>
      <c r="AO15" s="28">
        <f>AVERAGE(densidade_hab_indL!AO41:AO43)</f>
        <v>0</v>
      </c>
      <c r="AP15" s="28">
        <f>AVERAGE(densidade_hab_indL!AP41:AP43)</f>
        <v>0</v>
      </c>
      <c r="AQ15" s="28">
        <f>AVERAGE(densidade_hab_indL!AQ41:AQ43)</f>
        <v>0</v>
      </c>
      <c r="AR15" s="28">
        <f>AVERAGE(densidade_hab_indL!AR41:AR43)</f>
        <v>0</v>
      </c>
      <c r="AS15" s="28">
        <f>AVERAGE(densidade_hab_indL!AS41:AS43)</f>
        <v>0</v>
      </c>
      <c r="AT15" s="28">
        <f>AVERAGE(densidade_hab_indL!AT41:AT43)</f>
        <v>0</v>
      </c>
      <c r="AU15" s="28">
        <f>AVERAGE(densidade_hab_indL!AU41:AU43)</f>
        <v>0</v>
      </c>
      <c r="AV15" s="28">
        <f>AVERAGE(densidade_hab_indL!AV41:AV43)</f>
        <v>8.666666666666667E-2</v>
      </c>
      <c r="AW15" s="28">
        <f>AVERAGE(densidade_hab_indL!AW41:AW43)</f>
        <v>0</v>
      </c>
      <c r="AX15" s="28">
        <f>AVERAGE(densidade_hab_indL!AX41:AX43)</f>
        <v>0.02</v>
      </c>
      <c r="AY15" s="28">
        <f>AVERAGE(densidade_hab_indL!AY41:AY43)</f>
        <v>0</v>
      </c>
      <c r="AZ15" s="28">
        <f>AVERAGE(densidade_hab_indL!AZ41:AZ43)</f>
        <v>0</v>
      </c>
      <c r="BA15" s="28">
        <f>AVERAGE(densidade_hab_indL!BA41:BA43)</f>
        <v>0</v>
      </c>
      <c r="BB15" s="28">
        <f>AVERAGE(densidade_hab_indL!BB41:BB43)</f>
        <v>0</v>
      </c>
      <c r="BC15" s="28">
        <f>AVERAGE(densidade_hab_indL!BC41:BC43)</f>
        <v>0</v>
      </c>
      <c r="BD15" s="28">
        <f>AVERAGE(densidade_hab_indL!BD41:BD43)</f>
        <v>0</v>
      </c>
      <c r="BE15" s="28">
        <f>AVERAGE(densidade_hab_indL!BE41:BE43)</f>
        <v>0</v>
      </c>
      <c r="BF15" s="28">
        <f>AVERAGE(densidade_hab_indL!BF41:BF43)</f>
        <v>0</v>
      </c>
      <c r="BG15" s="28">
        <f>AVERAGE(densidade_hab_indL!BG41:BG43)</f>
        <v>0</v>
      </c>
    </row>
    <row r="16" spans="1:67" ht="12.75" customHeight="1" x14ac:dyDescent="0.25">
      <c r="A16" s="4" t="s">
        <v>319</v>
      </c>
      <c r="B16" s="28">
        <f>AVERAGE(densidade_hab_indL!B44:B46)</f>
        <v>0</v>
      </c>
      <c r="C16" s="28">
        <f>AVERAGE(densidade_hab_indL!C44:C46)</f>
        <v>1.3333333333333334E-2</v>
      </c>
      <c r="D16" s="28">
        <f>AVERAGE(densidade_hab_indL!D44:D46)</f>
        <v>0</v>
      </c>
      <c r="E16" s="28">
        <f>AVERAGE(densidade_hab_indL!E44:E46)</f>
        <v>1.0133333333333334</v>
      </c>
      <c r="F16" s="28">
        <f>AVERAGE(densidade_hab_indL!F44:F46)</f>
        <v>0</v>
      </c>
      <c r="G16" s="28">
        <f>AVERAGE(densidade_hab_indL!G44:G46)</f>
        <v>6.6666666666666671E-3</v>
      </c>
      <c r="H16" s="28">
        <f>AVERAGE(densidade_hab_indL!H44:H46)</f>
        <v>0</v>
      </c>
      <c r="I16" s="28">
        <f>AVERAGE(densidade_hab_indL!I44:I46)</f>
        <v>0.02</v>
      </c>
      <c r="J16" s="28">
        <f>AVERAGE(densidade_hab_indL!J44:J46)</f>
        <v>0</v>
      </c>
      <c r="K16" s="28">
        <f>AVERAGE(densidade_hab_indL!K44:K46)</f>
        <v>0</v>
      </c>
      <c r="L16" s="28">
        <f>AVERAGE(densidade_hab_indL!L44:L46)</f>
        <v>0</v>
      </c>
      <c r="M16" s="28">
        <f>AVERAGE(densidade_hab_indL!M44:M46)</f>
        <v>0</v>
      </c>
      <c r="N16" s="28">
        <f>AVERAGE(densidade_hab_indL!N44:N46)</f>
        <v>0</v>
      </c>
      <c r="O16" s="28">
        <f>AVERAGE(densidade_hab_indL!O44:O46)</f>
        <v>0</v>
      </c>
      <c r="P16" s="28">
        <f>AVERAGE(densidade_hab_indL!P44:P46)</f>
        <v>0</v>
      </c>
      <c r="Q16" s="28">
        <f>AVERAGE(densidade_hab_indL!Q44:Q46)</f>
        <v>6.6666666666666671E-3</v>
      </c>
      <c r="R16" s="28">
        <f>AVERAGE(densidade_hab_indL!R44:R46)</f>
        <v>0</v>
      </c>
      <c r="S16" s="28">
        <f>AVERAGE(densidade_hab_indL!S44:S46)</f>
        <v>0</v>
      </c>
      <c r="T16" s="28">
        <f>AVERAGE(densidade_hab_indL!T44:T46)</f>
        <v>0</v>
      </c>
      <c r="U16" s="28">
        <f>AVERAGE(densidade_hab_indL!U44:U46)</f>
        <v>0</v>
      </c>
      <c r="V16" s="28">
        <f>AVERAGE(densidade_hab_indL!V44:V46)</f>
        <v>0</v>
      </c>
      <c r="W16" s="28">
        <f>AVERAGE(densidade_hab_indL!W44:W46)</f>
        <v>0</v>
      </c>
      <c r="X16" s="28">
        <f>AVERAGE(densidade_hab_indL!X44:X46)</f>
        <v>0</v>
      </c>
      <c r="Y16" s="28">
        <f>AVERAGE(densidade_hab_indL!Y44:Y46)</f>
        <v>0</v>
      </c>
      <c r="Z16" s="28">
        <f>AVERAGE(densidade_hab_indL!Z44:Z46)</f>
        <v>0</v>
      </c>
      <c r="AA16" s="28">
        <f>AVERAGE(densidade_hab_indL!AA44:AA46)</f>
        <v>0</v>
      </c>
      <c r="AB16" s="28">
        <f>AVERAGE(densidade_hab_indL!AB44:AB46)</f>
        <v>0</v>
      </c>
      <c r="AC16" s="28">
        <f>AVERAGE(densidade_hab_indL!AC44:AC46)</f>
        <v>0</v>
      </c>
      <c r="AD16" s="28">
        <f>AVERAGE(densidade_hab_indL!AD44:AD46)</f>
        <v>0</v>
      </c>
      <c r="AE16" s="28">
        <f>AVERAGE(densidade_hab_indL!AE44:AE46)</f>
        <v>0</v>
      </c>
      <c r="AF16" s="28">
        <f>AVERAGE(densidade_hab_indL!AF44:AF46)</f>
        <v>0</v>
      </c>
      <c r="AG16" s="28">
        <f>AVERAGE(densidade_hab_indL!AG44:AG46)</f>
        <v>0</v>
      </c>
      <c r="AH16" s="28">
        <f>AVERAGE(densidade_hab_indL!AH44:AH46)</f>
        <v>0</v>
      </c>
      <c r="AI16" s="28">
        <f>AVERAGE(densidade_hab_indL!AI44:AI46)</f>
        <v>0</v>
      </c>
      <c r="AJ16" s="28">
        <f>AVERAGE(densidade_hab_indL!AJ44:AJ46)</f>
        <v>0</v>
      </c>
      <c r="AK16" s="28">
        <f>AVERAGE(densidade_hab_indL!AK44:AK46)</f>
        <v>0</v>
      </c>
      <c r="AL16" s="28">
        <f>AVERAGE(densidade_hab_indL!AL44:AL46)</f>
        <v>0</v>
      </c>
      <c r="AM16" s="28">
        <f>AVERAGE(densidade_hab_indL!AM44:AM46)</f>
        <v>0</v>
      </c>
      <c r="AN16" s="28">
        <f>AVERAGE(densidade_hab_indL!AN44:AN46)</f>
        <v>0</v>
      </c>
      <c r="AO16" s="28">
        <f>AVERAGE(densidade_hab_indL!AO44:AO46)</f>
        <v>0</v>
      </c>
      <c r="AP16" s="28">
        <f>AVERAGE(densidade_hab_indL!AP44:AP46)</f>
        <v>0</v>
      </c>
      <c r="AQ16" s="28">
        <f>AVERAGE(densidade_hab_indL!AQ44:AQ46)</f>
        <v>0</v>
      </c>
      <c r="AR16" s="28">
        <f>AVERAGE(densidade_hab_indL!AR44:AR46)</f>
        <v>0</v>
      </c>
      <c r="AS16" s="28">
        <f>AVERAGE(densidade_hab_indL!AS44:AS46)</f>
        <v>0</v>
      </c>
      <c r="AT16" s="28">
        <f>AVERAGE(densidade_hab_indL!AT44:AT46)</f>
        <v>0</v>
      </c>
      <c r="AU16" s="28">
        <f>AVERAGE(densidade_hab_indL!AU44:AU46)</f>
        <v>0</v>
      </c>
      <c r="AV16" s="28">
        <f>AVERAGE(densidade_hab_indL!AV44:AV46)</f>
        <v>6.6666666666666671E-3</v>
      </c>
      <c r="AW16" s="28">
        <f>AVERAGE(densidade_hab_indL!AW44:AW46)</f>
        <v>0</v>
      </c>
      <c r="AX16" s="28">
        <f>AVERAGE(densidade_hab_indL!AX44:AX46)</f>
        <v>0</v>
      </c>
      <c r="AY16" s="28">
        <f>AVERAGE(densidade_hab_indL!AY44:AY46)</f>
        <v>0</v>
      </c>
      <c r="AZ16" s="28">
        <f>AVERAGE(densidade_hab_indL!AZ44:AZ46)</f>
        <v>0</v>
      </c>
      <c r="BA16" s="28">
        <f>AVERAGE(densidade_hab_indL!BA44:BA46)</f>
        <v>0</v>
      </c>
      <c r="BB16" s="28">
        <f>AVERAGE(densidade_hab_indL!BB44:BB46)</f>
        <v>0</v>
      </c>
      <c r="BC16" s="28">
        <f>AVERAGE(densidade_hab_indL!BC44:BC46)</f>
        <v>0</v>
      </c>
      <c r="BD16" s="28">
        <f>AVERAGE(densidade_hab_indL!BD44:BD46)</f>
        <v>0</v>
      </c>
      <c r="BE16" s="28">
        <f>AVERAGE(densidade_hab_indL!BE44:BE46)</f>
        <v>0</v>
      </c>
      <c r="BF16" s="28">
        <f>AVERAGE(densidade_hab_indL!BF44:BF46)</f>
        <v>0</v>
      </c>
      <c r="BG16" s="28">
        <f>AVERAGE(densidade_hab_indL!BG44:BG46)</f>
        <v>0</v>
      </c>
    </row>
    <row r="17" spans="1:59" ht="12.75" customHeight="1" x14ac:dyDescent="0.25">
      <c r="A17" s="4" t="s">
        <v>320</v>
      </c>
      <c r="B17" s="28">
        <f>AVERAGE(densidade_hab_indL!B47:B49)</f>
        <v>0</v>
      </c>
      <c r="C17" s="28">
        <f>AVERAGE(densidade_hab_indL!C47:C49)</f>
        <v>1.3333333333333334E-2</v>
      </c>
      <c r="D17" s="28">
        <f>AVERAGE(densidade_hab_indL!D47:D49)</f>
        <v>0</v>
      </c>
      <c r="E17" s="28">
        <f>AVERAGE(densidade_hab_indL!E47:E49)</f>
        <v>1.1533333333333333</v>
      </c>
      <c r="F17" s="28">
        <f>AVERAGE(densidade_hab_indL!F47:F49)</f>
        <v>0</v>
      </c>
      <c r="G17" s="28">
        <f>AVERAGE(densidade_hab_indL!G47:G49)</f>
        <v>0</v>
      </c>
      <c r="H17" s="28">
        <f>AVERAGE(densidade_hab_indL!H47:H49)</f>
        <v>0</v>
      </c>
      <c r="I17" s="28">
        <f>AVERAGE(densidade_hab_indL!I47:I49)</f>
        <v>0.04</v>
      </c>
      <c r="J17" s="28">
        <f>AVERAGE(densidade_hab_indL!J47:J49)</f>
        <v>0</v>
      </c>
      <c r="K17" s="28">
        <f>AVERAGE(densidade_hab_indL!K47:K49)</f>
        <v>0</v>
      </c>
      <c r="L17" s="28">
        <f>AVERAGE(densidade_hab_indL!L47:L49)</f>
        <v>0</v>
      </c>
      <c r="M17" s="28">
        <f>AVERAGE(densidade_hab_indL!M47:M49)</f>
        <v>0</v>
      </c>
      <c r="N17" s="28">
        <f>AVERAGE(densidade_hab_indL!N47:N49)</f>
        <v>0</v>
      </c>
      <c r="O17" s="28">
        <f>AVERAGE(densidade_hab_indL!O47:O49)</f>
        <v>0</v>
      </c>
      <c r="P17" s="28">
        <f>AVERAGE(densidade_hab_indL!P47:P49)</f>
        <v>0</v>
      </c>
      <c r="Q17" s="28">
        <f>AVERAGE(densidade_hab_indL!Q47:Q49)</f>
        <v>1.3333333333333334E-2</v>
      </c>
      <c r="R17" s="28">
        <f>AVERAGE(densidade_hab_indL!R47:R49)</f>
        <v>0</v>
      </c>
      <c r="S17" s="28">
        <f>AVERAGE(densidade_hab_indL!S47:S49)</f>
        <v>0</v>
      </c>
      <c r="T17" s="28">
        <f>AVERAGE(densidade_hab_indL!T47:T49)</f>
        <v>0</v>
      </c>
      <c r="U17" s="28">
        <f>AVERAGE(densidade_hab_indL!U47:U49)</f>
        <v>0</v>
      </c>
      <c r="V17" s="28">
        <f>AVERAGE(densidade_hab_indL!V47:V49)</f>
        <v>0</v>
      </c>
      <c r="W17" s="28">
        <f>AVERAGE(densidade_hab_indL!W47:W49)</f>
        <v>0</v>
      </c>
      <c r="X17" s="28">
        <f>AVERAGE(densidade_hab_indL!X47:X49)</f>
        <v>0</v>
      </c>
      <c r="Y17" s="28">
        <f>AVERAGE(densidade_hab_indL!Y47:Y49)</f>
        <v>0</v>
      </c>
      <c r="Z17" s="28">
        <f>AVERAGE(densidade_hab_indL!Z47:Z49)</f>
        <v>1.3333333333333334E-2</v>
      </c>
      <c r="AA17" s="28">
        <f>AVERAGE(densidade_hab_indL!AA47:AA49)</f>
        <v>6.6666666666666671E-3</v>
      </c>
      <c r="AB17" s="28">
        <f>AVERAGE(densidade_hab_indL!AB47:AB49)</f>
        <v>0</v>
      </c>
      <c r="AC17" s="28">
        <f>AVERAGE(densidade_hab_indL!AC47:AC49)</f>
        <v>0</v>
      </c>
      <c r="AD17" s="28">
        <f>AVERAGE(densidade_hab_indL!AD47:AD49)</f>
        <v>0</v>
      </c>
      <c r="AE17" s="28">
        <f>AVERAGE(densidade_hab_indL!AE47:AE49)</f>
        <v>0</v>
      </c>
      <c r="AF17" s="28">
        <f>AVERAGE(densidade_hab_indL!AF47:AF49)</f>
        <v>0</v>
      </c>
      <c r="AG17" s="28">
        <f>AVERAGE(densidade_hab_indL!AG47:AG49)</f>
        <v>0</v>
      </c>
      <c r="AH17" s="28">
        <f>AVERAGE(densidade_hab_indL!AH47:AH49)</f>
        <v>0</v>
      </c>
      <c r="AI17" s="28">
        <f>AVERAGE(densidade_hab_indL!AI47:AI49)</f>
        <v>0</v>
      </c>
      <c r="AJ17" s="28">
        <f>AVERAGE(densidade_hab_indL!AJ47:AJ49)</f>
        <v>0</v>
      </c>
      <c r="AK17" s="28">
        <f>AVERAGE(densidade_hab_indL!AK47:AK49)</f>
        <v>0</v>
      </c>
      <c r="AL17" s="28">
        <f>AVERAGE(densidade_hab_indL!AL47:AL49)</f>
        <v>0</v>
      </c>
      <c r="AM17" s="28">
        <f>AVERAGE(densidade_hab_indL!AM47:AM49)</f>
        <v>0</v>
      </c>
      <c r="AN17" s="28">
        <f>AVERAGE(densidade_hab_indL!AN47:AN49)</f>
        <v>0</v>
      </c>
      <c r="AO17" s="28">
        <f>AVERAGE(densidade_hab_indL!AO47:AO49)</f>
        <v>0</v>
      </c>
      <c r="AP17" s="28">
        <f>AVERAGE(densidade_hab_indL!AP47:AP49)</f>
        <v>0</v>
      </c>
      <c r="AQ17" s="28">
        <f>AVERAGE(densidade_hab_indL!AQ47:AQ49)</f>
        <v>1.3333333333333334E-2</v>
      </c>
      <c r="AR17" s="28">
        <f>AVERAGE(densidade_hab_indL!AR47:AR49)</f>
        <v>0</v>
      </c>
      <c r="AS17" s="28">
        <f>AVERAGE(densidade_hab_indL!AS47:AS49)</f>
        <v>0</v>
      </c>
      <c r="AT17" s="28">
        <f>AVERAGE(densidade_hab_indL!AT47:AT49)</f>
        <v>0</v>
      </c>
      <c r="AU17" s="28">
        <f>AVERAGE(densidade_hab_indL!AU47:AU49)</f>
        <v>0</v>
      </c>
      <c r="AV17" s="28">
        <f>AVERAGE(densidade_hab_indL!AV47:AV49)</f>
        <v>0.02</v>
      </c>
      <c r="AW17" s="28">
        <f>AVERAGE(densidade_hab_indL!AW47:AW49)</f>
        <v>6.6666666666666671E-3</v>
      </c>
      <c r="AX17" s="28">
        <f>AVERAGE(densidade_hab_indL!AX47:AX49)</f>
        <v>6.6666666666666671E-3</v>
      </c>
      <c r="AY17" s="28">
        <f>AVERAGE(densidade_hab_indL!AY47:AY49)</f>
        <v>1.3333333333333334E-2</v>
      </c>
      <c r="AZ17" s="28">
        <f>AVERAGE(densidade_hab_indL!AZ47:AZ49)</f>
        <v>0</v>
      </c>
      <c r="BA17" s="28">
        <f>AVERAGE(densidade_hab_indL!BA47:BA49)</f>
        <v>0</v>
      </c>
      <c r="BB17" s="28">
        <f>AVERAGE(densidade_hab_indL!BB47:BB49)</f>
        <v>0</v>
      </c>
      <c r="BC17" s="28">
        <f>AVERAGE(densidade_hab_indL!BC47:BC49)</f>
        <v>0</v>
      </c>
      <c r="BD17" s="28">
        <f>AVERAGE(densidade_hab_indL!BD47:BD49)</f>
        <v>0</v>
      </c>
      <c r="BE17" s="28">
        <f>AVERAGE(densidade_hab_indL!BE47:BE49)</f>
        <v>0</v>
      </c>
      <c r="BF17" s="28">
        <f>AVERAGE(densidade_hab_indL!BF47:BF49)</f>
        <v>0</v>
      </c>
      <c r="BG17" s="28">
        <f>AVERAGE(densidade_hab_indL!BG47:BG49)</f>
        <v>0</v>
      </c>
    </row>
    <row r="18" spans="1:59" ht="12.75" customHeight="1" x14ac:dyDescent="0.25">
      <c r="A18" s="4" t="s">
        <v>321</v>
      </c>
      <c r="B18" s="29">
        <f>AVERAGE(densidade_hab_indL!B50:B52)</f>
        <v>6.6666666666666671E-3</v>
      </c>
      <c r="C18" s="29">
        <f>AVERAGE(densidade_hab_indL!C50:C52)</f>
        <v>0</v>
      </c>
      <c r="D18" s="29">
        <f>AVERAGE(densidade_hab_indL!D50:D52)</f>
        <v>0</v>
      </c>
      <c r="E18" s="29">
        <f>AVERAGE(densidade_hab_indL!E50:E52)</f>
        <v>1.6666666666666667</v>
      </c>
      <c r="F18" s="29">
        <f>AVERAGE(densidade_hab_indL!F50:F52)</f>
        <v>0</v>
      </c>
      <c r="G18" s="29">
        <f>AVERAGE(densidade_hab_indL!G50:G52)</f>
        <v>0</v>
      </c>
      <c r="H18" s="29">
        <f>AVERAGE(densidade_hab_indL!H50:H52)</f>
        <v>0</v>
      </c>
      <c r="I18" s="29">
        <f>AVERAGE(densidade_hab_indL!I50:I52)</f>
        <v>0.54666666666666675</v>
      </c>
      <c r="J18" s="29">
        <f>AVERAGE(densidade_hab_indL!J50:J52)</f>
        <v>0</v>
      </c>
      <c r="K18" s="29">
        <f>AVERAGE(densidade_hab_indL!K50:K52)</f>
        <v>0</v>
      </c>
      <c r="L18" s="29">
        <f>AVERAGE(densidade_hab_indL!L50:L52)</f>
        <v>0</v>
      </c>
      <c r="M18" s="29">
        <f>AVERAGE(densidade_hab_indL!M50:M52)</f>
        <v>0</v>
      </c>
      <c r="N18" s="29">
        <f>AVERAGE(densidade_hab_indL!N50:N52)</f>
        <v>0</v>
      </c>
      <c r="O18" s="29">
        <f>AVERAGE(densidade_hab_indL!O50:O52)</f>
        <v>0</v>
      </c>
      <c r="P18" s="29">
        <f>AVERAGE(densidade_hab_indL!P50:P52)</f>
        <v>0</v>
      </c>
      <c r="Q18" s="29">
        <f>AVERAGE(densidade_hab_indL!Q50:Q52)</f>
        <v>0</v>
      </c>
      <c r="R18" s="29">
        <f>AVERAGE(densidade_hab_indL!R50:R52)</f>
        <v>0</v>
      </c>
      <c r="S18" s="29">
        <f>AVERAGE(densidade_hab_indL!S50:S52)</f>
        <v>0</v>
      </c>
      <c r="T18" s="29">
        <f>AVERAGE(densidade_hab_indL!T50:T52)</f>
        <v>0</v>
      </c>
      <c r="U18" s="29">
        <f>AVERAGE(densidade_hab_indL!U50:U52)</f>
        <v>0</v>
      </c>
      <c r="V18" s="29">
        <f>AVERAGE(densidade_hab_indL!V50:V52)</f>
        <v>0</v>
      </c>
      <c r="W18" s="29">
        <f>AVERAGE(densidade_hab_indL!W50:W52)</f>
        <v>0</v>
      </c>
      <c r="X18" s="29">
        <f>AVERAGE(densidade_hab_indL!X50:X52)</f>
        <v>0</v>
      </c>
      <c r="Y18" s="29">
        <f>AVERAGE(densidade_hab_indL!Y50:Y52)</f>
        <v>0</v>
      </c>
      <c r="Z18" s="29">
        <f>AVERAGE(densidade_hab_indL!Z50:Z52)</f>
        <v>0</v>
      </c>
      <c r="AA18" s="29">
        <f>AVERAGE(densidade_hab_indL!AA50:AA52)</f>
        <v>0</v>
      </c>
      <c r="AB18" s="29">
        <f>AVERAGE(densidade_hab_indL!AB50:AB52)</f>
        <v>0</v>
      </c>
      <c r="AC18" s="29">
        <f>AVERAGE(densidade_hab_indL!AC50:AC52)</f>
        <v>0</v>
      </c>
      <c r="AD18" s="29">
        <f>AVERAGE(densidade_hab_indL!AD50:AD52)</f>
        <v>0</v>
      </c>
      <c r="AE18" s="29">
        <f>AVERAGE(densidade_hab_indL!AE50:AE52)</f>
        <v>0</v>
      </c>
      <c r="AF18" s="29">
        <f>AVERAGE(densidade_hab_indL!AF50:AF52)</f>
        <v>0</v>
      </c>
      <c r="AG18" s="29">
        <f>AVERAGE(densidade_hab_indL!AG50:AG52)</f>
        <v>0</v>
      </c>
      <c r="AH18" s="29">
        <f>AVERAGE(densidade_hab_indL!AH50:AH52)</f>
        <v>0</v>
      </c>
      <c r="AI18" s="29">
        <f>AVERAGE(densidade_hab_indL!AI50:AI52)</f>
        <v>0</v>
      </c>
      <c r="AJ18" s="29">
        <f>AVERAGE(densidade_hab_indL!AJ50:AJ52)</f>
        <v>0</v>
      </c>
      <c r="AK18" s="29">
        <f>AVERAGE(densidade_hab_indL!AK50:AK52)</f>
        <v>0</v>
      </c>
      <c r="AL18" s="29">
        <f>AVERAGE(densidade_hab_indL!AL50:AL52)</f>
        <v>1.3333333333333334E-2</v>
      </c>
      <c r="AM18" s="29">
        <f>AVERAGE(densidade_hab_indL!AM50:AM52)</f>
        <v>0</v>
      </c>
      <c r="AN18" s="29">
        <f>AVERAGE(densidade_hab_indL!AN50:AN52)</f>
        <v>0</v>
      </c>
      <c r="AO18" s="29">
        <f>AVERAGE(densidade_hab_indL!AO50:AO52)</f>
        <v>0</v>
      </c>
      <c r="AP18" s="29">
        <f>AVERAGE(densidade_hab_indL!AP50:AP52)</f>
        <v>0</v>
      </c>
      <c r="AQ18" s="29">
        <f>AVERAGE(densidade_hab_indL!AQ50:AQ52)</f>
        <v>0</v>
      </c>
      <c r="AR18" s="29">
        <f>AVERAGE(densidade_hab_indL!AR50:AR52)</f>
        <v>0</v>
      </c>
      <c r="AS18" s="29">
        <f>AVERAGE(densidade_hab_indL!AS50:AS52)</f>
        <v>0</v>
      </c>
      <c r="AT18" s="29">
        <f>AVERAGE(densidade_hab_indL!AT50:AT52)</f>
        <v>0</v>
      </c>
      <c r="AU18" s="29">
        <f>AVERAGE(densidade_hab_indL!AU50:AU52)</f>
        <v>0</v>
      </c>
      <c r="AV18" s="29">
        <f>AVERAGE(densidade_hab_indL!AV50:AV52)</f>
        <v>0.16666666666666666</v>
      </c>
      <c r="AW18" s="29">
        <f>AVERAGE(densidade_hab_indL!AW50:AW52)</f>
        <v>0</v>
      </c>
      <c r="AX18" s="29">
        <f>AVERAGE(densidade_hab_indL!AX50:AX52)</f>
        <v>1.3333333333333334E-2</v>
      </c>
      <c r="AY18" s="29">
        <f>AVERAGE(densidade_hab_indL!AY50:AY52)</f>
        <v>0</v>
      </c>
      <c r="AZ18" s="29">
        <f>AVERAGE(densidade_hab_indL!AZ50:AZ52)</f>
        <v>0</v>
      </c>
      <c r="BA18" s="29">
        <f>AVERAGE(densidade_hab_indL!BA50:BA52)</f>
        <v>0</v>
      </c>
      <c r="BB18" s="29">
        <f>AVERAGE(densidade_hab_indL!BB50:BB52)</f>
        <v>0</v>
      </c>
      <c r="BC18" s="29">
        <f>AVERAGE(densidade_hab_indL!BC50:BC52)</f>
        <v>0</v>
      </c>
      <c r="BD18" s="29">
        <f>AVERAGE(densidade_hab_indL!BD50:BD52)</f>
        <v>0</v>
      </c>
      <c r="BE18" s="29">
        <f>AVERAGE(densidade_hab_indL!BE50:BE52)</f>
        <v>0</v>
      </c>
      <c r="BF18" s="29">
        <f>AVERAGE(densidade_hab_indL!BF50:BF52)</f>
        <v>0</v>
      </c>
      <c r="BG18" s="29">
        <f>AVERAGE(densidade_hab_indL!BG50:BG52)</f>
        <v>0</v>
      </c>
    </row>
    <row r="19" spans="1:59" ht="12.75" customHeight="1" x14ac:dyDescent="0.25">
      <c r="A19" s="4" t="s">
        <v>322</v>
      </c>
      <c r="B19" s="29">
        <f>AVERAGE(densidade_hab_indL!B53:B55)</f>
        <v>2.6666666666666668E-2</v>
      </c>
      <c r="C19" s="29">
        <f>AVERAGE(densidade_hab_indL!C53:C55)</f>
        <v>0</v>
      </c>
      <c r="D19" s="29">
        <f>AVERAGE(densidade_hab_indL!D53:D55)</f>
        <v>0</v>
      </c>
      <c r="E19" s="29">
        <f>AVERAGE(densidade_hab_indL!E53:E55)</f>
        <v>1.3266666666666669</v>
      </c>
      <c r="F19" s="29">
        <f>AVERAGE(densidade_hab_indL!F53:F55)</f>
        <v>0</v>
      </c>
      <c r="G19" s="29">
        <f>AVERAGE(densidade_hab_indL!G53:G55)</f>
        <v>0</v>
      </c>
      <c r="H19" s="29">
        <f>AVERAGE(densidade_hab_indL!H53:H55)</f>
        <v>0</v>
      </c>
      <c r="I19" s="29">
        <f>AVERAGE(densidade_hab_indL!I53:I55)</f>
        <v>6.0000000000000005E-2</v>
      </c>
      <c r="J19" s="29">
        <f>AVERAGE(densidade_hab_indL!J53:J55)</f>
        <v>0</v>
      </c>
      <c r="K19" s="29">
        <f>AVERAGE(densidade_hab_indL!K53:K55)</f>
        <v>0</v>
      </c>
      <c r="L19" s="29">
        <f>AVERAGE(densidade_hab_indL!L53:L55)</f>
        <v>0</v>
      </c>
      <c r="M19" s="29">
        <f>AVERAGE(densidade_hab_indL!M53:M55)</f>
        <v>0</v>
      </c>
      <c r="N19" s="29">
        <f>AVERAGE(densidade_hab_indL!N53:N55)</f>
        <v>0</v>
      </c>
      <c r="O19" s="29">
        <f>AVERAGE(densidade_hab_indL!O53:O55)</f>
        <v>0</v>
      </c>
      <c r="P19" s="29">
        <f>AVERAGE(densidade_hab_indL!P53:P55)</f>
        <v>0</v>
      </c>
      <c r="Q19" s="29">
        <f>AVERAGE(densidade_hab_indL!Q53:Q55)</f>
        <v>0</v>
      </c>
      <c r="R19" s="29">
        <f>AVERAGE(densidade_hab_indL!R53:R55)</f>
        <v>0</v>
      </c>
      <c r="S19" s="29">
        <f>AVERAGE(densidade_hab_indL!S53:S55)</f>
        <v>0</v>
      </c>
      <c r="T19" s="29">
        <f>AVERAGE(densidade_hab_indL!T53:T55)</f>
        <v>0</v>
      </c>
      <c r="U19" s="29">
        <f>AVERAGE(densidade_hab_indL!U53:U55)</f>
        <v>0</v>
      </c>
      <c r="V19" s="29">
        <f>AVERAGE(densidade_hab_indL!V53:V55)</f>
        <v>0</v>
      </c>
      <c r="W19" s="29">
        <f>AVERAGE(densidade_hab_indL!W53:W55)</f>
        <v>0</v>
      </c>
      <c r="X19" s="29">
        <f>AVERAGE(densidade_hab_indL!X53:X55)</f>
        <v>0</v>
      </c>
      <c r="Y19" s="29">
        <f>AVERAGE(densidade_hab_indL!Y53:Y55)</f>
        <v>1.3333333333333334E-2</v>
      </c>
      <c r="Z19" s="29">
        <f>AVERAGE(densidade_hab_indL!Z53:Z55)</f>
        <v>0</v>
      </c>
      <c r="AA19" s="29">
        <f>AVERAGE(densidade_hab_indL!AA53:AA55)</f>
        <v>0</v>
      </c>
      <c r="AB19" s="29">
        <f>AVERAGE(densidade_hab_indL!AB53:AB55)</f>
        <v>0</v>
      </c>
      <c r="AC19" s="29">
        <f>AVERAGE(densidade_hab_indL!AC53:AC55)</f>
        <v>0</v>
      </c>
      <c r="AD19" s="29">
        <f>AVERAGE(densidade_hab_indL!AD53:AD55)</f>
        <v>0</v>
      </c>
      <c r="AE19" s="29">
        <f>AVERAGE(densidade_hab_indL!AE53:AE55)</f>
        <v>0</v>
      </c>
      <c r="AF19" s="29">
        <f>AVERAGE(densidade_hab_indL!AF53:AF55)</f>
        <v>0</v>
      </c>
      <c r="AG19" s="29">
        <f>AVERAGE(densidade_hab_indL!AG53:AG55)</f>
        <v>0</v>
      </c>
      <c r="AH19" s="29">
        <f>AVERAGE(densidade_hab_indL!AH53:AH55)</f>
        <v>0</v>
      </c>
      <c r="AI19" s="29">
        <f>AVERAGE(densidade_hab_indL!AI53:AI55)</f>
        <v>0</v>
      </c>
      <c r="AJ19" s="29">
        <f>AVERAGE(densidade_hab_indL!AJ53:AJ55)</f>
        <v>0</v>
      </c>
      <c r="AK19" s="29">
        <f>AVERAGE(densidade_hab_indL!AK53:AK55)</f>
        <v>0</v>
      </c>
      <c r="AL19" s="29">
        <f>AVERAGE(densidade_hab_indL!AL53:AL55)</f>
        <v>0</v>
      </c>
      <c r="AM19" s="29">
        <f>AVERAGE(densidade_hab_indL!AM53:AM55)</f>
        <v>0</v>
      </c>
      <c r="AN19" s="29">
        <f>AVERAGE(densidade_hab_indL!AN53:AN55)</f>
        <v>0</v>
      </c>
      <c r="AO19" s="29">
        <f>AVERAGE(densidade_hab_indL!AO53:AO55)</f>
        <v>0</v>
      </c>
      <c r="AP19" s="29">
        <f>AVERAGE(densidade_hab_indL!AP53:AP55)</f>
        <v>0</v>
      </c>
      <c r="AQ19" s="29">
        <f>AVERAGE(densidade_hab_indL!AQ53:AQ55)</f>
        <v>0</v>
      </c>
      <c r="AR19" s="29">
        <f>AVERAGE(densidade_hab_indL!AR53:AR55)</f>
        <v>0</v>
      </c>
      <c r="AS19" s="29">
        <f>AVERAGE(densidade_hab_indL!AS53:AS55)</f>
        <v>0</v>
      </c>
      <c r="AT19" s="29">
        <f>AVERAGE(densidade_hab_indL!AT53:AT55)</f>
        <v>0</v>
      </c>
      <c r="AU19" s="29">
        <f>AVERAGE(densidade_hab_indL!AU53:AU55)</f>
        <v>0</v>
      </c>
      <c r="AV19" s="29">
        <f>AVERAGE(densidade_hab_indL!AV53:AV55)</f>
        <v>0.06</v>
      </c>
      <c r="AW19" s="29">
        <f>AVERAGE(densidade_hab_indL!AW53:AW55)</f>
        <v>0</v>
      </c>
      <c r="AX19" s="29">
        <f>AVERAGE(densidade_hab_indL!AX53:AX55)</f>
        <v>6.6666666666666671E-3</v>
      </c>
      <c r="AY19" s="29">
        <f>AVERAGE(densidade_hab_indL!AY53:AY55)</f>
        <v>0</v>
      </c>
      <c r="AZ19" s="29">
        <f>AVERAGE(densidade_hab_indL!AZ53:AZ55)</f>
        <v>0</v>
      </c>
      <c r="BA19" s="29">
        <f>AVERAGE(densidade_hab_indL!BA53:BA55)</f>
        <v>0</v>
      </c>
      <c r="BB19" s="29">
        <f>AVERAGE(densidade_hab_indL!BB53:BB55)</f>
        <v>0</v>
      </c>
      <c r="BC19" s="29">
        <f>AVERAGE(densidade_hab_indL!BC53:BC55)</f>
        <v>0</v>
      </c>
      <c r="BD19" s="29">
        <f>AVERAGE(densidade_hab_indL!BD53:BD55)</f>
        <v>6.6666666666666671E-3</v>
      </c>
      <c r="BE19" s="29">
        <f>AVERAGE(densidade_hab_indL!BE53:BE55)</f>
        <v>0</v>
      </c>
      <c r="BF19" s="29">
        <f>AVERAGE(densidade_hab_indL!BF53:BF55)</f>
        <v>0</v>
      </c>
      <c r="BG19" s="29">
        <f>AVERAGE(densidade_hab_indL!BG53:BG55)</f>
        <v>0</v>
      </c>
    </row>
    <row r="20" spans="1:59" ht="12.75" customHeight="1" x14ac:dyDescent="0.25">
      <c r="A20" s="4" t="s">
        <v>323</v>
      </c>
      <c r="B20" s="29">
        <f>AVERAGE(densidade_hab_indL!B56:B58)</f>
        <v>1.3333333333333334E-2</v>
      </c>
      <c r="C20" s="29">
        <f>AVERAGE(densidade_hab_indL!C56:C58)</f>
        <v>0</v>
      </c>
      <c r="D20" s="29">
        <f>AVERAGE(densidade_hab_indL!D56:D58)</f>
        <v>0</v>
      </c>
      <c r="E20" s="29">
        <f>AVERAGE(densidade_hab_indL!E56:E58)</f>
        <v>1.5266666666666666</v>
      </c>
      <c r="F20" s="29">
        <f>AVERAGE(densidade_hab_indL!F56:F58)</f>
        <v>0</v>
      </c>
      <c r="G20" s="29">
        <f>AVERAGE(densidade_hab_indL!G56:G58)</f>
        <v>0</v>
      </c>
      <c r="H20" s="29">
        <f>AVERAGE(densidade_hab_indL!H56:H58)</f>
        <v>0</v>
      </c>
      <c r="I20" s="29">
        <f>AVERAGE(densidade_hab_indL!I56:I58)</f>
        <v>9.3333333333333338E-2</v>
      </c>
      <c r="J20" s="29">
        <f>AVERAGE(densidade_hab_indL!J56:J58)</f>
        <v>0</v>
      </c>
      <c r="K20" s="29">
        <f>AVERAGE(densidade_hab_indL!K56:K58)</f>
        <v>0</v>
      </c>
      <c r="L20" s="29">
        <f>AVERAGE(densidade_hab_indL!L56:L58)</f>
        <v>0</v>
      </c>
      <c r="M20" s="29">
        <f>AVERAGE(densidade_hab_indL!M56:M58)</f>
        <v>0</v>
      </c>
      <c r="N20" s="29">
        <f>AVERAGE(densidade_hab_indL!N56:N58)</f>
        <v>0</v>
      </c>
      <c r="O20" s="29">
        <f>AVERAGE(densidade_hab_indL!O56:O58)</f>
        <v>0</v>
      </c>
      <c r="P20" s="29">
        <f>AVERAGE(densidade_hab_indL!P56:P58)</f>
        <v>0</v>
      </c>
      <c r="Q20" s="29">
        <f>AVERAGE(densidade_hab_indL!Q56:Q58)</f>
        <v>0</v>
      </c>
      <c r="R20" s="29">
        <f>AVERAGE(densidade_hab_indL!R56:R58)</f>
        <v>0</v>
      </c>
      <c r="S20" s="29">
        <f>AVERAGE(densidade_hab_indL!S56:S58)</f>
        <v>0</v>
      </c>
      <c r="T20" s="29">
        <f>AVERAGE(densidade_hab_indL!T56:T58)</f>
        <v>0</v>
      </c>
      <c r="U20" s="29">
        <f>AVERAGE(densidade_hab_indL!U56:U58)</f>
        <v>0</v>
      </c>
      <c r="V20" s="29">
        <f>AVERAGE(densidade_hab_indL!V56:V58)</f>
        <v>0</v>
      </c>
      <c r="W20" s="29">
        <f>AVERAGE(densidade_hab_indL!W56:W58)</f>
        <v>0</v>
      </c>
      <c r="X20" s="29">
        <f>AVERAGE(densidade_hab_indL!X56:X58)</f>
        <v>0</v>
      </c>
      <c r="Y20" s="29">
        <f>AVERAGE(densidade_hab_indL!Y56:Y58)</f>
        <v>0</v>
      </c>
      <c r="Z20" s="29">
        <f>AVERAGE(densidade_hab_indL!Z56:Z58)</f>
        <v>0</v>
      </c>
      <c r="AA20" s="29">
        <f>AVERAGE(densidade_hab_indL!AA56:AA58)</f>
        <v>0</v>
      </c>
      <c r="AB20" s="29">
        <f>AVERAGE(densidade_hab_indL!AB56:AB58)</f>
        <v>0</v>
      </c>
      <c r="AC20" s="29">
        <f>AVERAGE(densidade_hab_indL!AC56:AC58)</f>
        <v>0</v>
      </c>
      <c r="AD20" s="29">
        <f>AVERAGE(densidade_hab_indL!AD56:AD58)</f>
        <v>0</v>
      </c>
      <c r="AE20" s="29">
        <f>AVERAGE(densidade_hab_indL!AE56:AE58)</f>
        <v>0</v>
      </c>
      <c r="AF20" s="29">
        <f>AVERAGE(densidade_hab_indL!AF56:AF58)</f>
        <v>0</v>
      </c>
      <c r="AG20" s="29">
        <f>AVERAGE(densidade_hab_indL!AG56:AG58)</f>
        <v>0</v>
      </c>
      <c r="AH20" s="29">
        <f>AVERAGE(densidade_hab_indL!AH56:AH58)</f>
        <v>0</v>
      </c>
      <c r="AI20" s="29">
        <f>AVERAGE(densidade_hab_indL!AI56:AI58)</f>
        <v>0</v>
      </c>
      <c r="AJ20" s="29">
        <f>AVERAGE(densidade_hab_indL!AJ56:AJ58)</f>
        <v>0</v>
      </c>
      <c r="AK20" s="29">
        <f>AVERAGE(densidade_hab_indL!AK56:AK58)</f>
        <v>0</v>
      </c>
      <c r="AL20" s="29">
        <f>AVERAGE(densidade_hab_indL!AL56:AL58)</f>
        <v>0</v>
      </c>
      <c r="AM20" s="29">
        <f>AVERAGE(densidade_hab_indL!AM56:AM58)</f>
        <v>0</v>
      </c>
      <c r="AN20" s="29">
        <f>AVERAGE(densidade_hab_indL!AN56:AN58)</f>
        <v>0</v>
      </c>
      <c r="AO20" s="29">
        <f>AVERAGE(densidade_hab_indL!AO56:AO58)</f>
        <v>0</v>
      </c>
      <c r="AP20" s="29">
        <f>AVERAGE(densidade_hab_indL!AP56:AP58)</f>
        <v>0</v>
      </c>
      <c r="AQ20" s="29">
        <f>AVERAGE(densidade_hab_indL!AQ56:AQ58)</f>
        <v>0</v>
      </c>
      <c r="AR20" s="29">
        <f>AVERAGE(densidade_hab_indL!AR56:AR58)</f>
        <v>0</v>
      </c>
      <c r="AS20" s="29">
        <f>AVERAGE(densidade_hab_indL!AS56:AS58)</f>
        <v>0</v>
      </c>
      <c r="AT20" s="29">
        <f>AVERAGE(densidade_hab_indL!AT56:AT58)</f>
        <v>0</v>
      </c>
      <c r="AU20" s="29">
        <f>AVERAGE(densidade_hab_indL!AU56:AU58)</f>
        <v>0</v>
      </c>
      <c r="AV20" s="29">
        <f>AVERAGE(densidade_hab_indL!AV56:AV58)</f>
        <v>0.13333333333333333</v>
      </c>
      <c r="AW20" s="29">
        <f>AVERAGE(densidade_hab_indL!AW56:AW58)</f>
        <v>0</v>
      </c>
      <c r="AX20" s="29">
        <f>AVERAGE(densidade_hab_indL!AX56:AX58)</f>
        <v>0</v>
      </c>
      <c r="AY20" s="29">
        <f>AVERAGE(densidade_hab_indL!AY56:AY58)</f>
        <v>0</v>
      </c>
      <c r="AZ20" s="29">
        <f>AVERAGE(densidade_hab_indL!AZ56:AZ58)</f>
        <v>0</v>
      </c>
      <c r="BA20" s="29">
        <f>AVERAGE(densidade_hab_indL!BA56:BA58)</f>
        <v>0</v>
      </c>
      <c r="BB20" s="29">
        <f>AVERAGE(densidade_hab_indL!BB56:BB58)</f>
        <v>0</v>
      </c>
      <c r="BC20" s="29">
        <f>AVERAGE(densidade_hab_indL!BC56:BC58)</f>
        <v>0</v>
      </c>
      <c r="BD20" s="29">
        <f>AVERAGE(densidade_hab_indL!BD56:BD58)</f>
        <v>0</v>
      </c>
      <c r="BE20" s="29">
        <f>AVERAGE(densidade_hab_indL!BE56:BE58)</f>
        <v>0</v>
      </c>
      <c r="BF20" s="29">
        <f>AVERAGE(densidade_hab_indL!BF56:BF58)</f>
        <v>0</v>
      </c>
      <c r="BG20" s="29">
        <f>AVERAGE(densidade_hab_indL!BG56:BG58)</f>
        <v>0</v>
      </c>
    </row>
    <row r="21" spans="1:59" ht="12.75" customHeight="1" x14ac:dyDescent="0.25">
      <c r="A21" s="4" t="s">
        <v>324</v>
      </c>
      <c r="B21" s="29">
        <f>AVERAGE(densidade_hab_indL!B59:B61)</f>
        <v>5.2866666666666662</v>
      </c>
      <c r="C21" s="29">
        <f>AVERAGE(densidade_hab_indL!C59:C61)</f>
        <v>1.0533333333333335</v>
      </c>
      <c r="D21" s="29">
        <f>AVERAGE(densidade_hab_indL!D59:D61)</f>
        <v>0.37999999999999995</v>
      </c>
      <c r="E21" s="29">
        <f>AVERAGE(densidade_hab_indL!E59:E61)</f>
        <v>3.4</v>
      </c>
      <c r="F21" s="29">
        <f>AVERAGE(densidade_hab_indL!F59:F61)</f>
        <v>6.6666666666666671E-3</v>
      </c>
      <c r="G21" s="29">
        <f>AVERAGE(densidade_hab_indL!G59:G61)</f>
        <v>0</v>
      </c>
      <c r="H21" s="29">
        <f>AVERAGE(densidade_hab_indL!H59:H61)</f>
        <v>0</v>
      </c>
      <c r="I21" s="29">
        <f>AVERAGE(densidade_hab_indL!I59:I61)</f>
        <v>12.146666666666668</v>
      </c>
      <c r="J21" s="29">
        <f>AVERAGE(densidade_hab_indL!J59:J61)</f>
        <v>3.1933333333333334</v>
      </c>
      <c r="K21" s="29">
        <f>AVERAGE(densidade_hab_indL!K59:K61)</f>
        <v>0</v>
      </c>
      <c r="L21" s="29">
        <f>AVERAGE(densidade_hab_indL!L59:L61)</f>
        <v>9.3333333333333338E-2</v>
      </c>
      <c r="M21" s="29">
        <f>AVERAGE(densidade_hab_indL!M59:M61)</f>
        <v>0</v>
      </c>
      <c r="N21" s="29">
        <f>AVERAGE(densidade_hab_indL!N59:N61)</f>
        <v>0</v>
      </c>
      <c r="O21" s="29">
        <f>AVERAGE(densidade_hab_indL!O59:O61)</f>
        <v>0</v>
      </c>
      <c r="P21" s="29">
        <f>AVERAGE(densidade_hab_indL!P59:P61)</f>
        <v>0</v>
      </c>
      <c r="Q21" s="29">
        <f>AVERAGE(densidade_hab_indL!Q59:Q61)</f>
        <v>6.6666666666666671E-3</v>
      </c>
      <c r="R21" s="29">
        <f>AVERAGE(densidade_hab_indL!R59:R61)</f>
        <v>0</v>
      </c>
      <c r="S21" s="29">
        <f>AVERAGE(densidade_hab_indL!S59:S61)</f>
        <v>4.6666666666666662E-2</v>
      </c>
      <c r="T21" s="29">
        <f>AVERAGE(densidade_hab_indL!T59:T61)</f>
        <v>2.6666666666666668E-2</v>
      </c>
      <c r="U21" s="29">
        <f>AVERAGE(densidade_hab_indL!U59:U61)</f>
        <v>0</v>
      </c>
      <c r="V21" s="29">
        <f>AVERAGE(densidade_hab_indL!V59:V61)</f>
        <v>6.6666666666666671E-3</v>
      </c>
      <c r="W21" s="29">
        <f>AVERAGE(densidade_hab_indL!W59:W61)</f>
        <v>0</v>
      </c>
      <c r="X21" s="29">
        <f>AVERAGE(densidade_hab_indL!X59:X61)</f>
        <v>0</v>
      </c>
      <c r="Y21" s="29">
        <f>AVERAGE(densidade_hab_indL!Y59:Y61)</f>
        <v>0.49333333333333335</v>
      </c>
      <c r="Z21" s="29">
        <f>AVERAGE(densidade_hab_indL!Z59:Z61)</f>
        <v>1.3333333333333334E-2</v>
      </c>
      <c r="AA21" s="29">
        <f>AVERAGE(densidade_hab_indL!AA59:AA61)</f>
        <v>1.3333333333333334E-2</v>
      </c>
      <c r="AB21" s="29">
        <f>AVERAGE(densidade_hab_indL!AB59:AB61)</f>
        <v>0</v>
      </c>
      <c r="AC21" s="29">
        <f>AVERAGE(densidade_hab_indL!AC59:AC61)</f>
        <v>0</v>
      </c>
      <c r="AD21" s="29">
        <f>AVERAGE(densidade_hab_indL!AD59:AD61)</f>
        <v>0</v>
      </c>
      <c r="AE21" s="29">
        <f>AVERAGE(densidade_hab_indL!AE59:AE61)</f>
        <v>0</v>
      </c>
      <c r="AF21" s="29">
        <f>AVERAGE(densidade_hab_indL!AF59:AF61)</f>
        <v>0</v>
      </c>
      <c r="AG21" s="29">
        <f>AVERAGE(densidade_hab_indL!AG59:AG61)</f>
        <v>0</v>
      </c>
      <c r="AH21" s="29">
        <f>AVERAGE(densidade_hab_indL!AH59:AH61)</f>
        <v>0</v>
      </c>
      <c r="AI21" s="29">
        <f>AVERAGE(densidade_hab_indL!AI59:AI61)</f>
        <v>0</v>
      </c>
      <c r="AJ21" s="29">
        <f>AVERAGE(densidade_hab_indL!AJ59:AJ61)</f>
        <v>3.3333333333333333E-2</v>
      </c>
      <c r="AK21" s="29">
        <f>AVERAGE(densidade_hab_indL!AK59:AK61)</f>
        <v>0.02</v>
      </c>
      <c r="AL21" s="29">
        <f>AVERAGE(densidade_hab_indL!AL59:AL61)</f>
        <v>0.57999999999999996</v>
      </c>
      <c r="AM21" s="29">
        <f>AVERAGE(densidade_hab_indL!AM59:AM61)</f>
        <v>0.15333333333333335</v>
      </c>
      <c r="AN21" s="29">
        <f>AVERAGE(densidade_hab_indL!AN59:AN61)</f>
        <v>0.16666666666666666</v>
      </c>
      <c r="AO21" s="29">
        <f>AVERAGE(densidade_hab_indL!AO59:AO61)</f>
        <v>0.02</v>
      </c>
      <c r="AP21" s="29">
        <f>AVERAGE(densidade_hab_indL!AP59:AP61)</f>
        <v>0.22666666666666666</v>
      </c>
      <c r="AQ21" s="29">
        <f>AVERAGE(densidade_hab_indL!AQ59:AQ61)</f>
        <v>0.08</v>
      </c>
      <c r="AR21" s="29">
        <f>AVERAGE(densidade_hab_indL!AR59:AR61)</f>
        <v>2.6666666666666668E-2</v>
      </c>
      <c r="AS21" s="29">
        <f>AVERAGE(densidade_hab_indL!AS59:AS61)</f>
        <v>0</v>
      </c>
      <c r="AT21" s="29">
        <f>AVERAGE(densidade_hab_indL!AT59:AT61)</f>
        <v>0</v>
      </c>
      <c r="AU21" s="29">
        <f>AVERAGE(densidade_hab_indL!AU59:AU61)</f>
        <v>0</v>
      </c>
      <c r="AV21" s="29">
        <f>AVERAGE(densidade_hab_indL!AV59:AV61)</f>
        <v>3.1666666666666665</v>
      </c>
      <c r="AW21" s="29">
        <f>AVERAGE(densidade_hab_indL!AW59:AW61)</f>
        <v>0</v>
      </c>
      <c r="AX21" s="29">
        <f>AVERAGE(densidade_hab_indL!AX59:AX61)</f>
        <v>0.7466666666666667</v>
      </c>
      <c r="AY21" s="29">
        <f>AVERAGE(densidade_hab_indL!AY59:AY61)</f>
        <v>0</v>
      </c>
      <c r="AZ21" s="29">
        <f>AVERAGE(densidade_hab_indL!AZ59:AZ61)</f>
        <v>0</v>
      </c>
      <c r="BA21" s="29">
        <f>AVERAGE(densidade_hab_indL!BA59:BA61)</f>
        <v>6.6666666666666671E-3</v>
      </c>
      <c r="BB21" s="29">
        <f>AVERAGE(densidade_hab_indL!BB59:BB61)</f>
        <v>0</v>
      </c>
      <c r="BC21" s="29">
        <f>AVERAGE(densidade_hab_indL!BC59:BC61)</f>
        <v>6.6666666666666671E-3</v>
      </c>
      <c r="BD21" s="29">
        <f>AVERAGE(densidade_hab_indL!BD59:BD61)</f>
        <v>0</v>
      </c>
      <c r="BE21" s="29">
        <f>AVERAGE(densidade_hab_indL!BE59:BE61)</f>
        <v>0</v>
      </c>
      <c r="BF21" s="29">
        <f>AVERAGE(densidade_hab_indL!BF59:BF61)</f>
        <v>0</v>
      </c>
      <c r="BG21" s="29">
        <f>AVERAGE(densidade_hab_indL!BG59:BG61)</f>
        <v>0</v>
      </c>
    </row>
    <row r="22" spans="1:59" ht="12.75" customHeight="1" x14ac:dyDescent="0.25">
      <c r="A22" s="4" t="s">
        <v>325</v>
      </c>
      <c r="B22" s="29">
        <f>AVERAGE(densidade_hab_indL!B62:B64)</f>
        <v>1.3333333333333334E-2</v>
      </c>
      <c r="C22" s="29">
        <f>AVERAGE(densidade_hab_indL!C62:C64)</f>
        <v>1.3333333333333334E-2</v>
      </c>
      <c r="D22" s="29">
        <f>AVERAGE(densidade_hab_indL!D62:D64)</f>
        <v>0</v>
      </c>
      <c r="E22" s="29">
        <f>AVERAGE(densidade_hab_indL!E62:E64)</f>
        <v>2.0066666666666664</v>
      </c>
      <c r="F22" s="29">
        <f>AVERAGE(densidade_hab_indL!F62:F64)</f>
        <v>0</v>
      </c>
      <c r="G22" s="29">
        <f>AVERAGE(densidade_hab_indL!G62:G64)</f>
        <v>0</v>
      </c>
      <c r="H22" s="29">
        <f>AVERAGE(densidade_hab_indL!H62:H64)</f>
        <v>0</v>
      </c>
      <c r="I22" s="29">
        <f>AVERAGE(densidade_hab_indL!I62:I64)</f>
        <v>0</v>
      </c>
      <c r="J22" s="29">
        <f>AVERAGE(densidade_hab_indL!J62:J64)</f>
        <v>0</v>
      </c>
      <c r="K22" s="29">
        <f>AVERAGE(densidade_hab_indL!K62:K64)</f>
        <v>0</v>
      </c>
      <c r="L22" s="29">
        <f>AVERAGE(densidade_hab_indL!L62:L64)</f>
        <v>0</v>
      </c>
      <c r="M22" s="29">
        <f>AVERAGE(densidade_hab_indL!M62:M64)</f>
        <v>0</v>
      </c>
      <c r="N22" s="29">
        <f>AVERAGE(densidade_hab_indL!N62:N64)</f>
        <v>0</v>
      </c>
      <c r="O22" s="29">
        <f>AVERAGE(densidade_hab_indL!O62:O64)</f>
        <v>0</v>
      </c>
      <c r="P22" s="29">
        <f>AVERAGE(densidade_hab_indL!P62:P64)</f>
        <v>0</v>
      </c>
      <c r="Q22" s="29">
        <f>AVERAGE(densidade_hab_indL!Q62:Q64)</f>
        <v>0</v>
      </c>
      <c r="R22" s="29">
        <f>AVERAGE(densidade_hab_indL!R62:R64)</f>
        <v>0</v>
      </c>
      <c r="S22" s="29">
        <f>AVERAGE(densidade_hab_indL!S62:S64)</f>
        <v>1.3333333333333334E-2</v>
      </c>
      <c r="T22" s="29">
        <f>AVERAGE(densidade_hab_indL!T62:T64)</f>
        <v>0</v>
      </c>
      <c r="U22" s="29">
        <f>AVERAGE(densidade_hab_indL!U62:U64)</f>
        <v>0</v>
      </c>
      <c r="V22" s="29">
        <f>AVERAGE(densidade_hab_indL!V62:V64)</f>
        <v>0</v>
      </c>
      <c r="W22" s="29">
        <f>AVERAGE(densidade_hab_indL!W62:W64)</f>
        <v>0</v>
      </c>
      <c r="X22" s="29">
        <f>AVERAGE(densidade_hab_indL!X62:X64)</f>
        <v>0</v>
      </c>
      <c r="Y22" s="29">
        <f>AVERAGE(densidade_hab_indL!Y62:Y64)</f>
        <v>6.6666666666666671E-3</v>
      </c>
      <c r="Z22" s="29">
        <f>AVERAGE(densidade_hab_indL!Z62:Z64)</f>
        <v>0</v>
      </c>
      <c r="AA22" s="29">
        <f>AVERAGE(densidade_hab_indL!AA62:AA64)</f>
        <v>0</v>
      </c>
      <c r="AB22" s="29">
        <f>AVERAGE(densidade_hab_indL!AB62:AB64)</f>
        <v>0</v>
      </c>
      <c r="AC22" s="29">
        <f>AVERAGE(densidade_hab_indL!AC62:AC64)</f>
        <v>0</v>
      </c>
      <c r="AD22" s="29">
        <f>AVERAGE(densidade_hab_indL!AD62:AD64)</f>
        <v>0</v>
      </c>
      <c r="AE22" s="29">
        <f>AVERAGE(densidade_hab_indL!AE62:AE64)</f>
        <v>0</v>
      </c>
      <c r="AF22" s="29">
        <f>AVERAGE(densidade_hab_indL!AF62:AF64)</f>
        <v>0</v>
      </c>
      <c r="AG22" s="29">
        <f>AVERAGE(densidade_hab_indL!AG62:AG64)</f>
        <v>0</v>
      </c>
      <c r="AH22" s="29">
        <f>AVERAGE(densidade_hab_indL!AH62:AH64)</f>
        <v>0</v>
      </c>
      <c r="AI22" s="29">
        <f>AVERAGE(densidade_hab_indL!AI62:AI64)</f>
        <v>0</v>
      </c>
      <c r="AJ22" s="29">
        <f>AVERAGE(densidade_hab_indL!AJ62:AJ64)</f>
        <v>0</v>
      </c>
      <c r="AK22" s="29">
        <f>AVERAGE(densidade_hab_indL!AK62:AK64)</f>
        <v>0</v>
      </c>
      <c r="AL22" s="29">
        <f>AVERAGE(densidade_hab_indL!AL62:AL64)</f>
        <v>0</v>
      </c>
      <c r="AM22" s="29">
        <f>AVERAGE(densidade_hab_indL!AM62:AM64)</f>
        <v>0</v>
      </c>
      <c r="AN22" s="29">
        <f>AVERAGE(densidade_hab_indL!AN62:AN64)</f>
        <v>0</v>
      </c>
      <c r="AO22" s="29">
        <f>AVERAGE(densidade_hab_indL!AO62:AO64)</f>
        <v>0</v>
      </c>
      <c r="AP22" s="29">
        <f>AVERAGE(densidade_hab_indL!AP62:AP64)</f>
        <v>0</v>
      </c>
      <c r="AQ22" s="29">
        <f>AVERAGE(densidade_hab_indL!AQ62:AQ64)</f>
        <v>0</v>
      </c>
      <c r="AR22" s="29">
        <f>AVERAGE(densidade_hab_indL!AR62:AR64)</f>
        <v>0</v>
      </c>
      <c r="AS22" s="29">
        <f>AVERAGE(densidade_hab_indL!AS62:AS64)</f>
        <v>0</v>
      </c>
      <c r="AT22" s="29">
        <f>AVERAGE(densidade_hab_indL!AT62:AT64)</f>
        <v>0</v>
      </c>
      <c r="AU22" s="29">
        <f>AVERAGE(densidade_hab_indL!AU62:AU64)</f>
        <v>0</v>
      </c>
      <c r="AV22" s="29">
        <f>AVERAGE(densidade_hab_indL!AV62:AV64)</f>
        <v>3.3333333333333333E-2</v>
      </c>
      <c r="AW22" s="29">
        <f>AVERAGE(densidade_hab_indL!AW62:AW64)</f>
        <v>0</v>
      </c>
      <c r="AX22" s="29">
        <f>AVERAGE(densidade_hab_indL!AX62:AX64)</f>
        <v>0</v>
      </c>
      <c r="AY22" s="29">
        <f>AVERAGE(densidade_hab_indL!AY62:AY64)</f>
        <v>0.02</v>
      </c>
      <c r="AZ22" s="29">
        <f>AVERAGE(densidade_hab_indL!AZ62:AZ64)</f>
        <v>0</v>
      </c>
      <c r="BA22" s="29">
        <f>AVERAGE(densidade_hab_indL!BA62:BA64)</f>
        <v>0</v>
      </c>
      <c r="BB22" s="29">
        <f>AVERAGE(densidade_hab_indL!BB62:BB64)</f>
        <v>0</v>
      </c>
      <c r="BC22" s="29">
        <f>AVERAGE(densidade_hab_indL!BC62:BC64)</f>
        <v>0</v>
      </c>
      <c r="BD22" s="29">
        <f>AVERAGE(densidade_hab_indL!BD62:BD64)</f>
        <v>6.6666666666666671E-3</v>
      </c>
      <c r="BE22" s="29">
        <f>AVERAGE(densidade_hab_indL!BE62:BE64)</f>
        <v>0</v>
      </c>
      <c r="BF22" s="29">
        <f>AVERAGE(densidade_hab_indL!BF62:BF64)</f>
        <v>0</v>
      </c>
      <c r="BG22" s="29">
        <f>AVERAGE(densidade_hab_indL!BG62:BG64)</f>
        <v>0</v>
      </c>
    </row>
    <row r="23" spans="1:59" ht="12.75" customHeight="1" x14ac:dyDescent="0.25">
      <c r="A23" s="4" t="s">
        <v>326</v>
      </c>
      <c r="B23" s="29">
        <f>AVERAGE(densidade_hab_indL!B65:B67)</f>
        <v>0.36000000000000004</v>
      </c>
      <c r="C23" s="29">
        <f>AVERAGE(densidade_hab_indL!C65:C67)</f>
        <v>0.06</v>
      </c>
      <c r="D23" s="29">
        <f>AVERAGE(densidade_hab_indL!D65:D67)</f>
        <v>4.6666666666666669E-2</v>
      </c>
      <c r="E23" s="29">
        <f>AVERAGE(densidade_hab_indL!E65:E67)</f>
        <v>2.94</v>
      </c>
      <c r="F23" s="29">
        <f>AVERAGE(densidade_hab_indL!F65:F67)</f>
        <v>1.3333333333333334E-2</v>
      </c>
      <c r="G23" s="29">
        <f>AVERAGE(densidade_hab_indL!G65:G67)</f>
        <v>5.3333333333333337E-2</v>
      </c>
      <c r="H23" s="29">
        <f>AVERAGE(densidade_hab_indL!H65:H67)</f>
        <v>0</v>
      </c>
      <c r="I23" s="29">
        <f>AVERAGE(densidade_hab_indL!I65:I67)</f>
        <v>0.53333333333333333</v>
      </c>
      <c r="J23" s="29">
        <f>AVERAGE(densidade_hab_indL!J65:J67)</f>
        <v>0.16</v>
      </c>
      <c r="K23" s="29">
        <f>AVERAGE(densidade_hab_indL!K65:K67)</f>
        <v>0</v>
      </c>
      <c r="L23" s="29">
        <f>AVERAGE(densidade_hab_indL!L65:L67)</f>
        <v>6.6666666666666666E-2</v>
      </c>
      <c r="M23" s="29">
        <f>AVERAGE(densidade_hab_indL!M65:M67)</f>
        <v>0</v>
      </c>
      <c r="N23" s="29">
        <f>AVERAGE(densidade_hab_indL!N65:N67)</f>
        <v>0</v>
      </c>
      <c r="O23" s="29">
        <f>AVERAGE(densidade_hab_indL!O65:O67)</f>
        <v>0</v>
      </c>
      <c r="P23" s="29">
        <f>AVERAGE(densidade_hab_indL!P65:P67)</f>
        <v>0</v>
      </c>
      <c r="Q23" s="29">
        <f>AVERAGE(densidade_hab_indL!Q65:Q67)</f>
        <v>0.10000000000000002</v>
      </c>
      <c r="R23" s="29">
        <f>AVERAGE(densidade_hab_indL!R65:R67)</f>
        <v>0</v>
      </c>
      <c r="S23" s="29">
        <f>AVERAGE(densidade_hab_indL!S65:S67)</f>
        <v>0</v>
      </c>
      <c r="T23" s="29">
        <f>AVERAGE(densidade_hab_indL!T65:T67)</f>
        <v>0</v>
      </c>
      <c r="U23" s="29">
        <f>AVERAGE(densidade_hab_indL!U65:U67)</f>
        <v>6.6666666666666671E-3</v>
      </c>
      <c r="V23" s="29">
        <f>AVERAGE(densidade_hab_indL!V65:V67)</f>
        <v>2.6666666666666668E-2</v>
      </c>
      <c r="W23" s="29">
        <f>AVERAGE(densidade_hab_indL!W65:W67)</f>
        <v>0</v>
      </c>
      <c r="X23" s="29">
        <f>AVERAGE(densidade_hab_indL!X65:X67)</f>
        <v>0</v>
      </c>
      <c r="Y23" s="29">
        <f>AVERAGE(densidade_hab_indL!Y65:Y67)</f>
        <v>0.04</v>
      </c>
      <c r="Z23" s="29">
        <f>AVERAGE(densidade_hab_indL!Z65:Z67)</f>
        <v>0.02</v>
      </c>
      <c r="AA23" s="29">
        <f>AVERAGE(densidade_hab_indL!AA65:AA67)</f>
        <v>1.3333333333333334E-2</v>
      </c>
      <c r="AB23" s="29">
        <f>AVERAGE(densidade_hab_indL!AB65:AB67)</f>
        <v>0</v>
      </c>
      <c r="AC23" s="29">
        <f>AVERAGE(densidade_hab_indL!AC65:AC67)</f>
        <v>0</v>
      </c>
      <c r="AD23" s="29">
        <f>AVERAGE(densidade_hab_indL!AD65:AD67)</f>
        <v>0</v>
      </c>
      <c r="AE23" s="29">
        <f>AVERAGE(densidade_hab_indL!AE65:AE67)</f>
        <v>0</v>
      </c>
      <c r="AF23" s="29">
        <f>AVERAGE(densidade_hab_indL!AF65:AF67)</f>
        <v>0</v>
      </c>
      <c r="AG23" s="29">
        <f>AVERAGE(densidade_hab_indL!AG65:AG67)</f>
        <v>0</v>
      </c>
      <c r="AH23" s="29">
        <f>AVERAGE(densidade_hab_indL!AH65:AH67)</f>
        <v>0</v>
      </c>
      <c r="AI23" s="29">
        <f>AVERAGE(densidade_hab_indL!AI65:AI67)</f>
        <v>0</v>
      </c>
      <c r="AJ23" s="29">
        <f>AVERAGE(densidade_hab_indL!AJ65:AJ67)</f>
        <v>0</v>
      </c>
      <c r="AK23" s="29">
        <f>AVERAGE(densidade_hab_indL!AK65:AK67)</f>
        <v>0</v>
      </c>
      <c r="AL23" s="29">
        <f>AVERAGE(densidade_hab_indL!AL65:AL67)</f>
        <v>3.3333333333333333E-2</v>
      </c>
      <c r="AM23" s="29">
        <f>AVERAGE(densidade_hab_indL!AM65:AM67)</f>
        <v>0</v>
      </c>
      <c r="AN23" s="29">
        <f>AVERAGE(densidade_hab_indL!AN65:AN67)</f>
        <v>0</v>
      </c>
      <c r="AO23" s="29">
        <f>AVERAGE(densidade_hab_indL!AO65:AO67)</f>
        <v>0</v>
      </c>
      <c r="AP23" s="29">
        <f>AVERAGE(densidade_hab_indL!AP65:AP67)</f>
        <v>0</v>
      </c>
      <c r="AQ23" s="29">
        <f>AVERAGE(densidade_hab_indL!AQ65:AQ67)</f>
        <v>0</v>
      </c>
      <c r="AR23" s="29">
        <f>AVERAGE(densidade_hab_indL!AR65:AR67)</f>
        <v>0</v>
      </c>
      <c r="AS23" s="29">
        <f>AVERAGE(densidade_hab_indL!AS65:AS67)</f>
        <v>0</v>
      </c>
      <c r="AT23" s="29">
        <f>AVERAGE(densidade_hab_indL!AT65:AT67)</f>
        <v>0</v>
      </c>
      <c r="AU23" s="29">
        <f>AVERAGE(densidade_hab_indL!AU65:AU67)</f>
        <v>0</v>
      </c>
      <c r="AV23" s="29">
        <f>AVERAGE(densidade_hab_indL!AV65:AV67)</f>
        <v>0.76000000000000012</v>
      </c>
      <c r="AW23" s="29">
        <f>AVERAGE(densidade_hab_indL!AW65:AW67)</f>
        <v>0</v>
      </c>
      <c r="AX23" s="29">
        <f>AVERAGE(densidade_hab_indL!AX65:AX67)</f>
        <v>6.6666666666666671E-3</v>
      </c>
      <c r="AY23" s="29">
        <f>AVERAGE(densidade_hab_indL!AY65:AY67)</f>
        <v>1.1533333333333333</v>
      </c>
      <c r="AZ23" s="29">
        <f>AVERAGE(densidade_hab_indL!AZ65:AZ67)</f>
        <v>0</v>
      </c>
      <c r="BA23" s="29">
        <f>AVERAGE(densidade_hab_indL!BA65:BA67)</f>
        <v>0</v>
      </c>
      <c r="BB23" s="29">
        <f>AVERAGE(densidade_hab_indL!BB65:BB67)</f>
        <v>0</v>
      </c>
      <c r="BC23" s="29">
        <f>AVERAGE(densidade_hab_indL!BC65:BC67)</f>
        <v>0</v>
      </c>
      <c r="BD23" s="29">
        <f>AVERAGE(densidade_hab_indL!BD65:BD67)</f>
        <v>6.6666666666666671E-3</v>
      </c>
      <c r="BE23" s="29">
        <f>AVERAGE(densidade_hab_indL!BE65:BE67)</f>
        <v>0</v>
      </c>
      <c r="BF23" s="29">
        <f>AVERAGE(densidade_hab_indL!BF65:BF67)</f>
        <v>6.6666666666666671E-3</v>
      </c>
      <c r="BG23" s="29">
        <f>AVERAGE(densidade_hab_indL!BG65:BG67)</f>
        <v>0</v>
      </c>
    </row>
    <row r="24" spans="1:59" ht="12.75" customHeight="1" x14ac:dyDescent="0.25">
      <c r="A24" s="4" t="s">
        <v>327</v>
      </c>
      <c r="B24" s="28" t="s">
        <v>304</v>
      </c>
      <c r="C24" s="28" t="s">
        <v>304</v>
      </c>
      <c r="D24" s="28" t="s">
        <v>304</v>
      </c>
      <c r="E24" s="28" t="s">
        <v>304</v>
      </c>
      <c r="F24" s="28" t="s">
        <v>304</v>
      </c>
      <c r="G24" s="28" t="s">
        <v>304</v>
      </c>
      <c r="H24" s="28" t="s">
        <v>304</v>
      </c>
      <c r="I24" s="28" t="s">
        <v>304</v>
      </c>
      <c r="J24" s="28" t="s">
        <v>304</v>
      </c>
      <c r="K24" s="28" t="s">
        <v>304</v>
      </c>
      <c r="L24" s="28" t="s">
        <v>304</v>
      </c>
      <c r="M24" s="28" t="s">
        <v>304</v>
      </c>
      <c r="N24" s="28" t="s">
        <v>304</v>
      </c>
      <c r="O24" s="28" t="s">
        <v>304</v>
      </c>
      <c r="P24" s="28" t="s">
        <v>304</v>
      </c>
      <c r="Q24" s="28" t="s">
        <v>304</v>
      </c>
      <c r="R24" s="28" t="s">
        <v>304</v>
      </c>
      <c r="S24" s="28" t="s">
        <v>304</v>
      </c>
      <c r="T24" s="28" t="s">
        <v>304</v>
      </c>
      <c r="U24" s="28" t="s">
        <v>304</v>
      </c>
      <c r="V24" s="28" t="s">
        <v>304</v>
      </c>
      <c r="W24" s="28" t="s">
        <v>304</v>
      </c>
      <c r="X24" s="28" t="s">
        <v>304</v>
      </c>
      <c r="Y24" s="28" t="s">
        <v>304</v>
      </c>
      <c r="Z24" s="28" t="s">
        <v>304</v>
      </c>
      <c r="AA24" s="28" t="s">
        <v>304</v>
      </c>
      <c r="AB24" s="28" t="s">
        <v>304</v>
      </c>
      <c r="AC24" s="28" t="s">
        <v>304</v>
      </c>
      <c r="AD24" s="28" t="s">
        <v>304</v>
      </c>
      <c r="AE24" s="28" t="s">
        <v>304</v>
      </c>
      <c r="AF24" s="28" t="s">
        <v>304</v>
      </c>
      <c r="AG24" s="28" t="s">
        <v>304</v>
      </c>
      <c r="AH24" s="28" t="s">
        <v>304</v>
      </c>
      <c r="AI24" s="28" t="s">
        <v>304</v>
      </c>
      <c r="AJ24" s="28" t="s">
        <v>304</v>
      </c>
      <c r="AK24" s="28" t="s">
        <v>304</v>
      </c>
      <c r="AL24" s="28" t="s">
        <v>304</v>
      </c>
      <c r="AM24" s="28" t="s">
        <v>304</v>
      </c>
      <c r="AN24" s="28" t="s">
        <v>304</v>
      </c>
      <c r="AO24" s="28" t="s">
        <v>304</v>
      </c>
      <c r="AP24" s="28" t="s">
        <v>304</v>
      </c>
      <c r="AQ24" s="28" t="s">
        <v>304</v>
      </c>
      <c r="AR24" s="28" t="s">
        <v>304</v>
      </c>
      <c r="AS24" s="28" t="s">
        <v>304</v>
      </c>
      <c r="AT24" s="28" t="s">
        <v>304</v>
      </c>
      <c r="AU24" s="28" t="s">
        <v>304</v>
      </c>
      <c r="AV24" s="28" t="s">
        <v>304</v>
      </c>
      <c r="AW24" s="28" t="s">
        <v>304</v>
      </c>
      <c r="AX24" s="28" t="s">
        <v>304</v>
      </c>
      <c r="AY24" s="28" t="s">
        <v>304</v>
      </c>
      <c r="AZ24" s="28" t="s">
        <v>304</v>
      </c>
      <c r="BA24" s="28" t="s">
        <v>304</v>
      </c>
      <c r="BB24" s="28" t="s">
        <v>304</v>
      </c>
      <c r="BC24" s="28" t="s">
        <v>304</v>
      </c>
      <c r="BD24" s="28" t="s">
        <v>304</v>
      </c>
      <c r="BE24" s="28" t="s">
        <v>304</v>
      </c>
      <c r="BF24" s="28" t="s">
        <v>304</v>
      </c>
      <c r="BG24" s="28" t="s">
        <v>304</v>
      </c>
    </row>
    <row r="25" spans="1:59" ht="12.75" customHeight="1" x14ac:dyDescent="0.25">
      <c r="A25" s="4" t="s">
        <v>328</v>
      </c>
      <c r="B25" s="29">
        <f>AVERAGE(densidade_hab_indL!B71:B73)</f>
        <v>6.6666666666666666E-2</v>
      </c>
      <c r="C25" s="29">
        <f>AVERAGE(densidade_hab_indL!C71:C73)</f>
        <v>0</v>
      </c>
      <c r="D25" s="29">
        <f>AVERAGE(densidade_hab_indL!D71:D73)</f>
        <v>0</v>
      </c>
      <c r="E25" s="29">
        <f>AVERAGE(densidade_hab_indL!E71:E73)</f>
        <v>3.3200000000000003</v>
      </c>
      <c r="F25" s="29">
        <f>AVERAGE(densidade_hab_indL!F71:F73)</f>
        <v>0</v>
      </c>
      <c r="G25" s="29">
        <f>AVERAGE(densidade_hab_indL!G71:G73)</f>
        <v>0</v>
      </c>
      <c r="H25" s="29">
        <f>AVERAGE(densidade_hab_indL!H71:H73)</f>
        <v>0</v>
      </c>
      <c r="I25" s="29">
        <f>AVERAGE(densidade_hab_indL!I71:I73)</f>
        <v>0.11333333333333334</v>
      </c>
      <c r="J25" s="29">
        <f>AVERAGE(densidade_hab_indL!J71:J73)</f>
        <v>0</v>
      </c>
      <c r="K25" s="29">
        <f>AVERAGE(densidade_hab_indL!K71:K73)</f>
        <v>0</v>
      </c>
      <c r="L25" s="29">
        <f>AVERAGE(densidade_hab_indL!L71:L73)</f>
        <v>0</v>
      </c>
      <c r="M25" s="29">
        <f>AVERAGE(densidade_hab_indL!M71:M73)</f>
        <v>0</v>
      </c>
      <c r="N25" s="29">
        <f>AVERAGE(densidade_hab_indL!N71:N73)</f>
        <v>0</v>
      </c>
      <c r="O25" s="29">
        <f>AVERAGE(densidade_hab_indL!O71:O73)</f>
        <v>0</v>
      </c>
      <c r="P25" s="29">
        <f>AVERAGE(densidade_hab_indL!P71:P73)</f>
        <v>0</v>
      </c>
      <c r="Q25" s="29">
        <f>AVERAGE(densidade_hab_indL!Q71:Q73)</f>
        <v>0</v>
      </c>
      <c r="R25" s="29">
        <f>AVERAGE(densidade_hab_indL!R71:R73)</f>
        <v>0</v>
      </c>
      <c r="S25" s="29">
        <f>AVERAGE(densidade_hab_indL!S71:S73)</f>
        <v>6.6666666666666671E-3</v>
      </c>
      <c r="T25" s="29">
        <f>AVERAGE(densidade_hab_indL!T71:T73)</f>
        <v>0</v>
      </c>
      <c r="U25" s="29">
        <f>AVERAGE(densidade_hab_indL!U71:U73)</f>
        <v>0</v>
      </c>
      <c r="V25" s="29">
        <f>AVERAGE(densidade_hab_indL!V71:V73)</f>
        <v>0</v>
      </c>
      <c r="W25" s="29">
        <f>AVERAGE(densidade_hab_indL!W71:W73)</f>
        <v>0</v>
      </c>
      <c r="X25" s="29">
        <f>AVERAGE(densidade_hab_indL!X71:X73)</f>
        <v>0</v>
      </c>
      <c r="Y25" s="29">
        <f>AVERAGE(densidade_hab_indL!Y71:Y73)</f>
        <v>0</v>
      </c>
      <c r="Z25" s="29">
        <f>AVERAGE(densidade_hab_indL!Z71:Z73)</f>
        <v>0.02</v>
      </c>
      <c r="AA25" s="29">
        <f>AVERAGE(densidade_hab_indL!AA71:AA73)</f>
        <v>2.6666666666666668E-2</v>
      </c>
      <c r="AB25" s="29">
        <f>AVERAGE(densidade_hab_indL!AB71:AB73)</f>
        <v>0</v>
      </c>
      <c r="AC25" s="29">
        <f>AVERAGE(densidade_hab_indL!AC71:AC73)</f>
        <v>0</v>
      </c>
      <c r="AD25" s="29">
        <f>AVERAGE(densidade_hab_indL!AD71:AD73)</f>
        <v>0</v>
      </c>
      <c r="AE25" s="29">
        <f>AVERAGE(densidade_hab_indL!AE71:AE73)</f>
        <v>0</v>
      </c>
      <c r="AF25" s="29">
        <f>AVERAGE(densidade_hab_indL!AF71:AF73)</f>
        <v>0</v>
      </c>
      <c r="AG25" s="29">
        <f>AVERAGE(densidade_hab_indL!AG71:AG73)</f>
        <v>0</v>
      </c>
      <c r="AH25" s="29">
        <f>AVERAGE(densidade_hab_indL!AH71:AH73)</f>
        <v>0</v>
      </c>
      <c r="AI25" s="29">
        <f>AVERAGE(densidade_hab_indL!AI71:AI73)</f>
        <v>0</v>
      </c>
      <c r="AJ25" s="29">
        <f>AVERAGE(densidade_hab_indL!AJ71:AJ73)</f>
        <v>0</v>
      </c>
      <c r="AK25" s="29">
        <f>AVERAGE(densidade_hab_indL!AK71:AK73)</f>
        <v>0</v>
      </c>
      <c r="AL25" s="29">
        <f>AVERAGE(densidade_hab_indL!AL71:AL73)</f>
        <v>0</v>
      </c>
      <c r="AM25" s="29">
        <f>AVERAGE(densidade_hab_indL!AM71:AM73)</f>
        <v>0</v>
      </c>
      <c r="AN25" s="29">
        <f>AVERAGE(densidade_hab_indL!AN71:AN73)</f>
        <v>0</v>
      </c>
      <c r="AO25" s="29">
        <f>AVERAGE(densidade_hab_indL!AO71:AO73)</f>
        <v>0</v>
      </c>
      <c r="AP25" s="29">
        <f>AVERAGE(densidade_hab_indL!AP71:AP73)</f>
        <v>0</v>
      </c>
      <c r="AQ25" s="29">
        <f>AVERAGE(densidade_hab_indL!AQ71:AQ73)</f>
        <v>0</v>
      </c>
      <c r="AR25" s="29">
        <f>AVERAGE(densidade_hab_indL!AR71:AR73)</f>
        <v>0</v>
      </c>
      <c r="AS25" s="29">
        <f>AVERAGE(densidade_hab_indL!AS71:AS73)</f>
        <v>0</v>
      </c>
      <c r="AT25" s="29">
        <f>AVERAGE(densidade_hab_indL!AT71:AT73)</f>
        <v>0</v>
      </c>
      <c r="AU25" s="29">
        <f>AVERAGE(densidade_hab_indL!AU71:AU73)</f>
        <v>0</v>
      </c>
      <c r="AV25" s="29">
        <f>AVERAGE(densidade_hab_indL!AV71:AV73)</f>
        <v>0.15333333333333335</v>
      </c>
      <c r="AW25" s="29">
        <f>AVERAGE(densidade_hab_indL!AW71:AW73)</f>
        <v>0</v>
      </c>
      <c r="AX25" s="29">
        <f>AVERAGE(densidade_hab_indL!AX71:AX73)</f>
        <v>0</v>
      </c>
      <c r="AY25" s="29">
        <f>AVERAGE(densidade_hab_indL!AY71:AY73)</f>
        <v>1.3333333333333334E-2</v>
      </c>
      <c r="AZ25" s="29">
        <f>AVERAGE(densidade_hab_indL!AZ71:AZ73)</f>
        <v>0</v>
      </c>
      <c r="BA25" s="29">
        <f>AVERAGE(densidade_hab_indL!BA71:BA73)</f>
        <v>0</v>
      </c>
      <c r="BB25" s="29">
        <f>AVERAGE(densidade_hab_indL!BB71:BB73)</f>
        <v>0</v>
      </c>
      <c r="BC25" s="29">
        <f>AVERAGE(densidade_hab_indL!BC71:BC73)</f>
        <v>0</v>
      </c>
      <c r="BD25" s="29">
        <f>AVERAGE(densidade_hab_indL!BD71:BD73)</f>
        <v>0</v>
      </c>
      <c r="BE25" s="29">
        <f>AVERAGE(densidade_hab_indL!BE71:BE73)</f>
        <v>0</v>
      </c>
      <c r="BF25" s="29">
        <f>AVERAGE(densidade_hab_indL!BF71:BF73)</f>
        <v>0</v>
      </c>
      <c r="BG25" s="29">
        <f>AVERAGE(densidade_hab_indL!BG71:BG73)</f>
        <v>0</v>
      </c>
    </row>
    <row r="26" spans="1:59" ht="12.75" customHeight="1" x14ac:dyDescent="0.25">
      <c r="A26" s="4" t="s">
        <v>329</v>
      </c>
      <c r="B26" s="29">
        <f>AVERAGE(densidade_hab_indL!B74:B76)</f>
        <v>0.08</v>
      </c>
      <c r="C26" s="29">
        <f>AVERAGE(densidade_hab_indL!C74:C76)</f>
        <v>1.3333333333333334E-2</v>
      </c>
      <c r="D26" s="29">
        <f>AVERAGE(densidade_hab_indL!D74:D76)</f>
        <v>0</v>
      </c>
      <c r="E26" s="29">
        <f>AVERAGE(densidade_hab_indL!E74:E76)</f>
        <v>2.4600000000000004</v>
      </c>
      <c r="F26" s="29">
        <f>AVERAGE(densidade_hab_indL!F74:F76)</f>
        <v>6.6666666666666671E-3</v>
      </c>
      <c r="G26" s="29">
        <f>AVERAGE(densidade_hab_indL!G74:G76)</f>
        <v>0</v>
      </c>
      <c r="H26" s="29">
        <f>AVERAGE(densidade_hab_indL!H74:H76)</f>
        <v>0</v>
      </c>
      <c r="I26" s="29">
        <f>AVERAGE(densidade_hab_indL!I74:I76)</f>
        <v>0.25333333333333335</v>
      </c>
      <c r="J26" s="29">
        <f>AVERAGE(densidade_hab_indL!J74:J76)</f>
        <v>6.6666666666666671E-3</v>
      </c>
      <c r="K26" s="29">
        <f>AVERAGE(densidade_hab_indL!K74:K76)</f>
        <v>0</v>
      </c>
      <c r="L26" s="29">
        <f>AVERAGE(densidade_hab_indL!L74:L76)</f>
        <v>1.3333333333333334E-2</v>
      </c>
      <c r="M26" s="29">
        <f>AVERAGE(densidade_hab_indL!M74:M76)</f>
        <v>0</v>
      </c>
      <c r="N26" s="29">
        <f>AVERAGE(densidade_hab_indL!N74:N76)</f>
        <v>0</v>
      </c>
      <c r="O26" s="29">
        <f>AVERAGE(densidade_hab_indL!O74:O76)</f>
        <v>0</v>
      </c>
      <c r="P26" s="29">
        <f>AVERAGE(densidade_hab_indL!P74:P76)</f>
        <v>0</v>
      </c>
      <c r="Q26" s="29">
        <f>AVERAGE(densidade_hab_indL!Q74:Q76)</f>
        <v>0</v>
      </c>
      <c r="R26" s="29">
        <f>AVERAGE(densidade_hab_indL!R74:R76)</f>
        <v>0</v>
      </c>
      <c r="S26" s="29">
        <f>AVERAGE(densidade_hab_indL!S74:S76)</f>
        <v>0</v>
      </c>
      <c r="T26" s="29">
        <f>AVERAGE(densidade_hab_indL!T74:T76)</f>
        <v>1.3333333333333334E-2</v>
      </c>
      <c r="U26" s="29">
        <f>AVERAGE(densidade_hab_indL!U74:U76)</f>
        <v>0</v>
      </c>
      <c r="V26" s="29">
        <f>AVERAGE(densidade_hab_indL!V74:V76)</f>
        <v>0</v>
      </c>
      <c r="W26" s="29">
        <f>AVERAGE(densidade_hab_indL!W74:W76)</f>
        <v>0</v>
      </c>
      <c r="X26" s="29">
        <f>AVERAGE(densidade_hab_indL!X74:X76)</f>
        <v>0</v>
      </c>
      <c r="Y26" s="29">
        <f>AVERAGE(densidade_hab_indL!Y74:Y76)</f>
        <v>0</v>
      </c>
      <c r="Z26" s="29">
        <f>AVERAGE(densidade_hab_indL!Z74:Z76)</f>
        <v>6.6666666666666671E-3</v>
      </c>
      <c r="AA26" s="29">
        <f>AVERAGE(densidade_hab_indL!AA74:AA76)</f>
        <v>6.6666666666666671E-3</v>
      </c>
      <c r="AB26" s="29">
        <f>AVERAGE(densidade_hab_indL!AB74:AB76)</f>
        <v>0</v>
      </c>
      <c r="AC26" s="29">
        <f>AVERAGE(densidade_hab_indL!AC74:AC76)</f>
        <v>0</v>
      </c>
      <c r="AD26" s="29">
        <f>AVERAGE(densidade_hab_indL!AD74:AD76)</f>
        <v>0</v>
      </c>
      <c r="AE26" s="29">
        <f>AVERAGE(densidade_hab_indL!AE74:AE76)</f>
        <v>0</v>
      </c>
      <c r="AF26" s="29">
        <f>AVERAGE(densidade_hab_indL!AF74:AF76)</f>
        <v>0</v>
      </c>
      <c r="AG26" s="29">
        <f>AVERAGE(densidade_hab_indL!AG74:AG76)</f>
        <v>0</v>
      </c>
      <c r="AH26" s="29">
        <f>AVERAGE(densidade_hab_indL!AH74:AH76)</f>
        <v>0</v>
      </c>
      <c r="AI26" s="29">
        <f>AVERAGE(densidade_hab_indL!AI74:AI76)</f>
        <v>0</v>
      </c>
      <c r="AJ26" s="29">
        <f>AVERAGE(densidade_hab_indL!AJ74:AJ76)</f>
        <v>0</v>
      </c>
      <c r="AK26" s="29">
        <f>AVERAGE(densidade_hab_indL!AK74:AK76)</f>
        <v>0</v>
      </c>
      <c r="AL26" s="29">
        <f>AVERAGE(densidade_hab_indL!AL74:AL76)</f>
        <v>1.3333333333333334E-2</v>
      </c>
      <c r="AM26" s="29">
        <f>AVERAGE(densidade_hab_indL!AM74:AM76)</f>
        <v>0</v>
      </c>
      <c r="AN26" s="29">
        <f>AVERAGE(densidade_hab_indL!AN74:AN76)</f>
        <v>0</v>
      </c>
      <c r="AO26" s="29">
        <f>AVERAGE(densidade_hab_indL!AO74:AO76)</f>
        <v>0</v>
      </c>
      <c r="AP26" s="29">
        <f>AVERAGE(densidade_hab_indL!AP74:AP76)</f>
        <v>0</v>
      </c>
      <c r="AQ26" s="29">
        <f>AVERAGE(densidade_hab_indL!AQ74:AQ76)</f>
        <v>0</v>
      </c>
      <c r="AR26" s="29">
        <f>AVERAGE(densidade_hab_indL!AR74:AR76)</f>
        <v>0</v>
      </c>
      <c r="AS26" s="29">
        <f>AVERAGE(densidade_hab_indL!AS74:AS76)</f>
        <v>0</v>
      </c>
      <c r="AT26" s="29">
        <f>AVERAGE(densidade_hab_indL!AT74:AT76)</f>
        <v>0</v>
      </c>
      <c r="AU26" s="29">
        <f>AVERAGE(densidade_hab_indL!AU74:AU76)</f>
        <v>0</v>
      </c>
      <c r="AV26" s="29">
        <f>AVERAGE(densidade_hab_indL!AV74:AV76)</f>
        <v>0.1466666666666667</v>
      </c>
      <c r="AW26" s="29">
        <f>AVERAGE(densidade_hab_indL!AW74:AW76)</f>
        <v>0</v>
      </c>
      <c r="AX26" s="29">
        <f>AVERAGE(densidade_hab_indL!AX74:AX76)</f>
        <v>2.6666666666666668E-2</v>
      </c>
      <c r="AY26" s="29">
        <f>AVERAGE(densidade_hab_indL!AY74:AY76)</f>
        <v>0</v>
      </c>
      <c r="AZ26" s="29">
        <f>AVERAGE(densidade_hab_indL!AZ74:AZ76)</f>
        <v>0</v>
      </c>
      <c r="BA26" s="29">
        <f>AVERAGE(densidade_hab_indL!BA74:BA76)</f>
        <v>0</v>
      </c>
      <c r="BB26" s="29">
        <f>AVERAGE(densidade_hab_indL!BB74:BB76)</f>
        <v>0</v>
      </c>
      <c r="BC26" s="29">
        <f>AVERAGE(densidade_hab_indL!BC74:BC76)</f>
        <v>0</v>
      </c>
      <c r="BD26" s="29">
        <f>AVERAGE(densidade_hab_indL!BD74:BD76)</f>
        <v>0</v>
      </c>
      <c r="BE26" s="29">
        <f>AVERAGE(densidade_hab_indL!BE74:BE76)</f>
        <v>0</v>
      </c>
      <c r="BF26" s="29">
        <f>AVERAGE(densidade_hab_indL!BF74:BF76)</f>
        <v>0</v>
      </c>
      <c r="BG26" s="29">
        <f>AVERAGE(densidade_hab_indL!BG74:BG76)</f>
        <v>0</v>
      </c>
    </row>
    <row r="27" spans="1:59" ht="12.75" customHeight="1" x14ac:dyDescent="0.25">
      <c r="A27" s="4" t="s">
        <v>330</v>
      </c>
      <c r="B27" s="29">
        <f>AVERAGE(densidade_hab_indL!B77:B79)</f>
        <v>6.6666666666666666E-2</v>
      </c>
      <c r="C27" s="29">
        <f>AVERAGE(densidade_hab_indL!C77:C79)</f>
        <v>6.6666666666666671E-3</v>
      </c>
      <c r="D27" s="29">
        <f>AVERAGE(densidade_hab_indL!D77:D79)</f>
        <v>0</v>
      </c>
      <c r="E27" s="29">
        <f>AVERAGE(densidade_hab_indL!E77:E79)</f>
        <v>1.7466666666666668</v>
      </c>
      <c r="F27" s="29">
        <f>AVERAGE(densidade_hab_indL!F77:F79)</f>
        <v>6.6666666666666671E-3</v>
      </c>
      <c r="G27" s="29">
        <f>AVERAGE(densidade_hab_indL!G77:G79)</f>
        <v>0</v>
      </c>
      <c r="H27" s="29">
        <f>AVERAGE(densidade_hab_indL!H77:H79)</f>
        <v>0</v>
      </c>
      <c r="I27" s="29">
        <f>AVERAGE(densidade_hab_indL!I77:I79)</f>
        <v>9.9999999999999992E-2</v>
      </c>
      <c r="J27" s="29">
        <f>AVERAGE(densidade_hab_indL!J77:J79)</f>
        <v>0</v>
      </c>
      <c r="K27" s="29">
        <f>AVERAGE(densidade_hab_indL!K77:K79)</f>
        <v>0</v>
      </c>
      <c r="L27" s="29">
        <f>AVERAGE(densidade_hab_indL!L77:L79)</f>
        <v>4.6666666666666669E-2</v>
      </c>
      <c r="M27" s="29">
        <f>AVERAGE(densidade_hab_indL!M77:M79)</f>
        <v>0</v>
      </c>
      <c r="N27" s="29">
        <f>AVERAGE(densidade_hab_indL!N77:N79)</f>
        <v>0</v>
      </c>
      <c r="O27" s="29">
        <f>AVERAGE(densidade_hab_indL!O77:O79)</f>
        <v>0</v>
      </c>
      <c r="P27" s="29">
        <f>AVERAGE(densidade_hab_indL!P77:P79)</f>
        <v>0</v>
      </c>
      <c r="Q27" s="29">
        <f>AVERAGE(densidade_hab_indL!Q77:Q79)</f>
        <v>6.6666666666666671E-3</v>
      </c>
      <c r="R27" s="29">
        <f>AVERAGE(densidade_hab_indL!R77:R79)</f>
        <v>0</v>
      </c>
      <c r="S27" s="29">
        <f>AVERAGE(densidade_hab_indL!S77:S79)</f>
        <v>0</v>
      </c>
      <c r="T27" s="29">
        <f>AVERAGE(densidade_hab_indL!T77:T79)</f>
        <v>0.02</v>
      </c>
      <c r="U27" s="29">
        <f>AVERAGE(densidade_hab_indL!U77:U79)</f>
        <v>0</v>
      </c>
      <c r="V27" s="29">
        <f>AVERAGE(densidade_hab_indL!V77:V79)</f>
        <v>6.6666666666666671E-3</v>
      </c>
      <c r="W27" s="29">
        <f>AVERAGE(densidade_hab_indL!W77:W79)</f>
        <v>0</v>
      </c>
      <c r="X27" s="29">
        <f>AVERAGE(densidade_hab_indL!X77:X79)</f>
        <v>0</v>
      </c>
      <c r="Y27" s="29">
        <f>AVERAGE(densidade_hab_indL!Y77:Y79)</f>
        <v>6.6666666666666671E-3</v>
      </c>
      <c r="Z27" s="29">
        <f>AVERAGE(densidade_hab_indL!Z77:Z79)</f>
        <v>3.3333333333333333E-2</v>
      </c>
      <c r="AA27" s="29">
        <f>AVERAGE(densidade_hab_indL!AA77:AA79)</f>
        <v>0</v>
      </c>
      <c r="AB27" s="29">
        <f>AVERAGE(densidade_hab_indL!AB77:AB79)</f>
        <v>0</v>
      </c>
      <c r="AC27" s="29">
        <f>AVERAGE(densidade_hab_indL!AC77:AC79)</f>
        <v>0</v>
      </c>
      <c r="AD27" s="29">
        <f>AVERAGE(densidade_hab_indL!AD77:AD79)</f>
        <v>0</v>
      </c>
      <c r="AE27" s="29">
        <f>AVERAGE(densidade_hab_indL!AE77:AE79)</f>
        <v>0</v>
      </c>
      <c r="AF27" s="29">
        <f>AVERAGE(densidade_hab_indL!AF77:AF79)</f>
        <v>0</v>
      </c>
      <c r="AG27" s="29">
        <f>AVERAGE(densidade_hab_indL!AG77:AG79)</f>
        <v>0</v>
      </c>
      <c r="AH27" s="29">
        <f>AVERAGE(densidade_hab_indL!AH77:AH79)</f>
        <v>0</v>
      </c>
      <c r="AI27" s="29">
        <f>AVERAGE(densidade_hab_indL!AI77:AI79)</f>
        <v>0</v>
      </c>
      <c r="AJ27" s="29">
        <f>AVERAGE(densidade_hab_indL!AJ77:AJ79)</f>
        <v>0</v>
      </c>
      <c r="AK27" s="29">
        <f>AVERAGE(densidade_hab_indL!AK77:AK79)</f>
        <v>0</v>
      </c>
      <c r="AL27" s="29">
        <f>AVERAGE(densidade_hab_indL!AL77:AL79)</f>
        <v>0</v>
      </c>
      <c r="AM27" s="29">
        <f>AVERAGE(densidade_hab_indL!AM77:AM79)</f>
        <v>0</v>
      </c>
      <c r="AN27" s="29">
        <f>AVERAGE(densidade_hab_indL!AN77:AN79)</f>
        <v>0</v>
      </c>
      <c r="AO27" s="29">
        <f>AVERAGE(densidade_hab_indL!AO77:AO79)</f>
        <v>0</v>
      </c>
      <c r="AP27" s="29">
        <f>AVERAGE(densidade_hab_indL!AP77:AP79)</f>
        <v>0</v>
      </c>
      <c r="AQ27" s="29">
        <f>AVERAGE(densidade_hab_indL!AQ77:AQ79)</f>
        <v>0</v>
      </c>
      <c r="AR27" s="29">
        <f>AVERAGE(densidade_hab_indL!AR77:AR79)</f>
        <v>0</v>
      </c>
      <c r="AS27" s="29">
        <f>AVERAGE(densidade_hab_indL!AS77:AS79)</f>
        <v>0</v>
      </c>
      <c r="AT27" s="29">
        <f>AVERAGE(densidade_hab_indL!AT77:AT79)</f>
        <v>0</v>
      </c>
      <c r="AU27" s="29">
        <f>AVERAGE(densidade_hab_indL!AU77:AU79)</f>
        <v>0</v>
      </c>
      <c r="AV27" s="29">
        <f>AVERAGE(densidade_hab_indL!AV77:AV79)</f>
        <v>0.13333333333333333</v>
      </c>
      <c r="AW27" s="29">
        <f>AVERAGE(densidade_hab_indL!AW77:AW79)</f>
        <v>0</v>
      </c>
      <c r="AX27" s="29">
        <f>AVERAGE(densidade_hab_indL!AX77:AX79)</f>
        <v>0</v>
      </c>
      <c r="AY27" s="29">
        <f>AVERAGE(densidade_hab_indL!AY77:AY79)</f>
        <v>0</v>
      </c>
      <c r="AZ27" s="29">
        <f>AVERAGE(densidade_hab_indL!AZ77:AZ79)</f>
        <v>0</v>
      </c>
      <c r="BA27" s="29">
        <f>AVERAGE(densidade_hab_indL!BA77:BA79)</f>
        <v>0</v>
      </c>
      <c r="BB27" s="29">
        <f>AVERAGE(densidade_hab_indL!BB77:BB79)</f>
        <v>0</v>
      </c>
      <c r="BC27" s="29">
        <f>AVERAGE(densidade_hab_indL!BC77:BC79)</f>
        <v>6.6666666666666671E-3</v>
      </c>
      <c r="BD27" s="29">
        <f>AVERAGE(densidade_hab_indL!BD77:BD79)</f>
        <v>0</v>
      </c>
      <c r="BE27" s="29">
        <f>AVERAGE(densidade_hab_indL!BE77:BE79)</f>
        <v>0</v>
      </c>
      <c r="BF27" s="29">
        <f>AVERAGE(densidade_hab_indL!BF77:BF79)</f>
        <v>0</v>
      </c>
      <c r="BG27" s="29">
        <f>AVERAGE(densidade_hab_indL!BG77:BG79)</f>
        <v>0</v>
      </c>
    </row>
    <row r="28" spans="1:59" ht="12.75" customHeight="1" x14ac:dyDescent="0.25">
      <c r="A28" s="4" t="s">
        <v>331</v>
      </c>
      <c r="B28" s="29">
        <f>AVERAGE(densidade_hab_indL!B80:B82)</f>
        <v>2.6666666666666668E-2</v>
      </c>
      <c r="C28" s="29">
        <f>AVERAGE(densidade_hab_indL!C80:C82)</f>
        <v>0</v>
      </c>
      <c r="D28" s="29">
        <f>AVERAGE(densidade_hab_indL!D80:D82)</f>
        <v>0</v>
      </c>
      <c r="E28" s="29">
        <f>AVERAGE(densidade_hab_indL!E80:E82)</f>
        <v>1.8733333333333337</v>
      </c>
      <c r="F28" s="29">
        <f>AVERAGE(densidade_hab_indL!F80:F82)</f>
        <v>0.04</v>
      </c>
      <c r="G28" s="29">
        <f>AVERAGE(densidade_hab_indL!G80:G82)</f>
        <v>0</v>
      </c>
      <c r="H28" s="29">
        <f>AVERAGE(densidade_hab_indL!H80:H82)</f>
        <v>0</v>
      </c>
      <c r="I28" s="29">
        <f>AVERAGE(densidade_hab_indL!I80:I82)</f>
        <v>0.04</v>
      </c>
      <c r="J28" s="29">
        <f>AVERAGE(densidade_hab_indL!J80:J82)</f>
        <v>0</v>
      </c>
      <c r="K28" s="29">
        <f>AVERAGE(densidade_hab_indL!K80:K82)</f>
        <v>0</v>
      </c>
      <c r="L28" s="29">
        <f>AVERAGE(densidade_hab_indL!L80:L82)</f>
        <v>0</v>
      </c>
      <c r="M28" s="29">
        <f>AVERAGE(densidade_hab_indL!M80:M82)</f>
        <v>0</v>
      </c>
      <c r="N28" s="29">
        <f>AVERAGE(densidade_hab_indL!N80:N82)</f>
        <v>0</v>
      </c>
      <c r="O28" s="29">
        <f>AVERAGE(densidade_hab_indL!O80:O82)</f>
        <v>0</v>
      </c>
      <c r="P28" s="29">
        <f>AVERAGE(densidade_hab_indL!P80:P82)</f>
        <v>0</v>
      </c>
      <c r="Q28" s="29">
        <f>AVERAGE(densidade_hab_indL!Q80:Q82)</f>
        <v>0</v>
      </c>
      <c r="R28" s="29">
        <f>AVERAGE(densidade_hab_indL!R80:R82)</f>
        <v>0</v>
      </c>
      <c r="S28" s="29">
        <f>AVERAGE(densidade_hab_indL!S80:S82)</f>
        <v>0</v>
      </c>
      <c r="T28" s="29">
        <f>AVERAGE(densidade_hab_indL!T80:T82)</f>
        <v>0</v>
      </c>
      <c r="U28" s="29">
        <f>AVERAGE(densidade_hab_indL!U80:U82)</f>
        <v>0</v>
      </c>
      <c r="V28" s="29">
        <f>AVERAGE(densidade_hab_indL!V80:V82)</f>
        <v>6.6666666666666671E-3</v>
      </c>
      <c r="W28" s="29">
        <f>AVERAGE(densidade_hab_indL!W80:W82)</f>
        <v>0</v>
      </c>
      <c r="X28" s="29">
        <f>AVERAGE(densidade_hab_indL!X80:X82)</f>
        <v>0</v>
      </c>
      <c r="Y28" s="29">
        <f>AVERAGE(densidade_hab_indL!Y80:Y82)</f>
        <v>0</v>
      </c>
      <c r="Z28" s="29">
        <f>AVERAGE(densidade_hab_indL!Z80:Z82)</f>
        <v>6.6666666666666671E-3</v>
      </c>
      <c r="AA28" s="29">
        <f>AVERAGE(densidade_hab_indL!AA80:AA82)</f>
        <v>6.6666666666666671E-3</v>
      </c>
      <c r="AB28" s="29">
        <f>AVERAGE(densidade_hab_indL!AB80:AB82)</f>
        <v>0</v>
      </c>
      <c r="AC28" s="29">
        <f>AVERAGE(densidade_hab_indL!AC80:AC82)</f>
        <v>0</v>
      </c>
      <c r="AD28" s="29">
        <f>AVERAGE(densidade_hab_indL!AD80:AD82)</f>
        <v>0</v>
      </c>
      <c r="AE28" s="29">
        <f>AVERAGE(densidade_hab_indL!AE80:AE82)</f>
        <v>0</v>
      </c>
      <c r="AF28" s="29">
        <f>AVERAGE(densidade_hab_indL!AF80:AF82)</f>
        <v>0</v>
      </c>
      <c r="AG28" s="29">
        <f>AVERAGE(densidade_hab_indL!AG80:AG82)</f>
        <v>0</v>
      </c>
      <c r="AH28" s="29">
        <f>AVERAGE(densidade_hab_indL!AH80:AH82)</f>
        <v>0</v>
      </c>
      <c r="AI28" s="29">
        <f>AVERAGE(densidade_hab_indL!AI80:AI82)</f>
        <v>0</v>
      </c>
      <c r="AJ28" s="29">
        <f>AVERAGE(densidade_hab_indL!AJ80:AJ82)</f>
        <v>0</v>
      </c>
      <c r="AK28" s="29">
        <f>AVERAGE(densidade_hab_indL!AK80:AK82)</f>
        <v>0</v>
      </c>
      <c r="AL28" s="29">
        <f>AVERAGE(densidade_hab_indL!AL80:AL82)</f>
        <v>0</v>
      </c>
      <c r="AM28" s="29">
        <f>AVERAGE(densidade_hab_indL!AM80:AM82)</f>
        <v>0</v>
      </c>
      <c r="AN28" s="29">
        <f>AVERAGE(densidade_hab_indL!AN80:AN82)</f>
        <v>0</v>
      </c>
      <c r="AO28" s="29">
        <f>AVERAGE(densidade_hab_indL!AO80:AO82)</f>
        <v>0</v>
      </c>
      <c r="AP28" s="29">
        <f>AVERAGE(densidade_hab_indL!AP80:AP82)</f>
        <v>0</v>
      </c>
      <c r="AQ28" s="29">
        <f>AVERAGE(densidade_hab_indL!AQ80:AQ82)</f>
        <v>0</v>
      </c>
      <c r="AR28" s="29">
        <f>AVERAGE(densidade_hab_indL!AR80:AR82)</f>
        <v>0</v>
      </c>
      <c r="AS28" s="29">
        <f>AVERAGE(densidade_hab_indL!AS80:AS82)</f>
        <v>0</v>
      </c>
      <c r="AT28" s="29">
        <f>AVERAGE(densidade_hab_indL!AT80:AT82)</f>
        <v>0</v>
      </c>
      <c r="AU28" s="29">
        <f>AVERAGE(densidade_hab_indL!AU80:AU82)</f>
        <v>0</v>
      </c>
      <c r="AV28" s="29">
        <f>AVERAGE(densidade_hab_indL!AV80:AV82)</f>
        <v>5.3333333333333337E-2</v>
      </c>
      <c r="AW28" s="29">
        <f>AVERAGE(densidade_hab_indL!AW80:AW82)</f>
        <v>0</v>
      </c>
      <c r="AX28" s="29">
        <f>AVERAGE(densidade_hab_indL!AX80:AX82)</f>
        <v>6.6666666666666671E-3</v>
      </c>
      <c r="AY28" s="29">
        <f>AVERAGE(densidade_hab_indL!AY80:AY82)</f>
        <v>3.3333333333333333E-2</v>
      </c>
      <c r="AZ28" s="29">
        <f>AVERAGE(densidade_hab_indL!AZ80:AZ82)</f>
        <v>0</v>
      </c>
      <c r="BA28" s="29">
        <f>AVERAGE(densidade_hab_indL!BA80:BA82)</f>
        <v>0</v>
      </c>
      <c r="BB28" s="29">
        <f>AVERAGE(densidade_hab_indL!BB80:BB82)</f>
        <v>0</v>
      </c>
      <c r="BC28" s="29">
        <f>AVERAGE(densidade_hab_indL!BC80:BC82)</f>
        <v>0</v>
      </c>
      <c r="BD28" s="29">
        <f>AVERAGE(densidade_hab_indL!BD80:BD82)</f>
        <v>1.3333333333333334E-2</v>
      </c>
      <c r="BE28" s="29">
        <f>AVERAGE(densidade_hab_indL!BE80:BE82)</f>
        <v>6.6666666666666671E-3</v>
      </c>
      <c r="BF28" s="29">
        <f>AVERAGE(densidade_hab_indL!BF80:BF82)</f>
        <v>0</v>
      </c>
      <c r="BG28" s="29">
        <f>AVERAGE(densidade_hab_indL!BG80:BG82)</f>
        <v>0</v>
      </c>
    </row>
    <row r="29" spans="1:59" ht="12.75" customHeight="1" x14ac:dyDescent="0.25">
      <c r="A29" s="4" t="s">
        <v>332</v>
      </c>
      <c r="B29" s="29">
        <f>AVERAGE(densidade_hab_indL!B83:B85)</f>
        <v>0.6333333333333333</v>
      </c>
      <c r="C29" s="29">
        <f>AVERAGE(densidade_hab_indL!C83:C85)</f>
        <v>0.22</v>
      </c>
      <c r="D29" s="29">
        <f>AVERAGE(densidade_hab_indL!D83:D85)</f>
        <v>0.20666666666666667</v>
      </c>
      <c r="E29" s="29">
        <f>AVERAGE(densidade_hab_indL!E83:E85)</f>
        <v>1.8733333333333333</v>
      </c>
      <c r="F29" s="29">
        <f>AVERAGE(densidade_hab_indL!F83:F85)</f>
        <v>1.24</v>
      </c>
      <c r="G29" s="29">
        <f>AVERAGE(densidade_hab_indL!G83:G85)</f>
        <v>0</v>
      </c>
      <c r="H29" s="29">
        <f>AVERAGE(densidade_hab_indL!H83:H85)</f>
        <v>5.3333333333333337E-2</v>
      </c>
      <c r="I29" s="29">
        <f>AVERAGE(densidade_hab_indL!I83:I85)</f>
        <v>7.873333333333334</v>
      </c>
      <c r="J29" s="29">
        <f>AVERAGE(densidade_hab_indL!J83:J85)</f>
        <v>1.8533333333333335</v>
      </c>
      <c r="K29" s="29">
        <f>AVERAGE(densidade_hab_indL!K83:K85)</f>
        <v>0</v>
      </c>
      <c r="L29" s="29">
        <f>AVERAGE(densidade_hab_indL!L83:L85)</f>
        <v>1.9133333333333333</v>
      </c>
      <c r="M29" s="29">
        <f>AVERAGE(densidade_hab_indL!M83:M85)</f>
        <v>0</v>
      </c>
      <c r="N29" s="29">
        <f>AVERAGE(densidade_hab_indL!N83:N85)</f>
        <v>0</v>
      </c>
      <c r="O29" s="29">
        <f>AVERAGE(densidade_hab_indL!O83:O85)</f>
        <v>0</v>
      </c>
      <c r="P29" s="29">
        <f>AVERAGE(densidade_hab_indL!P83:P85)</f>
        <v>0</v>
      </c>
      <c r="Q29" s="29">
        <f>AVERAGE(densidade_hab_indL!Q83:Q85)</f>
        <v>1.3133333333333332</v>
      </c>
      <c r="R29" s="29">
        <f>AVERAGE(densidade_hab_indL!R83:R85)</f>
        <v>0.29333333333333333</v>
      </c>
      <c r="S29" s="29">
        <f>AVERAGE(densidade_hab_indL!S83:S85)</f>
        <v>0.12666666666666668</v>
      </c>
      <c r="T29" s="29">
        <f>AVERAGE(densidade_hab_indL!T83:T85)</f>
        <v>0.68666666666666665</v>
      </c>
      <c r="U29" s="29">
        <f>AVERAGE(densidade_hab_indL!U83:U85)</f>
        <v>6.6666666666666666E-2</v>
      </c>
      <c r="V29" s="29">
        <f>AVERAGE(densidade_hab_indL!V83:V85)</f>
        <v>3.9866666666666668</v>
      </c>
      <c r="W29" s="29">
        <f>AVERAGE(densidade_hab_indL!W83:W85)</f>
        <v>0</v>
      </c>
      <c r="X29" s="29">
        <f>AVERAGE(densidade_hab_indL!X83:X85)</f>
        <v>0</v>
      </c>
      <c r="Y29" s="29">
        <f>AVERAGE(densidade_hab_indL!Y83:Y85)</f>
        <v>0.13333333333333333</v>
      </c>
      <c r="Z29" s="29">
        <f>AVERAGE(densidade_hab_indL!Z83:Z85)</f>
        <v>0.3666666666666667</v>
      </c>
      <c r="AA29" s="29">
        <f>AVERAGE(densidade_hab_indL!AA83:AA85)</f>
        <v>0.90666666666666662</v>
      </c>
      <c r="AB29" s="29">
        <f>AVERAGE(densidade_hab_indL!AB83:AB85)</f>
        <v>0</v>
      </c>
      <c r="AC29" s="29">
        <f>AVERAGE(densidade_hab_indL!AC83:AC85)</f>
        <v>0</v>
      </c>
      <c r="AD29" s="29">
        <f>AVERAGE(densidade_hab_indL!AD83:AD85)</f>
        <v>0.19333333333333336</v>
      </c>
      <c r="AE29" s="29">
        <f>AVERAGE(densidade_hab_indL!AE83:AE85)</f>
        <v>0</v>
      </c>
      <c r="AF29" s="29">
        <f>AVERAGE(densidade_hab_indL!AF83:AF85)</f>
        <v>0</v>
      </c>
      <c r="AG29" s="29">
        <f>AVERAGE(densidade_hab_indL!AG83:AG85)</f>
        <v>0.15333333333333332</v>
      </c>
      <c r="AH29" s="29">
        <f>AVERAGE(densidade_hab_indL!AH83:AH85)</f>
        <v>0</v>
      </c>
      <c r="AI29" s="29">
        <f>AVERAGE(densidade_hab_indL!AI83:AI85)</f>
        <v>0</v>
      </c>
      <c r="AJ29" s="29">
        <f>AVERAGE(densidade_hab_indL!AJ83:AJ85)</f>
        <v>0</v>
      </c>
      <c r="AK29" s="29">
        <f>AVERAGE(densidade_hab_indL!AK83:AK85)</f>
        <v>0</v>
      </c>
      <c r="AL29" s="29">
        <f>AVERAGE(densidade_hab_indL!AL83:AL85)</f>
        <v>0.24666666666666667</v>
      </c>
      <c r="AM29" s="29">
        <f>AVERAGE(densidade_hab_indL!AM83:AM85)</f>
        <v>0</v>
      </c>
      <c r="AN29" s="29">
        <f>AVERAGE(densidade_hab_indL!AN83:AN85)</f>
        <v>0</v>
      </c>
      <c r="AO29" s="29">
        <f>AVERAGE(densidade_hab_indL!AO83:AO85)</f>
        <v>0</v>
      </c>
      <c r="AP29" s="29">
        <f>AVERAGE(densidade_hab_indL!AP83:AP85)</f>
        <v>1.1733333333333333</v>
      </c>
      <c r="AQ29" s="29">
        <f>AVERAGE(densidade_hab_indL!AQ83:AQ85)</f>
        <v>1.42</v>
      </c>
      <c r="AR29" s="29">
        <f>AVERAGE(densidade_hab_indL!AR83:AR85)</f>
        <v>0.29333333333333333</v>
      </c>
      <c r="AS29" s="29">
        <f>AVERAGE(densidade_hab_indL!AS83:AS85)</f>
        <v>0</v>
      </c>
      <c r="AT29" s="29">
        <f>AVERAGE(densidade_hab_indL!AT83:AT85)</f>
        <v>0</v>
      </c>
      <c r="AU29" s="29">
        <f>AVERAGE(densidade_hab_indL!AU83:AU85)</f>
        <v>0</v>
      </c>
      <c r="AV29" s="29">
        <f>AVERAGE(densidade_hab_indL!AV83:AV85)</f>
        <v>2.4</v>
      </c>
      <c r="AW29" s="29">
        <f>AVERAGE(densidade_hab_indL!AW83:AW85)</f>
        <v>9.9999999999999992E-2</v>
      </c>
      <c r="AX29" s="29">
        <f>AVERAGE(densidade_hab_indL!AX83:AX85)</f>
        <v>0.19333333333333336</v>
      </c>
      <c r="AY29" s="29">
        <f>AVERAGE(densidade_hab_indL!AY83:AY85)</f>
        <v>1.2066666666666668</v>
      </c>
      <c r="AZ29" s="29">
        <f>AVERAGE(densidade_hab_indL!AZ83:AZ85)</f>
        <v>0</v>
      </c>
      <c r="BA29" s="29">
        <f>AVERAGE(densidade_hab_indL!BA83:BA85)</f>
        <v>0</v>
      </c>
      <c r="BB29" s="29">
        <f>AVERAGE(densidade_hab_indL!BB83:BB85)</f>
        <v>0</v>
      </c>
      <c r="BC29" s="29">
        <f>AVERAGE(densidade_hab_indL!BC83:BC85)</f>
        <v>0</v>
      </c>
      <c r="BD29" s="29">
        <f>AVERAGE(densidade_hab_indL!BD83:BD85)</f>
        <v>0.24666666666666667</v>
      </c>
      <c r="BE29" s="29">
        <f>AVERAGE(densidade_hab_indL!BE83:BE85)</f>
        <v>0.22</v>
      </c>
      <c r="BF29" s="29">
        <f>AVERAGE(densidade_hab_indL!BF83:BF85)</f>
        <v>0</v>
      </c>
      <c r="BG29" s="29">
        <f>AVERAGE(densidade_hab_indL!BG83:BG85)</f>
        <v>0</v>
      </c>
    </row>
    <row r="30" spans="1:59" ht="12.75" customHeight="1" x14ac:dyDescent="0.25">
      <c r="A30" s="4" t="s">
        <v>333</v>
      </c>
      <c r="B30" s="29">
        <f>AVERAGE(densidade_hab_indL!B86:B88)</f>
        <v>0.12666666666666668</v>
      </c>
      <c r="C30" s="29">
        <f>AVERAGE(densidade_hab_indL!C86:C88)</f>
        <v>0</v>
      </c>
      <c r="D30" s="29">
        <f>AVERAGE(densidade_hab_indL!D86:D88)</f>
        <v>0.02</v>
      </c>
      <c r="E30" s="29">
        <f>AVERAGE(densidade_hab_indL!E86:E88)</f>
        <v>1.54</v>
      </c>
      <c r="F30" s="29">
        <f>AVERAGE(densidade_hab_indL!F86:F88)</f>
        <v>0.13333333333333333</v>
      </c>
      <c r="G30" s="29">
        <f>AVERAGE(densidade_hab_indL!G86:G88)</f>
        <v>0</v>
      </c>
      <c r="H30" s="29">
        <f>AVERAGE(densidade_hab_indL!H86:H88)</f>
        <v>0</v>
      </c>
      <c r="I30" s="29">
        <f>AVERAGE(densidade_hab_indL!I86:I88)</f>
        <v>0.37333333333333335</v>
      </c>
      <c r="J30" s="29">
        <f>AVERAGE(densidade_hab_indL!J86:J88)</f>
        <v>0.21999999999999997</v>
      </c>
      <c r="K30" s="29">
        <f>AVERAGE(densidade_hab_indL!K86:K88)</f>
        <v>0</v>
      </c>
      <c r="L30" s="29">
        <f>AVERAGE(densidade_hab_indL!L86:L88)</f>
        <v>0.11333333333333333</v>
      </c>
      <c r="M30" s="29">
        <f>AVERAGE(densidade_hab_indL!M86:M88)</f>
        <v>0</v>
      </c>
      <c r="N30" s="29">
        <f>AVERAGE(densidade_hab_indL!N86:N88)</f>
        <v>0</v>
      </c>
      <c r="O30" s="29">
        <f>AVERAGE(densidade_hab_indL!O86:O88)</f>
        <v>0</v>
      </c>
      <c r="P30" s="29">
        <f>AVERAGE(densidade_hab_indL!P86:P88)</f>
        <v>6.6666666666666671E-3</v>
      </c>
      <c r="Q30" s="29">
        <f>AVERAGE(densidade_hab_indL!Q86:Q88)</f>
        <v>1.3333333333333334E-2</v>
      </c>
      <c r="R30" s="29">
        <f>AVERAGE(densidade_hab_indL!R86:R88)</f>
        <v>0.10666666666666667</v>
      </c>
      <c r="S30" s="29">
        <f>AVERAGE(densidade_hab_indL!S86:S88)</f>
        <v>1.3333333333333334E-2</v>
      </c>
      <c r="T30" s="29">
        <f>AVERAGE(densidade_hab_indL!T86:T88)</f>
        <v>0.06</v>
      </c>
      <c r="U30" s="29">
        <f>AVERAGE(densidade_hab_indL!U86:U88)</f>
        <v>0</v>
      </c>
      <c r="V30" s="29">
        <f>AVERAGE(densidade_hab_indL!V86:V88)</f>
        <v>5.3333333333333337E-2</v>
      </c>
      <c r="W30" s="29">
        <f>AVERAGE(densidade_hab_indL!W86:W88)</f>
        <v>0</v>
      </c>
      <c r="X30" s="29">
        <f>AVERAGE(densidade_hab_indL!X86:X88)</f>
        <v>0</v>
      </c>
      <c r="Y30" s="29">
        <f>AVERAGE(densidade_hab_indL!Y86:Y88)</f>
        <v>0</v>
      </c>
      <c r="Z30" s="29">
        <f>AVERAGE(densidade_hab_indL!Z86:Z88)</f>
        <v>5.3333333333333337E-2</v>
      </c>
      <c r="AA30" s="29">
        <f>AVERAGE(densidade_hab_indL!AA86:AA88)</f>
        <v>0.21333333333333337</v>
      </c>
      <c r="AB30" s="29">
        <f>AVERAGE(densidade_hab_indL!AB86:AB88)</f>
        <v>0</v>
      </c>
      <c r="AC30" s="29">
        <f>AVERAGE(densidade_hab_indL!AC86:AC88)</f>
        <v>0</v>
      </c>
      <c r="AD30" s="29">
        <f>AVERAGE(densidade_hab_indL!AD86:AD88)</f>
        <v>6.6666666666666671E-3</v>
      </c>
      <c r="AE30" s="29">
        <f>AVERAGE(densidade_hab_indL!AE86:AE88)</f>
        <v>0</v>
      </c>
      <c r="AF30" s="29">
        <f>AVERAGE(densidade_hab_indL!AF86:AF88)</f>
        <v>0</v>
      </c>
      <c r="AG30" s="29">
        <f>AVERAGE(densidade_hab_indL!AG86:AG88)</f>
        <v>3.3333333333333333E-2</v>
      </c>
      <c r="AH30" s="29">
        <f>AVERAGE(densidade_hab_indL!AH86:AH88)</f>
        <v>0</v>
      </c>
      <c r="AI30" s="29">
        <f>AVERAGE(densidade_hab_indL!AI86:AI88)</f>
        <v>0</v>
      </c>
      <c r="AJ30" s="29">
        <f>AVERAGE(densidade_hab_indL!AJ86:AJ88)</f>
        <v>0</v>
      </c>
      <c r="AK30" s="29">
        <f>AVERAGE(densidade_hab_indL!AK86:AK88)</f>
        <v>0</v>
      </c>
      <c r="AL30" s="29">
        <f>AVERAGE(densidade_hab_indL!AL86:AL88)</f>
        <v>0</v>
      </c>
      <c r="AM30" s="29">
        <f>AVERAGE(densidade_hab_indL!AM86:AM88)</f>
        <v>0</v>
      </c>
      <c r="AN30" s="29">
        <f>AVERAGE(densidade_hab_indL!AN86:AN88)</f>
        <v>0</v>
      </c>
      <c r="AO30" s="29">
        <f>AVERAGE(densidade_hab_indL!AO86:AO88)</f>
        <v>0</v>
      </c>
      <c r="AP30" s="29">
        <f>AVERAGE(densidade_hab_indL!AP86:AP88)</f>
        <v>0</v>
      </c>
      <c r="AQ30" s="29">
        <f>AVERAGE(densidade_hab_indL!AQ86:AQ88)</f>
        <v>9.3333333333333338E-2</v>
      </c>
      <c r="AR30" s="29">
        <f>AVERAGE(densidade_hab_indL!AR86:AR88)</f>
        <v>0</v>
      </c>
      <c r="AS30" s="29">
        <f>AVERAGE(densidade_hab_indL!AS86:AS88)</f>
        <v>0</v>
      </c>
      <c r="AT30" s="29">
        <f>AVERAGE(densidade_hab_indL!AT86:AT88)</f>
        <v>0</v>
      </c>
      <c r="AU30" s="29">
        <f>AVERAGE(densidade_hab_indL!AU86:AU88)</f>
        <v>0</v>
      </c>
      <c r="AV30" s="29">
        <f>AVERAGE(densidade_hab_indL!AV86:AV88)</f>
        <v>0.13333333333333333</v>
      </c>
      <c r="AW30" s="29">
        <f>AVERAGE(densidade_hab_indL!AW86:AW88)</f>
        <v>0</v>
      </c>
      <c r="AX30" s="29">
        <f>AVERAGE(densidade_hab_indL!AX86:AX88)</f>
        <v>0</v>
      </c>
      <c r="AY30" s="29">
        <f>AVERAGE(densidade_hab_indL!AY86:AY88)</f>
        <v>4.6666666666666662E-2</v>
      </c>
      <c r="AZ30" s="29">
        <f>AVERAGE(densidade_hab_indL!AZ86:AZ88)</f>
        <v>0</v>
      </c>
      <c r="BA30" s="29">
        <f>AVERAGE(densidade_hab_indL!BA86:BA88)</f>
        <v>0</v>
      </c>
      <c r="BB30" s="29">
        <f>AVERAGE(densidade_hab_indL!BB86:BB88)</f>
        <v>0</v>
      </c>
      <c r="BC30" s="29">
        <f>AVERAGE(densidade_hab_indL!BC86:BC88)</f>
        <v>0</v>
      </c>
      <c r="BD30" s="29">
        <f>AVERAGE(densidade_hab_indL!BD86:BD88)</f>
        <v>0.10666666666666667</v>
      </c>
      <c r="BE30" s="29">
        <f>AVERAGE(densidade_hab_indL!BE86:BE88)</f>
        <v>2.6666666666666668E-2</v>
      </c>
      <c r="BF30" s="29">
        <f>AVERAGE(densidade_hab_indL!BF86:BF88)</f>
        <v>0</v>
      </c>
      <c r="BG30" s="29">
        <f>AVERAGE(densidade_hab_indL!BG86:BG88)</f>
        <v>0</v>
      </c>
    </row>
    <row r="31" spans="1:59" ht="12.75" customHeight="1" x14ac:dyDescent="0.25">
      <c r="A31" s="4" t="s">
        <v>334</v>
      </c>
      <c r="B31" s="29">
        <f>AVERAGE(densidade_hab_indL!B89:B91)</f>
        <v>0.11333333333333334</v>
      </c>
      <c r="C31" s="29">
        <f>AVERAGE(densidade_hab_indL!C89:C91)</f>
        <v>6.6666666666666671E-3</v>
      </c>
      <c r="D31" s="29">
        <f>AVERAGE(densidade_hab_indL!D89:D91)</f>
        <v>0</v>
      </c>
      <c r="E31" s="29">
        <f>AVERAGE(densidade_hab_indL!E89:E91)</f>
        <v>1.406666666666667</v>
      </c>
      <c r="F31" s="29">
        <f>AVERAGE(densidade_hab_indL!F89:F91)</f>
        <v>4.6666666666666662E-2</v>
      </c>
      <c r="G31" s="29">
        <f>AVERAGE(densidade_hab_indL!G89:G91)</f>
        <v>0</v>
      </c>
      <c r="H31" s="29">
        <f>AVERAGE(densidade_hab_indL!H89:H91)</f>
        <v>0</v>
      </c>
      <c r="I31" s="29">
        <f>AVERAGE(densidade_hab_indL!I89:I91)</f>
        <v>0.92666666666666664</v>
      </c>
      <c r="J31" s="29">
        <f>AVERAGE(densidade_hab_indL!J89:J91)</f>
        <v>0.11333333333333333</v>
      </c>
      <c r="K31" s="29">
        <f>AVERAGE(densidade_hab_indL!K89:K91)</f>
        <v>0</v>
      </c>
      <c r="L31" s="29">
        <f>AVERAGE(densidade_hab_indL!L89:L91)</f>
        <v>0.22</v>
      </c>
      <c r="M31" s="29">
        <f>AVERAGE(densidade_hab_indL!M89:M91)</f>
        <v>0</v>
      </c>
      <c r="N31" s="29">
        <f>AVERAGE(densidade_hab_indL!N89:N91)</f>
        <v>0</v>
      </c>
      <c r="O31" s="29">
        <f>AVERAGE(densidade_hab_indL!O89:O91)</f>
        <v>0</v>
      </c>
      <c r="P31" s="29">
        <f>AVERAGE(densidade_hab_indL!P89:P91)</f>
        <v>0</v>
      </c>
      <c r="Q31" s="29">
        <f>AVERAGE(densidade_hab_indL!Q89:Q91)</f>
        <v>1.3333333333333334E-2</v>
      </c>
      <c r="R31" s="29">
        <f>AVERAGE(densidade_hab_indL!R89:R91)</f>
        <v>1.3333333333333334E-2</v>
      </c>
      <c r="S31" s="29">
        <f>AVERAGE(densidade_hab_indL!S89:S91)</f>
        <v>0</v>
      </c>
      <c r="T31" s="29">
        <f>AVERAGE(densidade_hab_indL!T89:T91)</f>
        <v>0.02</v>
      </c>
      <c r="U31" s="29">
        <f>AVERAGE(densidade_hab_indL!U89:U91)</f>
        <v>0</v>
      </c>
      <c r="V31" s="29">
        <f>AVERAGE(densidade_hab_indL!V89:V91)</f>
        <v>0.04</v>
      </c>
      <c r="W31" s="29">
        <f>AVERAGE(densidade_hab_indL!W89:W91)</f>
        <v>0</v>
      </c>
      <c r="X31" s="29">
        <f>AVERAGE(densidade_hab_indL!X89:X91)</f>
        <v>0</v>
      </c>
      <c r="Y31" s="29">
        <f>AVERAGE(densidade_hab_indL!Y89:Y91)</f>
        <v>3.3333333333333333E-2</v>
      </c>
      <c r="Z31" s="29">
        <f>AVERAGE(densidade_hab_indL!Z89:Z91)</f>
        <v>6.6666666666666671E-3</v>
      </c>
      <c r="AA31" s="29">
        <f>AVERAGE(densidade_hab_indL!AA89:AA91)</f>
        <v>0.04</v>
      </c>
      <c r="AB31" s="29">
        <f>AVERAGE(densidade_hab_indL!AB89:AB91)</f>
        <v>0</v>
      </c>
      <c r="AC31" s="29">
        <f>AVERAGE(densidade_hab_indL!AC89:AC91)</f>
        <v>0</v>
      </c>
      <c r="AD31" s="29">
        <f>AVERAGE(densidade_hab_indL!AD89:AD91)</f>
        <v>6.6666666666666671E-3</v>
      </c>
      <c r="AE31" s="29">
        <f>AVERAGE(densidade_hab_indL!AE89:AE91)</f>
        <v>0</v>
      </c>
      <c r="AF31" s="29">
        <f>AVERAGE(densidade_hab_indL!AF89:AF91)</f>
        <v>0</v>
      </c>
      <c r="AG31" s="29">
        <f>AVERAGE(densidade_hab_indL!AG89:AG91)</f>
        <v>0</v>
      </c>
      <c r="AH31" s="29">
        <f>AVERAGE(densidade_hab_indL!AH89:AH91)</f>
        <v>0</v>
      </c>
      <c r="AI31" s="29">
        <f>AVERAGE(densidade_hab_indL!AI89:AI91)</f>
        <v>0</v>
      </c>
      <c r="AJ31" s="29">
        <f>AVERAGE(densidade_hab_indL!AJ89:AJ91)</f>
        <v>0</v>
      </c>
      <c r="AK31" s="29">
        <f>AVERAGE(densidade_hab_indL!AK89:AK91)</f>
        <v>0</v>
      </c>
      <c r="AL31" s="29">
        <f>AVERAGE(densidade_hab_indL!AL89:AL91)</f>
        <v>0.02</v>
      </c>
      <c r="AM31" s="29">
        <f>AVERAGE(densidade_hab_indL!AM89:AM91)</f>
        <v>0</v>
      </c>
      <c r="AN31" s="29">
        <f>AVERAGE(densidade_hab_indL!AN89:AN91)</f>
        <v>0</v>
      </c>
      <c r="AO31" s="29">
        <f>AVERAGE(densidade_hab_indL!AO89:AO91)</f>
        <v>0</v>
      </c>
      <c r="AP31" s="29">
        <f>AVERAGE(densidade_hab_indL!AP89:AP91)</f>
        <v>0</v>
      </c>
      <c r="AQ31" s="29">
        <f>AVERAGE(densidade_hab_indL!AQ89:AQ91)</f>
        <v>3.3333333333333333E-2</v>
      </c>
      <c r="AR31" s="29">
        <f>AVERAGE(densidade_hab_indL!AR89:AR91)</f>
        <v>0</v>
      </c>
      <c r="AS31" s="29">
        <f>AVERAGE(densidade_hab_indL!AS89:AS91)</f>
        <v>0</v>
      </c>
      <c r="AT31" s="29">
        <f>AVERAGE(densidade_hab_indL!AT89:AT91)</f>
        <v>0</v>
      </c>
      <c r="AU31" s="29">
        <f>AVERAGE(densidade_hab_indL!AU89:AU91)</f>
        <v>0</v>
      </c>
      <c r="AV31" s="29">
        <f>AVERAGE(densidade_hab_indL!AV89:AV91)</f>
        <v>0.42</v>
      </c>
      <c r="AW31" s="29">
        <f>AVERAGE(densidade_hab_indL!AW89:AW91)</f>
        <v>0.11333333333333334</v>
      </c>
      <c r="AX31" s="29">
        <f>AVERAGE(densidade_hab_indL!AX89:AX91)</f>
        <v>9.3333333333333324E-2</v>
      </c>
      <c r="AY31" s="29">
        <f>AVERAGE(densidade_hab_indL!AY89:AY91)</f>
        <v>7.3333333333333348E-2</v>
      </c>
      <c r="AZ31" s="29">
        <f>AVERAGE(densidade_hab_indL!AZ89:AZ91)</f>
        <v>0</v>
      </c>
      <c r="BA31" s="29">
        <f>AVERAGE(densidade_hab_indL!BA89:BA91)</f>
        <v>6.6666666666666671E-3</v>
      </c>
      <c r="BB31" s="29">
        <f>AVERAGE(densidade_hab_indL!BB89:BB91)</f>
        <v>0</v>
      </c>
      <c r="BC31" s="29">
        <f>AVERAGE(densidade_hab_indL!BC89:BC91)</f>
        <v>0</v>
      </c>
      <c r="BD31" s="29">
        <f>AVERAGE(densidade_hab_indL!BD89:BD91)</f>
        <v>6.6666666666666671E-3</v>
      </c>
      <c r="BE31" s="29">
        <f>AVERAGE(densidade_hab_indL!BE89:BE91)</f>
        <v>6.6666666666666671E-3</v>
      </c>
      <c r="BF31" s="29">
        <f>AVERAGE(densidade_hab_indL!BF89:BF91)</f>
        <v>0</v>
      </c>
      <c r="BG31" s="29">
        <f>AVERAGE(densidade_hab_indL!BG89:BG91)</f>
        <v>0</v>
      </c>
    </row>
    <row r="32" spans="1:59" ht="12.75" customHeight="1" x14ac:dyDescent="0.25">
      <c r="A32" s="4" t="s">
        <v>335</v>
      </c>
      <c r="B32" s="29">
        <f>AVERAGE(densidade_hab_indL!B92:B94)</f>
        <v>6.6666666666666671E-3</v>
      </c>
      <c r="C32" s="29">
        <f>AVERAGE(densidade_hab_indL!C92:C94)</f>
        <v>6.6666666666666666E-2</v>
      </c>
      <c r="D32" s="29">
        <f>AVERAGE(densidade_hab_indL!D92:D94)</f>
        <v>0</v>
      </c>
      <c r="E32" s="29">
        <f>AVERAGE(densidade_hab_indL!E92:E94)</f>
        <v>1.1866666666666665</v>
      </c>
      <c r="F32" s="29">
        <f>AVERAGE(densidade_hab_indL!F92:F94)</f>
        <v>0</v>
      </c>
      <c r="G32" s="29">
        <f>AVERAGE(densidade_hab_indL!G92:G94)</f>
        <v>0</v>
      </c>
      <c r="H32" s="29">
        <f>AVERAGE(densidade_hab_indL!H92:H94)</f>
        <v>0</v>
      </c>
      <c r="I32" s="29">
        <f>AVERAGE(densidade_hab_indL!I92:I94)</f>
        <v>3.3333333333333333E-2</v>
      </c>
      <c r="J32" s="29">
        <f>AVERAGE(densidade_hab_indL!J92:J94)</f>
        <v>0</v>
      </c>
      <c r="K32" s="29">
        <f>AVERAGE(densidade_hab_indL!K92:K94)</f>
        <v>0</v>
      </c>
      <c r="L32" s="29">
        <f>AVERAGE(densidade_hab_indL!L92:L94)</f>
        <v>0</v>
      </c>
      <c r="M32" s="29">
        <f>AVERAGE(densidade_hab_indL!M92:M94)</f>
        <v>0</v>
      </c>
      <c r="N32" s="29">
        <f>AVERAGE(densidade_hab_indL!N92:N94)</f>
        <v>0</v>
      </c>
      <c r="O32" s="29">
        <f>AVERAGE(densidade_hab_indL!O92:O94)</f>
        <v>0</v>
      </c>
      <c r="P32" s="29">
        <f>AVERAGE(densidade_hab_indL!P92:P94)</f>
        <v>0</v>
      </c>
      <c r="Q32" s="29">
        <f>AVERAGE(densidade_hab_indL!Q92:Q94)</f>
        <v>0</v>
      </c>
      <c r="R32" s="29">
        <f>AVERAGE(densidade_hab_indL!R92:R94)</f>
        <v>0</v>
      </c>
      <c r="S32" s="29">
        <f>AVERAGE(densidade_hab_indL!S92:S94)</f>
        <v>0</v>
      </c>
      <c r="T32" s="29">
        <f>AVERAGE(densidade_hab_indL!T92:T94)</f>
        <v>0</v>
      </c>
      <c r="U32" s="29">
        <f>AVERAGE(densidade_hab_indL!U92:U94)</f>
        <v>0</v>
      </c>
      <c r="V32" s="29">
        <f>AVERAGE(densidade_hab_indL!V92:V94)</f>
        <v>0</v>
      </c>
      <c r="W32" s="29">
        <f>AVERAGE(densidade_hab_indL!W92:W94)</f>
        <v>0</v>
      </c>
      <c r="X32" s="29">
        <f>AVERAGE(densidade_hab_indL!X92:X94)</f>
        <v>0</v>
      </c>
      <c r="Y32" s="29">
        <f>AVERAGE(densidade_hab_indL!Y92:Y94)</f>
        <v>6.6666666666666671E-3</v>
      </c>
      <c r="Z32" s="29">
        <f>AVERAGE(densidade_hab_indL!Z92:Z94)</f>
        <v>0</v>
      </c>
      <c r="AA32" s="29">
        <f>AVERAGE(densidade_hab_indL!AA92:AA94)</f>
        <v>0</v>
      </c>
      <c r="AB32" s="29">
        <f>AVERAGE(densidade_hab_indL!AB92:AB94)</f>
        <v>0</v>
      </c>
      <c r="AC32" s="29">
        <f>AVERAGE(densidade_hab_indL!AC92:AC94)</f>
        <v>0</v>
      </c>
      <c r="AD32" s="29">
        <f>AVERAGE(densidade_hab_indL!AD92:AD94)</f>
        <v>0</v>
      </c>
      <c r="AE32" s="29">
        <f>AVERAGE(densidade_hab_indL!AE92:AE94)</f>
        <v>0</v>
      </c>
      <c r="AF32" s="29">
        <f>AVERAGE(densidade_hab_indL!AF92:AF94)</f>
        <v>0</v>
      </c>
      <c r="AG32" s="29">
        <f>AVERAGE(densidade_hab_indL!AG92:AG94)</f>
        <v>0</v>
      </c>
      <c r="AH32" s="29">
        <f>AVERAGE(densidade_hab_indL!AH92:AH94)</f>
        <v>0</v>
      </c>
      <c r="AI32" s="29">
        <f>AVERAGE(densidade_hab_indL!AI92:AI94)</f>
        <v>0</v>
      </c>
      <c r="AJ32" s="29">
        <f>AVERAGE(densidade_hab_indL!AJ92:AJ94)</f>
        <v>0</v>
      </c>
      <c r="AK32" s="29">
        <f>AVERAGE(densidade_hab_indL!AK92:AK94)</f>
        <v>0</v>
      </c>
      <c r="AL32" s="29">
        <f>AVERAGE(densidade_hab_indL!AL92:AL94)</f>
        <v>0</v>
      </c>
      <c r="AM32" s="29">
        <f>AVERAGE(densidade_hab_indL!AM92:AM94)</f>
        <v>0</v>
      </c>
      <c r="AN32" s="29">
        <f>AVERAGE(densidade_hab_indL!AN92:AN94)</f>
        <v>0</v>
      </c>
      <c r="AO32" s="29">
        <f>AVERAGE(densidade_hab_indL!AO92:AO94)</f>
        <v>0</v>
      </c>
      <c r="AP32" s="29">
        <f>AVERAGE(densidade_hab_indL!AP92:AP94)</f>
        <v>0</v>
      </c>
      <c r="AQ32" s="29">
        <f>AVERAGE(densidade_hab_indL!AQ92:AQ94)</f>
        <v>0</v>
      </c>
      <c r="AR32" s="29">
        <f>AVERAGE(densidade_hab_indL!AR92:AR94)</f>
        <v>0</v>
      </c>
      <c r="AS32" s="29">
        <f>AVERAGE(densidade_hab_indL!AS92:AS94)</f>
        <v>0</v>
      </c>
      <c r="AT32" s="29">
        <f>AVERAGE(densidade_hab_indL!AT92:AT94)</f>
        <v>0</v>
      </c>
      <c r="AU32" s="29">
        <f>AVERAGE(densidade_hab_indL!AU92:AU94)</f>
        <v>0</v>
      </c>
      <c r="AV32" s="29">
        <f>AVERAGE(densidade_hab_indL!AV92:AV94)</f>
        <v>4.6666666666666669E-2</v>
      </c>
      <c r="AW32" s="29">
        <f>AVERAGE(densidade_hab_indL!AW92:AW94)</f>
        <v>0</v>
      </c>
      <c r="AX32" s="29">
        <f>AVERAGE(densidade_hab_indL!AX92:AX94)</f>
        <v>0</v>
      </c>
      <c r="AY32" s="29">
        <f>AVERAGE(densidade_hab_indL!AY92:AY94)</f>
        <v>0</v>
      </c>
      <c r="AZ32" s="29">
        <f>AVERAGE(densidade_hab_indL!AZ92:AZ94)</f>
        <v>0</v>
      </c>
      <c r="BA32" s="29">
        <f>AVERAGE(densidade_hab_indL!BA92:BA94)</f>
        <v>0</v>
      </c>
      <c r="BB32" s="29">
        <f>AVERAGE(densidade_hab_indL!BB92:BB94)</f>
        <v>0</v>
      </c>
      <c r="BC32" s="29">
        <f>AVERAGE(densidade_hab_indL!BC92:BC94)</f>
        <v>0</v>
      </c>
      <c r="BD32" s="29">
        <f>AVERAGE(densidade_hab_indL!BD92:BD94)</f>
        <v>0</v>
      </c>
      <c r="BE32" s="29">
        <f>AVERAGE(densidade_hab_indL!BE92:BE94)</f>
        <v>0</v>
      </c>
      <c r="BF32" s="29">
        <f>AVERAGE(densidade_hab_indL!BF92:BF94)</f>
        <v>0</v>
      </c>
      <c r="BG32" s="29">
        <f>AVERAGE(densidade_hab_indL!BG92:BG94)</f>
        <v>0</v>
      </c>
    </row>
    <row r="33" spans="1:59" ht="12.75" customHeight="1" x14ac:dyDescent="0.25">
      <c r="A33" s="4" t="s">
        <v>336</v>
      </c>
      <c r="B33" s="29">
        <f>AVERAGE(densidade_hab_indL!B95:B97)</f>
        <v>6.6666666666666671E-3</v>
      </c>
      <c r="C33" s="29">
        <f>AVERAGE(densidade_hab_indL!C95:C97)</f>
        <v>6.6666666666666671E-3</v>
      </c>
      <c r="D33" s="29">
        <f>AVERAGE(densidade_hab_indL!D95:D97)</f>
        <v>0</v>
      </c>
      <c r="E33" s="29">
        <f>AVERAGE(densidade_hab_indL!E95:E97)</f>
        <v>0.82666666666666666</v>
      </c>
      <c r="F33" s="29">
        <f>AVERAGE(densidade_hab_indL!F95:F97)</f>
        <v>0</v>
      </c>
      <c r="G33" s="29">
        <f>AVERAGE(densidade_hab_indL!G95:G97)</f>
        <v>0</v>
      </c>
      <c r="H33" s="29">
        <f>AVERAGE(densidade_hab_indL!H95:H97)</f>
        <v>0</v>
      </c>
      <c r="I33" s="29">
        <f>AVERAGE(densidade_hab_indL!I95:I97)</f>
        <v>1.3333333333333334E-2</v>
      </c>
      <c r="J33" s="29">
        <f>AVERAGE(densidade_hab_indL!J95:J97)</f>
        <v>1.3333333333333334E-2</v>
      </c>
      <c r="K33" s="29">
        <f>AVERAGE(densidade_hab_indL!K95:K97)</f>
        <v>0</v>
      </c>
      <c r="L33" s="29">
        <f>AVERAGE(densidade_hab_indL!L95:L97)</f>
        <v>0</v>
      </c>
      <c r="M33" s="29">
        <f>AVERAGE(densidade_hab_indL!M95:M97)</f>
        <v>0</v>
      </c>
      <c r="N33" s="29">
        <f>AVERAGE(densidade_hab_indL!N95:N97)</f>
        <v>0</v>
      </c>
      <c r="O33" s="29">
        <f>AVERAGE(densidade_hab_indL!O95:O97)</f>
        <v>0</v>
      </c>
      <c r="P33" s="29">
        <f>AVERAGE(densidade_hab_indL!P95:P97)</f>
        <v>0</v>
      </c>
      <c r="Q33" s="29">
        <f>AVERAGE(densidade_hab_indL!Q95:Q97)</f>
        <v>0</v>
      </c>
      <c r="R33" s="29">
        <f>AVERAGE(densidade_hab_indL!R95:R97)</f>
        <v>0</v>
      </c>
      <c r="S33" s="29">
        <f>AVERAGE(densidade_hab_indL!S95:S97)</f>
        <v>0</v>
      </c>
      <c r="T33" s="29">
        <f>AVERAGE(densidade_hab_indL!T95:T97)</f>
        <v>0</v>
      </c>
      <c r="U33" s="29">
        <f>AVERAGE(densidade_hab_indL!U95:U97)</f>
        <v>0</v>
      </c>
      <c r="V33" s="29">
        <f>AVERAGE(densidade_hab_indL!V95:V97)</f>
        <v>0</v>
      </c>
      <c r="W33" s="29">
        <f>AVERAGE(densidade_hab_indL!W95:W97)</f>
        <v>0</v>
      </c>
      <c r="X33" s="29">
        <f>AVERAGE(densidade_hab_indL!X95:X97)</f>
        <v>0</v>
      </c>
      <c r="Y33" s="29">
        <f>AVERAGE(densidade_hab_indL!Y95:Y97)</f>
        <v>0</v>
      </c>
      <c r="Z33" s="29">
        <f>AVERAGE(densidade_hab_indL!Z95:Z97)</f>
        <v>0</v>
      </c>
      <c r="AA33" s="29">
        <f>AVERAGE(densidade_hab_indL!AA95:AA97)</f>
        <v>6.6666666666666671E-3</v>
      </c>
      <c r="AB33" s="29">
        <f>AVERAGE(densidade_hab_indL!AB95:AB97)</f>
        <v>0</v>
      </c>
      <c r="AC33" s="29">
        <f>AVERAGE(densidade_hab_indL!AC95:AC97)</f>
        <v>0</v>
      </c>
      <c r="AD33" s="29">
        <f>AVERAGE(densidade_hab_indL!AD95:AD97)</f>
        <v>0</v>
      </c>
      <c r="AE33" s="29">
        <f>AVERAGE(densidade_hab_indL!AE95:AE97)</f>
        <v>0</v>
      </c>
      <c r="AF33" s="29">
        <f>AVERAGE(densidade_hab_indL!AF95:AF97)</f>
        <v>0</v>
      </c>
      <c r="AG33" s="29">
        <f>AVERAGE(densidade_hab_indL!AG95:AG97)</f>
        <v>0</v>
      </c>
      <c r="AH33" s="29">
        <f>AVERAGE(densidade_hab_indL!AH95:AH97)</f>
        <v>0</v>
      </c>
      <c r="AI33" s="29">
        <f>AVERAGE(densidade_hab_indL!AI95:AI97)</f>
        <v>0</v>
      </c>
      <c r="AJ33" s="29">
        <f>AVERAGE(densidade_hab_indL!AJ95:AJ97)</f>
        <v>0</v>
      </c>
      <c r="AK33" s="29">
        <f>AVERAGE(densidade_hab_indL!AK95:AK97)</f>
        <v>0</v>
      </c>
      <c r="AL33" s="29">
        <f>AVERAGE(densidade_hab_indL!AL95:AL97)</f>
        <v>0</v>
      </c>
      <c r="AM33" s="29">
        <f>AVERAGE(densidade_hab_indL!AM95:AM97)</f>
        <v>0</v>
      </c>
      <c r="AN33" s="29">
        <f>AVERAGE(densidade_hab_indL!AN95:AN97)</f>
        <v>0</v>
      </c>
      <c r="AO33" s="29">
        <f>AVERAGE(densidade_hab_indL!AO95:AO97)</f>
        <v>0</v>
      </c>
      <c r="AP33" s="29">
        <f>AVERAGE(densidade_hab_indL!AP95:AP97)</f>
        <v>6.6666666666666671E-3</v>
      </c>
      <c r="AQ33" s="29">
        <f>AVERAGE(densidade_hab_indL!AQ95:AQ97)</f>
        <v>0</v>
      </c>
      <c r="AR33" s="29">
        <f>AVERAGE(densidade_hab_indL!AR95:AR97)</f>
        <v>0</v>
      </c>
      <c r="AS33" s="29">
        <f>AVERAGE(densidade_hab_indL!AS95:AS97)</f>
        <v>0</v>
      </c>
      <c r="AT33" s="29">
        <f>AVERAGE(densidade_hab_indL!AT95:AT97)</f>
        <v>0</v>
      </c>
      <c r="AU33" s="29">
        <f>AVERAGE(densidade_hab_indL!AU95:AU97)</f>
        <v>0</v>
      </c>
      <c r="AV33" s="29">
        <f>AVERAGE(densidade_hab_indL!AV95:AV97)</f>
        <v>1.3333333333333334E-2</v>
      </c>
      <c r="AW33" s="29">
        <f>AVERAGE(densidade_hab_indL!AW95:AW97)</f>
        <v>0</v>
      </c>
      <c r="AX33" s="29">
        <f>AVERAGE(densidade_hab_indL!AX95:AX97)</f>
        <v>0</v>
      </c>
      <c r="AY33" s="29">
        <f>AVERAGE(densidade_hab_indL!AY95:AY97)</f>
        <v>6.6666666666666671E-3</v>
      </c>
      <c r="AZ33" s="29">
        <f>AVERAGE(densidade_hab_indL!AZ95:AZ97)</f>
        <v>0</v>
      </c>
      <c r="BA33" s="29">
        <f>AVERAGE(densidade_hab_indL!BA95:BA97)</f>
        <v>0</v>
      </c>
      <c r="BB33" s="29">
        <f>AVERAGE(densidade_hab_indL!BB95:BB97)</f>
        <v>0</v>
      </c>
      <c r="BC33" s="29">
        <f>AVERAGE(densidade_hab_indL!BC95:BC97)</f>
        <v>0</v>
      </c>
      <c r="BD33" s="29">
        <f>AVERAGE(densidade_hab_indL!BD95:BD97)</f>
        <v>6.6666666666666671E-3</v>
      </c>
      <c r="BE33" s="29">
        <f>AVERAGE(densidade_hab_indL!BE95:BE97)</f>
        <v>0</v>
      </c>
      <c r="BF33" s="29">
        <f>AVERAGE(densidade_hab_indL!BF95:BF97)</f>
        <v>1.3333333333333334E-2</v>
      </c>
      <c r="BG33" s="29">
        <f>AVERAGE(densidade_hab_indL!BG95:BG97)</f>
        <v>0</v>
      </c>
    </row>
    <row r="34" spans="1:59" ht="12.75" customHeight="1" x14ac:dyDescent="0.25"/>
    <row r="35" spans="1:59" ht="12.75" customHeight="1" x14ac:dyDescent="0.25"/>
    <row r="36" spans="1:59" ht="12.75" customHeight="1" x14ac:dyDescent="0.25"/>
    <row r="37" spans="1:59" ht="12.75" customHeight="1" x14ac:dyDescent="0.25"/>
    <row r="38" spans="1:59" ht="12.75" customHeight="1" x14ac:dyDescent="0.25"/>
    <row r="39" spans="1:59" ht="12.75" customHeight="1" x14ac:dyDescent="0.25"/>
    <row r="40" spans="1:59" ht="12.75" customHeight="1" x14ac:dyDescent="0.25"/>
    <row r="41" spans="1:59" ht="12.75" customHeight="1" x14ac:dyDescent="0.25"/>
    <row r="42" spans="1:59" ht="12.75" customHeight="1" x14ac:dyDescent="0.25"/>
    <row r="43" spans="1:59" ht="12.75" customHeight="1" x14ac:dyDescent="0.25"/>
    <row r="44" spans="1:59" ht="12.75" customHeight="1" x14ac:dyDescent="0.25"/>
    <row r="45" spans="1:59" ht="12.75" customHeight="1" x14ac:dyDescent="0.25"/>
    <row r="46" spans="1:59" ht="12.75" customHeight="1" x14ac:dyDescent="0.25"/>
    <row r="47" spans="1:59" ht="12.75" customHeight="1" x14ac:dyDescent="0.25"/>
    <row r="48" spans="1:59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" bottom="0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zoomScale="60" zoomScaleNormal="60" workbookViewId="0"/>
  </sheetViews>
  <sheetFormatPr defaultColWidth="11.5703125" defaultRowHeight="15" customHeight="1" x14ac:dyDescent="0.25"/>
  <cols>
    <col min="1" max="5" width="20.5703125" customWidth="1"/>
    <col min="6" max="6" width="9.28515625" customWidth="1"/>
    <col min="7" max="8" width="20.5703125" customWidth="1"/>
    <col min="9" max="26" width="8.7109375" customWidth="1"/>
    <col min="27" max="1024" width="14.42578125" customWidth="1"/>
  </cols>
  <sheetData>
    <row r="1" spans="1:26" ht="14.25" customHeight="1" x14ac:dyDescent="0.25">
      <c r="A1" s="1" t="s">
        <v>337</v>
      </c>
      <c r="B1" s="3"/>
      <c r="C1" s="3"/>
      <c r="D1" s="3" t="s">
        <v>338</v>
      </c>
      <c r="E1" s="3" t="s">
        <v>339</v>
      </c>
      <c r="F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25">
      <c r="A2" s="2" t="s">
        <v>340</v>
      </c>
      <c r="B2" s="2" t="s">
        <v>1</v>
      </c>
      <c r="C2" s="2" t="s">
        <v>341</v>
      </c>
      <c r="D2" s="2" t="s">
        <v>4</v>
      </c>
      <c r="E2" s="2" t="s">
        <v>342</v>
      </c>
      <c r="F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4.25" customHeight="1" x14ac:dyDescent="0.25">
      <c r="A3" s="3" t="s">
        <v>343</v>
      </c>
      <c r="B3" s="3" t="s">
        <v>344</v>
      </c>
      <c r="C3" s="3" t="s">
        <v>345</v>
      </c>
      <c r="D3" s="3" t="s">
        <v>346</v>
      </c>
      <c r="E3" s="3" t="s">
        <v>347</v>
      </c>
      <c r="F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4.25" customHeight="1" x14ac:dyDescent="0.25">
      <c r="A4" s="3" t="s">
        <v>348</v>
      </c>
      <c r="B4" s="3" t="s">
        <v>345</v>
      </c>
      <c r="C4" s="3" t="s">
        <v>345</v>
      </c>
      <c r="D4" s="3" t="s">
        <v>349</v>
      </c>
      <c r="E4" s="3" t="s">
        <v>350</v>
      </c>
      <c r="F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4.25" customHeight="1" x14ac:dyDescent="0.25">
      <c r="A5" s="3" t="s">
        <v>351</v>
      </c>
      <c r="B5" s="3" t="s">
        <v>345</v>
      </c>
      <c r="C5" s="3" t="s">
        <v>345</v>
      </c>
      <c r="D5" s="3" t="s">
        <v>352</v>
      </c>
      <c r="E5" s="3" t="s">
        <v>353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4.25" customHeight="1" x14ac:dyDescent="0.25">
      <c r="A6" s="3" t="s">
        <v>354</v>
      </c>
      <c r="B6" s="3" t="s">
        <v>345</v>
      </c>
      <c r="C6" s="3" t="s">
        <v>345</v>
      </c>
      <c r="D6" s="3" t="s">
        <v>345</v>
      </c>
      <c r="E6" s="3" t="s">
        <v>345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4.25" customHeight="1" x14ac:dyDescent="0.25">
      <c r="A7" s="3" t="s">
        <v>355</v>
      </c>
      <c r="B7" s="3" t="s">
        <v>345</v>
      </c>
      <c r="C7" s="3" t="s">
        <v>345</v>
      </c>
      <c r="D7" s="3" t="s">
        <v>345</v>
      </c>
      <c r="E7" s="3" t="s">
        <v>345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4.25" customHeight="1" x14ac:dyDescent="0.25">
      <c r="A8" s="3">
        <v>40</v>
      </c>
      <c r="B8" s="3" t="s">
        <v>345</v>
      </c>
      <c r="C8" s="3" t="s">
        <v>345</v>
      </c>
      <c r="D8" s="3">
        <v>3</v>
      </c>
      <c r="E8" s="3">
        <v>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4.25" customHeight="1" x14ac:dyDescent="0.25">
      <c r="A9" s="3">
        <f>A8*1</f>
        <v>40</v>
      </c>
      <c r="B9" s="3" t="s">
        <v>345</v>
      </c>
      <c r="C9" s="3" t="s">
        <v>345</v>
      </c>
      <c r="D9" s="3">
        <f>D8*A8</f>
        <v>120</v>
      </c>
      <c r="E9" s="3">
        <f>E8*D9</f>
        <v>360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4.25" customHeight="1" x14ac:dyDescent="0.25">
      <c r="A10" s="3"/>
      <c r="B10" s="3"/>
      <c r="C10" s="3"/>
      <c r="D10" s="3"/>
      <c r="E10" s="3"/>
      <c r="F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4.25" customHeight="1" x14ac:dyDescent="0.25">
      <c r="A11" s="3"/>
      <c r="B11" s="3"/>
      <c r="C11" s="3"/>
      <c r="D11" s="3"/>
      <c r="E11" s="3"/>
      <c r="F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4.25" customHeight="1" x14ac:dyDescent="0.25">
      <c r="A12" s="3"/>
      <c r="B12" s="3"/>
      <c r="C12" s="3"/>
      <c r="D12" s="3"/>
      <c r="E12" s="3"/>
      <c r="F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4.25" customHeight="1" x14ac:dyDescent="0.25">
      <c r="A13" s="30" t="s">
        <v>356</v>
      </c>
      <c r="B13" s="3" t="s">
        <v>357</v>
      </c>
      <c r="C13" s="3"/>
      <c r="D13" s="3"/>
      <c r="E13" s="3"/>
      <c r="F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4.25" customHeight="1" x14ac:dyDescent="0.25">
      <c r="A14" s="31" t="s">
        <v>358</v>
      </c>
      <c r="B14" s="3" t="s">
        <v>359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4.25" customHeight="1" x14ac:dyDescent="0.25">
      <c r="A15" s="32" t="s">
        <v>360</v>
      </c>
      <c r="B15" s="3" t="s">
        <v>361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4.25" customHeight="1" x14ac:dyDescent="0.25">
      <c r="A16" s="33" t="s">
        <v>362</v>
      </c>
      <c r="B16" s="34" t="s">
        <v>363</v>
      </c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4.25" customHeight="1" x14ac:dyDescent="0.25">
      <c r="A17" s="3" t="s">
        <v>364</v>
      </c>
      <c r="B17" s="3" t="s">
        <v>365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4.25" customHeight="1" x14ac:dyDescent="0.25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4.25" customHeight="1" x14ac:dyDescent="0.25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4.25" customHeight="1" x14ac:dyDescent="0.25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4.25" customHeight="1" x14ac:dyDescent="0.25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4.25" customHeight="1" x14ac:dyDescent="0.25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4.25" customHeight="1" x14ac:dyDescent="0.25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4.25" customHeight="1" x14ac:dyDescent="0.25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4.25" customHeight="1" x14ac:dyDescent="0.25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4.25" customHeight="1" x14ac:dyDescent="0.25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4.25" customHeight="1" x14ac:dyDescent="0.2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4.25" customHeight="1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4.25" customHeight="1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4.25" customHeight="1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4.25" customHeight="1" x14ac:dyDescent="0.25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4.25" customHeight="1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4.25" customHeight="1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4.25" customHeight="1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4.25" customHeight="1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4.25" customHeight="1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4.25" customHeigh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4.25" customHeight="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4.25" customHeight="1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4.25" customHeight="1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4.25" customHeight="1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4.25" customHeight="1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4.25" customHeight="1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4.25" customHeight="1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4.25" customHeight="1" x14ac:dyDescent="0.2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4.2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4.25" customHeigh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4.25" customHeight="1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4.25" customHeight="1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4.25" customHeight="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4.25" customHeigh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4.25" customHeight="1" x14ac:dyDescent="0.25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4.25" customHeight="1" x14ac:dyDescent="0.25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4.2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4.25" customHeight="1" x14ac:dyDescent="0.2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4.25" customHeight="1" x14ac:dyDescent="0.25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4.25" customHeigh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4.25" customHeight="1" x14ac:dyDescent="0.25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4.25" customHeight="1" x14ac:dyDescent="0.25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4.25" customHeight="1" x14ac:dyDescent="0.25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4.25" customHeight="1" x14ac:dyDescent="0.25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4.25" customHeight="1" x14ac:dyDescent="0.25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4.25" customHeight="1" x14ac:dyDescent="0.25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4.25" customHeight="1" x14ac:dyDescent="0.25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4.25" customHeight="1" x14ac:dyDescent="0.2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4.25" customHeight="1" x14ac:dyDescent="0.25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4.25" customHeight="1" x14ac:dyDescent="0.25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4.25" customHeight="1" x14ac:dyDescent="0.25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4.25" customHeight="1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4.25" customHeight="1" x14ac:dyDescent="0.25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4.25" customHeight="1" x14ac:dyDescent="0.25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4.25" customHeight="1" x14ac:dyDescent="0.25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4.25" customHeight="1" x14ac:dyDescent="0.25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4.25" customHeight="1" x14ac:dyDescent="0.25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4.25" customHeight="1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4.25" customHeight="1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4.25" customHeight="1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4.25" customHeight="1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4.25" customHeight="1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4.25" customHeigh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4.25" customHeight="1" x14ac:dyDescent="0.25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4.25" customHeight="1" x14ac:dyDescent="0.25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4.25" customHeight="1" x14ac:dyDescent="0.25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4.25" customHeight="1" x14ac:dyDescent="0.25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4.25" customHeight="1" x14ac:dyDescent="0.2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4.25" customHeight="1" x14ac:dyDescent="0.25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4.25" customHeight="1" x14ac:dyDescent="0.25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4.25" customHeight="1" x14ac:dyDescent="0.25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4.25" customHeigh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4.25" customHeigh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4.25" customHeight="1" x14ac:dyDescent="0.25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4.25" customHeight="1" x14ac:dyDescent="0.25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4.25" customHeight="1" x14ac:dyDescent="0.25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4.25" customHeigh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4.25" customHeight="1" x14ac:dyDescent="0.2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4.25" customHeight="1" x14ac:dyDescent="0.25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4.25" customHeight="1" x14ac:dyDescent="0.25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4.25" customHeight="1" x14ac:dyDescent="0.25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4.25" customHeight="1" x14ac:dyDescent="0.25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4.25" customHeight="1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4.25" customHeight="1" x14ac:dyDescent="0.25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4.25" customHeight="1" x14ac:dyDescent="0.25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4.25" customHeight="1" x14ac:dyDescent="0.25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4.25" customHeight="1" x14ac:dyDescent="0.25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4.25" customHeight="1" x14ac:dyDescent="0.2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4.25" customHeight="1" x14ac:dyDescent="0.25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4.25" customHeight="1" x14ac:dyDescent="0.25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4.2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4.2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4.2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4.2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4.2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4.25" customHeight="1" x14ac:dyDescent="0.25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4.25" customHeight="1" x14ac:dyDescent="0.25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4.25" customHeight="1" x14ac:dyDescent="0.2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4.25" customHeight="1" x14ac:dyDescent="0.25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4.25" customHeight="1" x14ac:dyDescent="0.25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4.25" customHeight="1" x14ac:dyDescent="0.25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4.25" customHeight="1" x14ac:dyDescent="0.25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4.25" customHeight="1" x14ac:dyDescent="0.25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4.25" customHeight="1" x14ac:dyDescent="0.25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4.25" customHeight="1" x14ac:dyDescent="0.25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4.25" customHeight="1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4.25" customHeight="1" x14ac:dyDescent="0.25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4.25" customHeight="1" x14ac:dyDescent="0.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4.25" customHeight="1" x14ac:dyDescent="0.25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4.25" customHeight="1" x14ac:dyDescent="0.25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4.25" customHeight="1" x14ac:dyDescent="0.25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4.25" customHeight="1" x14ac:dyDescent="0.25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4.25" customHeight="1" x14ac:dyDescent="0.25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4.25" customHeight="1" x14ac:dyDescent="0.25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4.25" customHeight="1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4.25" customHeight="1" x14ac:dyDescent="0.25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4.25" customHeight="1" x14ac:dyDescent="0.25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4.25" customHeight="1" x14ac:dyDescent="0.2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4.25" customHeight="1" x14ac:dyDescent="0.25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4.25" customHeight="1" x14ac:dyDescent="0.25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4.25" customHeight="1" x14ac:dyDescent="0.25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4.25" customHeight="1" x14ac:dyDescent="0.25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4.25" customHeight="1" x14ac:dyDescent="0.25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4.25" customHeight="1" x14ac:dyDescent="0.25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4.25" customHeight="1" x14ac:dyDescent="0.25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4.25" customHeight="1" x14ac:dyDescent="0.25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4.25" customHeight="1" x14ac:dyDescent="0.25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4.25" customHeight="1" x14ac:dyDescent="0.2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4.25" customHeight="1" x14ac:dyDescent="0.25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4.25" customHeight="1" x14ac:dyDescent="0.25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4.25" customHeight="1" x14ac:dyDescent="0.25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4.25" customHeight="1" x14ac:dyDescent="0.25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4.25" customHeight="1" x14ac:dyDescent="0.25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4.25" customHeight="1" x14ac:dyDescent="0.25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4.25" customHeight="1" x14ac:dyDescent="0.25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4.25" customHeight="1" x14ac:dyDescent="0.25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4.25" customHeight="1" x14ac:dyDescent="0.25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4.25" customHeight="1" x14ac:dyDescent="0.2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4.25" customHeight="1" x14ac:dyDescent="0.25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4.25" customHeight="1" x14ac:dyDescent="0.25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4.25" customHeight="1" x14ac:dyDescent="0.25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4.25" customHeight="1" x14ac:dyDescent="0.25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4.25" customHeight="1" x14ac:dyDescent="0.25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4.25" customHeight="1" x14ac:dyDescent="0.25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4.25" customHeight="1" x14ac:dyDescent="0.25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4.25" customHeight="1" x14ac:dyDescent="0.25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4.25" customHeight="1" x14ac:dyDescent="0.25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4.25" customHeight="1" x14ac:dyDescent="0.2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4.25" customHeight="1" x14ac:dyDescent="0.25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4.25" customHeight="1" x14ac:dyDescent="0.25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4.25" customHeight="1" x14ac:dyDescent="0.25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4.25" customHeight="1" x14ac:dyDescent="0.25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4.25" customHeight="1" x14ac:dyDescent="0.25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4.25" customHeight="1" x14ac:dyDescent="0.25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4.25" customHeight="1" x14ac:dyDescent="0.25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4.25" customHeight="1" x14ac:dyDescent="0.25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4.25" customHeight="1" x14ac:dyDescent="0.25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4.25" customHeight="1" x14ac:dyDescent="0.2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4.25" customHeight="1" x14ac:dyDescent="0.25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4.25" customHeight="1" x14ac:dyDescent="0.25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4.25" customHeight="1" x14ac:dyDescent="0.25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4.25" customHeight="1" x14ac:dyDescent="0.25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4.25" customHeight="1" x14ac:dyDescent="0.25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4.25" customHeight="1" x14ac:dyDescent="0.25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4.25" customHeight="1" x14ac:dyDescent="0.25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4.25" customHeight="1" x14ac:dyDescent="0.25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4.25" customHeight="1" x14ac:dyDescent="0.25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4.25" customHeight="1" x14ac:dyDescent="0.2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4.25" customHeight="1" x14ac:dyDescent="0.25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4.25" customHeight="1" x14ac:dyDescent="0.25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4.25" customHeight="1" x14ac:dyDescent="0.25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4.25" customHeight="1" x14ac:dyDescent="0.25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4.25" customHeight="1" x14ac:dyDescent="0.25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4.25" customHeight="1" x14ac:dyDescent="0.25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4.25" customHeight="1" x14ac:dyDescent="0.25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4.25" customHeight="1" x14ac:dyDescent="0.25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4.25" customHeight="1" x14ac:dyDescent="0.25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4.25" customHeight="1" x14ac:dyDescent="0.2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4.25" customHeight="1" x14ac:dyDescent="0.25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4.25" customHeight="1" x14ac:dyDescent="0.25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4.25" customHeight="1" x14ac:dyDescent="0.25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4.25" customHeight="1" x14ac:dyDescent="0.25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4.25" customHeight="1" x14ac:dyDescent="0.25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4.25" customHeight="1" x14ac:dyDescent="0.25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4.25" customHeight="1" x14ac:dyDescent="0.25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4.25" customHeight="1" x14ac:dyDescent="0.25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4.25" customHeight="1" x14ac:dyDescent="0.25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4.25" customHeight="1" x14ac:dyDescent="0.2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4.25" customHeight="1" x14ac:dyDescent="0.25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4.25" customHeight="1" x14ac:dyDescent="0.25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4.25" customHeight="1" x14ac:dyDescent="0.25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4.25" customHeight="1" x14ac:dyDescent="0.25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4.25" customHeight="1" x14ac:dyDescent="0.25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4.25" customHeight="1" x14ac:dyDescent="0.25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4.25" customHeight="1" x14ac:dyDescent="0.25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4.25" customHeight="1" x14ac:dyDescent="0.25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4.25" customHeight="1" x14ac:dyDescent="0.25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4.25" customHeight="1" x14ac:dyDescent="0.2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4.25" customHeight="1" x14ac:dyDescent="0.25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4.25" customHeight="1" x14ac:dyDescent="0.25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4.25" customHeight="1" x14ac:dyDescent="0.25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4.25" customHeight="1" x14ac:dyDescent="0.25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4.25" customHeight="1" x14ac:dyDescent="0.25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4.25" customHeight="1" x14ac:dyDescent="0.25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4.25" customHeight="1" x14ac:dyDescent="0.25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4.25" customHeight="1" x14ac:dyDescent="0.25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4.25" customHeight="1" x14ac:dyDescent="0.25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4.25" customHeight="1" x14ac:dyDescent="0.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4.25" customHeight="1" x14ac:dyDescent="0.25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4.25" customHeight="1" x14ac:dyDescent="0.25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4.25" customHeight="1" x14ac:dyDescent="0.25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4.25" customHeight="1" x14ac:dyDescent="0.25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4.25" customHeight="1" x14ac:dyDescent="0.25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4.25" customHeight="1" x14ac:dyDescent="0.25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4.25" customHeight="1" x14ac:dyDescent="0.25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4.25" customHeight="1" x14ac:dyDescent="0.25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4.25" customHeight="1" x14ac:dyDescent="0.25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4.25" customHeight="1" x14ac:dyDescent="0.2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4.25" customHeight="1" x14ac:dyDescent="0.25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4.25" customHeight="1" x14ac:dyDescent="0.25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4.25" customHeight="1" x14ac:dyDescent="0.25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4.25" customHeight="1" x14ac:dyDescent="0.25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4.25" customHeight="1" x14ac:dyDescent="0.25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4.25" customHeight="1" x14ac:dyDescent="0.25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4.25" customHeight="1" x14ac:dyDescent="0.25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4.25" customHeight="1" x14ac:dyDescent="0.25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4.25" customHeight="1" x14ac:dyDescent="0.25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4.25" customHeight="1" x14ac:dyDescent="0.2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4.25" customHeight="1" x14ac:dyDescent="0.25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4.25" customHeight="1" x14ac:dyDescent="0.25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4.25" customHeight="1" x14ac:dyDescent="0.25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4.25" customHeight="1" x14ac:dyDescent="0.25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4.25" customHeight="1" x14ac:dyDescent="0.25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4.25" customHeight="1" x14ac:dyDescent="0.25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4.25" customHeight="1" x14ac:dyDescent="0.25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4.25" customHeight="1" x14ac:dyDescent="0.25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4.25" customHeight="1" x14ac:dyDescent="0.25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4.25" customHeight="1" x14ac:dyDescent="0.2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4.25" customHeight="1" x14ac:dyDescent="0.25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4.25" customHeight="1" x14ac:dyDescent="0.25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4.25" customHeight="1" x14ac:dyDescent="0.25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4.25" customHeight="1" x14ac:dyDescent="0.25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4.25" customHeight="1" x14ac:dyDescent="0.25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4.25" customHeight="1" x14ac:dyDescent="0.25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4.25" customHeight="1" x14ac:dyDescent="0.25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4.25" customHeight="1" x14ac:dyDescent="0.25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4.25" customHeight="1" x14ac:dyDescent="0.25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4.25" customHeight="1" x14ac:dyDescent="0.2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4.25" customHeight="1" x14ac:dyDescent="0.25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4.25" customHeight="1" x14ac:dyDescent="0.25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4.25" customHeight="1" x14ac:dyDescent="0.25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4.25" customHeight="1" x14ac:dyDescent="0.25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4.25" customHeight="1" x14ac:dyDescent="0.25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4.25" customHeight="1" x14ac:dyDescent="0.25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4.25" customHeight="1" x14ac:dyDescent="0.25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4.25" customHeight="1" x14ac:dyDescent="0.25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4.25" customHeight="1" x14ac:dyDescent="0.25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4.25" customHeight="1" x14ac:dyDescent="0.2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4.25" customHeight="1" x14ac:dyDescent="0.25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4.25" customHeight="1" x14ac:dyDescent="0.25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4.25" customHeight="1" x14ac:dyDescent="0.25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4.25" customHeight="1" x14ac:dyDescent="0.25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4.25" customHeight="1" x14ac:dyDescent="0.25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4.25" customHeight="1" x14ac:dyDescent="0.25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4.25" customHeight="1" x14ac:dyDescent="0.25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4.25" customHeight="1" x14ac:dyDescent="0.25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4.25" customHeight="1" x14ac:dyDescent="0.25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4.25" customHeight="1" x14ac:dyDescent="0.2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4.25" customHeight="1" x14ac:dyDescent="0.25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4.25" customHeight="1" x14ac:dyDescent="0.25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4.25" customHeight="1" x14ac:dyDescent="0.25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4.25" customHeight="1" x14ac:dyDescent="0.25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4.25" customHeight="1" x14ac:dyDescent="0.25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4.25" customHeight="1" x14ac:dyDescent="0.25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4.25" customHeight="1" x14ac:dyDescent="0.25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4.25" customHeight="1" x14ac:dyDescent="0.25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4.25" customHeight="1" x14ac:dyDescent="0.25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4.25" customHeight="1" x14ac:dyDescent="0.2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4.25" customHeight="1" x14ac:dyDescent="0.25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4.25" customHeight="1" x14ac:dyDescent="0.25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4.25" customHeight="1" x14ac:dyDescent="0.25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4.25" customHeight="1" x14ac:dyDescent="0.25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4.25" customHeight="1" x14ac:dyDescent="0.25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4.25" customHeight="1" x14ac:dyDescent="0.25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4.25" customHeight="1" x14ac:dyDescent="0.25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4.25" customHeight="1" x14ac:dyDescent="0.25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4.25" customHeight="1" x14ac:dyDescent="0.25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4.25" customHeight="1" x14ac:dyDescent="0.2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4.25" customHeight="1" x14ac:dyDescent="0.25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4.25" customHeight="1" x14ac:dyDescent="0.25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4.25" customHeight="1" x14ac:dyDescent="0.25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4.25" customHeight="1" x14ac:dyDescent="0.25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4.25" customHeight="1" x14ac:dyDescent="0.25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4.25" customHeight="1" x14ac:dyDescent="0.25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4.25" customHeight="1" x14ac:dyDescent="0.25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4.25" customHeight="1" x14ac:dyDescent="0.25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4.25" customHeight="1" x14ac:dyDescent="0.25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4.25" customHeight="1" x14ac:dyDescent="0.2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4.25" customHeight="1" x14ac:dyDescent="0.25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4.25" customHeight="1" x14ac:dyDescent="0.25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4.25" customHeight="1" x14ac:dyDescent="0.25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4.25" customHeight="1" x14ac:dyDescent="0.25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4.25" customHeight="1" x14ac:dyDescent="0.25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4.25" customHeight="1" x14ac:dyDescent="0.25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4.25" customHeight="1" x14ac:dyDescent="0.25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4.25" customHeight="1" x14ac:dyDescent="0.25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4.25" customHeight="1" x14ac:dyDescent="0.25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4.25" customHeight="1" x14ac:dyDescent="0.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4.25" customHeight="1" x14ac:dyDescent="0.25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4.25" customHeight="1" x14ac:dyDescent="0.25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4.25" customHeight="1" x14ac:dyDescent="0.25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4.25" customHeight="1" x14ac:dyDescent="0.25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4.25" customHeight="1" x14ac:dyDescent="0.25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4.25" customHeight="1" x14ac:dyDescent="0.25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4.25" customHeight="1" x14ac:dyDescent="0.25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4.25" customHeight="1" x14ac:dyDescent="0.25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4.25" customHeight="1" x14ac:dyDescent="0.25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4.25" customHeight="1" x14ac:dyDescent="0.2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4.25" customHeight="1" x14ac:dyDescent="0.25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4.25" customHeight="1" x14ac:dyDescent="0.25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4.25" customHeight="1" x14ac:dyDescent="0.25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4.25" customHeight="1" x14ac:dyDescent="0.25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4.25" customHeight="1" x14ac:dyDescent="0.25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4.25" customHeight="1" x14ac:dyDescent="0.25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4.25" customHeight="1" x14ac:dyDescent="0.25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4.25" customHeight="1" x14ac:dyDescent="0.25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4.25" customHeight="1" x14ac:dyDescent="0.25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4.25" customHeight="1" x14ac:dyDescent="0.2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4.25" customHeight="1" x14ac:dyDescent="0.25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4.25" customHeight="1" x14ac:dyDescent="0.25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4.25" customHeight="1" x14ac:dyDescent="0.25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4.25" customHeight="1" x14ac:dyDescent="0.25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4.25" customHeight="1" x14ac:dyDescent="0.25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4.25" customHeight="1" x14ac:dyDescent="0.25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4.25" customHeight="1" x14ac:dyDescent="0.25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4.25" customHeight="1" x14ac:dyDescent="0.25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4.25" customHeight="1" x14ac:dyDescent="0.25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4.25" customHeight="1" x14ac:dyDescent="0.2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4.25" customHeight="1" x14ac:dyDescent="0.25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4.25" customHeight="1" x14ac:dyDescent="0.25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4.25" customHeight="1" x14ac:dyDescent="0.25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4.25" customHeight="1" x14ac:dyDescent="0.25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4.25" customHeight="1" x14ac:dyDescent="0.25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4.25" customHeight="1" x14ac:dyDescent="0.25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4.25" customHeight="1" x14ac:dyDescent="0.25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4.25" customHeight="1" x14ac:dyDescent="0.25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4.25" customHeight="1" x14ac:dyDescent="0.25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4.25" customHeight="1" x14ac:dyDescent="0.2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4.25" customHeight="1" x14ac:dyDescent="0.25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4.25" customHeight="1" x14ac:dyDescent="0.25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4.25" customHeight="1" x14ac:dyDescent="0.25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4.25" customHeight="1" x14ac:dyDescent="0.25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4.25" customHeight="1" x14ac:dyDescent="0.25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4.25" customHeight="1" x14ac:dyDescent="0.25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4.25" customHeight="1" x14ac:dyDescent="0.25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4.25" customHeight="1" x14ac:dyDescent="0.25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4.25" customHeight="1" x14ac:dyDescent="0.25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4.25" customHeight="1" x14ac:dyDescent="0.2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4.25" customHeight="1" x14ac:dyDescent="0.25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4.25" customHeight="1" x14ac:dyDescent="0.25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4.25" customHeight="1" x14ac:dyDescent="0.25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4.25" customHeight="1" x14ac:dyDescent="0.25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4.25" customHeight="1" x14ac:dyDescent="0.25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4.25" customHeight="1" x14ac:dyDescent="0.25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4.25" customHeight="1" x14ac:dyDescent="0.25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4.25" customHeight="1" x14ac:dyDescent="0.25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4.25" customHeight="1" x14ac:dyDescent="0.25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4.25" customHeight="1" x14ac:dyDescent="0.2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4.25" customHeight="1" x14ac:dyDescent="0.25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4.25" customHeight="1" x14ac:dyDescent="0.25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4.25" customHeight="1" x14ac:dyDescent="0.25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4.25" customHeight="1" x14ac:dyDescent="0.25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4.25" customHeight="1" x14ac:dyDescent="0.25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4.25" customHeight="1" x14ac:dyDescent="0.25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4.25" customHeight="1" x14ac:dyDescent="0.25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4.25" customHeight="1" x14ac:dyDescent="0.25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4.25" customHeight="1" x14ac:dyDescent="0.25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4.25" customHeight="1" x14ac:dyDescent="0.2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4.25" customHeight="1" x14ac:dyDescent="0.25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4.25" customHeight="1" x14ac:dyDescent="0.25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4.25" customHeight="1" x14ac:dyDescent="0.25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4.25" customHeight="1" x14ac:dyDescent="0.25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4.25" customHeight="1" x14ac:dyDescent="0.25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4.25" customHeight="1" x14ac:dyDescent="0.25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4.25" customHeight="1" x14ac:dyDescent="0.25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4.25" customHeight="1" x14ac:dyDescent="0.25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4.25" customHeight="1" x14ac:dyDescent="0.25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4.25" customHeight="1" x14ac:dyDescent="0.2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4.25" customHeight="1" x14ac:dyDescent="0.25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4.25" customHeight="1" x14ac:dyDescent="0.25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4.25" customHeight="1" x14ac:dyDescent="0.25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4.25" customHeight="1" x14ac:dyDescent="0.25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4.25" customHeight="1" x14ac:dyDescent="0.25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4.25" customHeight="1" x14ac:dyDescent="0.25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4.25" customHeight="1" x14ac:dyDescent="0.25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4.25" customHeight="1" x14ac:dyDescent="0.25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4.25" customHeight="1" x14ac:dyDescent="0.25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4.25" customHeight="1" x14ac:dyDescent="0.2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4.25" customHeight="1" x14ac:dyDescent="0.25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4.25" customHeight="1" x14ac:dyDescent="0.25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4.25" customHeight="1" x14ac:dyDescent="0.25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4.25" customHeight="1" x14ac:dyDescent="0.25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4.25" customHeight="1" x14ac:dyDescent="0.25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4.25" customHeight="1" x14ac:dyDescent="0.25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4.25" customHeight="1" x14ac:dyDescent="0.25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4.25" customHeight="1" x14ac:dyDescent="0.25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4.25" customHeight="1" x14ac:dyDescent="0.25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4.25" customHeight="1" x14ac:dyDescent="0.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4.25" customHeight="1" x14ac:dyDescent="0.25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4.25" customHeight="1" x14ac:dyDescent="0.25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4.25" customHeight="1" x14ac:dyDescent="0.25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4.25" customHeight="1" x14ac:dyDescent="0.25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4.25" customHeight="1" x14ac:dyDescent="0.25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4.25" customHeight="1" x14ac:dyDescent="0.25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4.25" customHeight="1" x14ac:dyDescent="0.25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4.25" customHeight="1" x14ac:dyDescent="0.25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4.25" customHeight="1" x14ac:dyDescent="0.25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4.25" customHeight="1" x14ac:dyDescent="0.2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4.25" customHeight="1" x14ac:dyDescent="0.25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4.25" customHeight="1" x14ac:dyDescent="0.25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4.25" customHeight="1" x14ac:dyDescent="0.25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4.25" customHeight="1" x14ac:dyDescent="0.25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4.25" customHeight="1" x14ac:dyDescent="0.25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4.25" customHeight="1" x14ac:dyDescent="0.25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4.25" customHeight="1" x14ac:dyDescent="0.25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4.25" customHeight="1" x14ac:dyDescent="0.25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4.25" customHeight="1" x14ac:dyDescent="0.25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4.25" customHeight="1" x14ac:dyDescent="0.2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4.25" customHeight="1" x14ac:dyDescent="0.25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4.25" customHeight="1" x14ac:dyDescent="0.25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4.25" customHeight="1" x14ac:dyDescent="0.25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4.25" customHeight="1" x14ac:dyDescent="0.25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4.25" customHeight="1" x14ac:dyDescent="0.25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4.25" customHeight="1" x14ac:dyDescent="0.25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4.25" customHeight="1" x14ac:dyDescent="0.25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4.25" customHeight="1" x14ac:dyDescent="0.25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4.25" customHeight="1" x14ac:dyDescent="0.25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4.25" customHeight="1" x14ac:dyDescent="0.2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4.25" customHeight="1" x14ac:dyDescent="0.25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4.25" customHeight="1" x14ac:dyDescent="0.25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4.25" customHeight="1" x14ac:dyDescent="0.25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4.25" customHeight="1" x14ac:dyDescent="0.25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4.25" customHeight="1" x14ac:dyDescent="0.25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4.25" customHeight="1" x14ac:dyDescent="0.25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4.25" customHeight="1" x14ac:dyDescent="0.25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4.25" customHeight="1" x14ac:dyDescent="0.25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4.25" customHeight="1" x14ac:dyDescent="0.25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4.25" customHeight="1" x14ac:dyDescent="0.2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4.25" customHeight="1" x14ac:dyDescent="0.25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4.25" customHeight="1" x14ac:dyDescent="0.25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4.25" customHeight="1" x14ac:dyDescent="0.25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4.25" customHeight="1" x14ac:dyDescent="0.25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4.25" customHeight="1" x14ac:dyDescent="0.25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4.25" customHeight="1" x14ac:dyDescent="0.25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4.25" customHeight="1" x14ac:dyDescent="0.25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4.25" customHeight="1" x14ac:dyDescent="0.25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4.25" customHeight="1" x14ac:dyDescent="0.25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4.25" customHeight="1" x14ac:dyDescent="0.2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4.25" customHeight="1" x14ac:dyDescent="0.25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4.25" customHeight="1" x14ac:dyDescent="0.25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4.25" customHeight="1" x14ac:dyDescent="0.25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4.25" customHeight="1" x14ac:dyDescent="0.25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4.25" customHeight="1" x14ac:dyDescent="0.25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4.25" customHeight="1" x14ac:dyDescent="0.25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4.25" customHeight="1" x14ac:dyDescent="0.25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4.25" customHeight="1" x14ac:dyDescent="0.25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4.25" customHeight="1" x14ac:dyDescent="0.25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4.25" customHeight="1" x14ac:dyDescent="0.2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4.25" customHeight="1" x14ac:dyDescent="0.25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4.25" customHeight="1" x14ac:dyDescent="0.25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4.25" customHeight="1" x14ac:dyDescent="0.25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4.25" customHeight="1" x14ac:dyDescent="0.25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4.25" customHeight="1" x14ac:dyDescent="0.25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4.25" customHeight="1" x14ac:dyDescent="0.25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4.25" customHeight="1" x14ac:dyDescent="0.25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4.25" customHeight="1" x14ac:dyDescent="0.25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4.25" customHeight="1" x14ac:dyDescent="0.25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4.25" customHeight="1" x14ac:dyDescent="0.2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4.25" customHeight="1" x14ac:dyDescent="0.25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4.25" customHeight="1" x14ac:dyDescent="0.25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4.25" customHeight="1" x14ac:dyDescent="0.25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4.25" customHeight="1" x14ac:dyDescent="0.25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4.25" customHeight="1" x14ac:dyDescent="0.25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4.25" customHeight="1" x14ac:dyDescent="0.25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4.25" customHeight="1" x14ac:dyDescent="0.25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4.25" customHeight="1" x14ac:dyDescent="0.25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4.25" customHeight="1" x14ac:dyDescent="0.25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4.25" customHeight="1" x14ac:dyDescent="0.2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4.25" customHeight="1" x14ac:dyDescent="0.25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4.25" customHeight="1" x14ac:dyDescent="0.25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4.25" customHeight="1" x14ac:dyDescent="0.25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4.25" customHeight="1" x14ac:dyDescent="0.25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4.25" customHeight="1" x14ac:dyDescent="0.25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4.25" customHeight="1" x14ac:dyDescent="0.25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4.25" customHeight="1" x14ac:dyDescent="0.25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4.25" customHeight="1" x14ac:dyDescent="0.25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4.25" customHeight="1" x14ac:dyDescent="0.25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4.25" customHeight="1" x14ac:dyDescent="0.2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4.25" customHeight="1" x14ac:dyDescent="0.25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4.25" customHeight="1" x14ac:dyDescent="0.25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4.25" customHeight="1" x14ac:dyDescent="0.25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4.25" customHeight="1" x14ac:dyDescent="0.25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4.25" customHeight="1" x14ac:dyDescent="0.25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4.25" customHeight="1" x14ac:dyDescent="0.25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4.25" customHeight="1" x14ac:dyDescent="0.25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4.25" customHeight="1" x14ac:dyDescent="0.25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4.25" customHeight="1" x14ac:dyDescent="0.25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4.25" customHeight="1" x14ac:dyDescent="0.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4.25" customHeight="1" x14ac:dyDescent="0.25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4.25" customHeight="1" x14ac:dyDescent="0.25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4.25" customHeight="1" x14ac:dyDescent="0.25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4.25" customHeight="1" x14ac:dyDescent="0.25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4.25" customHeight="1" x14ac:dyDescent="0.25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4.25" customHeight="1" x14ac:dyDescent="0.25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4.25" customHeight="1" x14ac:dyDescent="0.25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4.25" customHeight="1" x14ac:dyDescent="0.25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4.25" customHeight="1" x14ac:dyDescent="0.25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4.25" customHeight="1" x14ac:dyDescent="0.2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4.25" customHeight="1" x14ac:dyDescent="0.25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4.25" customHeight="1" x14ac:dyDescent="0.25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4.25" customHeight="1" x14ac:dyDescent="0.25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4.25" customHeight="1" x14ac:dyDescent="0.25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4.25" customHeight="1" x14ac:dyDescent="0.25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4.25" customHeight="1" x14ac:dyDescent="0.25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4.25" customHeight="1" x14ac:dyDescent="0.25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4.25" customHeight="1" x14ac:dyDescent="0.25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4.25" customHeight="1" x14ac:dyDescent="0.25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4.25" customHeight="1" x14ac:dyDescent="0.2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4.25" customHeight="1" x14ac:dyDescent="0.25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4.25" customHeight="1" x14ac:dyDescent="0.25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4.25" customHeight="1" x14ac:dyDescent="0.25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4.25" customHeight="1" x14ac:dyDescent="0.25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4.25" customHeight="1" x14ac:dyDescent="0.25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4.25" customHeight="1" x14ac:dyDescent="0.25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4.25" customHeight="1" x14ac:dyDescent="0.25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4.25" customHeight="1" x14ac:dyDescent="0.25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4.25" customHeight="1" x14ac:dyDescent="0.25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4.25" customHeight="1" x14ac:dyDescent="0.2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4.25" customHeight="1" x14ac:dyDescent="0.25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4.25" customHeight="1" x14ac:dyDescent="0.25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4.25" customHeight="1" x14ac:dyDescent="0.25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4.25" customHeight="1" x14ac:dyDescent="0.25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4.25" customHeight="1" x14ac:dyDescent="0.25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4.25" customHeight="1" x14ac:dyDescent="0.25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4.25" customHeight="1" x14ac:dyDescent="0.25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4.25" customHeight="1" x14ac:dyDescent="0.25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4.25" customHeight="1" x14ac:dyDescent="0.25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4.25" customHeight="1" x14ac:dyDescent="0.2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4.25" customHeight="1" x14ac:dyDescent="0.25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4.25" customHeight="1" x14ac:dyDescent="0.25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4.25" customHeight="1" x14ac:dyDescent="0.25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4.25" customHeight="1" x14ac:dyDescent="0.25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4.25" customHeight="1" x14ac:dyDescent="0.25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4.25" customHeight="1" x14ac:dyDescent="0.25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4.25" customHeight="1" x14ac:dyDescent="0.25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4.25" customHeight="1" x14ac:dyDescent="0.25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4.25" customHeight="1" x14ac:dyDescent="0.25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4.25" customHeight="1" x14ac:dyDescent="0.2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4.25" customHeight="1" x14ac:dyDescent="0.25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4.25" customHeight="1" x14ac:dyDescent="0.25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4.25" customHeight="1" x14ac:dyDescent="0.25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4.25" customHeight="1" x14ac:dyDescent="0.25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4.25" customHeight="1" x14ac:dyDescent="0.25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4.25" customHeight="1" x14ac:dyDescent="0.25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4.25" customHeight="1" x14ac:dyDescent="0.25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4.25" customHeight="1" x14ac:dyDescent="0.25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4.25" customHeight="1" x14ac:dyDescent="0.25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4.25" customHeight="1" x14ac:dyDescent="0.2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4.25" customHeight="1" x14ac:dyDescent="0.25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4.25" customHeight="1" x14ac:dyDescent="0.25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4.25" customHeight="1" x14ac:dyDescent="0.25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4.25" customHeight="1" x14ac:dyDescent="0.25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4.25" customHeight="1" x14ac:dyDescent="0.25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4.25" customHeight="1" x14ac:dyDescent="0.25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4.25" customHeight="1" x14ac:dyDescent="0.25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4.25" customHeight="1" x14ac:dyDescent="0.25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4.25" customHeight="1" x14ac:dyDescent="0.25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4.25" customHeight="1" x14ac:dyDescent="0.2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4.25" customHeight="1" x14ac:dyDescent="0.25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4.25" customHeight="1" x14ac:dyDescent="0.25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4.25" customHeight="1" x14ac:dyDescent="0.25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4.25" customHeight="1" x14ac:dyDescent="0.25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4.25" customHeight="1" x14ac:dyDescent="0.25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4.25" customHeight="1" x14ac:dyDescent="0.25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4.25" customHeight="1" x14ac:dyDescent="0.25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4.25" customHeight="1" x14ac:dyDescent="0.25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4.25" customHeight="1" x14ac:dyDescent="0.25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4.25" customHeight="1" x14ac:dyDescent="0.2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4.25" customHeight="1" x14ac:dyDescent="0.25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4.25" customHeight="1" x14ac:dyDescent="0.25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4.25" customHeight="1" x14ac:dyDescent="0.25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4.25" customHeight="1" x14ac:dyDescent="0.25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4.25" customHeight="1" x14ac:dyDescent="0.25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4.25" customHeight="1" x14ac:dyDescent="0.25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4.25" customHeight="1" x14ac:dyDescent="0.25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4.25" customHeight="1" x14ac:dyDescent="0.25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4.25" customHeight="1" x14ac:dyDescent="0.25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4.25" customHeight="1" x14ac:dyDescent="0.2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4.25" customHeight="1" x14ac:dyDescent="0.25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4.25" customHeight="1" x14ac:dyDescent="0.25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4.25" customHeight="1" x14ac:dyDescent="0.25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4.25" customHeight="1" x14ac:dyDescent="0.25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4.25" customHeight="1" x14ac:dyDescent="0.25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4.25" customHeight="1" x14ac:dyDescent="0.25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4.25" customHeight="1" x14ac:dyDescent="0.25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4.25" customHeight="1" x14ac:dyDescent="0.25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4.25" customHeight="1" x14ac:dyDescent="0.25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4.25" customHeight="1" x14ac:dyDescent="0.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4.25" customHeight="1" x14ac:dyDescent="0.25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4.25" customHeight="1" x14ac:dyDescent="0.25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4.25" customHeight="1" x14ac:dyDescent="0.25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4.25" customHeight="1" x14ac:dyDescent="0.25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4.25" customHeight="1" x14ac:dyDescent="0.25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4.25" customHeight="1" x14ac:dyDescent="0.25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4.25" customHeight="1" x14ac:dyDescent="0.25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4.25" customHeight="1" x14ac:dyDescent="0.25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4.25" customHeight="1" x14ac:dyDescent="0.25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4.25" customHeight="1" x14ac:dyDescent="0.2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4.25" customHeight="1" x14ac:dyDescent="0.25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4.25" customHeight="1" x14ac:dyDescent="0.25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4.25" customHeight="1" x14ac:dyDescent="0.25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4.25" customHeight="1" x14ac:dyDescent="0.25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4.25" customHeight="1" x14ac:dyDescent="0.25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4.25" customHeight="1" x14ac:dyDescent="0.25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4.25" customHeight="1" x14ac:dyDescent="0.25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4.25" customHeight="1" x14ac:dyDescent="0.25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4.25" customHeight="1" x14ac:dyDescent="0.25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4.25" customHeight="1" x14ac:dyDescent="0.2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4.25" customHeight="1" x14ac:dyDescent="0.25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4.25" customHeight="1" x14ac:dyDescent="0.25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4.25" customHeight="1" x14ac:dyDescent="0.25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4.25" customHeight="1" x14ac:dyDescent="0.25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4.25" customHeight="1" x14ac:dyDescent="0.25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4.25" customHeight="1" x14ac:dyDescent="0.25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4.25" customHeight="1" x14ac:dyDescent="0.25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4.25" customHeight="1" x14ac:dyDescent="0.25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4.25" customHeight="1" x14ac:dyDescent="0.25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4.25" customHeight="1" x14ac:dyDescent="0.2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4.25" customHeight="1" x14ac:dyDescent="0.25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4.25" customHeight="1" x14ac:dyDescent="0.25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4.25" customHeight="1" x14ac:dyDescent="0.25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4.25" customHeight="1" x14ac:dyDescent="0.25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4.25" customHeight="1" x14ac:dyDescent="0.25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4.25" customHeight="1" x14ac:dyDescent="0.25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4.25" customHeight="1" x14ac:dyDescent="0.25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4.25" customHeight="1" x14ac:dyDescent="0.25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4.25" customHeight="1" x14ac:dyDescent="0.25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4.25" customHeight="1" x14ac:dyDescent="0.2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4.25" customHeight="1" x14ac:dyDescent="0.25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4.25" customHeight="1" x14ac:dyDescent="0.25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4.25" customHeight="1" x14ac:dyDescent="0.25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4.25" customHeight="1" x14ac:dyDescent="0.25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4.25" customHeight="1" x14ac:dyDescent="0.25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4.25" customHeight="1" x14ac:dyDescent="0.25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4.25" customHeight="1" x14ac:dyDescent="0.25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4.25" customHeight="1" x14ac:dyDescent="0.25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4.25" customHeight="1" x14ac:dyDescent="0.25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4.25" customHeight="1" x14ac:dyDescent="0.2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4.25" customHeight="1" x14ac:dyDescent="0.25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4.25" customHeight="1" x14ac:dyDescent="0.25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4.25" customHeight="1" x14ac:dyDescent="0.25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4.25" customHeight="1" x14ac:dyDescent="0.25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4.25" customHeight="1" x14ac:dyDescent="0.25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4.25" customHeight="1" x14ac:dyDescent="0.25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4.25" customHeight="1" x14ac:dyDescent="0.25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4.25" customHeight="1" x14ac:dyDescent="0.25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4.25" customHeight="1" x14ac:dyDescent="0.25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4.25" customHeight="1" x14ac:dyDescent="0.2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4.25" customHeight="1" x14ac:dyDescent="0.25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4.25" customHeight="1" x14ac:dyDescent="0.25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4.25" customHeight="1" x14ac:dyDescent="0.25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4.25" customHeight="1" x14ac:dyDescent="0.25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4.25" customHeight="1" x14ac:dyDescent="0.25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4.25" customHeight="1" x14ac:dyDescent="0.25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4.25" customHeight="1" x14ac:dyDescent="0.25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4.25" customHeight="1" x14ac:dyDescent="0.25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4.25" customHeight="1" x14ac:dyDescent="0.25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4.25" customHeight="1" x14ac:dyDescent="0.2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4.25" customHeight="1" x14ac:dyDescent="0.25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4.25" customHeight="1" x14ac:dyDescent="0.25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4.25" customHeight="1" x14ac:dyDescent="0.25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4.25" customHeight="1" x14ac:dyDescent="0.25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4.25" customHeight="1" x14ac:dyDescent="0.25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4.25" customHeight="1" x14ac:dyDescent="0.25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4.25" customHeight="1" x14ac:dyDescent="0.25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4.25" customHeight="1" x14ac:dyDescent="0.25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4.25" customHeight="1" x14ac:dyDescent="0.25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4.25" customHeight="1" x14ac:dyDescent="0.2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4.25" customHeight="1" x14ac:dyDescent="0.25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4.25" customHeight="1" x14ac:dyDescent="0.25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4.25" customHeight="1" x14ac:dyDescent="0.25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4.25" customHeight="1" x14ac:dyDescent="0.25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4.25" customHeight="1" x14ac:dyDescent="0.25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4.25" customHeight="1" x14ac:dyDescent="0.25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4.25" customHeight="1" x14ac:dyDescent="0.25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4.25" customHeight="1" x14ac:dyDescent="0.25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4.25" customHeight="1" x14ac:dyDescent="0.25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4.25" customHeight="1" x14ac:dyDescent="0.2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4.25" customHeight="1" x14ac:dyDescent="0.25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4.25" customHeight="1" x14ac:dyDescent="0.25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4.25" customHeight="1" x14ac:dyDescent="0.25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4.25" customHeight="1" x14ac:dyDescent="0.25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4.25" customHeight="1" x14ac:dyDescent="0.25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4.25" customHeight="1" x14ac:dyDescent="0.25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4.25" customHeight="1" x14ac:dyDescent="0.25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4.25" customHeight="1" x14ac:dyDescent="0.25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4.25" customHeight="1" x14ac:dyDescent="0.25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4.25" customHeight="1" x14ac:dyDescent="0.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4.25" customHeight="1" x14ac:dyDescent="0.25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4.25" customHeight="1" x14ac:dyDescent="0.25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4.25" customHeight="1" x14ac:dyDescent="0.25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4.25" customHeight="1" x14ac:dyDescent="0.25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4.25" customHeight="1" x14ac:dyDescent="0.25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4.25" customHeight="1" x14ac:dyDescent="0.25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4.25" customHeight="1" x14ac:dyDescent="0.25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4.25" customHeight="1" x14ac:dyDescent="0.25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4.25" customHeight="1" x14ac:dyDescent="0.25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4.25" customHeight="1" x14ac:dyDescent="0.2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4.25" customHeight="1" x14ac:dyDescent="0.25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4.25" customHeight="1" x14ac:dyDescent="0.25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4.25" customHeight="1" x14ac:dyDescent="0.25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4.25" customHeight="1" x14ac:dyDescent="0.25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4.25" customHeight="1" x14ac:dyDescent="0.25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4.25" customHeight="1" x14ac:dyDescent="0.25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4.25" customHeight="1" x14ac:dyDescent="0.25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4.25" customHeight="1" x14ac:dyDescent="0.25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4.25" customHeight="1" x14ac:dyDescent="0.25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4.25" customHeight="1" x14ac:dyDescent="0.2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4.25" customHeight="1" x14ac:dyDescent="0.25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4.25" customHeight="1" x14ac:dyDescent="0.25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4.25" customHeight="1" x14ac:dyDescent="0.25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4.25" customHeight="1" x14ac:dyDescent="0.25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4.25" customHeight="1" x14ac:dyDescent="0.25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4.25" customHeight="1" x14ac:dyDescent="0.25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4.25" customHeight="1" x14ac:dyDescent="0.25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4.25" customHeight="1" x14ac:dyDescent="0.25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4.25" customHeight="1" x14ac:dyDescent="0.25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4.25" customHeight="1" x14ac:dyDescent="0.2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4.25" customHeight="1" x14ac:dyDescent="0.25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4.25" customHeight="1" x14ac:dyDescent="0.25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4.25" customHeight="1" x14ac:dyDescent="0.25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4.25" customHeight="1" x14ac:dyDescent="0.25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4.25" customHeight="1" x14ac:dyDescent="0.25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4.25" customHeight="1" x14ac:dyDescent="0.25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4.25" customHeight="1" x14ac:dyDescent="0.25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4.25" customHeight="1" x14ac:dyDescent="0.25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4.25" customHeight="1" x14ac:dyDescent="0.25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4.25" customHeight="1" x14ac:dyDescent="0.2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4.25" customHeight="1" x14ac:dyDescent="0.25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4.25" customHeight="1" x14ac:dyDescent="0.25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4.25" customHeight="1" x14ac:dyDescent="0.25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4.25" customHeight="1" x14ac:dyDescent="0.25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4.25" customHeight="1" x14ac:dyDescent="0.25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4.25" customHeight="1" x14ac:dyDescent="0.25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4.25" customHeight="1" x14ac:dyDescent="0.25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4.25" customHeight="1" x14ac:dyDescent="0.25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4.25" customHeight="1" x14ac:dyDescent="0.25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4.25" customHeight="1" x14ac:dyDescent="0.2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4.25" customHeight="1" x14ac:dyDescent="0.25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4.25" customHeight="1" x14ac:dyDescent="0.25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4.25" customHeight="1" x14ac:dyDescent="0.25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4.25" customHeight="1" x14ac:dyDescent="0.25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4.25" customHeight="1" x14ac:dyDescent="0.25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4.25" customHeight="1" x14ac:dyDescent="0.25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4.25" customHeight="1" x14ac:dyDescent="0.25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4.25" customHeight="1" x14ac:dyDescent="0.25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4.25" customHeight="1" x14ac:dyDescent="0.25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4.25" customHeight="1" x14ac:dyDescent="0.2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4.25" customHeight="1" x14ac:dyDescent="0.25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4.25" customHeight="1" x14ac:dyDescent="0.25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4.25" customHeight="1" x14ac:dyDescent="0.25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4.25" customHeight="1" x14ac:dyDescent="0.25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4.25" customHeight="1" x14ac:dyDescent="0.25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4.25" customHeight="1" x14ac:dyDescent="0.25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4.25" customHeight="1" x14ac:dyDescent="0.25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4.25" customHeight="1" x14ac:dyDescent="0.25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4.25" customHeight="1" x14ac:dyDescent="0.25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4.25" customHeight="1" x14ac:dyDescent="0.2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4.25" customHeight="1" x14ac:dyDescent="0.25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4.25" customHeight="1" x14ac:dyDescent="0.25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4.25" customHeight="1" x14ac:dyDescent="0.25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4.25" customHeight="1" x14ac:dyDescent="0.25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4.25" customHeight="1" x14ac:dyDescent="0.25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4.25" customHeight="1" x14ac:dyDescent="0.25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4.25" customHeight="1" x14ac:dyDescent="0.25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4.25" customHeight="1" x14ac:dyDescent="0.25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4.25" customHeight="1" x14ac:dyDescent="0.25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4.25" customHeight="1" x14ac:dyDescent="0.2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4.25" customHeight="1" x14ac:dyDescent="0.25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4.25" customHeight="1" x14ac:dyDescent="0.25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4.25" customHeight="1" x14ac:dyDescent="0.25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4.25" customHeight="1" x14ac:dyDescent="0.25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4.25" customHeight="1" x14ac:dyDescent="0.25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4.25" customHeight="1" x14ac:dyDescent="0.25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4.25" customHeight="1" x14ac:dyDescent="0.25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4.25" customHeight="1" x14ac:dyDescent="0.25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4.25" customHeight="1" x14ac:dyDescent="0.25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4.25" customHeight="1" x14ac:dyDescent="0.2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4.25" customHeight="1" x14ac:dyDescent="0.25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4.25" customHeight="1" x14ac:dyDescent="0.25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4.25" customHeight="1" x14ac:dyDescent="0.25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4.25" customHeight="1" x14ac:dyDescent="0.25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4.25" customHeight="1" x14ac:dyDescent="0.25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4.25" customHeight="1" x14ac:dyDescent="0.25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4.25" customHeight="1" x14ac:dyDescent="0.25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4.25" customHeight="1" x14ac:dyDescent="0.25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4.25" customHeight="1" x14ac:dyDescent="0.25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4.25" customHeight="1" x14ac:dyDescent="0.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4.25" customHeight="1" x14ac:dyDescent="0.25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4.25" customHeight="1" x14ac:dyDescent="0.25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4.25" customHeight="1" x14ac:dyDescent="0.25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4.25" customHeight="1" x14ac:dyDescent="0.25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4.25" customHeight="1" x14ac:dyDescent="0.25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4.25" customHeight="1" x14ac:dyDescent="0.25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4.25" customHeight="1" x14ac:dyDescent="0.25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4.25" customHeight="1" x14ac:dyDescent="0.25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4.25" customHeight="1" x14ac:dyDescent="0.25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4.25" customHeight="1" x14ac:dyDescent="0.2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4.25" customHeight="1" x14ac:dyDescent="0.25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4.25" customHeight="1" x14ac:dyDescent="0.25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4.25" customHeight="1" x14ac:dyDescent="0.25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4.25" customHeight="1" x14ac:dyDescent="0.25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4.25" customHeight="1" x14ac:dyDescent="0.25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4.25" customHeight="1" x14ac:dyDescent="0.25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4.25" customHeight="1" x14ac:dyDescent="0.25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4.25" customHeight="1" x14ac:dyDescent="0.25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4.25" customHeight="1" x14ac:dyDescent="0.25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4.25" customHeight="1" x14ac:dyDescent="0.2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4.25" customHeight="1" x14ac:dyDescent="0.25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4.25" customHeight="1" x14ac:dyDescent="0.25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4.25" customHeight="1" x14ac:dyDescent="0.25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4.25" customHeight="1" x14ac:dyDescent="0.25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4.25" customHeight="1" x14ac:dyDescent="0.25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4.25" customHeight="1" x14ac:dyDescent="0.25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4.25" customHeight="1" x14ac:dyDescent="0.25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4.25" customHeight="1" x14ac:dyDescent="0.25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4.25" customHeight="1" x14ac:dyDescent="0.25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4.25" customHeight="1" x14ac:dyDescent="0.2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4.25" customHeight="1" x14ac:dyDescent="0.25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4.25" customHeight="1" x14ac:dyDescent="0.25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4.25" customHeight="1" x14ac:dyDescent="0.25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4.25" customHeight="1" x14ac:dyDescent="0.25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4.25" customHeight="1" x14ac:dyDescent="0.25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4.25" customHeight="1" x14ac:dyDescent="0.25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4.25" customHeight="1" x14ac:dyDescent="0.25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4.25" customHeight="1" x14ac:dyDescent="0.25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4.25" customHeight="1" x14ac:dyDescent="0.25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4.25" customHeight="1" x14ac:dyDescent="0.2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4.25" customHeight="1" x14ac:dyDescent="0.25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4.25" customHeight="1" x14ac:dyDescent="0.25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4.25" customHeight="1" x14ac:dyDescent="0.25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4.25" customHeight="1" x14ac:dyDescent="0.25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4.25" customHeight="1" x14ac:dyDescent="0.25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4.25" customHeight="1" x14ac:dyDescent="0.25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4.25" customHeight="1" x14ac:dyDescent="0.25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4.25" customHeight="1" x14ac:dyDescent="0.25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4.25" customHeight="1" x14ac:dyDescent="0.25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4.25" customHeight="1" x14ac:dyDescent="0.2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4.25" customHeight="1" x14ac:dyDescent="0.25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4.25" customHeight="1" x14ac:dyDescent="0.25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4.25" customHeight="1" x14ac:dyDescent="0.25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4.25" customHeight="1" x14ac:dyDescent="0.25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4.25" customHeight="1" x14ac:dyDescent="0.25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4.25" customHeight="1" x14ac:dyDescent="0.25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4.25" customHeight="1" x14ac:dyDescent="0.25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4.25" customHeight="1" x14ac:dyDescent="0.25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4.25" customHeight="1" x14ac:dyDescent="0.25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4.25" customHeight="1" x14ac:dyDescent="0.2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4.25" customHeight="1" x14ac:dyDescent="0.25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4.25" customHeight="1" x14ac:dyDescent="0.25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4.25" customHeight="1" x14ac:dyDescent="0.25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4.25" customHeight="1" x14ac:dyDescent="0.25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4.25" customHeight="1" x14ac:dyDescent="0.25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4.25" customHeight="1" x14ac:dyDescent="0.25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4.25" customHeight="1" x14ac:dyDescent="0.25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4.25" customHeight="1" x14ac:dyDescent="0.25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4.25" customHeight="1" x14ac:dyDescent="0.25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4.25" customHeight="1" x14ac:dyDescent="0.2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4.25" customHeight="1" x14ac:dyDescent="0.25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4.25" customHeight="1" x14ac:dyDescent="0.25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4.25" customHeight="1" x14ac:dyDescent="0.25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4.25" customHeight="1" x14ac:dyDescent="0.25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4.25" customHeight="1" x14ac:dyDescent="0.25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4.25" customHeight="1" x14ac:dyDescent="0.25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4.25" customHeight="1" x14ac:dyDescent="0.25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4.25" customHeight="1" x14ac:dyDescent="0.25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4.25" customHeight="1" x14ac:dyDescent="0.25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4.25" customHeight="1" x14ac:dyDescent="0.2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4.25" customHeight="1" x14ac:dyDescent="0.25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4.25" customHeight="1" x14ac:dyDescent="0.25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4.25" customHeight="1" x14ac:dyDescent="0.25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4.25" customHeight="1" x14ac:dyDescent="0.25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4.25" customHeight="1" x14ac:dyDescent="0.25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4.25" customHeight="1" x14ac:dyDescent="0.25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4.25" customHeight="1" x14ac:dyDescent="0.25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4.25" customHeight="1" x14ac:dyDescent="0.25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4.25" customHeight="1" x14ac:dyDescent="0.25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4.25" customHeight="1" x14ac:dyDescent="0.2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4.25" customHeight="1" x14ac:dyDescent="0.25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4.25" customHeight="1" x14ac:dyDescent="0.25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4.25" customHeight="1" x14ac:dyDescent="0.25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4.25" customHeight="1" x14ac:dyDescent="0.25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4.25" customHeight="1" x14ac:dyDescent="0.25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4.25" customHeight="1" x14ac:dyDescent="0.25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4.25" customHeight="1" x14ac:dyDescent="0.25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4.25" customHeight="1" x14ac:dyDescent="0.25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4.25" customHeight="1" x14ac:dyDescent="0.25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4.25" customHeight="1" x14ac:dyDescent="0.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4.25" customHeight="1" x14ac:dyDescent="0.25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4.25" customHeight="1" x14ac:dyDescent="0.25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4.25" customHeight="1" x14ac:dyDescent="0.25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4.25" customHeight="1" x14ac:dyDescent="0.25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4.25" customHeight="1" x14ac:dyDescent="0.25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4.25" customHeight="1" x14ac:dyDescent="0.25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4.25" customHeight="1" x14ac:dyDescent="0.25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4.25" customHeight="1" x14ac:dyDescent="0.25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4.25" customHeight="1" x14ac:dyDescent="0.25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4.25" customHeight="1" x14ac:dyDescent="0.2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4.25" customHeight="1" x14ac:dyDescent="0.25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4.25" customHeight="1" x14ac:dyDescent="0.25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4.25" customHeight="1" x14ac:dyDescent="0.25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4.25" customHeight="1" x14ac:dyDescent="0.25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4.25" customHeight="1" x14ac:dyDescent="0.25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4.25" customHeight="1" x14ac:dyDescent="0.25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4.25" customHeight="1" x14ac:dyDescent="0.25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4.25" customHeight="1" x14ac:dyDescent="0.25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4.25" customHeight="1" x14ac:dyDescent="0.25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4.25" customHeight="1" x14ac:dyDescent="0.2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4.25" customHeight="1" x14ac:dyDescent="0.25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4.25" customHeight="1" x14ac:dyDescent="0.25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4.25" customHeight="1" x14ac:dyDescent="0.25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4.25" customHeight="1" x14ac:dyDescent="0.25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4.25" customHeight="1" x14ac:dyDescent="0.25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4.25" customHeight="1" x14ac:dyDescent="0.25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4.25" customHeight="1" x14ac:dyDescent="0.25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4.25" customHeight="1" x14ac:dyDescent="0.25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4.25" customHeight="1" x14ac:dyDescent="0.25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4.25" customHeight="1" x14ac:dyDescent="0.2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4.25" customHeight="1" x14ac:dyDescent="0.25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4.25" customHeight="1" x14ac:dyDescent="0.25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4.25" customHeight="1" x14ac:dyDescent="0.25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4.25" customHeight="1" x14ac:dyDescent="0.25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4.25" customHeight="1" x14ac:dyDescent="0.25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4.25" customHeight="1" x14ac:dyDescent="0.25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4.25" customHeight="1" x14ac:dyDescent="0.25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4.25" customHeight="1" x14ac:dyDescent="0.25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4.25" customHeight="1" x14ac:dyDescent="0.25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4.25" customHeight="1" x14ac:dyDescent="0.2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4.25" customHeight="1" x14ac:dyDescent="0.25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4.25" customHeight="1" x14ac:dyDescent="0.25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4.25" customHeight="1" x14ac:dyDescent="0.25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4.25" customHeight="1" x14ac:dyDescent="0.25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4.25" customHeight="1" x14ac:dyDescent="0.25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4.25" customHeight="1" x14ac:dyDescent="0.25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4.25" customHeight="1" x14ac:dyDescent="0.25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4.25" customHeight="1" x14ac:dyDescent="0.25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4.25" customHeight="1" x14ac:dyDescent="0.25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4.25" customHeight="1" x14ac:dyDescent="0.2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4.25" customHeight="1" x14ac:dyDescent="0.25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4.25" customHeight="1" x14ac:dyDescent="0.25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4.25" customHeight="1" x14ac:dyDescent="0.25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4.25" customHeight="1" x14ac:dyDescent="0.25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4.25" customHeight="1" x14ac:dyDescent="0.25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4.25" customHeight="1" x14ac:dyDescent="0.25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4.25" customHeight="1" x14ac:dyDescent="0.25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4.25" customHeight="1" x14ac:dyDescent="0.25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4.25" customHeight="1" x14ac:dyDescent="0.25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4.25" customHeight="1" x14ac:dyDescent="0.2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4.25" customHeight="1" x14ac:dyDescent="0.25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4.25" customHeight="1" x14ac:dyDescent="0.25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4.25" customHeight="1" x14ac:dyDescent="0.25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4.25" customHeight="1" x14ac:dyDescent="0.25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4.25" customHeight="1" x14ac:dyDescent="0.25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4.25" customHeight="1" x14ac:dyDescent="0.25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4.25" customHeight="1" x14ac:dyDescent="0.25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4.25" customHeight="1" x14ac:dyDescent="0.25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4.25" customHeight="1" x14ac:dyDescent="0.25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4.25" customHeight="1" x14ac:dyDescent="0.2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4.25" customHeight="1" x14ac:dyDescent="0.25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4.25" customHeight="1" x14ac:dyDescent="0.25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4.25" customHeight="1" x14ac:dyDescent="0.25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4.25" customHeight="1" x14ac:dyDescent="0.25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4.25" customHeight="1" x14ac:dyDescent="0.25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pageMargins left="0.51180555555555596" right="0.51180555555555596" top="2.3624999999999998" bottom="2.3624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AME1000"/>
  <sheetViews>
    <sheetView topLeftCell="D1" zoomScale="60" zoomScaleNormal="60" workbookViewId="0">
      <selection activeCell="D1" sqref="D1"/>
    </sheetView>
  </sheetViews>
  <sheetFormatPr defaultColWidth="11.5703125" defaultRowHeight="15" customHeight="1" x14ac:dyDescent="0.25"/>
  <cols>
    <col min="1" max="1" width="16.28515625" style="7" customWidth="1"/>
    <col min="2" max="2" width="8.7109375" style="7" customWidth="1"/>
    <col min="3" max="3" width="36.140625" style="7" customWidth="1"/>
    <col min="4" max="9" width="8.7109375" style="7" customWidth="1"/>
    <col min="10" max="10" width="16.28515625" style="7" customWidth="1"/>
    <col min="11" max="11" width="8.7109375" style="35" customWidth="1"/>
    <col min="12" max="12" width="36.140625" style="35" customWidth="1"/>
    <col min="13" max="13" width="13.28515625" style="35" customWidth="1"/>
    <col min="14" max="14" width="8.7109375" style="35" customWidth="1"/>
    <col min="15" max="21" width="8.7109375" style="7" customWidth="1"/>
    <col min="22" max="1019" width="14.42578125" style="7" customWidth="1"/>
  </cols>
  <sheetData>
    <row r="1" spans="1:17" ht="15.75" customHeight="1" x14ac:dyDescent="0.25">
      <c r="A1" s="36" t="s">
        <v>366</v>
      </c>
      <c r="B1" s="37"/>
      <c r="C1" s="37"/>
      <c r="D1" s="37"/>
      <c r="E1" s="37"/>
      <c r="F1" s="37"/>
      <c r="G1" s="37"/>
      <c r="H1" s="37"/>
      <c r="I1" s="37"/>
      <c r="J1" s="36" t="s">
        <v>367</v>
      </c>
      <c r="L1" s="38"/>
      <c r="O1" s="37"/>
      <c r="P1" s="37"/>
      <c r="Q1" s="39" t="s">
        <v>368</v>
      </c>
    </row>
    <row r="2" spans="1:17" ht="15.75" customHeight="1" x14ac:dyDescent="0.25">
      <c r="A2" s="39" t="str">
        <f>"total = "&amp;SUM(B3:B121)</f>
        <v>total = 84</v>
      </c>
      <c r="B2" s="37"/>
      <c r="C2" s="36" t="s">
        <v>369</v>
      </c>
      <c r="D2" s="37"/>
      <c r="E2" s="37"/>
      <c r="F2" s="37"/>
      <c r="G2" s="37"/>
      <c r="H2" s="37"/>
      <c r="I2" s="37"/>
      <c r="J2" s="39" t="str">
        <f>"total = "&amp;SUM(K3:K91)</f>
        <v>total = 58</v>
      </c>
      <c r="L2" s="40" t="s">
        <v>369</v>
      </c>
      <c r="O2" s="37"/>
      <c r="P2" s="37"/>
      <c r="Q2" s="41" t="s">
        <v>370</v>
      </c>
    </row>
    <row r="3" spans="1:17" ht="15.75" customHeight="1" x14ac:dyDescent="0.25">
      <c r="A3" s="39" t="str">
        <f>"Rotifera = "&amp;SUM(B3:B88)</f>
        <v>Rotifera = 63</v>
      </c>
      <c r="B3" s="37"/>
      <c r="C3" s="36" t="s">
        <v>371</v>
      </c>
      <c r="D3" s="37"/>
      <c r="E3" s="39" t="s">
        <v>11</v>
      </c>
      <c r="F3" s="39" t="s">
        <v>36</v>
      </c>
      <c r="G3" s="39" t="s">
        <v>372</v>
      </c>
      <c r="H3" s="39" t="s">
        <v>373</v>
      </c>
      <c r="I3" s="37"/>
      <c r="J3" s="36" t="str">
        <f>"Rotifera = "&amp;SUM(K3:K59)</f>
        <v>Rotifera = 40</v>
      </c>
      <c r="L3" s="40" t="s">
        <v>371</v>
      </c>
      <c r="N3" s="15" t="str">
        <f>"N= "&amp;SUM(N4:N131)</f>
        <v>N= 4420</v>
      </c>
      <c r="O3" s="37"/>
      <c r="P3" s="37"/>
      <c r="Q3" s="41" t="s">
        <v>374</v>
      </c>
    </row>
    <row r="4" spans="1:17" ht="15.75" customHeight="1" x14ac:dyDescent="0.25">
      <c r="A4" s="39" t="str">
        <f>"Rot spp = "&amp;SUM(B6:B88)</f>
        <v>Rot spp = 62</v>
      </c>
      <c r="B4" s="39">
        <v>1</v>
      </c>
      <c r="C4" s="39" t="s">
        <v>375</v>
      </c>
      <c r="D4" s="39" t="s">
        <v>98</v>
      </c>
      <c r="E4" s="42">
        <v>1.74320987654321</v>
      </c>
      <c r="F4" s="42">
        <v>1.61975308641975</v>
      </c>
      <c r="G4" s="42">
        <v>0</v>
      </c>
      <c r="H4" s="42">
        <v>0</v>
      </c>
      <c r="I4" s="37"/>
      <c r="J4" s="36" t="str">
        <f>"Cladocera = "&amp;SUM(K61:K79)</f>
        <v>Cladocera = 12</v>
      </c>
      <c r="K4" s="15">
        <v>1</v>
      </c>
      <c r="L4" s="15" t="s">
        <v>98</v>
      </c>
      <c r="M4" s="15" t="s">
        <v>98</v>
      </c>
      <c r="N4" s="43">
        <f>SUM(rebio23_80ml!E3:E50)</f>
        <v>1829</v>
      </c>
      <c r="O4" s="42"/>
      <c r="P4" s="37"/>
      <c r="Q4" s="41" t="s">
        <v>376</v>
      </c>
    </row>
    <row r="5" spans="1:17" ht="15.75" customHeight="1" x14ac:dyDescent="0.25">
      <c r="A5" s="39" t="str">
        <f>"Cladocera = "&amp;SUM(B94:B112)</f>
        <v>Cladocera = 15</v>
      </c>
      <c r="B5" s="39">
        <v>0</v>
      </c>
      <c r="C5" s="36" t="s">
        <v>377</v>
      </c>
      <c r="D5" s="37"/>
      <c r="E5" s="42"/>
      <c r="F5" s="42"/>
      <c r="G5" s="42"/>
      <c r="H5" s="42"/>
      <c r="I5" s="37"/>
      <c r="J5" s="36" t="str">
        <f>"Copepoda = "&amp;SUM(K81:K91)</f>
        <v>Copepoda = 6</v>
      </c>
      <c r="K5" s="15">
        <v>0</v>
      </c>
      <c r="L5" s="40" t="s">
        <v>377</v>
      </c>
      <c r="N5" s="43"/>
      <c r="O5" s="42"/>
      <c r="P5" s="37"/>
      <c r="Q5" s="37"/>
    </row>
    <row r="6" spans="1:17" ht="15.75" customHeight="1" x14ac:dyDescent="0.25">
      <c r="A6" s="39" t="str">
        <f>"Copepoda = "&amp;SUM(B114:B122)</f>
        <v>Copepoda = 6</v>
      </c>
      <c r="B6" s="39">
        <v>1</v>
      </c>
      <c r="C6" s="39" t="s">
        <v>107</v>
      </c>
      <c r="D6" s="39" t="s">
        <v>163</v>
      </c>
      <c r="E6" s="42">
        <v>0</v>
      </c>
      <c r="F6" s="42">
        <v>0</v>
      </c>
      <c r="G6" s="42">
        <v>0.48</v>
      </c>
      <c r="H6" s="42">
        <v>0.35555555555555701</v>
      </c>
      <c r="I6" s="37"/>
      <c r="J6" s="39" t="str">
        <f>"Rot spp = "&amp;SUM(K5:K59)</f>
        <v>Rot spp = 39</v>
      </c>
      <c r="K6" s="15">
        <v>1</v>
      </c>
      <c r="L6" s="15" t="s">
        <v>107</v>
      </c>
      <c r="M6" s="15" t="s">
        <v>163</v>
      </c>
      <c r="N6" s="43">
        <f>SUM(rebio23_80ml!N3:N50)</f>
        <v>2</v>
      </c>
      <c r="O6" s="42"/>
      <c r="P6" s="37"/>
      <c r="Q6" s="37"/>
    </row>
    <row r="7" spans="1:17" ht="15.75" customHeight="1" x14ac:dyDescent="0.25">
      <c r="A7" s="39" t="str">
        <f>"Rot fam = "&amp;COUNTIF(B4:B88,"0")</f>
        <v>Rot fam = 19</v>
      </c>
      <c r="B7" s="39">
        <v>1</v>
      </c>
      <c r="C7" s="39" t="s">
        <v>378</v>
      </c>
      <c r="D7" s="39" t="s">
        <v>379</v>
      </c>
      <c r="E7" s="42">
        <v>0</v>
      </c>
      <c r="F7" s="42">
        <v>0</v>
      </c>
      <c r="G7" s="42">
        <v>0.16</v>
      </c>
      <c r="H7" s="42">
        <v>0</v>
      </c>
      <c r="I7" s="37"/>
      <c r="J7" s="39" t="str">
        <f>"Rot fam = "&amp;COUNTIF(K4:K59,"0")</f>
        <v>Rot fam = 14</v>
      </c>
      <c r="K7" s="15">
        <v>0</v>
      </c>
      <c r="L7" s="40" t="s">
        <v>380</v>
      </c>
      <c r="N7" s="43"/>
      <c r="O7" s="42"/>
      <c r="P7" s="37"/>
      <c r="Q7" s="37"/>
    </row>
    <row r="8" spans="1:17" ht="15.75" customHeight="1" x14ac:dyDescent="0.25">
      <c r="A8" s="39" t="str">
        <f>"Phil = "&amp;SUM(B6:B8)</f>
        <v>Phil = 3</v>
      </c>
      <c r="B8" s="39">
        <v>1</v>
      </c>
      <c r="C8" s="39" t="s">
        <v>381</v>
      </c>
      <c r="D8" s="39" t="s">
        <v>382</v>
      </c>
      <c r="E8" s="42">
        <v>0.16790123456790201</v>
      </c>
      <c r="F8" s="42">
        <v>0.31604938271604999</v>
      </c>
      <c r="G8" s="42">
        <v>3.5199999999999898</v>
      </c>
      <c r="H8" s="42">
        <v>10.133333333333301</v>
      </c>
      <c r="I8" s="37"/>
      <c r="J8" s="39" t="str">
        <f>"Phil = "&amp;SUM(K6)</f>
        <v>Phil = 1</v>
      </c>
      <c r="K8" s="15">
        <v>1</v>
      </c>
      <c r="L8" s="15" t="s">
        <v>104</v>
      </c>
      <c r="M8" s="15" t="s">
        <v>383</v>
      </c>
      <c r="N8" s="43">
        <f>SUM(rebio23_80ml!K3:K50)</f>
        <v>2</v>
      </c>
      <c r="O8" s="42"/>
      <c r="P8" s="37"/>
      <c r="Q8" s="37"/>
    </row>
    <row r="9" spans="1:17" ht="15.75" customHeight="1" x14ac:dyDescent="0.25">
      <c r="A9" s="39" t="str">
        <f>"Dicran = "&amp;SUM(B12)</f>
        <v>Dicran = 1</v>
      </c>
      <c r="B9"/>
      <c r="C9" s="36" t="s">
        <v>384</v>
      </c>
      <c r="D9"/>
      <c r="E9"/>
      <c r="F9"/>
      <c r="G9"/>
      <c r="H9"/>
      <c r="I9" s="37"/>
      <c r="J9" s="39" t="str">
        <f>"Dicran = "&amp;SUM(K8)</f>
        <v>Dicran = 1</v>
      </c>
      <c r="K9" s="38">
        <v>0</v>
      </c>
      <c r="L9" s="44" t="s">
        <v>385</v>
      </c>
      <c r="M9" s="38"/>
      <c r="N9" s="38"/>
      <c r="O9" s="42"/>
      <c r="P9" s="37"/>
      <c r="Q9" s="37"/>
    </row>
    <row r="10" spans="1:17" ht="15.75" customHeight="1" x14ac:dyDescent="0.25">
      <c r="A10" s="39" t="str">
        <f>"Lec = "&amp;SUM(B14:B31)</f>
        <v>Lec = 18</v>
      </c>
      <c r="B10"/>
      <c r="C10" s="39" t="s">
        <v>386</v>
      </c>
      <c r="D10"/>
      <c r="E10"/>
      <c r="F10"/>
      <c r="G10"/>
      <c r="H10"/>
      <c r="I10" s="37"/>
      <c r="J10" s="39" t="str">
        <f>"Lec = "&amp;SUM(K13:K28)</f>
        <v>Lec = 15</v>
      </c>
      <c r="K10" s="38">
        <v>1</v>
      </c>
      <c r="L10" s="20" t="s">
        <v>100</v>
      </c>
      <c r="M10" s="15" t="s">
        <v>157</v>
      </c>
      <c r="N10" s="43">
        <f>SUM(rebio23_80ml!G3:G50)</f>
        <v>10</v>
      </c>
      <c r="O10" s="42"/>
      <c r="P10" s="37"/>
      <c r="Q10" s="37"/>
    </row>
    <row r="11" spans="1:17" ht="15.75" customHeight="1" x14ac:dyDescent="0.25">
      <c r="A11" s="39" t="str">
        <f>"Bra = "&amp;SUM(B33:B46)</f>
        <v>Bra = 14</v>
      </c>
      <c r="B11" s="39">
        <v>0</v>
      </c>
      <c r="C11" s="36" t="s">
        <v>380</v>
      </c>
      <c r="D11" s="37"/>
      <c r="E11" s="42"/>
      <c r="F11" s="42"/>
      <c r="G11" s="42"/>
      <c r="H11" s="42"/>
      <c r="I11" s="37"/>
      <c r="J11" s="39" t="str">
        <f>"Bra = "&amp;SUM(K30:K32)</f>
        <v>Bra = 3</v>
      </c>
      <c r="L11" s="40" t="s">
        <v>384</v>
      </c>
      <c r="N11" s="43"/>
      <c r="O11" s="42"/>
      <c r="P11" s="37"/>
      <c r="Q11" s="37"/>
    </row>
    <row r="12" spans="1:17" ht="15.75" customHeight="1" x14ac:dyDescent="0.25">
      <c r="A12" s="39" t="str">
        <f>"Lep = "&amp;SUM(B48:B51)</f>
        <v>Lep = 4</v>
      </c>
      <c r="B12" s="39">
        <v>1</v>
      </c>
      <c r="C12" s="39" t="s">
        <v>104</v>
      </c>
      <c r="D12" s="39" t="s">
        <v>383</v>
      </c>
      <c r="E12" s="42">
        <v>0</v>
      </c>
      <c r="F12" s="42">
        <v>0</v>
      </c>
      <c r="G12" s="42">
        <v>6.88</v>
      </c>
      <c r="H12" s="42">
        <v>0</v>
      </c>
      <c r="I12" s="37"/>
      <c r="J12" s="39" t="str">
        <f>"Lep = "&amp;SUM(K34:K37)</f>
        <v>Lep = 4</v>
      </c>
      <c r="L12" s="40" t="s">
        <v>387</v>
      </c>
      <c r="N12" s="43"/>
      <c r="O12" s="42"/>
      <c r="P12" s="37"/>
      <c r="Q12" s="37"/>
    </row>
    <row r="13" spans="1:17" ht="15.75" customHeight="1" x14ac:dyDescent="0.25">
      <c r="A13" s="39" t="str">
        <f>"Chy = "&amp;SUM(B94:B100)</f>
        <v>Chy = 7</v>
      </c>
      <c r="B13" s="39">
        <v>0</v>
      </c>
      <c r="C13" s="36" t="s">
        <v>388</v>
      </c>
      <c r="D13" s="37"/>
      <c r="E13" s="42"/>
      <c r="F13" s="42"/>
      <c r="G13" s="42"/>
      <c r="H13" s="42"/>
      <c r="I13" s="37"/>
      <c r="J13" s="39" t="str">
        <f>"Chy = "&amp;SUM(K63:K68)</f>
        <v>Chy = 5</v>
      </c>
      <c r="K13" s="15">
        <v>0</v>
      </c>
      <c r="L13" s="40" t="s">
        <v>388</v>
      </c>
      <c r="O13" s="37"/>
      <c r="P13" s="37"/>
      <c r="Q13" s="37"/>
    </row>
    <row r="14" spans="1:17" ht="15.75" customHeight="1" x14ac:dyDescent="0.25">
      <c r="A14" s="39" t="str">
        <f>"Mac = "&amp;SUM(B102:B105)</f>
        <v>Mac = 4</v>
      </c>
      <c r="B14" s="39">
        <v>1</v>
      </c>
      <c r="C14" s="39" t="s">
        <v>389</v>
      </c>
      <c r="D14" s="39" t="s">
        <v>167</v>
      </c>
      <c r="E14" s="42">
        <v>0.148148148148148</v>
      </c>
      <c r="F14" s="42">
        <v>6.9135802469135796E-2</v>
      </c>
      <c r="G14" s="42">
        <v>0</v>
      </c>
      <c r="H14" s="42">
        <v>0</v>
      </c>
      <c r="I14" s="37"/>
      <c r="J14" s="39" t="str">
        <f>"Mac = "&amp;SUM(K69:K72)</f>
        <v>Mac = 3</v>
      </c>
      <c r="K14" s="15">
        <v>1</v>
      </c>
      <c r="L14" s="15" t="s">
        <v>389</v>
      </c>
      <c r="M14" s="15" t="s">
        <v>167</v>
      </c>
      <c r="N14" s="43">
        <f>SUM(rebio23_80ml!R3:R50)</f>
        <v>1</v>
      </c>
      <c r="O14" s="37"/>
      <c r="P14" s="37"/>
      <c r="Q14" s="37"/>
    </row>
    <row r="15" spans="1:17" ht="15.75" customHeight="1" x14ac:dyDescent="0.25">
      <c r="A15" s="39" t="str">
        <f>"Sid = "&amp;SUM(B107:B108)</f>
        <v>Sid = 2</v>
      </c>
      <c r="B15" s="39">
        <v>1</v>
      </c>
      <c r="C15" s="39" t="s">
        <v>112</v>
      </c>
      <c r="D15" s="39" t="s">
        <v>168</v>
      </c>
      <c r="E15" s="42">
        <v>0.780246913580247</v>
      </c>
      <c r="F15" s="42">
        <v>0.99753086419753101</v>
      </c>
      <c r="G15" s="42">
        <v>8.9600000000000009</v>
      </c>
      <c r="H15" s="42">
        <v>1.06666666666667</v>
      </c>
      <c r="I15" s="37"/>
      <c r="J15" s="39" t="str">
        <f>"Sid = "&amp;SUM(K74:K75)</f>
        <v>Sid = 2</v>
      </c>
      <c r="K15" s="15">
        <v>1</v>
      </c>
      <c r="L15" s="15" t="s">
        <v>112</v>
      </c>
      <c r="M15" s="15" t="s">
        <v>168</v>
      </c>
      <c r="N15" s="43">
        <f>SUM(rebio23_80ml!S3:S50)</f>
        <v>80</v>
      </c>
      <c r="O15" s="37"/>
      <c r="P15" s="37"/>
      <c r="Q15" s="37"/>
    </row>
    <row r="16" spans="1:17" ht="15.75" customHeight="1" x14ac:dyDescent="0.25">
      <c r="A16" s="39" t="str">
        <f>"Juv = "&amp;SUM(B114:B115)</f>
        <v>Juv = 2</v>
      </c>
      <c r="B16" s="39">
        <v>1</v>
      </c>
      <c r="C16" s="39" t="s">
        <v>390</v>
      </c>
      <c r="D16" s="39" t="s">
        <v>169</v>
      </c>
      <c r="E16" s="42">
        <v>2.96296296296297E-2</v>
      </c>
      <c r="F16" s="42">
        <v>4.9382716049382797E-2</v>
      </c>
      <c r="G16" s="42">
        <v>0.42666666666666703</v>
      </c>
      <c r="H16" s="42">
        <v>0</v>
      </c>
      <c r="I16" s="37"/>
      <c r="J16" s="39" t="str">
        <f>"Juv = "&amp;SUM(K81:K82)</f>
        <v>Juv = 2</v>
      </c>
      <c r="K16" s="15">
        <v>1</v>
      </c>
      <c r="L16" s="15" t="s">
        <v>390</v>
      </c>
      <c r="M16" s="15" t="s">
        <v>169</v>
      </c>
      <c r="N16" s="43">
        <f>SUM(rebio23_80ml!T3:T50)</f>
        <v>9</v>
      </c>
      <c r="O16" s="37"/>
      <c r="P16" s="37"/>
      <c r="Q16" s="37"/>
    </row>
    <row r="17" spans="1:17" ht="15.75" customHeight="1" x14ac:dyDescent="0.25">
      <c r="A17" s="39" t="str">
        <f>"Cyc = "&amp;SUM(B118:B119)</f>
        <v>Cyc = 1</v>
      </c>
      <c r="B17" s="39">
        <v>1</v>
      </c>
      <c r="C17" s="39" t="s">
        <v>391</v>
      </c>
      <c r="D17" s="39" t="s">
        <v>170</v>
      </c>
      <c r="E17" s="42">
        <v>9.8765432098765604E-3</v>
      </c>
      <c r="F17" s="42">
        <v>4.9382716049382699E-2</v>
      </c>
      <c r="G17" s="42">
        <v>5.3333333333333302E-2</v>
      </c>
      <c r="H17" s="42">
        <v>0</v>
      </c>
      <c r="I17" s="37"/>
      <c r="J17" s="39" t="str">
        <f>"Cyc = "&amp;SUM(K84:K87)</f>
        <v>Cyc = 3</v>
      </c>
      <c r="K17" s="15">
        <v>1</v>
      </c>
      <c r="L17" s="15" t="s">
        <v>391</v>
      </c>
      <c r="M17" s="15" t="s">
        <v>170</v>
      </c>
      <c r="N17" s="43">
        <f>SUM(rebio23_80ml!U3:U50)</f>
        <v>15</v>
      </c>
      <c r="O17" s="37"/>
      <c r="P17" s="37"/>
      <c r="Q17" s="37"/>
    </row>
    <row r="18" spans="1:17" ht="15.75" customHeight="1" x14ac:dyDescent="0.25">
      <c r="A18" s="39" t="str">
        <f>"Dia = "&amp;SUM(B120:B121)</f>
        <v>Dia = 1</v>
      </c>
      <c r="B18" s="39">
        <v>1</v>
      </c>
      <c r="C18" s="39" t="s">
        <v>392</v>
      </c>
      <c r="D18" s="39" t="s">
        <v>171</v>
      </c>
      <c r="E18" s="42">
        <v>9.8765432098765604E-3</v>
      </c>
      <c r="F18" s="42">
        <v>0</v>
      </c>
      <c r="G18" s="42">
        <v>0.32</v>
      </c>
      <c r="H18" s="42">
        <v>0</v>
      </c>
      <c r="I18" s="37"/>
      <c r="J18" s="39" t="str">
        <f>"Dia = "&amp;SUM(K89:K90)</f>
        <v>Dia = 1</v>
      </c>
      <c r="K18" s="15">
        <v>1</v>
      </c>
      <c r="L18" s="15" t="s">
        <v>392</v>
      </c>
      <c r="M18" s="15" t="s">
        <v>171</v>
      </c>
      <c r="N18" s="43">
        <f>SUM(rebio23_80ml!V3:V50)</f>
        <v>7</v>
      </c>
      <c r="O18" s="37"/>
      <c r="P18" s="37"/>
      <c r="Q18" s="37"/>
    </row>
    <row r="19" spans="1:17" ht="15.75" customHeight="1" x14ac:dyDescent="0.25">
      <c r="A19" s="37"/>
      <c r="B19" s="39">
        <v>1</v>
      </c>
      <c r="C19" s="39" t="s">
        <v>393</v>
      </c>
      <c r="D19" s="39" t="s">
        <v>394</v>
      </c>
      <c r="E19" s="42">
        <v>0</v>
      </c>
      <c r="F19" s="42">
        <v>9.8765432098765604E-3</v>
      </c>
      <c r="G19" s="42">
        <v>0</v>
      </c>
      <c r="H19" s="42">
        <v>0</v>
      </c>
      <c r="I19" s="37"/>
      <c r="J19" s="37"/>
      <c r="K19" s="15">
        <v>1</v>
      </c>
      <c r="L19" s="15" t="s">
        <v>395</v>
      </c>
      <c r="M19" s="15" t="s">
        <v>172</v>
      </c>
      <c r="N19" s="43">
        <f>SUM(rebio23_80ml!W3:W50)</f>
        <v>1</v>
      </c>
      <c r="O19" s="37"/>
      <c r="P19" s="37"/>
      <c r="Q19" s="37"/>
    </row>
    <row r="20" spans="1:17" ht="15.75" customHeight="1" x14ac:dyDescent="0.25">
      <c r="A20" s="37"/>
      <c r="B20" s="39">
        <v>1</v>
      </c>
      <c r="C20" s="39" t="s">
        <v>395</v>
      </c>
      <c r="D20" s="39" t="s">
        <v>172</v>
      </c>
      <c r="E20" s="42">
        <v>0</v>
      </c>
      <c r="F20" s="42">
        <v>6.9135802469136004E-2</v>
      </c>
      <c r="G20" s="42">
        <v>1.2266666666666699</v>
      </c>
      <c r="H20" s="42">
        <v>0.17777777777777801</v>
      </c>
      <c r="I20" s="37"/>
      <c r="J20" s="37"/>
      <c r="K20" s="15">
        <v>1</v>
      </c>
      <c r="L20" s="15" t="s">
        <v>396</v>
      </c>
      <c r="M20" s="15" t="s">
        <v>174</v>
      </c>
      <c r="N20" s="43">
        <f>SUM(rebio23_80ml!Y3:Y50)</f>
        <v>10</v>
      </c>
      <c r="O20" s="37"/>
      <c r="P20" s="37"/>
      <c r="Q20" s="37"/>
    </row>
    <row r="21" spans="1:17" ht="15.75" customHeight="1" x14ac:dyDescent="0.25">
      <c r="A21" s="37"/>
      <c r="B21" s="39">
        <v>1</v>
      </c>
      <c r="C21" s="39" t="s">
        <v>397</v>
      </c>
      <c r="D21" s="39" t="s">
        <v>398</v>
      </c>
      <c r="E21" s="42">
        <v>0</v>
      </c>
      <c r="F21" s="42">
        <v>9.8765432098765604E-3</v>
      </c>
      <c r="G21" s="42">
        <v>0.16</v>
      </c>
      <c r="H21" s="42">
        <v>0</v>
      </c>
      <c r="I21" s="37"/>
      <c r="J21" s="37"/>
      <c r="K21" s="15">
        <v>1</v>
      </c>
      <c r="L21" s="15" t="s">
        <v>119</v>
      </c>
      <c r="M21" s="15" t="s">
        <v>175</v>
      </c>
      <c r="N21" s="43">
        <f>SUM(rebio23_80ml!Z3:Z50)</f>
        <v>11</v>
      </c>
      <c r="O21" s="37"/>
      <c r="P21" s="37"/>
      <c r="Q21" s="37"/>
    </row>
    <row r="22" spans="1:17" ht="15.75" customHeight="1" x14ac:dyDescent="0.25">
      <c r="A22" s="37"/>
      <c r="B22" s="39">
        <v>1</v>
      </c>
      <c r="C22" s="39" t="s">
        <v>399</v>
      </c>
      <c r="D22" s="39" t="s">
        <v>400</v>
      </c>
      <c r="E22" s="42">
        <v>0</v>
      </c>
      <c r="F22" s="42">
        <v>0</v>
      </c>
      <c r="G22" s="42">
        <v>0.37333333333333302</v>
      </c>
      <c r="H22" s="42">
        <v>0</v>
      </c>
      <c r="I22" s="37"/>
      <c r="J22" s="37"/>
      <c r="K22" s="15">
        <v>1</v>
      </c>
      <c r="L22" s="15" t="s">
        <v>401</v>
      </c>
      <c r="M22" s="15" t="s">
        <v>176</v>
      </c>
      <c r="N22" s="43">
        <f>SUM(rebio23_80ml!AA3:AA50)</f>
        <v>21</v>
      </c>
      <c r="O22" s="37"/>
      <c r="P22" s="37"/>
      <c r="Q22" s="37"/>
    </row>
    <row r="23" spans="1:17" ht="15.75" customHeight="1" x14ac:dyDescent="0.25">
      <c r="A23" s="37"/>
      <c r="B23" s="39">
        <v>1</v>
      </c>
      <c r="C23" s="39" t="s">
        <v>402</v>
      </c>
      <c r="D23" s="39" t="s">
        <v>403</v>
      </c>
      <c r="E23" s="42">
        <v>9.8765432098765604E-3</v>
      </c>
      <c r="F23" s="42">
        <v>5.9259259259259303E-2</v>
      </c>
      <c r="G23" s="42">
        <v>0</v>
      </c>
      <c r="H23" s="42">
        <v>0</v>
      </c>
      <c r="I23" s="37"/>
      <c r="J23" s="37"/>
      <c r="K23" s="15">
        <v>1</v>
      </c>
      <c r="L23" s="15" t="s">
        <v>404</v>
      </c>
      <c r="M23" s="15" t="s">
        <v>177</v>
      </c>
      <c r="N23" s="43">
        <f>SUM(rebio23_80ml!AB3:AB50)</f>
        <v>2</v>
      </c>
      <c r="O23" s="37"/>
      <c r="P23" s="37"/>
      <c r="Q23" s="37"/>
    </row>
    <row r="24" spans="1:17" ht="15.75" customHeight="1" x14ac:dyDescent="0.25">
      <c r="A24" s="37"/>
      <c r="B24" s="39">
        <v>1</v>
      </c>
      <c r="C24" s="39" t="s">
        <v>396</v>
      </c>
      <c r="D24" s="39" t="s">
        <v>174</v>
      </c>
      <c r="E24" s="42">
        <v>1.97530864197531E-2</v>
      </c>
      <c r="F24" s="42">
        <v>4.9382716049382797E-2</v>
      </c>
      <c r="G24" s="42">
        <v>0.266666666666667</v>
      </c>
      <c r="H24" s="42">
        <v>0</v>
      </c>
      <c r="I24" s="37"/>
      <c r="J24" s="37"/>
      <c r="K24" s="38">
        <v>1</v>
      </c>
      <c r="L24" s="20" t="s">
        <v>123</v>
      </c>
      <c r="M24" s="15" t="s">
        <v>179</v>
      </c>
      <c r="N24" s="43">
        <f>SUM(rebio23_80ml!AD3:AD50)</f>
        <v>5</v>
      </c>
      <c r="O24" s="37"/>
      <c r="P24" s="37"/>
      <c r="Q24" s="37"/>
    </row>
    <row r="25" spans="1:17" ht="15.75" customHeight="1" x14ac:dyDescent="0.25">
      <c r="A25" s="37"/>
      <c r="B25" s="39">
        <v>1</v>
      </c>
      <c r="C25" s="39" t="s">
        <v>405</v>
      </c>
      <c r="D25" s="39" t="s">
        <v>406</v>
      </c>
      <c r="E25" s="42">
        <v>0</v>
      </c>
      <c r="F25" s="42">
        <v>8.8888888888888906E-2</v>
      </c>
      <c r="G25" s="42">
        <v>0</v>
      </c>
      <c r="H25" s="42">
        <v>0</v>
      </c>
      <c r="I25" s="37"/>
      <c r="J25" s="37"/>
      <c r="K25" s="15">
        <v>1</v>
      </c>
      <c r="L25" s="15" t="s">
        <v>407</v>
      </c>
      <c r="M25" s="15" t="s">
        <v>180</v>
      </c>
      <c r="N25" s="43">
        <f>SUM(rebio23_80ml!AE3:AE50)</f>
        <v>2</v>
      </c>
      <c r="O25" s="37"/>
      <c r="P25" s="37"/>
      <c r="Q25" s="37"/>
    </row>
    <row r="26" spans="1:17" ht="15.75" customHeight="1" x14ac:dyDescent="0.25">
      <c r="A26" s="37"/>
      <c r="B26" s="39">
        <v>1</v>
      </c>
      <c r="C26" s="39" t="s">
        <v>119</v>
      </c>
      <c r="D26" s="39" t="s">
        <v>175</v>
      </c>
      <c r="E26" s="42">
        <v>0.148148148148148</v>
      </c>
      <c r="F26" s="42">
        <v>0.108641975308642</v>
      </c>
      <c r="G26" s="42">
        <v>0.32</v>
      </c>
      <c r="H26" s="42">
        <v>0.88888888888888995</v>
      </c>
      <c r="I26" s="37"/>
      <c r="J26" s="37"/>
      <c r="K26" s="38">
        <v>1</v>
      </c>
      <c r="L26" s="45" t="s">
        <v>408</v>
      </c>
      <c r="M26" s="46" t="s">
        <v>173</v>
      </c>
      <c r="N26" s="47">
        <f>SUM(rebio23_80ml!X3:X50)</f>
        <v>2</v>
      </c>
      <c r="O26" s="37"/>
      <c r="P26" s="37"/>
      <c r="Q26" s="37"/>
    </row>
    <row r="27" spans="1:17" ht="15.75" customHeight="1" x14ac:dyDescent="0.25">
      <c r="A27" s="37"/>
      <c r="B27" s="39">
        <v>1</v>
      </c>
      <c r="C27" s="39" t="s">
        <v>401</v>
      </c>
      <c r="D27" s="39" t="s">
        <v>176</v>
      </c>
      <c r="E27" s="42">
        <v>0</v>
      </c>
      <c r="F27" s="42">
        <v>0</v>
      </c>
      <c r="G27" s="42">
        <v>0.266666666666667</v>
      </c>
      <c r="H27" s="42">
        <v>0</v>
      </c>
      <c r="I27" s="37"/>
      <c r="J27" s="37"/>
      <c r="K27" s="38">
        <v>1</v>
      </c>
      <c r="L27" s="45" t="s">
        <v>409</v>
      </c>
      <c r="M27" s="46" t="s">
        <v>178</v>
      </c>
      <c r="N27" s="48">
        <f>SUM(rebio23_80ml!AC3:AC50)</f>
        <v>3</v>
      </c>
      <c r="O27" s="37"/>
      <c r="P27" s="37"/>
      <c r="Q27" s="37"/>
    </row>
    <row r="28" spans="1:17" ht="15.75" customHeight="1" x14ac:dyDescent="0.25">
      <c r="A28" s="37"/>
      <c r="B28" s="39">
        <v>1</v>
      </c>
      <c r="C28" s="39" t="s">
        <v>404</v>
      </c>
      <c r="D28" s="39" t="s">
        <v>177</v>
      </c>
      <c r="E28" s="42">
        <v>0</v>
      </c>
      <c r="F28" s="42">
        <v>3.95061728395062E-2</v>
      </c>
      <c r="G28" s="42">
        <v>0.10666666666666701</v>
      </c>
      <c r="H28" s="42">
        <v>0</v>
      </c>
      <c r="I28" s="37"/>
      <c r="J28" s="37"/>
      <c r="K28" s="38">
        <v>1</v>
      </c>
      <c r="L28" s="45" t="s">
        <v>410</v>
      </c>
      <c r="M28" s="46" t="s">
        <v>181</v>
      </c>
      <c r="N28" s="48">
        <f>SUM(rebio23_80ml!AF3:AF50)</f>
        <v>1</v>
      </c>
      <c r="O28" s="37"/>
      <c r="P28" s="37"/>
      <c r="Q28" s="37"/>
    </row>
    <row r="29" spans="1:17" ht="15.75" customHeight="1" x14ac:dyDescent="0.25">
      <c r="A29" s="37"/>
      <c r="B29" s="39">
        <v>1</v>
      </c>
      <c r="C29" s="39" t="s">
        <v>411</v>
      </c>
      <c r="D29" s="39" t="s">
        <v>412</v>
      </c>
      <c r="E29" s="42">
        <v>1.97530864197531E-2</v>
      </c>
      <c r="F29" s="42">
        <v>9.8765432098765604E-3</v>
      </c>
      <c r="G29" s="42">
        <v>0</v>
      </c>
      <c r="H29" s="42">
        <v>0</v>
      </c>
      <c r="I29" s="37"/>
      <c r="J29" s="37"/>
      <c r="K29" s="15">
        <v>0</v>
      </c>
      <c r="L29" s="40" t="s">
        <v>413</v>
      </c>
      <c r="O29" s="37"/>
      <c r="P29" s="37"/>
      <c r="Q29" s="37"/>
    </row>
    <row r="30" spans="1:17" ht="15.75" customHeight="1" x14ac:dyDescent="0.25">
      <c r="A30" s="37"/>
      <c r="B30" s="39">
        <v>1</v>
      </c>
      <c r="C30" s="39" t="s">
        <v>407</v>
      </c>
      <c r="D30" s="39" t="s">
        <v>180</v>
      </c>
      <c r="E30" s="42">
        <v>9.8765432098765604E-3</v>
      </c>
      <c r="F30" s="42">
        <v>4.9382716049382699E-2</v>
      </c>
      <c r="G30" s="42">
        <v>0</v>
      </c>
      <c r="H30" s="42">
        <v>0.17777777777777801</v>
      </c>
      <c r="I30" s="37"/>
      <c r="J30" s="37"/>
      <c r="K30" s="38">
        <v>1</v>
      </c>
      <c r="L30" s="20" t="s">
        <v>99</v>
      </c>
      <c r="M30" s="15" t="s">
        <v>156</v>
      </c>
      <c r="N30" s="43">
        <f>SUM(rebio23_80ml!F3:F50)</f>
        <v>3</v>
      </c>
      <c r="O30" s="37"/>
      <c r="P30" s="37"/>
      <c r="Q30" s="37"/>
    </row>
    <row r="31" spans="1:17" ht="15.75" customHeight="1" x14ac:dyDescent="0.25">
      <c r="A31" s="37"/>
      <c r="B31" s="39">
        <v>1</v>
      </c>
      <c r="C31" s="39" t="s">
        <v>414</v>
      </c>
      <c r="D31" s="39" t="s">
        <v>415</v>
      </c>
      <c r="E31" s="42">
        <v>9.8765432098765604E-3</v>
      </c>
      <c r="F31" s="42">
        <v>2.96296296296296E-2</v>
      </c>
      <c r="G31" s="42">
        <v>0</v>
      </c>
      <c r="H31" s="42">
        <v>0</v>
      </c>
      <c r="I31" s="37"/>
      <c r="J31" s="37"/>
      <c r="K31" s="38">
        <v>1</v>
      </c>
      <c r="L31" s="20" t="s">
        <v>133</v>
      </c>
      <c r="M31" s="15" t="s">
        <v>189</v>
      </c>
      <c r="N31" s="43">
        <f>SUM(rebio23_80ml!AN3:AN50)</f>
        <v>4</v>
      </c>
      <c r="O31" s="37"/>
      <c r="P31" s="37"/>
      <c r="Q31" s="37"/>
    </row>
    <row r="32" spans="1:17" ht="15.75" customHeight="1" x14ac:dyDescent="0.25">
      <c r="A32" s="37"/>
      <c r="B32" s="39">
        <v>0</v>
      </c>
      <c r="C32" s="36" t="s">
        <v>413</v>
      </c>
      <c r="D32" s="37"/>
      <c r="E32" s="42"/>
      <c r="F32" s="42"/>
      <c r="G32" s="42"/>
      <c r="H32" s="42"/>
      <c r="I32" s="37"/>
      <c r="J32" s="37"/>
      <c r="K32" s="15">
        <v>1</v>
      </c>
      <c r="L32" s="15" t="s">
        <v>144</v>
      </c>
      <c r="M32" s="15" t="s">
        <v>199</v>
      </c>
      <c r="N32" s="43">
        <f>SUM(rebio23_80ml!AY3:AY50)</f>
        <v>8</v>
      </c>
      <c r="O32" s="37"/>
      <c r="P32" s="37"/>
      <c r="Q32" s="37"/>
    </row>
    <row r="33" spans="1:17" ht="15.75" customHeight="1" x14ac:dyDescent="0.25">
      <c r="A33" s="37"/>
      <c r="B33" s="39">
        <v>1</v>
      </c>
      <c r="C33" s="39" t="s">
        <v>416</v>
      </c>
      <c r="D33" s="39" t="s">
        <v>417</v>
      </c>
      <c r="E33" s="42">
        <v>9.8765432098765604E-3</v>
      </c>
      <c r="F33" s="42">
        <v>1.97530864197531E-2</v>
      </c>
      <c r="G33" s="42">
        <v>0</v>
      </c>
      <c r="H33" s="42">
        <v>0</v>
      </c>
      <c r="I33" s="37"/>
      <c r="J33" s="37"/>
      <c r="K33" s="15">
        <v>0</v>
      </c>
      <c r="L33" s="40" t="s">
        <v>418</v>
      </c>
      <c r="M33" s="38"/>
      <c r="O33" s="37"/>
      <c r="P33" s="37"/>
      <c r="Q33" s="37"/>
    </row>
    <row r="34" spans="1:17" ht="15.75" customHeight="1" x14ac:dyDescent="0.25">
      <c r="A34" s="37"/>
      <c r="B34" s="39">
        <v>1</v>
      </c>
      <c r="C34" s="39" t="s">
        <v>419</v>
      </c>
      <c r="D34" s="39" t="s">
        <v>420</v>
      </c>
      <c r="E34" s="42">
        <v>0</v>
      </c>
      <c r="F34" s="42">
        <v>9.8765432098765604E-3</v>
      </c>
      <c r="G34" s="42">
        <v>0</v>
      </c>
      <c r="H34" s="42">
        <v>0</v>
      </c>
      <c r="I34" s="37"/>
      <c r="J34" s="37"/>
      <c r="K34" s="15">
        <v>1</v>
      </c>
      <c r="L34" s="15" t="s">
        <v>421</v>
      </c>
      <c r="M34" s="15" t="s">
        <v>185</v>
      </c>
      <c r="N34" s="43">
        <f>SUM(rebio23_80ml!AJ3:AJ50)</f>
        <v>20</v>
      </c>
      <c r="O34" s="37"/>
      <c r="P34" s="37"/>
      <c r="Q34" s="37"/>
    </row>
    <row r="35" spans="1:17" ht="15.75" customHeight="1" x14ac:dyDescent="0.25">
      <c r="A35" s="37"/>
      <c r="B35" s="39">
        <v>1</v>
      </c>
      <c r="C35" s="39" t="s">
        <v>422</v>
      </c>
      <c r="D35" s="39" t="s">
        <v>423</v>
      </c>
      <c r="E35" s="42">
        <v>0</v>
      </c>
      <c r="F35" s="42">
        <v>1.97530864197531E-2</v>
      </c>
      <c r="G35" s="42">
        <v>0</v>
      </c>
      <c r="H35" s="42">
        <v>0</v>
      </c>
      <c r="I35" s="37"/>
      <c r="J35" s="37"/>
      <c r="K35" s="15">
        <v>1</v>
      </c>
      <c r="L35" s="15" t="s">
        <v>130</v>
      </c>
      <c r="M35" s="15" t="s">
        <v>186</v>
      </c>
      <c r="N35" s="43">
        <f>SUM(rebio23_80ml!AK3:AK50)</f>
        <v>2</v>
      </c>
      <c r="O35" s="37"/>
      <c r="P35" s="37"/>
      <c r="Q35" s="37"/>
    </row>
    <row r="36" spans="1:17" ht="15.75" customHeight="1" x14ac:dyDescent="0.25">
      <c r="A36" s="37"/>
      <c r="B36" s="39">
        <v>1</v>
      </c>
      <c r="C36" s="39" t="s">
        <v>424</v>
      </c>
      <c r="D36" s="39" t="s">
        <v>425</v>
      </c>
      <c r="E36" s="42">
        <v>5.9259259259259199E-2</v>
      </c>
      <c r="F36" s="42">
        <v>3.95061728395062E-2</v>
      </c>
      <c r="G36" s="42">
        <v>0</v>
      </c>
      <c r="H36" s="42">
        <v>0</v>
      </c>
      <c r="I36" s="37"/>
      <c r="J36" s="37"/>
      <c r="K36" s="38">
        <v>1</v>
      </c>
      <c r="L36" s="19" t="s">
        <v>128</v>
      </c>
      <c r="M36" s="18" t="s">
        <v>426</v>
      </c>
      <c r="N36" s="43">
        <f>SUM(rebio23_80ml!AH3:AH49)</f>
        <v>1</v>
      </c>
      <c r="O36" s="37"/>
      <c r="P36" s="37"/>
      <c r="Q36" s="37"/>
    </row>
    <row r="37" spans="1:17" ht="15.75" customHeight="1" x14ac:dyDescent="0.25">
      <c r="A37" s="37"/>
      <c r="B37" s="39">
        <v>1</v>
      </c>
      <c r="C37" s="39" t="s">
        <v>427</v>
      </c>
      <c r="D37" s="39" t="s">
        <v>428</v>
      </c>
      <c r="E37" s="42">
        <v>0</v>
      </c>
      <c r="F37" s="42">
        <v>9.8765432098765604E-3</v>
      </c>
      <c r="G37" s="42">
        <v>0</v>
      </c>
      <c r="H37" s="42">
        <v>0</v>
      </c>
      <c r="I37" s="37"/>
      <c r="J37" s="37"/>
      <c r="K37" s="15">
        <v>1</v>
      </c>
      <c r="L37" s="45" t="s">
        <v>429</v>
      </c>
      <c r="M37" s="15" t="s">
        <v>430</v>
      </c>
      <c r="N37" s="43">
        <f>SUM(rebio23_80ml!AI3:AI50)</f>
        <v>1</v>
      </c>
      <c r="O37" s="37"/>
      <c r="P37" s="37"/>
      <c r="Q37" s="37"/>
    </row>
    <row r="38" spans="1:17" ht="15.75" customHeight="1" x14ac:dyDescent="0.25">
      <c r="A38" s="37"/>
      <c r="B38" s="39">
        <v>1</v>
      </c>
      <c r="C38" s="39" t="s">
        <v>431</v>
      </c>
      <c r="D38" s="39" t="s">
        <v>432</v>
      </c>
      <c r="E38" s="42">
        <v>0</v>
      </c>
      <c r="F38" s="42">
        <v>9.8765432098765604E-3</v>
      </c>
      <c r="G38" s="42">
        <v>2.4</v>
      </c>
      <c r="H38" s="42">
        <v>0.53333333333333299</v>
      </c>
      <c r="I38" s="37"/>
      <c r="J38" s="37"/>
      <c r="K38" s="15">
        <v>0</v>
      </c>
      <c r="L38" s="40" t="s">
        <v>433</v>
      </c>
      <c r="M38" s="38"/>
      <c r="O38" s="37"/>
      <c r="P38" s="37"/>
      <c r="Q38" s="37"/>
    </row>
    <row r="39" spans="1:17" ht="15.75" customHeight="1" x14ac:dyDescent="0.25">
      <c r="A39" s="37"/>
      <c r="B39" s="39">
        <v>1</v>
      </c>
      <c r="C39" s="39" t="s">
        <v>434</v>
      </c>
      <c r="D39" s="39" t="s">
        <v>435</v>
      </c>
      <c r="E39" s="42">
        <v>0</v>
      </c>
      <c r="F39" s="42">
        <v>0</v>
      </c>
      <c r="G39" s="42">
        <v>1.0133333333333301</v>
      </c>
      <c r="H39" s="42">
        <v>0</v>
      </c>
      <c r="I39" s="37"/>
      <c r="J39" s="37"/>
      <c r="K39" s="15">
        <v>1</v>
      </c>
      <c r="L39" s="15" t="s">
        <v>108</v>
      </c>
      <c r="M39" s="15" t="s">
        <v>164</v>
      </c>
      <c r="N39" s="43">
        <f>SUM(rebio23_80ml!O3:O50)</f>
        <v>1</v>
      </c>
      <c r="O39" s="37"/>
      <c r="P39" s="37"/>
      <c r="Q39" s="37"/>
    </row>
    <row r="40" spans="1:17" ht="15.75" customHeight="1" x14ac:dyDescent="0.25">
      <c r="A40" s="37"/>
      <c r="B40" s="39">
        <v>1</v>
      </c>
      <c r="C40" s="39" t="s">
        <v>144</v>
      </c>
      <c r="D40" s="39" t="s">
        <v>199</v>
      </c>
      <c r="E40" s="42">
        <v>0</v>
      </c>
      <c r="F40" s="42">
        <v>9.8765432098765604E-3</v>
      </c>
      <c r="G40" s="42">
        <v>5.3333333333333302E-2</v>
      </c>
      <c r="H40" s="42">
        <v>0</v>
      </c>
      <c r="I40" s="37"/>
      <c r="J40" s="37"/>
      <c r="K40" s="15">
        <v>0</v>
      </c>
      <c r="L40" s="40" t="s">
        <v>436</v>
      </c>
      <c r="M40" s="38"/>
      <c r="O40" s="37"/>
      <c r="P40" s="37"/>
      <c r="Q40" s="37"/>
    </row>
    <row r="41" spans="1:17" ht="15.75" customHeight="1" x14ac:dyDescent="0.25">
      <c r="A41" s="37"/>
      <c r="B41" s="39">
        <v>1</v>
      </c>
      <c r="C41" s="39" t="s">
        <v>437</v>
      </c>
      <c r="D41" s="39" t="s">
        <v>438</v>
      </c>
      <c r="E41" s="42">
        <v>0</v>
      </c>
      <c r="F41" s="42">
        <v>9.8765432098765604E-3</v>
      </c>
      <c r="G41" s="42">
        <v>0</v>
      </c>
      <c r="H41" s="42">
        <v>0</v>
      </c>
      <c r="I41" s="37"/>
      <c r="J41" s="37"/>
      <c r="K41" s="15">
        <v>1</v>
      </c>
      <c r="L41" s="15" t="s">
        <v>439</v>
      </c>
      <c r="M41" s="15" t="s">
        <v>201</v>
      </c>
      <c r="N41" s="43">
        <f>SUM(rebio23_80ml!BA3:BA50)</f>
        <v>36</v>
      </c>
      <c r="O41" s="37"/>
      <c r="P41" s="37"/>
      <c r="Q41" s="37"/>
    </row>
    <row r="42" spans="1:17" ht="15.75" customHeight="1" x14ac:dyDescent="0.25">
      <c r="A42" s="37"/>
      <c r="B42" s="39">
        <v>1</v>
      </c>
      <c r="C42" s="39" t="s">
        <v>440</v>
      </c>
      <c r="D42" s="39" t="s">
        <v>441</v>
      </c>
      <c r="E42" s="42">
        <v>0</v>
      </c>
      <c r="F42" s="42">
        <v>9.8765432098765604E-3</v>
      </c>
      <c r="G42" s="42">
        <v>0</v>
      </c>
      <c r="H42" s="42">
        <v>0</v>
      </c>
      <c r="I42" s="37"/>
      <c r="J42" s="37"/>
      <c r="K42" s="38">
        <v>1</v>
      </c>
      <c r="L42" s="19" t="s">
        <v>147</v>
      </c>
      <c r="M42" s="18" t="s">
        <v>202</v>
      </c>
      <c r="N42" s="43">
        <f>SUM(rebio23_80ml!BB3:BB50)</f>
        <v>2</v>
      </c>
      <c r="O42" s="37"/>
      <c r="P42" s="37"/>
      <c r="Q42" s="37"/>
    </row>
    <row r="43" spans="1:17" ht="15.75" customHeight="1" x14ac:dyDescent="0.25">
      <c r="A43" s="37"/>
      <c r="B43" s="39">
        <v>1</v>
      </c>
      <c r="C43" s="39" t="s">
        <v>442</v>
      </c>
      <c r="D43" s="39" t="s">
        <v>443</v>
      </c>
      <c r="E43" s="42">
        <v>0</v>
      </c>
      <c r="F43" s="42">
        <v>3.95061728395062E-2</v>
      </c>
      <c r="G43" s="42">
        <v>0</v>
      </c>
      <c r="H43" s="42">
        <v>0</v>
      </c>
      <c r="I43" s="37"/>
      <c r="J43" s="37"/>
      <c r="K43" s="15">
        <v>1</v>
      </c>
      <c r="L43" s="15" t="s">
        <v>444</v>
      </c>
      <c r="M43" s="15" t="s">
        <v>203</v>
      </c>
      <c r="N43" s="43">
        <f>SUM(rebio23_80ml!BC3:BC50)</f>
        <v>145</v>
      </c>
      <c r="O43" s="37"/>
      <c r="P43" s="37"/>
      <c r="Q43" s="37"/>
    </row>
    <row r="44" spans="1:17" ht="15.75" customHeight="1" x14ac:dyDescent="0.25">
      <c r="A44" s="37"/>
      <c r="B44" s="39">
        <v>1</v>
      </c>
      <c r="C44" s="39" t="s">
        <v>445</v>
      </c>
      <c r="D44" s="39" t="s">
        <v>446</v>
      </c>
      <c r="E44" s="42">
        <v>0</v>
      </c>
      <c r="F44" s="42">
        <v>1.97530864197531E-2</v>
      </c>
      <c r="G44" s="42">
        <v>0</v>
      </c>
      <c r="H44" s="42">
        <v>0</v>
      </c>
      <c r="I44" s="37"/>
      <c r="J44" s="37"/>
      <c r="K44" s="15">
        <v>1</v>
      </c>
      <c r="L44" s="15" t="s">
        <v>145</v>
      </c>
      <c r="M44" s="15" t="s">
        <v>200</v>
      </c>
      <c r="N44" s="43">
        <f>SUM(rebio23_80ml!AZ3:AZ50)</f>
        <v>8</v>
      </c>
      <c r="O44" s="37"/>
      <c r="P44" s="37"/>
      <c r="Q44" s="37"/>
    </row>
    <row r="45" spans="1:17" ht="15.75" customHeight="1" x14ac:dyDescent="0.25">
      <c r="A45" s="37"/>
      <c r="B45" s="39">
        <v>1</v>
      </c>
      <c r="C45" s="39" t="s">
        <v>447</v>
      </c>
      <c r="D45" s="39" t="s">
        <v>448</v>
      </c>
      <c r="E45" s="42">
        <v>0</v>
      </c>
      <c r="F45" s="42">
        <v>2.96296296296297E-2</v>
      </c>
      <c r="G45" s="42">
        <v>0.42666666666666703</v>
      </c>
      <c r="H45" s="42">
        <v>0</v>
      </c>
      <c r="I45" s="37"/>
      <c r="J45" s="37"/>
      <c r="K45" s="15">
        <v>0</v>
      </c>
      <c r="L45" s="40" t="s">
        <v>449</v>
      </c>
      <c r="M45" s="38"/>
      <c r="O45" s="37"/>
      <c r="P45" s="37"/>
      <c r="Q45" s="37"/>
    </row>
    <row r="46" spans="1:17" ht="15.75" customHeight="1" x14ac:dyDescent="0.25">
      <c r="A46" s="37"/>
      <c r="B46" s="39">
        <v>1</v>
      </c>
      <c r="C46" s="39" t="s">
        <v>450</v>
      </c>
      <c r="D46" s="39" t="s">
        <v>451</v>
      </c>
      <c r="E46" s="42">
        <v>9.8765432098765604E-3</v>
      </c>
      <c r="F46" s="42">
        <v>0</v>
      </c>
      <c r="G46" s="42">
        <v>0</v>
      </c>
      <c r="H46" s="42">
        <v>0</v>
      </c>
      <c r="I46" s="37"/>
      <c r="J46" s="37"/>
      <c r="K46" s="15">
        <v>1</v>
      </c>
      <c r="L46" s="49" t="s">
        <v>452</v>
      </c>
      <c r="M46" s="15" t="s">
        <v>158</v>
      </c>
      <c r="N46" s="43">
        <f>SUM(rebio23_80ml!H3:H50)</f>
        <v>8</v>
      </c>
      <c r="O46" s="37"/>
      <c r="P46" s="37"/>
      <c r="Q46" s="37"/>
    </row>
    <row r="47" spans="1:17" ht="15.75" customHeight="1" x14ac:dyDescent="0.25">
      <c r="A47" s="37"/>
      <c r="B47" s="39">
        <v>0</v>
      </c>
      <c r="C47" s="36" t="s">
        <v>418</v>
      </c>
      <c r="D47" s="37"/>
      <c r="E47" s="42"/>
      <c r="F47" s="42"/>
      <c r="G47" s="42"/>
      <c r="H47" s="42"/>
      <c r="I47" s="37"/>
      <c r="J47" s="37"/>
      <c r="K47" s="15">
        <v>0</v>
      </c>
      <c r="L47" s="40" t="s">
        <v>453</v>
      </c>
      <c r="M47" s="38"/>
      <c r="O47" s="37"/>
      <c r="P47" s="37"/>
      <c r="Q47" s="37"/>
    </row>
    <row r="48" spans="1:17" ht="15.75" customHeight="1" x14ac:dyDescent="0.25">
      <c r="A48" s="37"/>
      <c r="B48" s="39">
        <v>1</v>
      </c>
      <c r="C48" s="39" t="s">
        <v>421</v>
      </c>
      <c r="D48" s="39" t="s">
        <v>185</v>
      </c>
      <c r="E48" s="42">
        <v>0</v>
      </c>
      <c r="F48" s="42">
        <v>3.95061728395062E-2</v>
      </c>
      <c r="G48" s="42">
        <v>0.16</v>
      </c>
      <c r="H48" s="42">
        <v>0</v>
      </c>
      <c r="I48" s="37"/>
      <c r="J48" s="37"/>
      <c r="K48" s="15">
        <v>1</v>
      </c>
      <c r="L48" s="15" t="s">
        <v>454</v>
      </c>
      <c r="M48" s="15" t="s">
        <v>194</v>
      </c>
      <c r="N48" s="43">
        <f>SUM(rebio23_80ml!AS3:AS50)</f>
        <v>1</v>
      </c>
      <c r="O48" s="37"/>
      <c r="P48" s="37"/>
      <c r="Q48" s="37"/>
    </row>
    <row r="49" spans="1:17" ht="15.75" customHeight="1" x14ac:dyDescent="0.25">
      <c r="A49" s="37"/>
      <c r="B49" s="39">
        <v>1</v>
      </c>
      <c r="C49" s="39" t="s">
        <v>455</v>
      </c>
      <c r="D49" s="39" t="s">
        <v>456</v>
      </c>
      <c r="E49" s="42">
        <v>0</v>
      </c>
      <c r="F49" s="42">
        <v>0.36543209876543198</v>
      </c>
      <c r="G49" s="42">
        <v>0</v>
      </c>
      <c r="H49" s="42">
        <v>0</v>
      </c>
      <c r="I49" s="37"/>
      <c r="J49" s="37"/>
      <c r="K49" s="38">
        <v>1</v>
      </c>
      <c r="L49" s="19" t="s">
        <v>140</v>
      </c>
      <c r="M49" s="35" t="s">
        <v>196</v>
      </c>
      <c r="N49" s="43">
        <f>SUM(rebio23_80ml!AU3:AU50)</f>
        <v>1</v>
      </c>
      <c r="O49" s="37"/>
      <c r="P49" s="37"/>
      <c r="Q49" s="37"/>
    </row>
    <row r="50" spans="1:17" ht="15.75" customHeight="1" x14ac:dyDescent="0.25">
      <c r="A50" s="37"/>
      <c r="B50" s="39">
        <v>1</v>
      </c>
      <c r="C50" s="39" t="s">
        <v>130</v>
      </c>
      <c r="D50" s="39" t="s">
        <v>186</v>
      </c>
      <c r="E50" s="42">
        <v>0</v>
      </c>
      <c r="F50" s="42">
        <v>8.8888888888888906E-2</v>
      </c>
      <c r="G50" s="42">
        <v>5.8133333333333397</v>
      </c>
      <c r="H50" s="42">
        <v>1.9555555555555499</v>
      </c>
      <c r="I50" s="37"/>
      <c r="J50" s="37"/>
      <c r="K50" s="15">
        <v>1</v>
      </c>
      <c r="L50" s="15" t="s">
        <v>139</v>
      </c>
      <c r="M50" s="15" t="s">
        <v>195</v>
      </c>
      <c r="N50" s="43">
        <f>SUM(rebio23_80ml!AT3:AT50)</f>
        <v>2</v>
      </c>
      <c r="O50" s="37"/>
      <c r="P50" s="37"/>
      <c r="Q50" s="37"/>
    </row>
    <row r="51" spans="1:17" ht="15.75" customHeight="1" x14ac:dyDescent="0.25">
      <c r="A51" s="37"/>
      <c r="B51" s="39">
        <v>1</v>
      </c>
      <c r="C51" s="39" t="s">
        <v>429</v>
      </c>
      <c r="D51" s="39" t="s">
        <v>430</v>
      </c>
      <c r="E51" s="42">
        <v>0.108641975308642</v>
      </c>
      <c r="F51" s="42">
        <v>0.54320987654320996</v>
      </c>
      <c r="G51" s="42">
        <v>0</v>
      </c>
      <c r="H51" s="42">
        <v>0</v>
      </c>
      <c r="I51" s="37"/>
      <c r="J51" s="37"/>
      <c r="K51" s="15">
        <v>0</v>
      </c>
      <c r="L51" s="40" t="s">
        <v>457</v>
      </c>
      <c r="M51" s="38"/>
      <c r="O51" s="37"/>
      <c r="P51" s="37"/>
      <c r="Q51" s="37"/>
    </row>
    <row r="52" spans="1:17" ht="15.75" customHeight="1" x14ac:dyDescent="0.25">
      <c r="A52" s="37"/>
      <c r="B52" s="39">
        <v>0</v>
      </c>
      <c r="C52" s="36" t="s">
        <v>433</v>
      </c>
      <c r="D52" s="37"/>
      <c r="E52" s="37"/>
      <c r="F52" s="37"/>
      <c r="G52" s="37"/>
      <c r="H52" s="37"/>
      <c r="I52" s="37"/>
      <c r="J52" s="37"/>
      <c r="K52" s="15">
        <v>1</v>
      </c>
      <c r="L52" s="15" t="s">
        <v>458</v>
      </c>
      <c r="M52" s="15" t="s">
        <v>207</v>
      </c>
      <c r="N52" s="43">
        <f>SUM(rebio23_80ml!BG3:BG50)</f>
        <v>2</v>
      </c>
      <c r="O52" s="37"/>
      <c r="P52" s="37"/>
      <c r="Q52" s="37"/>
    </row>
    <row r="53" spans="1:17" ht="15.75" customHeight="1" x14ac:dyDescent="0.25">
      <c r="A53" s="37"/>
      <c r="B53" s="39">
        <v>1</v>
      </c>
      <c r="C53" s="39" t="s">
        <v>108</v>
      </c>
      <c r="D53" s="39" t="s">
        <v>164</v>
      </c>
      <c r="E53" s="42">
        <v>0</v>
      </c>
      <c r="F53" s="42">
        <v>0</v>
      </c>
      <c r="G53" s="42">
        <v>0.10666666666666701</v>
      </c>
      <c r="H53" s="42">
        <v>0</v>
      </c>
      <c r="I53" s="37"/>
      <c r="J53" s="37"/>
      <c r="K53" s="15">
        <v>0</v>
      </c>
      <c r="L53" s="40" t="s">
        <v>459</v>
      </c>
      <c r="M53" s="38"/>
      <c r="O53" s="37"/>
      <c r="P53" s="37"/>
      <c r="Q53" s="37"/>
    </row>
    <row r="54" spans="1:17" ht="15.75" customHeight="1" x14ac:dyDescent="0.25">
      <c r="A54" s="37"/>
      <c r="B54" s="39">
        <v>1</v>
      </c>
      <c r="C54" s="39" t="s">
        <v>460</v>
      </c>
      <c r="D54" s="39" t="s">
        <v>461</v>
      </c>
      <c r="E54" s="42">
        <v>0</v>
      </c>
      <c r="F54" s="42">
        <v>0</v>
      </c>
      <c r="G54" s="42">
        <v>5.3333333333333302E-2</v>
      </c>
      <c r="H54" s="42">
        <v>0</v>
      </c>
      <c r="I54" s="37"/>
      <c r="J54" s="37"/>
      <c r="K54" s="15">
        <v>1</v>
      </c>
      <c r="L54" s="49" t="s">
        <v>109</v>
      </c>
      <c r="M54" s="15" t="s">
        <v>165</v>
      </c>
      <c r="N54" s="43">
        <f>SUM(rebio23_80ml!P3:P50)</f>
        <v>2</v>
      </c>
      <c r="O54" s="37"/>
      <c r="P54" s="37"/>
      <c r="Q54" s="37"/>
    </row>
    <row r="55" spans="1:17" ht="15.75" customHeight="1" x14ac:dyDescent="0.25">
      <c r="A55" s="37"/>
      <c r="B55" s="39">
        <v>1</v>
      </c>
      <c r="C55" s="39" t="s">
        <v>462</v>
      </c>
      <c r="D55" s="39" t="s">
        <v>463</v>
      </c>
      <c r="E55" s="42">
        <v>0</v>
      </c>
      <c r="F55" s="42">
        <v>0.148148148148148</v>
      </c>
      <c r="G55" s="42">
        <v>0</v>
      </c>
      <c r="H55" s="42">
        <v>0</v>
      </c>
      <c r="I55" s="37"/>
      <c r="J55" s="37"/>
      <c r="K55" s="15">
        <v>0</v>
      </c>
      <c r="L55" s="40" t="s">
        <v>464</v>
      </c>
      <c r="M55" s="38"/>
      <c r="O55" s="37"/>
      <c r="P55" s="37"/>
      <c r="Q55" s="37"/>
    </row>
    <row r="56" spans="1:17" ht="15.75" customHeight="1" x14ac:dyDescent="0.25">
      <c r="A56" s="37"/>
      <c r="B56" s="39">
        <v>0</v>
      </c>
      <c r="C56" s="36" t="s">
        <v>465</v>
      </c>
      <c r="D56" s="37"/>
      <c r="E56" s="42"/>
      <c r="F56" s="42"/>
      <c r="G56" s="42"/>
      <c r="H56" s="42"/>
      <c r="I56" s="37"/>
      <c r="J56" s="37"/>
      <c r="K56" s="38">
        <v>1</v>
      </c>
      <c r="L56" s="35" t="s">
        <v>150</v>
      </c>
      <c r="M56" s="35" t="s">
        <v>205</v>
      </c>
      <c r="N56" s="43">
        <f>SUM(rebio23_80ml!BE3:BE50)</f>
        <v>3</v>
      </c>
      <c r="O56" s="37"/>
      <c r="P56" s="37"/>
      <c r="Q56" s="37"/>
    </row>
    <row r="57" spans="1:17" ht="15.75" customHeight="1" x14ac:dyDescent="0.25">
      <c r="A57" s="37"/>
      <c r="B57" s="39">
        <v>1</v>
      </c>
      <c r="C57" s="39" t="s">
        <v>466</v>
      </c>
      <c r="D57" s="39" t="s">
        <v>467</v>
      </c>
      <c r="E57" s="42">
        <v>0</v>
      </c>
      <c r="F57" s="42">
        <v>9.8765432098765604E-3</v>
      </c>
      <c r="G57" s="42">
        <v>0</v>
      </c>
      <c r="H57" s="42">
        <v>0</v>
      </c>
      <c r="I57" s="37"/>
      <c r="J57" s="37"/>
      <c r="K57" s="38">
        <v>1</v>
      </c>
      <c r="L57" s="20" t="s">
        <v>149</v>
      </c>
      <c r="M57" s="15" t="s">
        <v>204</v>
      </c>
      <c r="N57" s="43">
        <f>SUM(rebio23_80ml!BD3:BD50)</f>
        <v>15</v>
      </c>
      <c r="O57" s="37"/>
      <c r="P57" s="37"/>
      <c r="Q57" s="37"/>
    </row>
    <row r="58" spans="1:17" ht="15.75" customHeight="1" x14ac:dyDescent="0.25">
      <c r="A58" s="37"/>
      <c r="B58" s="39">
        <v>1</v>
      </c>
      <c r="C58" s="39" t="s">
        <v>468</v>
      </c>
      <c r="D58" s="39" t="s">
        <v>469</v>
      </c>
      <c r="E58" s="42">
        <v>0</v>
      </c>
      <c r="F58" s="42">
        <v>0</v>
      </c>
      <c r="G58" s="42">
        <v>0.10666666666666701</v>
      </c>
      <c r="H58" s="42">
        <v>0</v>
      </c>
      <c r="I58" s="37"/>
      <c r="J58" s="37"/>
      <c r="K58" s="15">
        <v>0</v>
      </c>
      <c r="L58" s="40" t="s">
        <v>470</v>
      </c>
      <c r="M58" s="38"/>
      <c r="O58" s="37"/>
      <c r="P58" s="37"/>
      <c r="Q58" s="37"/>
    </row>
    <row r="59" spans="1:17" ht="15.75" customHeight="1" x14ac:dyDescent="0.25">
      <c r="A59" s="37"/>
      <c r="B59" s="39">
        <v>1</v>
      </c>
      <c r="C59" s="39" t="s">
        <v>471</v>
      </c>
      <c r="D59" s="39" t="s">
        <v>472</v>
      </c>
      <c r="E59" s="42">
        <v>9.8765432098765604E-3</v>
      </c>
      <c r="F59" s="42">
        <v>0</v>
      </c>
      <c r="G59" s="42">
        <v>0</v>
      </c>
      <c r="H59" s="42">
        <v>0</v>
      </c>
      <c r="I59" s="37"/>
      <c r="J59" s="37"/>
      <c r="K59" s="15">
        <v>1</v>
      </c>
      <c r="L59" s="15" t="s">
        <v>151</v>
      </c>
      <c r="M59" s="15" t="s">
        <v>206</v>
      </c>
      <c r="N59" s="43">
        <f>SUM(rebio23_80ml!BF3:BF50)</f>
        <v>2</v>
      </c>
      <c r="O59" s="37"/>
      <c r="P59" s="37"/>
      <c r="Q59" s="37"/>
    </row>
    <row r="60" spans="1:17" ht="15.75" customHeight="1" x14ac:dyDescent="0.25">
      <c r="A60" s="37"/>
      <c r="B60" s="39">
        <v>0</v>
      </c>
      <c r="C60" s="36" t="s">
        <v>436</v>
      </c>
      <c r="D60" s="37"/>
      <c r="E60" s="42"/>
      <c r="F60" s="42"/>
      <c r="G60" s="42"/>
      <c r="H60" s="42"/>
      <c r="I60" s="37"/>
      <c r="J60" s="37"/>
      <c r="L60" s="40" t="s">
        <v>473</v>
      </c>
      <c r="M60" s="38"/>
      <c r="O60" s="37"/>
      <c r="P60" s="37"/>
      <c r="Q60" s="37"/>
    </row>
    <row r="61" spans="1:17" ht="15.75" customHeight="1" x14ac:dyDescent="0.25">
      <c r="A61" s="37"/>
      <c r="B61" s="39">
        <v>1</v>
      </c>
      <c r="C61" s="39" t="s">
        <v>146</v>
      </c>
      <c r="D61" s="39" t="s">
        <v>201</v>
      </c>
      <c r="E61" s="42">
        <v>0</v>
      </c>
      <c r="F61" s="42">
        <v>0</v>
      </c>
      <c r="G61" s="42">
        <v>5.8133333333333397</v>
      </c>
      <c r="H61" s="42">
        <v>0</v>
      </c>
      <c r="I61" s="37"/>
      <c r="J61" s="37"/>
      <c r="L61" s="40" t="s">
        <v>474</v>
      </c>
      <c r="M61" s="38"/>
      <c r="O61" s="37"/>
      <c r="P61" s="37"/>
      <c r="Q61" s="37"/>
    </row>
    <row r="62" spans="1:17" ht="15.75" customHeight="1" x14ac:dyDescent="0.25">
      <c r="A62" s="37"/>
      <c r="B62" s="39">
        <v>1</v>
      </c>
      <c r="C62" s="39" t="s">
        <v>148</v>
      </c>
      <c r="D62" s="39" t="s">
        <v>203</v>
      </c>
      <c r="E62" s="42">
        <v>0</v>
      </c>
      <c r="F62" s="42">
        <v>0</v>
      </c>
      <c r="G62" s="42">
        <v>1.92</v>
      </c>
      <c r="H62" s="42">
        <v>0</v>
      </c>
      <c r="I62" s="37"/>
      <c r="J62" s="37"/>
      <c r="L62" s="40" t="s">
        <v>475</v>
      </c>
      <c r="M62" s="38"/>
      <c r="O62" s="37"/>
      <c r="P62" s="37"/>
      <c r="Q62" s="37"/>
    </row>
    <row r="63" spans="1:17" ht="15.75" customHeight="1" x14ac:dyDescent="0.25">
      <c r="A63" s="37"/>
      <c r="B63" s="39">
        <v>1</v>
      </c>
      <c r="C63" s="39" t="s">
        <v>145</v>
      </c>
      <c r="D63" s="39" t="s">
        <v>200</v>
      </c>
      <c r="E63" s="42">
        <v>0</v>
      </c>
      <c r="F63" s="42">
        <v>9.8765432098765604E-3</v>
      </c>
      <c r="G63" s="42">
        <v>0</v>
      </c>
      <c r="H63" s="42">
        <v>0</v>
      </c>
      <c r="I63" s="37"/>
      <c r="J63" s="37"/>
      <c r="K63" s="15">
        <v>0</v>
      </c>
      <c r="L63" s="40" t="s">
        <v>476</v>
      </c>
      <c r="M63" s="38"/>
      <c r="O63" s="37"/>
      <c r="P63" s="37"/>
      <c r="Q63" s="37"/>
    </row>
    <row r="64" spans="1:17" ht="15.75" customHeight="1" x14ac:dyDescent="0.25">
      <c r="A64" s="37"/>
      <c r="B64" s="39">
        <v>0</v>
      </c>
      <c r="C64" s="36" t="s">
        <v>449</v>
      </c>
      <c r="D64" s="37"/>
      <c r="E64" s="42"/>
      <c r="F64" s="42"/>
      <c r="G64" s="42"/>
      <c r="H64" s="42"/>
      <c r="I64" s="37"/>
      <c r="J64" s="37"/>
      <c r="K64" s="15">
        <v>1</v>
      </c>
      <c r="L64" s="15" t="s">
        <v>95</v>
      </c>
      <c r="M64" s="15" t="s">
        <v>153</v>
      </c>
      <c r="N64" s="43">
        <f>SUM(rebio23_80ml!B3:B50)</f>
        <v>26</v>
      </c>
      <c r="O64" s="37"/>
      <c r="P64" s="37"/>
      <c r="Q64" s="37"/>
    </row>
    <row r="65" spans="1:17" ht="15.75" customHeight="1" x14ac:dyDescent="0.25">
      <c r="A65" s="37"/>
      <c r="B65" s="39">
        <v>1</v>
      </c>
      <c r="C65" s="39" t="s">
        <v>477</v>
      </c>
      <c r="D65" s="39" t="s">
        <v>478</v>
      </c>
      <c r="E65" s="42">
        <v>0</v>
      </c>
      <c r="F65" s="42">
        <v>1.97530864197531E-2</v>
      </c>
      <c r="G65" s="42">
        <v>0</v>
      </c>
      <c r="H65" s="42">
        <v>0</v>
      </c>
      <c r="I65" s="37"/>
      <c r="J65" s="37"/>
      <c r="K65" s="15">
        <v>1</v>
      </c>
      <c r="L65" s="15" t="s">
        <v>96</v>
      </c>
      <c r="M65" s="15" t="s">
        <v>154</v>
      </c>
      <c r="N65" s="43">
        <f>SUM(rebio23_80ml!C3:C50)</f>
        <v>4</v>
      </c>
      <c r="O65"/>
      <c r="P65" s="37"/>
      <c r="Q65" s="37"/>
    </row>
    <row r="66" spans="1:17" ht="15.75" customHeight="1" x14ac:dyDescent="0.25">
      <c r="A66" s="37"/>
      <c r="B66" s="39">
        <v>1</v>
      </c>
      <c r="C66" s="39" t="s">
        <v>452</v>
      </c>
      <c r="D66" s="39" t="s">
        <v>158</v>
      </c>
      <c r="E66" s="42">
        <v>9.8765432098765604E-3</v>
      </c>
      <c r="F66" s="42">
        <v>0.42469135802469199</v>
      </c>
      <c r="G66" s="42">
        <v>0</v>
      </c>
      <c r="H66" s="42">
        <v>0</v>
      </c>
      <c r="I66" s="37"/>
      <c r="J66" s="37"/>
      <c r="K66" s="15">
        <v>1</v>
      </c>
      <c r="L66" s="15" t="s">
        <v>97</v>
      </c>
      <c r="M66" s="15" t="s">
        <v>155</v>
      </c>
      <c r="N66" s="43">
        <f>SUM(rebio23_80ml!D3:D50)</f>
        <v>3</v>
      </c>
      <c r="O66" s="37"/>
      <c r="P66" s="37"/>
      <c r="Q66" s="37"/>
    </row>
    <row r="67" spans="1:17" ht="15.75" customHeight="1" x14ac:dyDescent="0.25">
      <c r="A67" s="37"/>
      <c r="B67" s="39">
        <v>0</v>
      </c>
      <c r="C67" s="36" t="s">
        <v>453</v>
      </c>
      <c r="D67" s="37"/>
      <c r="E67" s="42"/>
      <c r="F67" s="42"/>
      <c r="G67" s="42"/>
      <c r="H67" s="42"/>
      <c r="I67" s="37"/>
      <c r="J67" s="37"/>
      <c r="K67" s="38">
        <v>1</v>
      </c>
      <c r="L67" s="15" t="s">
        <v>103</v>
      </c>
      <c r="M67" s="15" t="s">
        <v>159</v>
      </c>
      <c r="N67" s="43">
        <f>SUM(rebio23_80ml!J3:J50)</f>
        <v>2</v>
      </c>
      <c r="O67" s="37"/>
      <c r="P67" s="37"/>
      <c r="Q67" s="37"/>
    </row>
    <row r="68" spans="1:17" ht="15.75" customHeight="1" x14ac:dyDescent="0.25">
      <c r="A68" s="37"/>
      <c r="B68" s="39">
        <v>1</v>
      </c>
      <c r="C68" s="39" t="s">
        <v>454</v>
      </c>
      <c r="D68" s="39" t="s">
        <v>194</v>
      </c>
      <c r="E68" s="42">
        <v>0</v>
      </c>
      <c r="F68" s="42">
        <v>3.95061728395062E-2</v>
      </c>
      <c r="G68" s="42">
        <v>0</v>
      </c>
      <c r="H68" s="42">
        <v>0</v>
      </c>
      <c r="I68" s="37"/>
      <c r="J68" s="37"/>
      <c r="K68" s="15">
        <v>1</v>
      </c>
      <c r="L68" s="20" t="s">
        <v>126</v>
      </c>
      <c r="M68" s="15" t="s">
        <v>182</v>
      </c>
      <c r="N68" s="43">
        <f>SUM(rebio23_80ml!AG3:AG50)</f>
        <v>1</v>
      </c>
      <c r="O68" s="37"/>
      <c r="P68" s="37"/>
      <c r="Q68" s="37"/>
    </row>
    <row r="69" spans="1:17" ht="15.75" customHeight="1" x14ac:dyDescent="0.25">
      <c r="A69" s="37"/>
      <c r="B69" s="39">
        <v>1</v>
      </c>
      <c r="C69" s="39" t="s">
        <v>139</v>
      </c>
      <c r="D69" s="39" t="s">
        <v>195</v>
      </c>
      <c r="E69" s="42">
        <v>1.97530864197531E-2</v>
      </c>
      <c r="F69" s="42">
        <v>8.8888888888888906E-2</v>
      </c>
      <c r="G69" s="42">
        <v>0</v>
      </c>
      <c r="H69" s="42">
        <v>0</v>
      </c>
      <c r="I69" s="37"/>
      <c r="J69" s="37"/>
      <c r="K69" s="15">
        <v>0</v>
      </c>
      <c r="L69" s="40" t="s">
        <v>479</v>
      </c>
      <c r="O69" s="37"/>
      <c r="P69" s="37"/>
      <c r="Q69" s="37"/>
    </row>
    <row r="70" spans="1:17" ht="15.75" customHeight="1" x14ac:dyDescent="0.25">
      <c r="A70" s="37"/>
      <c r="B70" s="39">
        <v>0</v>
      </c>
      <c r="C70" s="36" t="s">
        <v>457</v>
      </c>
      <c r="D70" s="37"/>
      <c r="E70" s="42"/>
      <c r="F70" s="42"/>
      <c r="G70" s="42"/>
      <c r="H70" s="42"/>
      <c r="I70" s="37"/>
      <c r="J70" s="37"/>
      <c r="K70" s="15">
        <v>1</v>
      </c>
      <c r="L70" s="15" t="s">
        <v>480</v>
      </c>
      <c r="M70" s="15" t="s">
        <v>192</v>
      </c>
      <c r="N70" s="43">
        <f>SUM(rebio23_80ml!AQ3:AQ50)</f>
        <v>10</v>
      </c>
      <c r="O70" s="37"/>
      <c r="P70" s="37"/>
      <c r="Q70" s="37"/>
    </row>
    <row r="71" spans="1:17" ht="15.75" customHeight="1" x14ac:dyDescent="0.25">
      <c r="A71" s="37"/>
      <c r="B71" s="39">
        <v>1</v>
      </c>
      <c r="C71" s="39" t="s">
        <v>481</v>
      </c>
      <c r="D71" s="39" t="s">
        <v>482</v>
      </c>
      <c r="E71" s="42">
        <v>0</v>
      </c>
      <c r="F71" s="42">
        <v>0</v>
      </c>
      <c r="G71" s="42">
        <v>5.3333333333333302E-2</v>
      </c>
      <c r="H71" s="42">
        <v>0</v>
      </c>
      <c r="I71" s="37"/>
      <c r="J71" s="37"/>
      <c r="K71" s="15">
        <v>1</v>
      </c>
      <c r="L71" s="15" t="s">
        <v>483</v>
      </c>
      <c r="M71" s="15" t="s">
        <v>191</v>
      </c>
      <c r="N71" s="43">
        <f>SUM(rebio23_80ml!AP3:AP50)</f>
        <v>3</v>
      </c>
      <c r="O71" s="37"/>
      <c r="P71" s="37"/>
      <c r="Q71" s="37"/>
    </row>
    <row r="72" spans="1:17" ht="15.75" customHeight="1" x14ac:dyDescent="0.25">
      <c r="A72" s="37"/>
      <c r="B72" s="39">
        <v>1</v>
      </c>
      <c r="C72" s="39" t="s">
        <v>458</v>
      </c>
      <c r="D72" s="39" t="s">
        <v>207</v>
      </c>
      <c r="E72" s="42">
        <v>0</v>
      </c>
      <c r="F72" s="42">
        <v>3.95061728395062E-2</v>
      </c>
      <c r="G72" s="42">
        <v>0.16</v>
      </c>
      <c r="H72" s="42">
        <v>0</v>
      </c>
      <c r="I72" s="37"/>
      <c r="J72" s="37"/>
      <c r="K72" s="15">
        <v>1</v>
      </c>
      <c r="L72" s="15" t="s">
        <v>134</v>
      </c>
      <c r="M72" s="15" t="s">
        <v>190</v>
      </c>
      <c r="N72" s="43">
        <f>SUM(rebio23_80ml!AO3:AO50)</f>
        <v>10</v>
      </c>
      <c r="O72" s="37"/>
      <c r="P72" s="37"/>
      <c r="Q72" s="37"/>
    </row>
    <row r="73" spans="1:17" ht="15.75" customHeight="1" x14ac:dyDescent="0.25">
      <c r="A73" s="37"/>
      <c r="B73" s="39">
        <v>0</v>
      </c>
      <c r="C73" s="36" t="s">
        <v>380</v>
      </c>
      <c r="D73" s="37"/>
      <c r="E73" s="42"/>
      <c r="F73" s="42"/>
      <c r="G73" s="42"/>
      <c r="H73" s="42"/>
      <c r="I73" s="37"/>
      <c r="J73" s="37"/>
      <c r="K73" s="15">
        <v>0</v>
      </c>
      <c r="L73" s="40" t="s">
        <v>484</v>
      </c>
      <c r="M73" s="38"/>
      <c r="O73" s="37"/>
      <c r="P73" s="37"/>
      <c r="Q73" s="37"/>
    </row>
    <row r="74" spans="1:17" ht="15.75" customHeight="1" x14ac:dyDescent="0.25">
      <c r="A74" s="37"/>
      <c r="B74" s="39">
        <v>1</v>
      </c>
      <c r="C74" s="39" t="s">
        <v>485</v>
      </c>
      <c r="D74" s="39" t="s">
        <v>486</v>
      </c>
      <c r="E74" s="42">
        <v>9.8765432098765604E-3</v>
      </c>
      <c r="F74" s="42">
        <v>9.8765432098765496E-2</v>
      </c>
      <c r="G74" s="42">
        <v>0</v>
      </c>
      <c r="H74" s="42">
        <v>0</v>
      </c>
      <c r="I74" s="37"/>
      <c r="J74" s="37"/>
      <c r="K74" s="15">
        <v>1</v>
      </c>
      <c r="L74" s="15" t="s">
        <v>487</v>
      </c>
      <c r="M74" s="15" t="s">
        <v>161</v>
      </c>
      <c r="N74" s="43">
        <f>SUM(rebio23_80ml!L3:L50)</f>
        <v>33</v>
      </c>
      <c r="O74" s="37"/>
      <c r="P74" s="37"/>
      <c r="Q74" s="37"/>
    </row>
    <row r="75" spans="1:17" ht="15.75" customHeight="1" x14ac:dyDescent="0.25">
      <c r="A75" s="37"/>
      <c r="B75" s="39">
        <v>0</v>
      </c>
      <c r="C75" s="36" t="s">
        <v>488</v>
      </c>
      <c r="D75" s="37"/>
      <c r="E75" s="42"/>
      <c r="F75" s="42"/>
      <c r="G75" s="42"/>
      <c r="H75" s="42"/>
      <c r="I75" s="37"/>
      <c r="J75" s="37"/>
      <c r="K75" s="15">
        <v>1</v>
      </c>
      <c r="L75" s="15" t="s">
        <v>489</v>
      </c>
      <c r="M75" s="15" t="s">
        <v>162</v>
      </c>
      <c r="N75" s="43">
        <f>SUM(rebio23_80ml!M3:M50)</f>
        <v>18</v>
      </c>
      <c r="O75" s="37"/>
      <c r="P75" s="37"/>
      <c r="Q75" s="37"/>
    </row>
    <row r="76" spans="1:17" ht="15.75" customHeight="1" x14ac:dyDescent="0.25">
      <c r="A76" s="37"/>
      <c r="B76" s="39">
        <v>1</v>
      </c>
      <c r="C76" s="39" t="s">
        <v>490</v>
      </c>
      <c r="D76" s="39" t="s">
        <v>491</v>
      </c>
      <c r="E76" s="42">
        <v>9.8765432098765604E-3</v>
      </c>
      <c r="F76" s="42">
        <v>0</v>
      </c>
      <c r="G76" s="42">
        <v>0</v>
      </c>
      <c r="H76" s="42">
        <v>0</v>
      </c>
      <c r="I76" s="37"/>
      <c r="J76" s="37"/>
      <c r="K76" s="15">
        <v>0</v>
      </c>
      <c r="L76" s="40" t="s">
        <v>492</v>
      </c>
      <c r="M76" s="38"/>
      <c r="O76" s="37"/>
      <c r="P76" s="37"/>
      <c r="Q76" s="37"/>
    </row>
    <row r="77" spans="1:17" ht="15.75" customHeight="1" x14ac:dyDescent="0.25">
      <c r="A77" s="37"/>
      <c r="B77" s="39">
        <v>0</v>
      </c>
      <c r="C77" s="36" t="s">
        <v>493</v>
      </c>
      <c r="D77" s="37"/>
      <c r="E77" s="42"/>
      <c r="F77" s="42"/>
      <c r="G77" s="42"/>
      <c r="H77" s="42"/>
      <c r="I77" s="37"/>
      <c r="J77" s="37"/>
      <c r="K77" s="15">
        <v>1</v>
      </c>
      <c r="L77" s="15" t="s">
        <v>494</v>
      </c>
      <c r="M77" s="15" t="s">
        <v>166</v>
      </c>
      <c r="N77" s="43">
        <f>SUM(rebio23_80ml!Q3:Q50)</f>
        <v>8</v>
      </c>
      <c r="O77" s="37"/>
      <c r="P77" s="37"/>
      <c r="Q77" s="37"/>
    </row>
    <row r="78" spans="1:17" ht="15.75" customHeight="1" x14ac:dyDescent="0.25">
      <c r="A78" s="37"/>
      <c r="B78" s="39">
        <v>1</v>
      </c>
      <c r="C78" s="39" t="s">
        <v>495</v>
      </c>
      <c r="D78" s="39" t="s">
        <v>496</v>
      </c>
      <c r="E78" s="42">
        <v>0</v>
      </c>
      <c r="F78" s="42">
        <v>0</v>
      </c>
      <c r="G78" s="42">
        <v>5.3333333333333302E-2</v>
      </c>
      <c r="H78" s="42">
        <v>0</v>
      </c>
      <c r="I78" s="37"/>
      <c r="J78" s="37"/>
      <c r="K78" s="15">
        <v>0</v>
      </c>
      <c r="L78" s="40" t="s">
        <v>497</v>
      </c>
      <c r="M78" s="38"/>
      <c r="O78" s="37"/>
      <c r="P78" s="37"/>
      <c r="Q78" s="37"/>
    </row>
    <row r="79" spans="1:17" ht="15.75" customHeight="1" x14ac:dyDescent="0.25">
      <c r="A79" s="37"/>
      <c r="B79" s="39">
        <v>0</v>
      </c>
      <c r="C79" s="36" t="s">
        <v>470</v>
      </c>
      <c r="D79" s="37"/>
      <c r="E79" s="42"/>
      <c r="F79" s="42"/>
      <c r="G79" s="42"/>
      <c r="H79" s="42"/>
      <c r="I79" s="37"/>
      <c r="J79" s="37"/>
      <c r="K79" s="15">
        <v>1</v>
      </c>
      <c r="L79" s="15" t="s">
        <v>137</v>
      </c>
      <c r="M79" s="15" t="s">
        <v>193</v>
      </c>
      <c r="N79" s="43">
        <f>SUM(rebio23_80ml!AR3:AR50)</f>
        <v>4</v>
      </c>
      <c r="O79" s="37"/>
      <c r="P79" s="37"/>
      <c r="Q79" s="37"/>
    </row>
    <row r="80" spans="1:17" ht="15.75" customHeight="1" x14ac:dyDescent="0.25">
      <c r="A80" s="37"/>
      <c r="B80" s="39">
        <v>1</v>
      </c>
      <c r="C80" s="39" t="s">
        <v>151</v>
      </c>
      <c r="D80" s="39" t="s">
        <v>206</v>
      </c>
      <c r="E80" s="42">
        <v>0</v>
      </c>
      <c r="F80" s="42">
        <v>0.187654320987655</v>
      </c>
      <c r="G80" s="42">
        <v>0</v>
      </c>
      <c r="H80" s="42">
        <v>0.53333333333333299</v>
      </c>
      <c r="I80" s="37"/>
      <c r="J80" s="37"/>
      <c r="L80" s="40" t="s">
        <v>498</v>
      </c>
      <c r="M80" s="38"/>
      <c r="O80" s="37"/>
      <c r="P80" s="37"/>
      <c r="Q80" s="37"/>
    </row>
    <row r="81" spans="1:17" ht="15.75" customHeight="1" x14ac:dyDescent="0.25">
      <c r="A81" s="37"/>
      <c r="B81"/>
      <c r="C81" s="39" t="s">
        <v>499</v>
      </c>
      <c r="D81"/>
      <c r="E81"/>
      <c r="F81"/>
      <c r="G81"/>
      <c r="H81"/>
      <c r="I81" s="37"/>
      <c r="J81" s="37"/>
      <c r="K81" s="15">
        <v>1</v>
      </c>
      <c r="L81" s="15" t="s">
        <v>141</v>
      </c>
      <c r="M81" s="15" t="s">
        <v>141</v>
      </c>
      <c r="N81" s="43">
        <f>SUM(rebio23_80ml!AV3:AV50)</f>
        <v>1260</v>
      </c>
      <c r="O81" s="37"/>
      <c r="P81" s="37"/>
      <c r="Q81" s="37"/>
    </row>
    <row r="82" spans="1:17" ht="15.75" customHeight="1" x14ac:dyDescent="0.25">
      <c r="A82" s="37"/>
      <c r="B82" s="39">
        <v>0</v>
      </c>
      <c r="C82" s="36" t="s">
        <v>500</v>
      </c>
      <c r="D82" s="37"/>
      <c r="E82" s="42"/>
      <c r="F82" s="42"/>
      <c r="G82" s="42"/>
      <c r="H82" s="42"/>
      <c r="I82" s="37"/>
      <c r="J82" s="37"/>
      <c r="K82" s="15">
        <v>1</v>
      </c>
      <c r="L82" s="15" t="s">
        <v>102</v>
      </c>
      <c r="M82" s="15" t="s">
        <v>102</v>
      </c>
      <c r="N82" s="43">
        <f>SUM(rebio23_80ml!I3:I50)</f>
        <v>595</v>
      </c>
      <c r="O82" s="37"/>
      <c r="P82" s="37"/>
      <c r="Q82" s="37"/>
    </row>
    <row r="83" spans="1:17" ht="15.75" customHeight="1" x14ac:dyDescent="0.25">
      <c r="A83" s="37"/>
      <c r="B83" s="39">
        <v>1</v>
      </c>
      <c r="C83" s="39" t="s">
        <v>501</v>
      </c>
      <c r="D83" s="39" t="s">
        <v>502</v>
      </c>
      <c r="E83" s="42">
        <v>4.9382716049382699E-2</v>
      </c>
      <c r="F83" s="42">
        <v>9.8765432098765604E-3</v>
      </c>
      <c r="G83" s="42">
        <v>0</v>
      </c>
      <c r="H83" s="42">
        <v>0</v>
      </c>
      <c r="I83" s="37"/>
      <c r="J83" s="37"/>
      <c r="K83" s="15"/>
      <c r="L83" s="40" t="s">
        <v>503</v>
      </c>
      <c r="M83" s="38"/>
      <c r="N83" s="15"/>
      <c r="O83" s="37"/>
      <c r="P83" s="37"/>
      <c r="Q83" s="37"/>
    </row>
    <row r="84" spans="1:17" ht="15.75" customHeight="1" x14ac:dyDescent="0.25">
      <c r="A84" s="37"/>
      <c r="B84" s="39">
        <v>0</v>
      </c>
      <c r="C84" s="36" t="s">
        <v>459</v>
      </c>
      <c r="D84" s="37"/>
      <c r="E84" s="42"/>
      <c r="F84" s="42"/>
      <c r="G84" s="42"/>
      <c r="H84" s="42"/>
      <c r="I84" s="37"/>
      <c r="J84" s="37"/>
      <c r="K84" s="15">
        <v>0</v>
      </c>
      <c r="L84" s="40" t="s">
        <v>504</v>
      </c>
      <c r="M84" s="38"/>
      <c r="O84" s="37"/>
      <c r="P84" s="37"/>
      <c r="Q84" s="37"/>
    </row>
    <row r="85" spans="1:17" ht="15.75" customHeight="1" x14ac:dyDescent="0.25">
      <c r="A85" s="37"/>
      <c r="B85" s="39">
        <v>1</v>
      </c>
      <c r="C85" s="39" t="s">
        <v>109</v>
      </c>
      <c r="D85" s="39" t="s">
        <v>165</v>
      </c>
      <c r="E85" s="42">
        <v>0</v>
      </c>
      <c r="F85" s="42">
        <v>9.8765432098765604E-3</v>
      </c>
      <c r="G85" s="42">
        <v>0</v>
      </c>
      <c r="H85" s="42">
        <v>0</v>
      </c>
      <c r="I85" s="37"/>
      <c r="J85" s="37"/>
      <c r="K85" s="38">
        <v>1</v>
      </c>
      <c r="L85" s="20" t="s">
        <v>132</v>
      </c>
      <c r="M85" s="15" t="s">
        <v>188</v>
      </c>
      <c r="N85" s="43">
        <f>SUM(rebio23_80ml!AM3:AM50)</f>
        <v>7</v>
      </c>
      <c r="O85" s="37"/>
      <c r="P85" s="37"/>
      <c r="Q85" s="37"/>
    </row>
    <row r="86" spans="1:17" ht="15.75" customHeight="1" x14ac:dyDescent="0.25">
      <c r="A86" s="37"/>
      <c r="B86" s="39">
        <v>0</v>
      </c>
      <c r="C86" s="36" t="s">
        <v>505</v>
      </c>
      <c r="D86" s="37"/>
      <c r="E86" s="42"/>
      <c r="F86" s="42"/>
      <c r="G86" s="42"/>
      <c r="H86" s="42"/>
      <c r="I86" s="37"/>
      <c r="J86" s="37"/>
      <c r="K86" s="38">
        <v>1</v>
      </c>
      <c r="L86" s="20" t="s">
        <v>131</v>
      </c>
      <c r="M86" s="15" t="s">
        <v>187</v>
      </c>
      <c r="N86" s="43">
        <f>SUM(rebio23_80ml!AL3:AL50)</f>
        <v>5</v>
      </c>
      <c r="O86" s="37"/>
      <c r="P86" s="37"/>
      <c r="Q86" s="37"/>
    </row>
    <row r="87" spans="1:17" ht="15.75" customHeight="1" x14ac:dyDescent="0.25">
      <c r="A87" s="37"/>
      <c r="B87" s="39">
        <v>1</v>
      </c>
      <c r="C87" s="39" t="s">
        <v>506</v>
      </c>
      <c r="D87" s="39" t="s">
        <v>507</v>
      </c>
      <c r="E87" s="42">
        <v>0</v>
      </c>
      <c r="F87" s="42">
        <v>9.8765432098765604E-3</v>
      </c>
      <c r="G87" s="42">
        <v>0</v>
      </c>
      <c r="H87" s="42">
        <v>0</v>
      </c>
      <c r="I87" s="37"/>
      <c r="J87" s="37"/>
      <c r="K87" s="15">
        <v>1</v>
      </c>
      <c r="L87" s="15" t="s">
        <v>143</v>
      </c>
      <c r="M87" s="15" t="s">
        <v>198</v>
      </c>
      <c r="N87" s="43">
        <f>SUM(rebio23_80ml!AX3:AX50)</f>
        <v>67</v>
      </c>
      <c r="O87" s="37"/>
      <c r="P87" s="37"/>
      <c r="Q87" s="37"/>
    </row>
    <row r="88" spans="1:17" ht="15.75" customHeight="1" x14ac:dyDescent="0.25">
      <c r="A88" s="37"/>
      <c r="B88" s="39">
        <v>0</v>
      </c>
      <c r="C88" s="36" t="s">
        <v>464</v>
      </c>
      <c r="D88" s="37"/>
      <c r="E88" s="42"/>
      <c r="F88" s="42"/>
      <c r="G88" s="42"/>
      <c r="H88" s="42"/>
      <c r="I88" s="37"/>
      <c r="J88" s="37"/>
      <c r="L88" s="40" t="s">
        <v>508</v>
      </c>
      <c r="M88" s="38"/>
      <c r="O88" s="37"/>
      <c r="P88" s="37"/>
      <c r="Q88" s="37"/>
    </row>
    <row r="89" spans="1:17" ht="15.75" customHeight="1" x14ac:dyDescent="0.25">
      <c r="A89" s="37"/>
      <c r="B89" s="39">
        <v>1</v>
      </c>
      <c r="C89" s="39" t="s">
        <v>509</v>
      </c>
      <c r="D89" s="39" t="s">
        <v>510</v>
      </c>
      <c r="E89" s="42">
        <v>3.95061728395062E-2</v>
      </c>
      <c r="F89" s="42">
        <v>0</v>
      </c>
      <c r="G89" s="42">
        <v>0</v>
      </c>
      <c r="H89" s="42">
        <v>0</v>
      </c>
      <c r="I89" s="37"/>
      <c r="J89" s="37"/>
      <c r="K89" s="15">
        <v>0</v>
      </c>
      <c r="L89" s="40" t="s">
        <v>511</v>
      </c>
      <c r="M89" s="38"/>
      <c r="O89" s="37"/>
      <c r="P89" s="37"/>
      <c r="Q89" s="37"/>
    </row>
    <row r="90" spans="1:17" ht="15.75" customHeight="1" x14ac:dyDescent="0.25">
      <c r="A90" s="37"/>
      <c r="B90" s="37"/>
      <c r="C90" s="36" t="s">
        <v>473</v>
      </c>
      <c r="D90" s="37"/>
      <c r="E90" s="42"/>
      <c r="F90" s="42"/>
      <c r="G90" s="42"/>
      <c r="H90" s="42"/>
      <c r="I90" s="37"/>
      <c r="J90" s="37"/>
      <c r="K90" s="15">
        <v>1</v>
      </c>
      <c r="L90" s="15" t="s">
        <v>142</v>
      </c>
      <c r="M90" s="15" t="s">
        <v>197</v>
      </c>
      <c r="N90" s="43">
        <f>SUM(rebio23_80ml!AW3:AW50)</f>
        <v>84</v>
      </c>
      <c r="O90" s="37"/>
      <c r="P90" s="37"/>
      <c r="Q90" s="37"/>
    </row>
    <row r="91" spans="1:17" ht="15.75" customHeight="1" x14ac:dyDescent="0.25">
      <c r="A91" s="37"/>
      <c r="B91" s="37"/>
      <c r="C91" s="36" t="s">
        <v>474</v>
      </c>
      <c r="D91" s="37"/>
      <c r="E91" s="42"/>
      <c r="F91" s="42"/>
      <c r="G91" s="42"/>
      <c r="H91" s="42"/>
      <c r="I91" s="37"/>
      <c r="J91" s="37"/>
      <c r="K91" s="15"/>
      <c r="L91" s="40" t="s">
        <v>512</v>
      </c>
      <c r="M91" s="38"/>
      <c r="N91" s="15"/>
      <c r="O91"/>
      <c r="P91" s="37"/>
      <c r="Q91" s="37"/>
    </row>
    <row r="92" spans="1:17" ht="15.75" customHeight="1" x14ac:dyDescent="0.25">
      <c r="A92" s="37"/>
      <c r="B92" s="37"/>
      <c r="C92" s="36" t="s">
        <v>475</v>
      </c>
      <c r="D92" s="37"/>
      <c r="E92" s="42"/>
      <c r="F92" s="42"/>
      <c r="G92" s="42"/>
      <c r="H92" s="42"/>
      <c r="I92" s="37"/>
      <c r="J92" s="37"/>
      <c r="K92" s="38"/>
      <c r="L92" s="38"/>
      <c r="M92" s="38"/>
      <c r="N92" s="38"/>
      <c r="O92"/>
      <c r="P92" s="37"/>
      <c r="Q92" s="37"/>
    </row>
    <row r="93" spans="1:17" ht="15.75" customHeight="1" x14ac:dyDescent="0.25">
      <c r="A93" s="37"/>
      <c r="B93" s="39">
        <v>0</v>
      </c>
      <c r="C93" s="36" t="s">
        <v>476</v>
      </c>
      <c r="D93" s="37"/>
      <c r="E93" s="42"/>
      <c r="F93" s="42"/>
      <c r="G93" s="42"/>
      <c r="H93" s="42"/>
      <c r="I93" s="37"/>
      <c r="J93" s="37"/>
      <c r="K93" s="38"/>
      <c r="L93" s="38"/>
      <c r="M93" s="38"/>
      <c r="N93" s="38"/>
      <c r="O93" s="37"/>
      <c r="P93" s="37"/>
      <c r="Q93" s="37"/>
    </row>
    <row r="94" spans="1:17" ht="15.75" customHeight="1" x14ac:dyDescent="0.25">
      <c r="A94" s="37"/>
      <c r="B94" s="39">
        <v>1</v>
      </c>
      <c r="C94" s="39" t="s">
        <v>95</v>
      </c>
      <c r="D94" s="39" t="s">
        <v>153</v>
      </c>
      <c r="E94" s="42">
        <v>0</v>
      </c>
      <c r="F94" s="42">
        <v>8.8888888888888906E-2</v>
      </c>
      <c r="G94" s="42">
        <v>0</v>
      </c>
      <c r="H94" s="42">
        <v>0</v>
      </c>
      <c r="I94" s="37"/>
      <c r="J94" s="37"/>
      <c r="K94" s="38"/>
      <c r="L94" s="38"/>
      <c r="M94" s="38"/>
      <c r="N94" s="38"/>
      <c r="O94" s="37"/>
      <c r="P94" s="37"/>
      <c r="Q94" s="37"/>
    </row>
    <row r="95" spans="1:17" ht="15.75" customHeight="1" x14ac:dyDescent="0.25">
      <c r="A95" s="37"/>
      <c r="B95" s="39">
        <v>1</v>
      </c>
      <c r="C95" s="39" t="s">
        <v>96</v>
      </c>
      <c r="D95" s="39" t="s">
        <v>154</v>
      </c>
      <c r="E95" s="42">
        <v>0</v>
      </c>
      <c r="F95" s="42">
        <v>0</v>
      </c>
      <c r="G95" s="42">
        <v>0.10666666666666701</v>
      </c>
      <c r="H95" s="42">
        <v>0</v>
      </c>
      <c r="I95" s="37"/>
      <c r="J95" s="37"/>
      <c r="K95" s="38"/>
      <c r="L95" s="38"/>
      <c r="M95" s="38"/>
      <c r="N95" s="38"/>
      <c r="O95" s="37"/>
      <c r="P95" s="37"/>
      <c r="Q95" s="37"/>
    </row>
    <row r="96" spans="1:17" ht="15.75" customHeight="1" x14ac:dyDescent="0.25">
      <c r="A96" s="37"/>
      <c r="B96" s="39">
        <v>1</v>
      </c>
      <c r="C96" s="39" t="s">
        <v>513</v>
      </c>
      <c r="D96" s="39" t="s">
        <v>514</v>
      </c>
      <c r="E96" s="42">
        <v>0</v>
      </c>
      <c r="F96" s="42">
        <v>0</v>
      </c>
      <c r="G96" s="42">
        <v>0.37333333333333302</v>
      </c>
      <c r="H96" s="42">
        <v>0</v>
      </c>
      <c r="I96" s="37"/>
      <c r="J96" s="37"/>
      <c r="K96" s="38"/>
      <c r="L96" s="38"/>
      <c r="M96" s="38"/>
      <c r="N96" s="38"/>
      <c r="O96" s="37"/>
      <c r="P96" s="37"/>
      <c r="Q96" s="37"/>
    </row>
    <row r="97" spans="1:17" ht="15.75" customHeight="1" x14ac:dyDescent="0.25">
      <c r="A97" s="37"/>
      <c r="B97" s="39">
        <v>1</v>
      </c>
      <c r="C97" s="39" t="s">
        <v>97</v>
      </c>
      <c r="D97" s="39" t="s">
        <v>155</v>
      </c>
      <c r="E97" s="42">
        <v>4.9382716049382699E-2</v>
      </c>
      <c r="F97" s="42">
        <v>3.95061728395062E-2</v>
      </c>
      <c r="G97" s="42">
        <v>0.32</v>
      </c>
      <c r="H97" s="42">
        <v>0</v>
      </c>
      <c r="I97" s="37"/>
      <c r="J97" s="37"/>
      <c r="K97" s="38"/>
      <c r="L97" s="38"/>
      <c r="M97" s="38"/>
      <c r="N97" s="38"/>
      <c r="O97" s="37"/>
      <c r="P97" s="37"/>
      <c r="Q97" s="37"/>
    </row>
    <row r="98" spans="1:17" ht="15.75" customHeight="1" x14ac:dyDescent="0.25">
      <c r="A98" s="37"/>
      <c r="B98" s="39">
        <v>1</v>
      </c>
      <c r="C98" s="39" t="s">
        <v>515</v>
      </c>
      <c r="D98" s="39" t="s">
        <v>516</v>
      </c>
      <c r="E98" s="42">
        <v>3.95061728395062E-2</v>
      </c>
      <c r="F98" s="42">
        <v>3.95061728395062E-2</v>
      </c>
      <c r="G98" s="42">
        <v>0</v>
      </c>
      <c r="H98" s="42">
        <v>0</v>
      </c>
      <c r="I98" s="37"/>
      <c r="J98" s="37"/>
      <c r="K98" s="38"/>
      <c r="L98" s="38"/>
      <c r="M98" s="38"/>
      <c r="N98" s="38"/>
      <c r="O98" s="37"/>
      <c r="P98" s="37"/>
      <c r="Q98" s="37"/>
    </row>
    <row r="99" spans="1:17" ht="15.75" customHeight="1" x14ac:dyDescent="0.25">
      <c r="A99" s="37"/>
      <c r="B99" s="39">
        <v>1</v>
      </c>
      <c r="C99" s="39" t="s">
        <v>517</v>
      </c>
      <c r="D99" s="39" t="s">
        <v>518</v>
      </c>
      <c r="E99" s="42">
        <v>0</v>
      </c>
      <c r="F99" s="42">
        <v>0</v>
      </c>
      <c r="G99" s="42">
        <v>0.37333333333333302</v>
      </c>
      <c r="H99" s="42">
        <v>0</v>
      </c>
      <c r="I99" s="37"/>
      <c r="J99" s="37"/>
      <c r="K99" s="38"/>
      <c r="L99" s="38"/>
      <c r="M99" s="38"/>
      <c r="N99" s="38"/>
      <c r="O99" s="37"/>
      <c r="P99" s="37"/>
      <c r="Q99" s="37"/>
    </row>
    <row r="100" spans="1:17" ht="15.75" customHeight="1" x14ac:dyDescent="0.25">
      <c r="A100" s="37"/>
      <c r="B100" s="39">
        <v>1</v>
      </c>
      <c r="C100" s="39" t="s">
        <v>103</v>
      </c>
      <c r="D100" s="39" t="s">
        <v>159</v>
      </c>
      <c r="E100" s="42">
        <v>0</v>
      </c>
      <c r="F100" s="42">
        <v>0</v>
      </c>
      <c r="G100" s="42">
        <v>0.10666666666666701</v>
      </c>
      <c r="H100" s="42">
        <v>0</v>
      </c>
      <c r="I100" s="37"/>
      <c r="J100" s="37"/>
      <c r="K100" s="38"/>
      <c r="L100" s="38"/>
      <c r="M100" s="38"/>
      <c r="N100" s="38"/>
      <c r="O100" s="37"/>
      <c r="P100" s="37"/>
      <c r="Q100" s="37"/>
    </row>
    <row r="101" spans="1:17" ht="15.75" customHeight="1" x14ac:dyDescent="0.25">
      <c r="A101" s="37"/>
      <c r="B101" s="39">
        <v>0</v>
      </c>
      <c r="C101" s="36" t="s">
        <v>479</v>
      </c>
      <c r="D101" s="37"/>
      <c r="E101" s="42"/>
      <c r="F101" s="42"/>
      <c r="G101" s="42"/>
      <c r="H101" s="42"/>
      <c r="I101" s="37"/>
      <c r="J101" s="37"/>
      <c r="K101" s="38"/>
      <c r="L101" s="38"/>
      <c r="M101" s="38"/>
      <c r="N101" s="38"/>
      <c r="O101" s="37"/>
      <c r="P101" s="37"/>
      <c r="Q101" s="37"/>
    </row>
    <row r="102" spans="1:17" ht="15.75" customHeight="1" x14ac:dyDescent="0.25">
      <c r="A102" s="37"/>
      <c r="B102" s="39">
        <v>1</v>
      </c>
      <c r="C102" s="39" t="s">
        <v>519</v>
      </c>
      <c r="D102" s="39" t="s">
        <v>520</v>
      </c>
      <c r="E102" s="42">
        <v>0</v>
      </c>
      <c r="F102" s="42">
        <v>0</v>
      </c>
      <c r="G102" s="42">
        <v>5.3333333333333302E-2</v>
      </c>
      <c r="H102" s="42">
        <v>0</v>
      </c>
      <c r="I102" s="37"/>
      <c r="J102" s="37"/>
      <c r="K102" s="38"/>
      <c r="L102" s="38"/>
      <c r="M102" s="38"/>
      <c r="N102" s="38"/>
      <c r="O102" s="37"/>
      <c r="P102" s="37"/>
      <c r="Q102" s="37"/>
    </row>
    <row r="103" spans="1:17" ht="15.75" customHeight="1" x14ac:dyDescent="0.25">
      <c r="A103" s="37"/>
      <c r="B103" s="39">
        <v>1</v>
      </c>
      <c r="C103" s="39" t="s">
        <v>480</v>
      </c>
      <c r="D103" s="39" t="s">
        <v>192</v>
      </c>
      <c r="E103" s="42">
        <v>0</v>
      </c>
      <c r="F103" s="42">
        <v>0</v>
      </c>
      <c r="G103" s="42">
        <v>0.266666666666667</v>
      </c>
      <c r="H103" s="42">
        <v>0</v>
      </c>
      <c r="I103" s="37"/>
      <c r="J103" s="37"/>
      <c r="K103" s="38"/>
      <c r="L103" s="38"/>
      <c r="M103" s="38"/>
      <c r="N103" s="38"/>
      <c r="O103" s="37"/>
      <c r="P103" s="37"/>
      <c r="Q103" s="37"/>
    </row>
    <row r="104" spans="1:17" ht="15.75" customHeight="1" x14ac:dyDescent="0.25">
      <c r="A104" s="37"/>
      <c r="B104" s="39">
        <v>1</v>
      </c>
      <c r="C104" s="39" t="s">
        <v>483</v>
      </c>
      <c r="D104" s="39" t="s">
        <v>191</v>
      </c>
      <c r="E104" s="42">
        <v>0</v>
      </c>
      <c r="F104" s="42">
        <v>0</v>
      </c>
      <c r="G104" s="42">
        <v>0.21333333333333299</v>
      </c>
      <c r="H104" s="42">
        <v>0</v>
      </c>
      <c r="I104" s="37"/>
      <c r="J104" s="37"/>
      <c r="K104" s="38"/>
      <c r="L104" s="38"/>
      <c r="M104" s="38"/>
      <c r="N104" s="38"/>
      <c r="O104" s="37"/>
      <c r="P104" s="37"/>
      <c r="Q104" s="37"/>
    </row>
    <row r="105" spans="1:17" ht="15.75" customHeight="1" x14ac:dyDescent="0.25">
      <c r="A105" s="37"/>
      <c r="B105" s="39">
        <v>1</v>
      </c>
      <c r="C105" s="39" t="s">
        <v>134</v>
      </c>
      <c r="D105" s="39" t="s">
        <v>190</v>
      </c>
      <c r="E105" s="42">
        <v>9.8765432098765604E-3</v>
      </c>
      <c r="F105" s="42">
        <v>9.8765432098765604E-3</v>
      </c>
      <c r="G105" s="42">
        <v>0.16</v>
      </c>
      <c r="H105" s="42">
        <v>0</v>
      </c>
      <c r="I105" s="37"/>
      <c r="J105" s="37"/>
      <c r="K105" s="38"/>
      <c r="L105" s="38"/>
      <c r="M105" s="38"/>
      <c r="N105" s="38"/>
      <c r="O105" s="37"/>
      <c r="P105" s="37"/>
      <c r="Q105" s="37"/>
    </row>
    <row r="106" spans="1:17" ht="15.75" customHeight="1" x14ac:dyDescent="0.25">
      <c r="A106" s="37"/>
      <c r="B106" s="39">
        <v>0</v>
      </c>
      <c r="C106" s="36" t="s">
        <v>484</v>
      </c>
      <c r="D106" s="37"/>
      <c r="E106" s="42"/>
      <c r="F106" s="42"/>
      <c r="G106" s="42"/>
      <c r="H106" s="42"/>
      <c r="I106" s="37"/>
      <c r="J106" s="37"/>
      <c r="K106" s="38"/>
      <c r="L106" s="38"/>
      <c r="M106" s="38"/>
      <c r="N106" s="38"/>
      <c r="O106" s="37"/>
      <c r="P106" s="37"/>
      <c r="Q106" s="37"/>
    </row>
    <row r="107" spans="1:17" ht="15.75" customHeight="1" x14ac:dyDescent="0.25">
      <c r="A107" s="37"/>
      <c r="B107" s="39">
        <v>1</v>
      </c>
      <c r="C107" s="39" t="s">
        <v>105</v>
      </c>
      <c r="D107" s="39" t="s">
        <v>161</v>
      </c>
      <c r="E107" s="42">
        <v>0</v>
      </c>
      <c r="F107" s="42">
        <v>0</v>
      </c>
      <c r="G107" s="42">
        <v>0.21333333333333299</v>
      </c>
      <c r="H107" s="42">
        <v>0</v>
      </c>
      <c r="I107" s="37"/>
      <c r="J107" s="37"/>
      <c r="K107" s="38"/>
      <c r="L107" s="38"/>
      <c r="M107" s="38"/>
      <c r="N107" s="38"/>
      <c r="O107" s="37"/>
      <c r="P107" s="37"/>
      <c r="Q107" s="37"/>
    </row>
    <row r="108" spans="1:17" ht="15.75" customHeight="1" x14ac:dyDescent="0.25">
      <c r="A108" s="37"/>
      <c r="B108" s="39">
        <v>1</v>
      </c>
      <c r="C108" s="39" t="s">
        <v>106</v>
      </c>
      <c r="D108" s="39" t="s">
        <v>162</v>
      </c>
      <c r="E108" s="42">
        <v>0</v>
      </c>
      <c r="F108" s="42">
        <v>0</v>
      </c>
      <c r="G108" s="42">
        <v>0.16</v>
      </c>
      <c r="H108" s="42">
        <v>0</v>
      </c>
      <c r="I108" s="37"/>
      <c r="J108" s="37"/>
      <c r="K108" s="38"/>
      <c r="L108" s="38"/>
      <c r="M108" s="38"/>
      <c r="N108" s="38"/>
      <c r="O108" s="37"/>
      <c r="P108" s="37"/>
      <c r="Q108" s="37"/>
    </row>
    <row r="109" spans="1:17" ht="15.75" customHeight="1" x14ac:dyDescent="0.25">
      <c r="A109" s="37"/>
      <c r="B109" s="39">
        <v>0</v>
      </c>
      <c r="C109" s="36" t="s">
        <v>492</v>
      </c>
      <c r="D109" s="37"/>
      <c r="E109" s="42"/>
      <c r="F109" s="42"/>
      <c r="G109" s="42"/>
      <c r="H109" s="42"/>
      <c r="I109" s="37"/>
      <c r="J109" s="37"/>
      <c r="K109" s="38"/>
      <c r="L109" s="38"/>
      <c r="M109" s="38"/>
      <c r="N109" s="38"/>
      <c r="O109" s="37"/>
      <c r="P109" s="37"/>
      <c r="Q109" s="37"/>
    </row>
    <row r="110" spans="1:17" ht="15.75" customHeight="1" x14ac:dyDescent="0.25">
      <c r="A110" s="37"/>
      <c r="B110" s="39">
        <v>1</v>
      </c>
      <c r="C110" s="39" t="s">
        <v>494</v>
      </c>
      <c r="D110" s="39" t="s">
        <v>166</v>
      </c>
      <c r="E110" s="42">
        <v>0</v>
      </c>
      <c r="F110" s="42">
        <v>0</v>
      </c>
      <c r="G110" s="42">
        <v>0.37333333333333302</v>
      </c>
      <c r="H110" s="42">
        <v>0</v>
      </c>
      <c r="I110" s="37"/>
      <c r="J110" s="37"/>
      <c r="K110" s="38"/>
      <c r="L110" s="38"/>
      <c r="M110" s="38"/>
      <c r="N110" s="38"/>
      <c r="O110" s="37"/>
      <c r="P110" s="37"/>
      <c r="Q110" s="37"/>
    </row>
    <row r="111" spans="1:17" ht="15.75" customHeight="1" x14ac:dyDescent="0.25">
      <c r="A111" s="37"/>
      <c r="B111" s="39">
        <v>0</v>
      </c>
      <c r="C111" s="36" t="s">
        <v>497</v>
      </c>
      <c r="D111" s="37"/>
      <c r="E111" s="42"/>
      <c r="F111" s="42"/>
      <c r="G111" s="42"/>
      <c r="H111" s="42"/>
      <c r="I111" s="37"/>
      <c r="J111" s="37"/>
      <c r="K111" s="38"/>
      <c r="L111" s="38"/>
      <c r="M111" s="38"/>
      <c r="N111" s="38"/>
      <c r="O111" s="37"/>
      <c r="P111" s="37"/>
      <c r="Q111" s="37"/>
    </row>
    <row r="112" spans="1:17" ht="15.75" customHeight="1" x14ac:dyDescent="0.25">
      <c r="A112" s="37"/>
      <c r="B112" s="39">
        <v>1</v>
      </c>
      <c r="C112" s="39" t="s">
        <v>137</v>
      </c>
      <c r="D112" s="39" t="s">
        <v>193</v>
      </c>
      <c r="E112" s="42">
        <v>0</v>
      </c>
      <c r="F112" s="42">
        <v>0</v>
      </c>
      <c r="G112" s="42">
        <v>0.266666666666666</v>
      </c>
      <c r="H112" s="42">
        <v>0</v>
      </c>
      <c r="I112" s="37"/>
      <c r="J112" s="37"/>
      <c r="K112" s="38"/>
      <c r="L112" s="38"/>
      <c r="M112" s="38"/>
      <c r="N112" s="38"/>
      <c r="O112" s="37"/>
      <c r="P112" s="37"/>
      <c r="Q112" s="37"/>
    </row>
    <row r="113" spans="1:17" ht="15.75" customHeight="1" x14ac:dyDescent="0.25">
      <c r="A113" s="37"/>
      <c r="B113" s="37"/>
      <c r="C113" s="36" t="s">
        <v>498</v>
      </c>
      <c r="D113" s="37"/>
      <c r="E113" s="42"/>
      <c r="F113" s="42"/>
      <c r="G113" s="42"/>
      <c r="H113" s="42"/>
      <c r="I113" s="37"/>
      <c r="J113" s="37"/>
      <c r="K113" s="38"/>
      <c r="L113" s="38"/>
      <c r="M113" s="38"/>
      <c r="N113" s="38"/>
      <c r="O113" s="37"/>
      <c r="P113" s="37"/>
      <c r="Q113" s="37"/>
    </row>
    <row r="114" spans="1:17" ht="15.75" customHeight="1" x14ac:dyDescent="0.25">
      <c r="A114" s="37"/>
      <c r="B114" s="39">
        <v>1</v>
      </c>
      <c r="C114" s="39" t="s">
        <v>521</v>
      </c>
      <c r="D114" s="39" t="s">
        <v>141</v>
      </c>
      <c r="E114" s="42">
        <v>0.59753086419753099</v>
      </c>
      <c r="F114" s="42">
        <v>2.5975308641975299</v>
      </c>
      <c r="G114" s="42">
        <v>17.0133333333333</v>
      </c>
      <c r="H114" s="42">
        <v>2.1333333333333302</v>
      </c>
      <c r="I114" s="37"/>
      <c r="J114" s="37"/>
      <c r="K114" s="38"/>
      <c r="L114" s="38"/>
      <c r="M114" s="38"/>
      <c r="N114" s="38"/>
      <c r="O114" s="37"/>
      <c r="P114" s="37"/>
      <c r="Q114" s="37"/>
    </row>
    <row r="115" spans="1:17" ht="15.75" customHeight="1" x14ac:dyDescent="0.25">
      <c r="A115" s="37"/>
      <c r="B115" s="39">
        <v>1</v>
      </c>
      <c r="C115" s="39" t="s">
        <v>102</v>
      </c>
      <c r="D115" s="39" t="s">
        <v>102</v>
      </c>
      <c r="E115" s="42">
        <v>8.8888888888888906E-2</v>
      </c>
      <c r="F115" s="42">
        <v>0.43456790123456801</v>
      </c>
      <c r="G115" s="42">
        <v>1.17333333333333</v>
      </c>
      <c r="H115" s="42">
        <v>0.71111111111111103</v>
      </c>
      <c r="I115" s="37"/>
      <c r="J115" s="37"/>
      <c r="K115" s="38"/>
      <c r="L115" s="38"/>
      <c r="M115" s="38"/>
      <c r="N115" s="38"/>
      <c r="O115" s="37"/>
      <c r="P115" s="37"/>
      <c r="Q115" s="37"/>
    </row>
    <row r="116" spans="1:17" ht="15.75" customHeight="1" x14ac:dyDescent="0.25">
      <c r="A116" s="37"/>
      <c r="B116" s="39">
        <v>1</v>
      </c>
      <c r="C116" s="36" t="s">
        <v>503</v>
      </c>
      <c r="D116" s="39" t="s">
        <v>522</v>
      </c>
      <c r="E116" s="42">
        <v>1.97530864197531E-2</v>
      </c>
      <c r="F116" s="42">
        <v>0.15802469135802499</v>
      </c>
      <c r="G116" s="42">
        <v>0.42666666666666703</v>
      </c>
      <c r="H116" s="42">
        <v>0</v>
      </c>
      <c r="I116" s="37"/>
      <c r="J116" s="37"/>
      <c r="K116" s="38"/>
      <c r="L116" s="38"/>
      <c r="M116" s="38"/>
      <c r="N116" s="38"/>
      <c r="O116" s="37"/>
      <c r="P116" s="37"/>
      <c r="Q116" s="37"/>
    </row>
    <row r="117" spans="1:17" ht="15.75" customHeight="1" x14ac:dyDescent="0.25">
      <c r="A117" s="37"/>
      <c r="B117" s="39">
        <v>0</v>
      </c>
      <c r="C117" s="36" t="s">
        <v>504</v>
      </c>
      <c r="D117" s="37"/>
      <c r="E117" s="42"/>
      <c r="F117" s="42"/>
      <c r="G117" s="42"/>
      <c r="H117" s="42"/>
      <c r="I117" s="37"/>
      <c r="J117" s="37"/>
      <c r="K117" s="38"/>
      <c r="L117" s="38"/>
      <c r="M117" s="38"/>
      <c r="N117" s="38"/>
      <c r="O117" s="37"/>
      <c r="P117" s="37"/>
      <c r="Q117" s="37"/>
    </row>
    <row r="118" spans="1:17" ht="15.75" customHeight="1" x14ac:dyDescent="0.25">
      <c r="A118" s="37"/>
      <c r="B118" s="39">
        <v>1</v>
      </c>
      <c r="C118" s="39" t="s">
        <v>143</v>
      </c>
      <c r="D118" s="39" t="s">
        <v>198</v>
      </c>
      <c r="E118" s="42">
        <v>0</v>
      </c>
      <c r="F118" s="42">
        <v>1.97530864197531E-2</v>
      </c>
      <c r="G118" s="42">
        <v>0</v>
      </c>
      <c r="H118" s="42">
        <v>0</v>
      </c>
      <c r="I118" s="37"/>
      <c r="J118" s="37"/>
      <c r="K118" s="38"/>
      <c r="L118" s="38"/>
      <c r="M118" s="38"/>
      <c r="N118" s="38"/>
      <c r="O118" s="37"/>
      <c r="P118" s="37"/>
      <c r="Q118" s="37"/>
    </row>
    <row r="119" spans="1:17" ht="15.75" customHeight="1" x14ac:dyDescent="0.25">
      <c r="A119" s="37"/>
      <c r="B119" s="37"/>
      <c r="C119" s="36" t="s">
        <v>508</v>
      </c>
      <c r="D119" s="37"/>
      <c r="E119" s="42"/>
      <c r="F119" s="42"/>
      <c r="G119" s="42"/>
      <c r="H119" s="42"/>
      <c r="I119" s="37"/>
      <c r="J119" s="37"/>
      <c r="K119" s="38"/>
      <c r="L119" s="38"/>
      <c r="M119" s="38"/>
      <c r="N119" s="38"/>
      <c r="O119" s="37"/>
      <c r="P119" s="37"/>
      <c r="Q119" s="37"/>
    </row>
    <row r="120" spans="1:17" ht="15.75" customHeight="1" x14ac:dyDescent="0.25">
      <c r="A120" s="37"/>
      <c r="B120" s="39">
        <v>0</v>
      </c>
      <c r="C120" s="36" t="s">
        <v>511</v>
      </c>
      <c r="D120" s="37"/>
      <c r="E120" s="42"/>
      <c r="F120" s="42"/>
      <c r="G120" s="42"/>
      <c r="H120" s="42"/>
      <c r="I120" s="37"/>
      <c r="J120" s="37"/>
      <c r="K120" s="38"/>
      <c r="L120" s="38"/>
      <c r="M120" s="38"/>
      <c r="N120" s="38"/>
      <c r="O120" s="37"/>
      <c r="P120" s="37"/>
      <c r="Q120" s="37"/>
    </row>
    <row r="121" spans="1:17" ht="15.75" customHeight="1" x14ac:dyDescent="0.25">
      <c r="A121" s="37"/>
      <c r="B121" s="39">
        <v>1</v>
      </c>
      <c r="C121" s="39" t="s">
        <v>142</v>
      </c>
      <c r="D121" s="39" t="s">
        <v>197</v>
      </c>
      <c r="E121" s="42">
        <v>0</v>
      </c>
      <c r="F121" s="42">
        <v>1.97530864197531E-2</v>
      </c>
      <c r="G121" s="42">
        <v>0</v>
      </c>
      <c r="H121" s="42">
        <v>0</v>
      </c>
      <c r="I121" s="37"/>
      <c r="J121" s="37"/>
      <c r="K121" s="38"/>
      <c r="L121" s="38"/>
      <c r="M121" s="38"/>
      <c r="N121" s="38"/>
      <c r="O121" s="37"/>
      <c r="P121" s="37"/>
      <c r="Q121" s="37"/>
    </row>
    <row r="122" spans="1:17" ht="15.75" customHeight="1" x14ac:dyDescent="0.25">
      <c r="A122" s="37"/>
      <c r="B122" s="39">
        <v>1</v>
      </c>
      <c r="C122" s="36" t="s">
        <v>512</v>
      </c>
      <c r="D122" s="39" t="s">
        <v>523</v>
      </c>
      <c r="E122" s="42">
        <v>9.8765432098765604E-3</v>
      </c>
      <c r="F122" s="42">
        <v>0</v>
      </c>
      <c r="G122" s="42">
        <v>0</v>
      </c>
      <c r="H122" s="42">
        <v>0</v>
      </c>
      <c r="I122" s="37"/>
      <c r="J122" s="37"/>
      <c r="K122" s="38"/>
      <c r="L122" s="38"/>
      <c r="M122" s="38"/>
      <c r="N122" s="38"/>
      <c r="O122" s="37"/>
      <c r="P122" s="37"/>
      <c r="Q122" s="37"/>
    </row>
    <row r="123" spans="1:17" ht="15.75" customHeight="1" x14ac:dyDescent="0.25">
      <c r="A123" s="37"/>
      <c r="B123"/>
      <c r="C123"/>
      <c r="D123"/>
      <c r="E123"/>
      <c r="F123"/>
      <c r="G123"/>
      <c r="H123"/>
      <c r="I123" s="37"/>
      <c r="J123" s="37"/>
      <c r="K123" s="38"/>
      <c r="L123" s="38"/>
      <c r="M123" s="38"/>
      <c r="N123" s="38"/>
      <c r="O123" s="37"/>
      <c r="P123" s="37"/>
      <c r="Q123" s="37"/>
    </row>
    <row r="124" spans="1:17" ht="15.75" customHeight="1" x14ac:dyDescent="0.25">
      <c r="A124" s="37"/>
      <c r="B124"/>
      <c r="C124"/>
      <c r="D124"/>
      <c r="E124"/>
      <c r="F124"/>
      <c r="G124"/>
      <c r="H124"/>
      <c r="I124" s="37"/>
      <c r="J124" s="37"/>
      <c r="K124" s="38"/>
      <c r="L124" s="38"/>
      <c r="M124" s="38"/>
      <c r="N124" s="38"/>
      <c r="O124" s="37"/>
      <c r="P124" s="37"/>
      <c r="Q124" s="37"/>
    </row>
    <row r="125" spans="1:17" ht="15.75" customHeight="1" x14ac:dyDescent="0.25">
      <c r="A125" s="37"/>
      <c r="B125"/>
      <c r="C125"/>
      <c r="D125"/>
      <c r="E125"/>
      <c r="F125"/>
      <c r="G125"/>
      <c r="H125"/>
      <c r="I125" s="37"/>
      <c r="J125" s="37"/>
      <c r="K125" s="38"/>
      <c r="L125" s="38"/>
      <c r="M125" s="38"/>
      <c r="N125" s="38"/>
      <c r="O125" s="37"/>
      <c r="P125" s="37"/>
      <c r="Q125" s="37"/>
    </row>
    <row r="126" spans="1:17" ht="15.75" customHeight="1" x14ac:dyDescent="0.25">
      <c r="A126" s="37"/>
      <c r="B126"/>
      <c r="C126"/>
      <c r="D126"/>
      <c r="E126"/>
      <c r="F126"/>
      <c r="G126"/>
      <c r="H126"/>
      <c r="I126" s="37"/>
      <c r="J126" s="37"/>
      <c r="K126" s="38"/>
      <c r="L126" s="38"/>
      <c r="M126" s="38"/>
      <c r="N126" s="38"/>
      <c r="O126" s="37"/>
      <c r="P126" s="37"/>
      <c r="Q126" s="37"/>
    </row>
    <row r="127" spans="1:17" ht="15.75" customHeight="1" x14ac:dyDescent="0.25">
      <c r="K127" s="38"/>
      <c r="L127" s="38"/>
      <c r="M127" s="38"/>
      <c r="N127" s="38"/>
    </row>
    <row r="128" spans="1:17" ht="15.75" customHeight="1" x14ac:dyDescent="0.25">
      <c r="K128" s="38"/>
      <c r="L128" s="38"/>
      <c r="M128" s="38"/>
      <c r="N128" s="38"/>
    </row>
    <row r="129" spans="11:15" ht="15.75" customHeight="1" x14ac:dyDescent="0.25">
      <c r="K129" s="38"/>
      <c r="L129" s="38"/>
      <c r="M129" s="38"/>
      <c r="N129" s="38"/>
      <c r="O129"/>
    </row>
    <row r="130" spans="11:15" ht="15.75" customHeight="1" x14ac:dyDescent="0.25">
      <c r="K130" s="38"/>
      <c r="L130" s="38"/>
      <c r="M130" s="38"/>
      <c r="N130" s="38"/>
      <c r="O130"/>
    </row>
    <row r="131" spans="11:15" ht="15.75" customHeight="1" x14ac:dyDescent="0.25">
      <c r="K131" s="38"/>
      <c r="L131" s="38"/>
      <c r="M131" s="38"/>
      <c r="N131" s="38"/>
      <c r="O131"/>
    </row>
    <row r="132" spans="11:15" ht="15.75" customHeight="1" x14ac:dyDescent="0.25">
      <c r="K132" s="38"/>
      <c r="L132" s="38"/>
      <c r="M132" s="38"/>
      <c r="N132" s="38"/>
    </row>
    <row r="133" spans="11:15" ht="15.75" customHeight="1" x14ac:dyDescent="0.25"/>
    <row r="134" spans="11:15" ht="15.75" customHeight="1" x14ac:dyDescent="0.25"/>
    <row r="135" spans="11:15" ht="15.75" customHeight="1" x14ac:dyDescent="0.25"/>
    <row r="136" spans="11:15" ht="15.75" customHeight="1" x14ac:dyDescent="0.25"/>
    <row r="137" spans="11:15" ht="15.75" customHeight="1" x14ac:dyDescent="0.25"/>
    <row r="138" spans="11:15" ht="15.75" customHeight="1" x14ac:dyDescent="0.25"/>
    <row r="139" spans="11:15" ht="15.75" customHeight="1" x14ac:dyDescent="0.25"/>
    <row r="140" spans="11:15" ht="15.75" customHeight="1" x14ac:dyDescent="0.25"/>
    <row r="141" spans="11:15" ht="15.75" customHeight="1" x14ac:dyDescent="0.25"/>
    <row r="142" spans="11:15" ht="15.75" customHeight="1" x14ac:dyDescent="0.25"/>
    <row r="143" spans="11:15" ht="15.75" customHeight="1" x14ac:dyDescent="0.25"/>
    <row r="144" spans="11:15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hyperlinks>
    <hyperlink ref="Q2" r:id="rId1" xr:uid="{00000000-0004-0000-0500-000000000000}"/>
    <hyperlink ref="Q3" r:id="rId2" xr:uid="{00000000-0004-0000-0500-000001000000}"/>
    <hyperlink ref="Q4" r:id="rId3" xr:uid="{00000000-0004-0000-0500-000002000000}"/>
  </hyperlinks>
  <pageMargins left="0.7" right="0.7" top="2.3250000000000002" bottom="2.3250000000000002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19545-CA97-4B8E-BD04-9028A3F5AE81}">
  <dimension ref="A1:R1048576"/>
  <sheetViews>
    <sheetView tabSelected="1" zoomScale="85" zoomScaleNormal="85" workbookViewId="0">
      <pane xSplit="1" ySplit="2" topLeftCell="B66" activePane="bottomRight" state="frozen"/>
      <selection pane="topRight" activeCell="B1" sqref="B1"/>
      <selection pane="bottomLeft" activeCell="A3" sqref="A3"/>
      <selection pane="bottomRight" activeCell="C103" sqref="C103"/>
    </sheetView>
  </sheetViews>
  <sheetFormatPr defaultColWidth="17.140625" defaultRowHeight="15.75" customHeight="1" x14ac:dyDescent="0.25"/>
  <cols>
    <col min="1" max="16384" width="17.140625" style="53"/>
  </cols>
  <sheetData>
    <row r="1" spans="1:18" ht="15.75" customHeight="1" x14ac:dyDescent="0.25">
      <c r="B1" s="58" t="s">
        <v>526</v>
      </c>
      <c r="C1" s="58"/>
      <c r="D1" s="58"/>
      <c r="E1" s="58" t="s">
        <v>528</v>
      </c>
      <c r="F1" s="58"/>
      <c r="G1" s="58"/>
      <c r="H1" s="58"/>
      <c r="I1" s="58" t="s">
        <v>527</v>
      </c>
      <c r="J1" s="58"/>
      <c r="K1" s="58"/>
      <c r="L1" s="58"/>
      <c r="M1" s="58" t="s">
        <v>529</v>
      </c>
      <c r="N1" s="58"/>
      <c r="O1" s="58"/>
      <c r="P1" s="58" t="s">
        <v>524</v>
      </c>
      <c r="Q1" s="58"/>
      <c r="R1" s="58"/>
    </row>
    <row r="2" spans="1:18" ht="15" x14ac:dyDescent="0.25">
      <c r="A2" s="52" t="str">
        <f>"n = "&amp;COUNTA(A3:A1014)</f>
        <v>n = 96</v>
      </c>
      <c r="B2" s="53" t="s">
        <v>531</v>
      </c>
      <c r="C2" s="52" t="s">
        <v>530</v>
      </c>
      <c r="D2" s="53" t="s">
        <v>532</v>
      </c>
      <c r="E2" s="53" t="s">
        <v>533</v>
      </c>
      <c r="F2" s="53" t="s">
        <v>534</v>
      </c>
      <c r="G2" s="53" t="s">
        <v>535</v>
      </c>
      <c r="H2" s="53" t="s">
        <v>536</v>
      </c>
      <c r="I2" s="53" t="s">
        <v>537</v>
      </c>
      <c r="J2" s="53" t="s">
        <v>538</v>
      </c>
      <c r="K2" s="53" t="s">
        <v>539</v>
      </c>
      <c r="L2" s="53" t="s">
        <v>540</v>
      </c>
      <c r="M2" s="53" t="s">
        <v>541</v>
      </c>
      <c r="N2" s="53" t="s">
        <v>542</v>
      </c>
      <c r="O2" s="53" t="s">
        <v>543</v>
      </c>
      <c r="P2" s="53" t="s">
        <v>544</v>
      </c>
      <c r="Q2" s="53" t="s">
        <v>545</v>
      </c>
      <c r="R2" s="53" t="s">
        <v>546</v>
      </c>
    </row>
    <row r="3" spans="1:18" ht="15" x14ac:dyDescent="0.25">
      <c r="A3" s="54" t="str">
        <f>rebio23_80ml!A3</f>
        <v>S-B-P05-H1</v>
      </c>
      <c r="B3" s="55">
        <v>111</v>
      </c>
      <c r="C3" s="55">
        <v>11</v>
      </c>
      <c r="D3" s="55">
        <v>1</v>
      </c>
      <c r="E3" s="55">
        <v>1111</v>
      </c>
      <c r="F3" s="55">
        <v>111</v>
      </c>
      <c r="G3" s="55">
        <v>11</v>
      </c>
      <c r="H3" s="55">
        <v>1</v>
      </c>
      <c r="I3" s="55"/>
      <c r="J3" s="55"/>
      <c r="K3" s="55"/>
      <c r="L3" s="55"/>
      <c r="M3" s="55">
        <v>111</v>
      </c>
      <c r="N3" s="55">
        <v>11</v>
      </c>
      <c r="O3" s="55">
        <v>1</v>
      </c>
      <c r="P3" s="55"/>
      <c r="Q3" s="55"/>
      <c r="R3" s="55"/>
    </row>
    <row r="4" spans="1:18" ht="15" x14ac:dyDescent="0.25">
      <c r="A4" s="54" t="str">
        <f>rebio23_80ml!A4</f>
        <v>S-B-P05-H2</v>
      </c>
      <c r="B4" s="55">
        <v>111</v>
      </c>
      <c r="C4" s="55">
        <v>11</v>
      </c>
      <c r="D4" s="55">
        <v>1</v>
      </c>
      <c r="E4" s="55">
        <v>1112</v>
      </c>
      <c r="F4" s="55">
        <v>111</v>
      </c>
      <c r="G4" s="55">
        <v>11</v>
      </c>
      <c r="H4" s="55">
        <v>1</v>
      </c>
      <c r="I4" s="55"/>
      <c r="J4" s="55"/>
      <c r="K4" s="55"/>
      <c r="L4" s="55"/>
      <c r="M4" s="55">
        <v>112</v>
      </c>
      <c r="N4" s="55">
        <v>11</v>
      </c>
      <c r="O4" s="55">
        <v>1</v>
      </c>
      <c r="P4" s="55"/>
      <c r="Q4" s="55"/>
      <c r="R4" s="55"/>
    </row>
    <row r="5" spans="1:18" ht="15" x14ac:dyDescent="0.25">
      <c r="A5" s="54" t="str">
        <f>rebio23_80ml!A5</f>
        <v>S-B-P05-H3</v>
      </c>
      <c r="B5" s="55">
        <v>111</v>
      </c>
      <c r="C5" s="55">
        <v>11</v>
      </c>
      <c r="D5" s="55">
        <v>1</v>
      </c>
      <c r="E5" s="55">
        <v>1113</v>
      </c>
      <c r="F5" s="55">
        <v>111</v>
      </c>
      <c r="G5" s="55">
        <v>11</v>
      </c>
      <c r="H5" s="55">
        <v>1</v>
      </c>
      <c r="I5" s="55"/>
      <c r="J5" s="55"/>
      <c r="K5" s="55"/>
      <c r="L5" s="55"/>
      <c r="M5" s="55">
        <v>113</v>
      </c>
      <c r="N5" s="55">
        <v>11</v>
      </c>
      <c r="O5" s="55">
        <v>1</v>
      </c>
      <c r="P5" s="55"/>
      <c r="Q5" s="55"/>
      <c r="R5" s="55"/>
    </row>
    <row r="6" spans="1:18" ht="15" x14ac:dyDescent="0.25">
      <c r="A6" s="54" t="str">
        <f>rebio23_80ml!A6</f>
        <v>S-B-P06-H1</v>
      </c>
      <c r="B6" s="55">
        <v>111</v>
      </c>
      <c r="C6" s="55">
        <v>11</v>
      </c>
      <c r="D6" s="55">
        <v>1</v>
      </c>
      <c r="E6" s="55">
        <v>1114</v>
      </c>
      <c r="F6" s="55">
        <v>112</v>
      </c>
      <c r="G6" s="55">
        <v>11</v>
      </c>
      <c r="H6" s="55">
        <v>1</v>
      </c>
      <c r="I6" s="55"/>
      <c r="J6" s="55"/>
      <c r="K6" s="55"/>
      <c r="L6" s="55"/>
      <c r="M6" s="55">
        <v>114</v>
      </c>
      <c r="N6" s="55">
        <v>12</v>
      </c>
      <c r="O6" s="55">
        <v>1</v>
      </c>
      <c r="P6" s="55"/>
      <c r="Q6" s="55"/>
      <c r="R6" s="55"/>
    </row>
    <row r="7" spans="1:18" ht="15" x14ac:dyDescent="0.25">
      <c r="A7" s="54" t="str">
        <f>rebio23_80ml!A7</f>
        <v>S-B-P06-H2</v>
      </c>
      <c r="B7" s="55">
        <v>111</v>
      </c>
      <c r="C7" s="55">
        <v>11</v>
      </c>
      <c r="D7" s="55">
        <v>1</v>
      </c>
      <c r="E7" s="55">
        <v>1115</v>
      </c>
      <c r="F7" s="55">
        <v>112</v>
      </c>
      <c r="G7" s="55">
        <v>11</v>
      </c>
      <c r="H7" s="55">
        <v>1</v>
      </c>
      <c r="I7" s="55"/>
      <c r="J7" s="55"/>
      <c r="K7" s="55"/>
      <c r="L7" s="55"/>
      <c r="M7" s="55">
        <v>115</v>
      </c>
      <c r="N7" s="55">
        <v>12</v>
      </c>
      <c r="O7" s="55">
        <v>1</v>
      </c>
      <c r="P7" s="55"/>
      <c r="Q7" s="55"/>
      <c r="R7" s="55"/>
    </row>
    <row r="8" spans="1:18" ht="15" x14ac:dyDescent="0.25">
      <c r="A8" s="54" t="str">
        <f>rebio23_80ml!A8</f>
        <v>S-B-P06-H3</v>
      </c>
      <c r="B8" s="55">
        <v>111</v>
      </c>
      <c r="C8" s="55">
        <v>11</v>
      </c>
      <c r="D8" s="55">
        <v>1</v>
      </c>
      <c r="E8" s="55">
        <v>1116</v>
      </c>
      <c r="F8" s="55">
        <v>112</v>
      </c>
      <c r="G8" s="55">
        <v>11</v>
      </c>
      <c r="H8" s="55">
        <v>1</v>
      </c>
      <c r="I8" s="55"/>
      <c r="J8" s="55"/>
      <c r="K8" s="55"/>
      <c r="L8" s="55"/>
      <c r="M8" s="55">
        <v>116</v>
      </c>
      <c r="N8" s="55">
        <v>12</v>
      </c>
      <c r="O8" s="55">
        <v>1</v>
      </c>
      <c r="P8" s="55"/>
      <c r="Q8" s="55"/>
      <c r="R8" s="55"/>
    </row>
    <row r="9" spans="1:18" ht="15" x14ac:dyDescent="0.25">
      <c r="A9" s="54" t="str">
        <f>rebio23_80ml!A9</f>
        <v>S-B-P07-H1</v>
      </c>
      <c r="B9" s="55">
        <v>111</v>
      </c>
      <c r="C9" s="55">
        <v>11</v>
      </c>
      <c r="D9" s="55">
        <v>1</v>
      </c>
      <c r="E9" s="55">
        <v>1117</v>
      </c>
      <c r="F9" s="55">
        <v>113</v>
      </c>
      <c r="G9" s="55">
        <v>11</v>
      </c>
      <c r="H9" s="55">
        <v>1</v>
      </c>
      <c r="I9" s="55"/>
      <c r="J9" s="55"/>
      <c r="K9" s="55"/>
      <c r="L9" s="55"/>
      <c r="M9" s="55">
        <v>117</v>
      </c>
      <c r="N9" s="55">
        <v>13</v>
      </c>
      <c r="O9" s="55">
        <v>1</v>
      </c>
      <c r="P9" s="55"/>
      <c r="Q9" s="55"/>
      <c r="R9" s="55"/>
    </row>
    <row r="10" spans="1:18" ht="15" x14ac:dyDescent="0.25">
      <c r="A10" s="54" t="str">
        <f>rebio23_80ml!A10</f>
        <v>S-B-P07-H2</v>
      </c>
      <c r="B10" s="55">
        <v>111</v>
      </c>
      <c r="C10" s="55">
        <v>11</v>
      </c>
      <c r="D10" s="55">
        <v>1</v>
      </c>
      <c r="E10" s="55">
        <v>1118</v>
      </c>
      <c r="F10" s="55">
        <v>113</v>
      </c>
      <c r="G10" s="55">
        <v>11</v>
      </c>
      <c r="H10" s="55">
        <v>1</v>
      </c>
      <c r="I10" s="55"/>
      <c r="J10" s="55"/>
      <c r="K10" s="55"/>
      <c r="L10" s="55"/>
      <c r="M10" s="55">
        <v>118</v>
      </c>
      <c r="N10" s="55">
        <v>13</v>
      </c>
      <c r="O10" s="55">
        <v>1</v>
      </c>
      <c r="P10" s="55"/>
      <c r="Q10" s="55"/>
      <c r="R10" s="55"/>
    </row>
    <row r="11" spans="1:18" ht="15" x14ac:dyDescent="0.25">
      <c r="A11" s="54" t="str">
        <f>rebio23_80ml!A11</f>
        <v>S-B-P07-H3</v>
      </c>
      <c r="B11" s="55">
        <v>111</v>
      </c>
      <c r="C11" s="55">
        <v>11</v>
      </c>
      <c r="D11" s="55">
        <v>1</v>
      </c>
      <c r="E11" s="55">
        <v>1119</v>
      </c>
      <c r="F11" s="55">
        <v>113</v>
      </c>
      <c r="G11" s="55">
        <v>11</v>
      </c>
      <c r="H11" s="55">
        <v>1</v>
      </c>
      <c r="I11" s="55"/>
      <c r="J11" s="55"/>
      <c r="K11" s="55"/>
      <c r="L11" s="55"/>
      <c r="M11" s="55">
        <v>119</v>
      </c>
      <c r="N11" s="55">
        <v>13</v>
      </c>
      <c r="O11" s="55">
        <v>1</v>
      </c>
      <c r="P11" s="55"/>
      <c r="Q11" s="55"/>
      <c r="R11" s="55"/>
    </row>
    <row r="12" spans="1:18" ht="15" x14ac:dyDescent="0.25">
      <c r="A12" s="54" t="str">
        <f>rebio23_80ml!A12</f>
        <v>S-B-P08-H1</v>
      </c>
      <c r="B12" s="55">
        <v>111</v>
      </c>
      <c r="C12" s="55">
        <v>11</v>
      </c>
      <c r="D12" s="55">
        <v>1</v>
      </c>
      <c r="E12" s="55">
        <v>1120</v>
      </c>
      <c r="F12" s="55">
        <v>114</v>
      </c>
      <c r="G12" s="55">
        <v>11</v>
      </c>
      <c r="H12" s="55">
        <v>1</v>
      </c>
      <c r="I12" s="55"/>
      <c r="J12" s="55"/>
      <c r="K12" s="55"/>
      <c r="L12" s="55"/>
      <c r="M12" s="55">
        <v>120</v>
      </c>
      <c r="N12" s="55">
        <v>14</v>
      </c>
      <c r="O12" s="55">
        <v>1</v>
      </c>
      <c r="P12" s="55"/>
      <c r="Q12" s="55"/>
      <c r="R12" s="55"/>
    </row>
    <row r="13" spans="1:18" ht="15" x14ac:dyDescent="0.25">
      <c r="A13" s="54" t="str">
        <f>rebio23_80ml!A13</f>
        <v>S-B-P08-H2</v>
      </c>
      <c r="B13" s="55">
        <v>111</v>
      </c>
      <c r="C13" s="55">
        <v>11</v>
      </c>
      <c r="D13" s="55">
        <v>1</v>
      </c>
      <c r="E13" s="55">
        <v>1121</v>
      </c>
      <c r="F13" s="55">
        <v>114</v>
      </c>
      <c r="G13" s="55">
        <v>11</v>
      </c>
      <c r="H13" s="55">
        <v>1</v>
      </c>
      <c r="I13" s="55"/>
      <c r="J13" s="55"/>
      <c r="K13" s="55"/>
      <c r="L13" s="55"/>
      <c r="M13" s="55">
        <v>121</v>
      </c>
      <c r="N13" s="55">
        <v>14</v>
      </c>
      <c r="O13" s="55">
        <v>1</v>
      </c>
      <c r="P13" s="55"/>
      <c r="Q13" s="55"/>
      <c r="R13" s="55"/>
    </row>
    <row r="14" spans="1:18" ht="15" x14ac:dyDescent="0.25">
      <c r="A14" s="54" t="str">
        <f>rebio23_80ml!A14</f>
        <v>S-B-P08-H3</v>
      </c>
      <c r="B14" s="55">
        <v>111</v>
      </c>
      <c r="C14" s="55">
        <v>11</v>
      </c>
      <c r="D14" s="55">
        <v>1</v>
      </c>
      <c r="E14" s="55">
        <v>1122</v>
      </c>
      <c r="F14" s="55">
        <v>114</v>
      </c>
      <c r="G14" s="55">
        <v>11</v>
      </c>
      <c r="H14" s="55">
        <v>1</v>
      </c>
      <c r="I14" s="55"/>
      <c r="J14" s="55"/>
      <c r="K14" s="55"/>
      <c r="L14" s="55"/>
      <c r="M14" s="55">
        <v>122</v>
      </c>
      <c r="N14" s="55">
        <v>14</v>
      </c>
      <c r="O14" s="55">
        <v>1</v>
      </c>
      <c r="P14" s="55"/>
      <c r="Q14" s="55"/>
      <c r="R14" s="55"/>
    </row>
    <row r="15" spans="1:18" ht="15" x14ac:dyDescent="0.25">
      <c r="A15" s="54" t="str">
        <f>rebio23_80ml!A15</f>
        <v>S-B-P09-H1</v>
      </c>
      <c r="B15" s="55">
        <v>111</v>
      </c>
      <c r="C15" s="55">
        <v>11</v>
      </c>
      <c r="D15" s="55">
        <v>1</v>
      </c>
      <c r="E15" s="55">
        <v>1123</v>
      </c>
      <c r="F15" s="55">
        <v>115</v>
      </c>
      <c r="G15" s="55">
        <v>11</v>
      </c>
      <c r="H15" s="55">
        <v>1</v>
      </c>
      <c r="I15" s="55"/>
      <c r="J15" s="55"/>
      <c r="K15" s="55"/>
      <c r="L15" s="55"/>
      <c r="M15" s="55">
        <v>123</v>
      </c>
      <c r="N15" s="55">
        <v>15</v>
      </c>
      <c r="O15" s="55">
        <v>1</v>
      </c>
      <c r="P15" s="55"/>
      <c r="Q15" s="55"/>
      <c r="R15" s="55"/>
    </row>
    <row r="16" spans="1:18" ht="15" x14ac:dyDescent="0.25">
      <c r="A16" s="54" t="str">
        <f>rebio23_80ml!A16</f>
        <v>S-B-P09-H2</v>
      </c>
      <c r="B16" s="55">
        <v>111</v>
      </c>
      <c r="C16" s="55">
        <v>11</v>
      </c>
      <c r="D16" s="55">
        <v>1</v>
      </c>
      <c r="E16" s="55">
        <v>1124</v>
      </c>
      <c r="F16" s="55">
        <v>115</v>
      </c>
      <c r="G16" s="55">
        <v>11</v>
      </c>
      <c r="H16" s="55">
        <v>1</v>
      </c>
      <c r="I16" s="55"/>
      <c r="J16" s="55"/>
      <c r="K16" s="55"/>
      <c r="L16" s="55"/>
      <c r="M16" s="55">
        <v>124</v>
      </c>
      <c r="N16" s="55">
        <v>15</v>
      </c>
      <c r="O16" s="55">
        <v>1</v>
      </c>
      <c r="P16" s="55"/>
      <c r="Q16" s="55"/>
      <c r="R16" s="55"/>
    </row>
    <row r="17" spans="1:18" ht="15" x14ac:dyDescent="0.25">
      <c r="A17" s="54" t="str">
        <f>rebio23_80ml!A17</f>
        <v>S-B-P09-H3</v>
      </c>
      <c r="B17" s="55">
        <v>111</v>
      </c>
      <c r="C17" s="55">
        <v>11</v>
      </c>
      <c r="D17" s="55">
        <v>1</v>
      </c>
      <c r="E17" s="55">
        <v>1125</v>
      </c>
      <c r="F17" s="55">
        <v>115</v>
      </c>
      <c r="G17" s="55">
        <v>11</v>
      </c>
      <c r="H17" s="55">
        <v>1</v>
      </c>
      <c r="I17" s="55"/>
      <c r="J17" s="55"/>
      <c r="K17" s="55"/>
      <c r="L17" s="55"/>
      <c r="M17" s="55">
        <v>125</v>
      </c>
      <c r="N17" s="55">
        <v>15</v>
      </c>
      <c r="O17" s="55">
        <v>1</v>
      </c>
      <c r="P17" s="55"/>
      <c r="Q17" s="55"/>
      <c r="R17" s="55"/>
    </row>
    <row r="18" spans="1:18" ht="15" x14ac:dyDescent="0.25">
      <c r="A18" s="54" t="str">
        <f>rebio23_80ml!A18</f>
        <v>S-B-P10-H1</v>
      </c>
      <c r="B18" s="55">
        <v>111</v>
      </c>
      <c r="C18" s="55">
        <v>11</v>
      </c>
      <c r="D18" s="55">
        <v>1</v>
      </c>
      <c r="E18" s="55">
        <v>1126</v>
      </c>
      <c r="F18" s="55">
        <v>116</v>
      </c>
      <c r="G18" s="55">
        <v>11</v>
      </c>
      <c r="H18" s="55">
        <v>1</v>
      </c>
      <c r="I18" s="55"/>
      <c r="J18" s="55"/>
      <c r="K18" s="55"/>
      <c r="L18" s="55"/>
      <c r="M18" s="55">
        <v>126</v>
      </c>
      <c r="N18" s="55">
        <v>16</v>
      </c>
      <c r="O18" s="55">
        <v>1</v>
      </c>
      <c r="P18" s="55"/>
      <c r="Q18" s="55"/>
      <c r="R18" s="55"/>
    </row>
    <row r="19" spans="1:18" ht="15" x14ac:dyDescent="0.25">
      <c r="A19" s="54" t="str">
        <f>rebio23_80ml!A19</f>
        <v>S-B-P10-H2</v>
      </c>
      <c r="B19" s="55">
        <v>111</v>
      </c>
      <c r="C19" s="55">
        <v>11</v>
      </c>
      <c r="D19" s="55">
        <v>1</v>
      </c>
      <c r="E19" s="55">
        <v>1127</v>
      </c>
      <c r="F19" s="55">
        <v>116</v>
      </c>
      <c r="G19" s="55">
        <v>11</v>
      </c>
      <c r="H19" s="55">
        <v>1</v>
      </c>
      <c r="I19" s="55"/>
      <c r="J19" s="55"/>
      <c r="K19" s="55"/>
      <c r="L19" s="55"/>
      <c r="M19" s="55">
        <v>127</v>
      </c>
      <c r="N19" s="55">
        <v>16</v>
      </c>
      <c r="O19" s="55">
        <v>1</v>
      </c>
      <c r="P19" s="55"/>
      <c r="Q19" s="55"/>
      <c r="R19" s="55"/>
    </row>
    <row r="20" spans="1:18" ht="15" x14ac:dyDescent="0.25">
      <c r="A20" s="54" t="str">
        <f>rebio23_80ml!A20</f>
        <v>S-B-P10-H3</v>
      </c>
      <c r="B20" s="55">
        <v>111</v>
      </c>
      <c r="C20" s="55">
        <v>11</v>
      </c>
      <c r="D20" s="55">
        <v>1</v>
      </c>
      <c r="E20" s="55">
        <v>1128</v>
      </c>
      <c r="F20" s="55">
        <v>116</v>
      </c>
      <c r="G20" s="55">
        <v>11</v>
      </c>
      <c r="H20" s="55">
        <v>1</v>
      </c>
      <c r="I20" s="55"/>
      <c r="J20" s="55"/>
      <c r="K20" s="55"/>
      <c r="L20" s="55"/>
      <c r="M20" s="55">
        <v>128</v>
      </c>
      <c r="N20" s="55">
        <v>16</v>
      </c>
      <c r="O20" s="55">
        <v>1</v>
      </c>
      <c r="P20" s="55"/>
      <c r="Q20" s="55"/>
      <c r="R20" s="55"/>
    </row>
    <row r="21" spans="1:18" ht="15" x14ac:dyDescent="0.25">
      <c r="A21" s="54" t="str">
        <f>rebio23_80ml!A21</f>
        <v>S-C-P11-H1</v>
      </c>
      <c r="B21" s="55"/>
      <c r="C21" s="55"/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</row>
    <row r="22" spans="1:18" ht="15" x14ac:dyDescent="0.25">
      <c r="A22" s="54" t="str">
        <f>rebio23_80ml!A22</f>
        <v>S-C-P11-H2</v>
      </c>
      <c r="B22" s="55"/>
      <c r="C22" s="55"/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</row>
    <row r="23" spans="1:18" ht="15" x14ac:dyDescent="0.25">
      <c r="A23" s="54" t="str">
        <f>rebio23_80ml!A23</f>
        <v>S-C-P11-H3</v>
      </c>
      <c r="B23" s="55"/>
      <c r="C23" s="55"/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</row>
    <row r="24" spans="1:18" ht="15" x14ac:dyDescent="0.25">
      <c r="A24" s="54" t="str">
        <f>rebio23_80ml!A24</f>
        <v>S-C-P12-H1</v>
      </c>
      <c r="B24" s="55">
        <v>112</v>
      </c>
      <c r="C24" s="55">
        <v>11</v>
      </c>
      <c r="D24" s="55">
        <v>1</v>
      </c>
      <c r="E24" s="55">
        <v>1129</v>
      </c>
      <c r="F24" s="55">
        <v>117</v>
      </c>
      <c r="G24" s="55">
        <v>12</v>
      </c>
      <c r="H24" s="55">
        <v>1</v>
      </c>
      <c r="I24" s="55"/>
      <c r="J24" s="55"/>
      <c r="K24" s="55"/>
      <c r="L24" s="55"/>
      <c r="M24" s="55"/>
      <c r="N24" s="55"/>
      <c r="O24" s="55"/>
      <c r="P24" s="55">
        <v>111</v>
      </c>
      <c r="Q24" s="55">
        <v>11</v>
      </c>
      <c r="R24" s="55">
        <v>1</v>
      </c>
    </row>
    <row r="25" spans="1:18" ht="15" x14ac:dyDescent="0.25">
      <c r="A25" s="54" t="str">
        <f>rebio23_80ml!A25</f>
        <v>S-C-P12-H2</v>
      </c>
      <c r="B25" s="55">
        <v>112</v>
      </c>
      <c r="C25" s="55">
        <v>11</v>
      </c>
      <c r="D25" s="55">
        <v>1</v>
      </c>
      <c r="E25" s="55">
        <v>1130</v>
      </c>
      <c r="F25" s="55">
        <v>117</v>
      </c>
      <c r="G25" s="55">
        <v>12</v>
      </c>
      <c r="H25" s="55">
        <v>1</v>
      </c>
      <c r="I25" s="55"/>
      <c r="J25" s="55"/>
      <c r="K25" s="55"/>
      <c r="L25" s="55"/>
      <c r="M25" s="55"/>
      <c r="N25" s="55"/>
      <c r="O25" s="55"/>
      <c r="P25" s="55">
        <v>112</v>
      </c>
      <c r="Q25" s="55">
        <v>11</v>
      </c>
      <c r="R25" s="55">
        <v>1</v>
      </c>
    </row>
    <row r="26" spans="1:18" ht="15" x14ac:dyDescent="0.25">
      <c r="A26" s="54" t="str">
        <f>rebio23_80ml!A26</f>
        <v>S-C-P12-H3</v>
      </c>
      <c r="B26" s="55">
        <v>112</v>
      </c>
      <c r="C26" s="55">
        <v>11</v>
      </c>
      <c r="D26" s="55">
        <v>1</v>
      </c>
      <c r="E26" s="55">
        <v>1131</v>
      </c>
      <c r="F26" s="55">
        <v>117</v>
      </c>
      <c r="G26" s="55">
        <v>12</v>
      </c>
      <c r="H26" s="55">
        <v>1</v>
      </c>
      <c r="I26" s="55"/>
      <c r="J26" s="55"/>
      <c r="K26" s="55"/>
      <c r="L26" s="55"/>
      <c r="M26" s="55"/>
      <c r="N26" s="55"/>
      <c r="O26" s="55"/>
      <c r="P26" s="55">
        <v>113</v>
      </c>
      <c r="Q26" s="55">
        <v>11</v>
      </c>
      <c r="R26" s="55">
        <v>1</v>
      </c>
    </row>
    <row r="27" spans="1:18" ht="15" x14ac:dyDescent="0.25">
      <c r="A27" s="54" t="str">
        <f>rebio23_80ml!A27</f>
        <v>S-C-P13-H1</v>
      </c>
      <c r="B27" s="55">
        <v>112</v>
      </c>
      <c r="C27" s="55">
        <v>11</v>
      </c>
      <c r="D27" s="55">
        <v>1</v>
      </c>
      <c r="E27" s="55">
        <v>1132</v>
      </c>
      <c r="F27" s="55">
        <v>118</v>
      </c>
      <c r="G27" s="55">
        <v>12</v>
      </c>
      <c r="H27" s="55">
        <v>1</v>
      </c>
      <c r="I27" s="55"/>
      <c r="J27" s="55"/>
      <c r="K27" s="55"/>
      <c r="L27" s="55"/>
      <c r="M27" s="55"/>
      <c r="N27" s="55"/>
      <c r="O27" s="55"/>
      <c r="P27" s="55">
        <v>114</v>
      </c>
      <c r="Q27" s="55">
        <v>12</v>
      </c>
      <c r="R27" s="55">
        <v>1</v>
      </c>
    </row>
    <row r="28" spans="1:18" ht="15" x14ac:dyDescent="0.25">
      <c r="A28" s="54" t="str">
        <f>rebio23_80ml!A28</f>
        <v>S-C-P13-H2</v>
      </c>
      <c r="B28" s="55">
        <v>112</v>
      </c>
      <c r="C28" s="55">
        <v>11</v>
      </c>
      <c r="D28" s="55">
        <v>1</v>
      </c>
      <c r="E28" s="55">
        <v>1133</v>
      </c>
      <c r="F28" s="55">
        <v>118</v>
      </c>
      <c r="G28" s="55">
        <v>12</v>
      </c>
      <c r="H28" s="55">
        <v>1</v>
      </c>
      <c r="I28" s="55"/>
      <c r="J28" s="55"/>
      <c r="K28" s="55"/>
      <c r="L28" s="55"/>
      <c r="M28" s="55"/>
      <c r="N28" s="55"/>
      <c r="O28" s="55"/>
      <c r="P28" s="55">
        <v>115</v>
      </c>
      <c r="Q28" s="55">
        <v>12</v>
      </c>
      <c r="R28" s="55">
        <v>1</v>
      </c>
    </row>
    <row r="29" spans="1:18" ht="15" x14ac:dyDescent="0.25">
      <c r="A29" s="54" t="str">
        <f>rebio23_80ml!A29</f>
        <v>S-C-P13-H3</v>
      </c>
      <c r="B29" s="55">
        <v>112</v>
      </c>
      <c r="C29" s="55">
        <v>11</v>
      </c>
      <c r="D29" s="55">
        <v>1</v>
      </c>
      <c r="E29" s="55">
        <v>1134</v>
      </c>
      <c r="F29" s="55">
        <v>118</v>
      </c>
      <c r="G29" s="55">
        <v>12</v>
      </c>
      <c r="H29" s="55">
        <v>1</v>
      </c>
      <c r="I29" s="55"/>
      <c r="J29" s="55"/>
      <c r="K29" s="55"/>
      <c r="L29" s="55"/>
      <c r="M29" s="55"/>
      <c r="N29" s="55"/>
      <c r="O29" s="55"/>
      <c r="P29" s="55">
        <v>116</v>
      </c>
      <c r="Q29" s="55">
        <v>12</v>
      </c>
      <c r="R29" s="55">
        <v>1</v>
      </c>
    </row>
    <row r="30" spans="1:18" ht="15" x14ac:dyDescent="0.25">
      <c r="A30" s="54" t="str">
        <f>rebio23_80ml!A30</f>
        <v>S-C-P14-H1</v>
      </c>
      <c r="B30" s="55">
        <v>112</v>
      </c>
      <c r="C30" s="55">
        <v>11</v>
      </c>
      <c r="D30" s="55">
        <v>1</v>
      </c>
      <c r="E30" s="55">
        <v>1135</v>
      </c>
      <c r="F30" s="55">
        <v>119</v>
      </c>
      <c r="G30" s="55">
        <v>12</v>
      </c>
      <c r="H30" s="55">
        <v>1</v>
      </c>
      <c r="I30" s="55"/>
      <c r="J30" s="55"/>
      <c r="K30" s="55"/>
      <c r="L30" s="55"/>
      <c r="M30" s="55"/>
      <c r="N30" s="55"/>
      <c r="O30" s="55"/>
      <c r="P30" s="55">
        <v>117</v>
      </c>
      <c r="Q30" s="55">
        <v>13</v>
      </c>
      <c r="R30" s="55">
        <v>1</v>
      </c>
    </row>
    <row r="31" spans="1:18" ht="15" x14ac:dyDescent="0.25">
      <c r="A31" s="54" t="str">
        <f>rebio23_80ml!A31</f>
        <v>S-C-P14-H2</v>
      </c>
      <c r="B31" s="55">
        <v>112</v>
      </c>
      <c r="C31" s="55">
        <v>11</v>
      </c>
      <c r="D31" s="55">
        <v>1</v>
      </c>
      <c r="E31" s="55">
        <v>1136</v>
      </c>
      <c r="F31" s="55">
        <v>119</v>
      </c>
      <c r="G31" s="55">
        <v>12</v>
      </c>
      <c r="H31" s="55">
        <v>1</v>
      </c>
      <c r="I31" s="55"/>
      <c r="J31" s="55"/>
      <c r="K31" s="55"/>
      <c r="L31" s="55"/>
      <c r="M31" s="55"/>
      <c r="N31" s="55"/>
      <c r="O31" s="55"/>
      <c r="P31" s="55">
        <v>118</v>
      </c>
      <c r="Q31" s="55">
        <v>13</v>
      </c>
      <c r="R31" s="55">
        <v>1</v>
      </c>
    </row>
    <row r="32" spans="1:18" ht="15" x14ac:dyDescent="0.25">
      <c r="A32" s="54" t="str">
        <f>rebio23_80ml!A32</f>
        <v>S-C-P14-H3</v>
      </c>
      <c r="B32" s="55">
        <v>112</v>
      </c>
      <c r="C32" s="55">
        <v>11</v>
      </c>
      <c r="D32" s="55">
        <v>1</v>
      </c>
      <c r="E32" s="55">
        <v>1137</v>
      </c>
      <c r="F32" s="55">
        <v>119</v>
      </c>
      <c r="G32" s="55">
        <v>12</v>
      </c>
      <c r="H32" s="55">
        <v>1</v>
      </c>
      <c r="I32" s="55"/>
      <c r="J32" s="55"/>
      <c r="K32" s="55"/>
      <c r="L32" s="55"/>
      <c r="M32" s="55"/>
      <c r="N32" s="55"/>
      <c r="O32" s="55"/>
      <c r="P32" s="55">
        <v>119</v>
      </c>
      <c r="Q32" s="55">
        <v>13</v>
      </c>
      <c r="R32" s="55">
        <v>1</v>
      </c>
    </row>
    <row r="33" spans="1:18" ht="15" x14ac:dyDescent="0.25">
      <c r="A33" s="54" t="str">
        <f>rebio23_80ml!A33</f>
        <v>S-C-P15-H1</v>
      </c>
      <c r="B33" s="55">
        <v>112</v>
      </c>
      <c r="C33" s="55">
        <v>11</v>
      </c>
      <c r="D33" s="55">
        <v>1</v>
      </c>
      <c r="E33" s="55">
        <v>1138</v>
      </c>
      <c r="F33" s="55">
        <v>120</v>
      </c>
      <c r="G33" s="55">
        <v>12</v>
      </c>
      <c r="H33" s="55">
        <v>1</v>
      </c>
      <c r="I33" s="55"/>
      <c r="J33" s="55"/>
      <c r="K33" s="55"/>
      <c r="L33" s="55"/>
      <c r="M33" s="55"/>
      <c r="N33" s="55"/>
      <c r="O33" s="55"/>
      <c r="P33" s="55">
        <v>120</v>
      </c>
      <c r="Q33" s="55">
        <v>14</v>
      </c>
      <c r="R33" s="55">
        <v>1</v>
      </c>
    </row>
    <row r="34" spans="1:18" ht="15" x14ac:dyDescent="0.25">
      <c r="A34" s="54" t="str">
        <f>rebio23_80ml!A34</f>
        <v>S-C-P15-H2</v>
      </c>
      <c r="B34" s="55">
        <v>112</v>
      </c>
      <c r="C34" s="55">
        <v>11</v>
      </c>
      <c r="D34" s="55">
        <v>1</v>
      </c>
      <c r="E34" s="55">
        <v>1139</v>
      </c>
      <c r="F34" s="55">
        <v>120</v>
      </c>
      <c r="G34" s="55">
        <v>12</v>
      </c>
      <c r="H34" s="55">
        <v>1</v>
      </c>
      <c r="I34" s="55"/>
      <c r="J34" s="55"/>
      <c r="K34" s="55"/>
      <c r="L34" s="55"/>
      <c r="M34" s="55"/>
      <c r="N34" s="55"/>
      <c r="O34" s="55"/>
      <c r="P34" s="55">
        <v>121</v>
      </c>
      <c r="Q34" s="55">
        <v>14</v>
      </c>
      <c r="R34" s="55">
        <v>1</v>
      </c>
    </row>
    <row r="35" spans="1:18" ht="15" x14ac:dyDescent="0.25">
      <c r="A35" s="54" t="str">
        <f>rebio23_80ml!A35</f>
        <v>S-C-P15-H3</v>
      </c>
      <c r="B35" s="55">
        <v>112</v>
      </c>
      <c r="C35" s="55">
        <v>11</v>
      </c>
      <c r="D35" s="55">
        <v>1</v>
      </c>
      <c r="E35" s="55">
        <v>1140</v>
      </c>
      <c r="F35" s="55">
        <v>120</v>
      </c>
      <c r="G35" s="55">
        <v>12</v>
      </c>
      <c r="H35" s="55">
        <v>1</v>
      </c>
      <c r="I35" s="55"/>
      <c r="J35" s="55"/>
      <c r="K35" s="55"/>
      <c r="L35" s="55"/>
      <c r="M35" s="55"/>
      <c r="N35" s="55"/>
      <c r="O35" s="55"/>
      <c r="P35" s="55">
        <v>122</v>
      </c>
      <c r="Q35" s="55">
        <v>14</v>
      </c>
      <c r="R35" s="55">
        <v>1</v>
      </c>
    </row>
    <row r="36" spans="1:18" ht="15" x14ac:dyDescent="0.25">
      <c r="A36" s="54" t="str">
        <f>rebio23_80ml!A36</f>
        <v>S-C-P16-H1</v>
      </c>
      <c r="B36" s="55">
        <v>112</v>
      </c>
      <c r="C36" s="55">
        <v>11</v>
      </c>
      <c r="D36" s="55">
        <v>1</v>
      </c>
      <c r="E36" s="55">
        <v>1141</v>
      </c>
      <c r="F36" s="55">
        <v>121</v>
      </c>
      <c r="G36" s="55">
        <v>12</v>
      </c>
      <c r="H36" s="55">
        <v>1</v>
      </c>
      <c r="I36" s="55"/>
      <c r="J36" s="55"/>
      <c r="K36" s="55"/>
      <c r="L36" s="55"/>
      <c r="M36" s="55"/>
      <c r="N36" s="55"/>
      <c r="O36" s="55"/>
      <c r="P36" s="55">
        <v>123</v>
      </c>
      <c r="Q36" s="55">
        <v>15</v>
      </c>
      <c r="R36" s="55">
        <v>1</v>
      </c>
    </row>
    <row r="37" spans="1:18" ht="15" x14ac:dyDescent="0.25">
      <c r="A37" s="54" t="str">
        <f>rebio23_80ml!A37</f>
        <v>S-C-P16-H2</v>
      </c>
      <c r="B37" s="55">
        <v>112</v>
      </c>
      <c r="C37" s="55">
        <v>11</v>
      </c>
      <c r="D37" s="55">
        <v>1</v>
      </c>
      <c r="E37" s="55">
        <v>1142</v>
      </c>
      <c r="F37" s="55">
        <v>121</v>
      </c>
      <c r="G37" s="55">
        <v>12</v>
      </c>
      <c r="H37" s="55">
        <v>1</v>
      </c>
      <c r="I37" s="55"/>
      <c r="J37" s="55"/>
      <c r="K37" s="55"/>
      <c r="L37" s="55"/>
      <c r="M37" s="55"/>
      <c r="N37" s="55"/>
      <c r="O37" s="55"/>
      <c r="P37" s="55">
        <v>124</v>
      </c>
      <c r="Q37" s="55">
        <v>15</v>
      </c>
      <c r="R37" s="55">
        <v>1</v>
      </c>
    </row>
    <row r="38" spans="1:18" ht="15" x14ac:dyDescent="0.25">
      <c r="A38" s="54" t="str">
        <f>rebio23_80ml!A38</f>
        <v>S-C-P16-H3</v>
      </c>
      <c r="B38" s="55">
        <v>112</v>
      </c>
      <c r="C38" s="55">
        <v>11</v>
      </c>
      <c r="D38" s="55">
        <v>1</v>
      </c>
      <c r="E38" s="55">
        <v>1143</v>
      </c>
      <c r="F38" s="55">
        <v>121</v>
      </c>
      <c r="G38" s="55">
        <v>12</v>
      </c>
      <c r="H38" s="55">
        <v>1</v>
      </c>
      <c r="I38" s="55"/>
      <c r="J38" s="55"/>
      <c r="K38" s="55"/>
      <c r="L38" s="55"/>
      <c r="M38" s="55"/>
      <c r="N38" s="55"/>
      <c r="O38" s="55"/>
      <c r="P38" s="55">
        <v>125</v>
      </c>
      <c r="Q38" s="55">
        <v>15</v>
      </c>
      <c r="R38" s="55">
        <v>1</v>
      </c>
    </row>
    <row r="39" spans="1:18" ht="15" x14ac:dyDescent="0.25">
      <c r="A39" s="54" t="str">
        <f>rebio23_80ml!A39</f>
        <v>S-C-P17-H1</v>
      </c>
      <c r="B39" s="55">
        <v>112</v>
      </c>
      <c r="C39" s="55">
        <v>11</v>
      </c>
      <c r="D39" s="55">
        <v>1</v>
      </c>
      <c r="E39" s="55">
        <v>1144</v>
      </c>
      <c r="F39" s="55">
        <v>122</v>
      </c>
      <c r="G39" s="55">
        <v>12</v>
      </c>
      <c r="H39" s="55">
        <v>1</v>
      </c>
      <c r="I39" s="55"/>
      <c r="J39" s="55"/>
      <c r="K39" s="55"/>
      <c r="L39" s="55"/>
      <c r="M39" s="55"/>
      <c r="N39" s="55"/>
      <c r="O39" s="55"/>
      <c r="P39" s="55">
        <v>126</v>
      </c>
      <c r="Q39" s="55">
        <v>16</v>
      </c>
      <c r="R39" s="55">
        <v>1</v>
      </c>
    </row>
    <row r="40" spans="1:18" ht="15" x14ac:dyDescent="0.25">
      <c r="A40" s="54" t="str">
        <f>rebio23_80ml!A40</f>
        <v>S-C-P17-H2</v>
      </c>
      <c r="B40" s="55">
        <v>112</v>
      </c>
      <c r="C40" s="55">
        <v>11</v>
      </c>
      <c r="D40" s="55">
        <v>1</v>
      </c>
      <c r="E40" s="55">
        <v>1145</v>
      </c>
      <c r="F40" s="55">
        <v>122</v>
      </c>
      <c r="G40" s="55">
        <v>12</v>
      </c>
      <c r="H40" s="55">
        <v>1</v>
      </c>
      <c r="I40" s="55"/>
      <c r="J40" s="55"/>
      <c r="K40" s="55"/>
      <c r="L40" s="55"/>
      <c r="M40" s="55"/>
      <c r="N40" s="55"/>
      <c r="O40" s="55"/>
      <c r="P40" s="55">
        <v>127</v>
      </c>
      <c r="Q40" s="55">
        <v>16</v>
      </c>
      <c r="R40" s="55">
        <v>1</v>
      </c>
    </row>
    <row r="41" spans="1:18" ht="15" x14ac:dyDescent="0.25">
      <c r="A41" s="54" t="str">
        <f>rebio23_80ml!A41</f>
        <v>S-C-P17-H3</v>
      </c>
      <c r="B41" s="55">
        <v>112</v>
      </c>
      <c r="C41" s="55">
        <v>11</v>
      </c>
      <c r="D41" s="55">
        <v>1</v>
      </c>
      <c r="E41" s="55">
        <v>1146</v>
      </c>
      <c r="F41" s="55">
        <v>122</v>
      </c>
      <c r="G41" s="55">
        <v>12</v>
      </c>
      <c r="H41" s="55">
        <v>1</v>
      </c>
      <c r="I41" s="55"/>
      <c r="J41" s="55"/>
      <c r="K41" s="55"/>
      <c r="L41" s="55"/>
      <c r="M41" s="55"/>
      <c r="N41" s="55"/>
      <c r="O41" s="55"/>
      <c r="P41" s="55">
        <v>128</v>
      </c>
      <c r="Q41" s="55">
        <v>16</v>
      </c>
      <c r="R41" s="55">
        <v>1</v>
      </c>
    </row>
    <row r="42" spans="1:18" ht="15" x14ac:dyDescent="0.25">
      <c r="A42" s="54" t="str">
        <f>rebio23_80ml!A42</f>
        <v>S-C-P18-H1</v>
      </c>
      <c r="B42" s="55">
        <v>112</v>
      </c>
      <c r="C42" s="55">
        <v>11</v>
      </c>
      <c r="D42" s="55">
        <v>1</v>
      </c>
      <c r="E42" s="55">
        <v>1147</v>
      </c>
      <c r="F42" s="55">
        <v>123</v>
      </c>
      <c r="G42" s="55">
        <v>12</v>
      </c>
      <c r="H42" s="55">
        <v>1</v>
      </c>
      <c r="I42" s="55"/>
      <c r="J42" s="55"/>
      <c r="K42" s="55"/>
      <c r="L42" s="55"/>
      <c r="M42" s="55"/>
      <c r="N42" s="55"/>
      <c r="O42" s="55"/>
      <c r="P42" s="55">
        <v>129</v>
      </c>
      <c r="Q42" s="55">
        <v>17</v>
      </c>
      <c r="R42" s="55">
        <v>1</v>
      </c>
    </row>
    <row r="43" spans="1:18" ht="15" x14ac:dyDescent="0.25">
      <c r="A43" s="54" t="str">
        <f>rebio23_80ml!A43</f>
        <v>S-C-P18-H2</v>
      </c>
      <c r="B43" s="55">
        <v>112</v>
      </c>
      <c r="C43" s="55">
        <v>11</v>
      </c>
      <c r="D43" s="55">
        <v>1</v>
      </c>
      <c r="E43" s="55">
        <v>1148</v>
      </c>
      <c r="F43" s="55">
        <v>123</v>
      </c>
      <c r="G43" s="55">
        <v>12</v>
      </c>
      <c r="H43" s="55">
        <v>1</v>
      </c>
      <c r="I43" s="55"/>
      <c r="J43" s="55"/>
      <c r="K43" s="55"/>
      <c r="L43" s="55"/>
      <c r="M43" s="55"/>
      <c r="N43" s="55"/>
      <c r="O43" s="55"/>
      <c r="P43" s="55">
        <v>130</v>
      </c>
      <c r="Q43" s="55">
        <v>17</v>
      </c>
      <c r="R43" s="55">
        <v>1</v>
      </c>
    </row>
    <row r="44" spans="1:18" ht="15" x14ac:dyDescent="0.25">
      <c r="A44" s="54" t="str">
        <f>rebio23_80ml!A44</f>
        <v>S-C-P18-H3</v>
      </c>
      <c r="B44" s="55">
        <v>112</v>
      </c>
      <c r="C44" s="55">
        <v>11</v>
      </c>
      <c r="D44" s="55">
        <v>1</v>
      </c>
      <c r="E44" s="55">
        <v>1149</v>
      </c>
      <c r="F44" s="55">
        <v>123</v>
      </c>
      <c r="G44" s="55">
        <v>12</v>
      </c>
      <c r="H44" s="55">
        <v>1</v>
      </c>
      <c r="I44" s="55"/>
      <c r="J44" s="55"/>
      <c r="K44" s="55"/>
      <c r="L44" s="55"/>
      <c r="M44" s="55"/>
      <c r="N44" s="55"/>
      <c r="O44" s="55"/>
      <c r="P44" s="55">
        <v>131</v>
      </c>
      <c r="Q44" s="55">
        <v>17</v>
      </c>
      <c r="R44" s="55">
        <v>1</v>
      </c>
    </row>
    <row r="45" spans="1:18" ht="15" x14ac:dyDescent="0.25">
      <c r="A45" s="54" t="str">
        <f>rebio23_80ml!A45</f>
        <v>S-C-P19-H1</v>
      </c>
      <c r="B45" s="55">
        <v>112</v>
      </c>
      <c r="C45" s="55">
        <v>11</v>
      </c>
      <c r="D45" s="55">
        <v>1</v>
      </c>
      <c r="E45" s="55">
        <v>1150</v>
      </c>
      <c r="F45" s="55">
        <v>124</v>
      </c>
      <c r="G45" s="55">
        <v>12</v>
      </c>
      <c r="H45" s="55">
        <v>1</v>
      </c>
      <c r="I45" s="55"/>
      <c r="J45" s="55"/>
      <c r="K45" s="55"/>
      <c r="L45" s="55"/>
      <c r="M45" s="55"/>
      <c r="N45" s="55"/>
      <c r="O45" s="55"/>
      <c r="P45" s="55">
        <v>132</v>
      </c>
      <c r="Q45" s="55">
        <v>18</v>
      </c>
      <c r="R45" s="55">
        <v>1</v>
      </c>
    </row>
    <row r="46" spans="1:18" ht="15" x14ac:dyDescent="0.25">
      <c r="A46" s="54" t="str">
        <f>rebio23_80ml!A46</f>
        <v>S-C-P19-H2</v>
      </c>
      <c r="B46" s="55">
        <v>112</v>
      </c>
      <c r="C46" s="55">
        <v>11</v>
      </c>
      <c r="D46" s="55">
        <v>1</v>
      </c>
      <c r="E46" s="55">
        <v>1151</v>
      </c>
      <c r="F46" s="55">
        <v>124</v>
      </c>
      <c r="G46" s="55">
        <v>12</v>
      </c>
      <c r="H46" s="55">
        <v>1</v>
      </c>
      <c r="I46" s="55"/>
      <c r="J46" s="55"/>
      <c r="K46" s="55"/>
      <c r="L46" s="55"/>
      <c r="M46" s="55"/>
      <c r="N46" s="55"/>
      <c r="O46" s="55"/>
      <c r="P46" s="55">
        <v>133</v>
      </c>
      <c r="Q46" s="55">
        <v>18</v>
      </c>
      <c r="R46" s="55">
        <v>1</v>
      </c>
    </row>
    <row r="47" spans="1:18" ht="15" x14ac:dyDescent="0.25">
      <c r="A47" s="54" t="str">
        <f>rebio23_80ml!A47</f>
        <v>S-C-P19-H3</v>
      </c>
      <c r="B47" s="55">
        <v>112</v>
      </c>
      <c r="C47" s="55">
        <v>11</v>
      </c>
      <c r="D47" s="55">
        <v>1</v>
      </c>
      <c r="E47" s="55">
        <v>1152</v>
      </c>
      <c r="F47" s="55">
        <v>124</v>
      </c>
      <c r="G47" s="55">
        <v>12</v>
      </c>
      <c r="H47" s="55">
        <v>1</v>
      </c>
      <c r="I47" s="55"/>
      <c r="J47" s="55"/>
      <c r="K47" s="55"/>
      <c r="L47" s="55"/>
      <c r="M47" s="55"/>
      <c r="N47" s="55"/>
      <c r="O47" s="55"/>
      <c r="P47" s="55">
        <v>134</v>
      </c>
      <c r="Q47" s="55">
        <v>18</v>
      </c>
      <c r="R47" s="55">
        <v>1</v>
      </c>
    </row>
    <row r="48" spans="1:18" ht="15" x14ac:dyDescent="0.25">
      <c r="A48" s="54" t="str">
        <f>rebio23_80ml!A48</f>
        <v>S-C-P20-H1</v>
      </c>
      <c r="B48" s="55">
        <v>112</v>
      </c>
      <c r="C48" s="55">
        <v>11</v>
      </c>
      <c r="D48" s="55">
        <v>1</v>
      </c>
      <c r="E48" s="55">
        <v>1153</v>
      </c>
      <c r="F48" s="55">
        <v>125</v>
      </c>
      <c r="G48" s="55">
        <v>12</v>
      </c>
      <c r="H48" s="55">
        <v>1</v>
      </c>
      <c r="I48" s="55"/>
      <c r="J48" s="55"/>
      <c r="K48" s="55"/>
      <c r="L48" s="55"/>
      <c r="M48" s="55"/>
      <c r="N48" s="55"/>
      <c r="O48" s="55"/>
      <c r="P48" s="55">
        <v>135</v>
      </c>
      <c r="Q48" s="55">
        <v>19</v>
      </c>
      <c r="R48" s="55">
        <v>1</v>
      </c>
    </row>
    <row r="49" spans="1:18" ht="15" x14ac:dyDescent="0.25">
      <c r="A49" s="54" t="str">
        <f>rebio23_80ml!A49</f>
        <v>S-C-P20-H2</v>
      </c>
      <c r="B49" s="55">
        <v>112</v>
      </c>
      <c r="C49" s="55">
        <v>11</v>
      </c>
      <c r="D49" s="55">
        <v>1</v>
      </c>
      <c r="E49" s="55">
        <v>1154</v>
      </c>
      <c r="F49" s="55">
        <v>125</v>
      </c>
      <c r="G49" s="55">
        <v>12</v>
      </c>
      <c r="H49" s="55">
        <v>1</v>
      </c>
      <c r="I49" s="55"/>
      <c r="J49" s="55"/>
      <c r="K49" s="55"/>
      <c r="L49" s="55"/>
      <c r="M49" s="55"/>
      <c r="N49" s="55"/>
      <c r="O49" s="55"/>
      <c r="P49" s="55">
        <v>136</v>
      </c>
      <c r="Q49" s="55">
        <v>19</v>
      </c>
      <c r="R49" s="55">
        <v>1</v>
      </c>
    </row>
    <row r="50" spans="1:18" ht="15" x14ac:dyDescent="0.25">
      <c r="A50" s="54" t="str">
        <f>rebio23_80ml!A50</f>
        <v>S-C-P20-H3</v>
      </c>
      <c r="B50" s="55">
        <v>112</v>
      </c>
      <c r="C50" s="55">
        <v>11</v>
      </c>
      <c r="D50" s="55">
        <v>1</v>
      </c>
      <c r="E50" s="55">
        <v>1155</v>
      </c>
      <c r="F50" s="55">
        <v>125</v>
      </c>
      <c r="G50" s="55">
        <v>12</v>
      </c>
      <c r="H50" s="55">
        <v>1</v>
      </c>
      <c r="I50" s="55"/>
      <c r="J50" s="55"/>
      <c r="K50" s="55"/>
      <c r="L50" s="55"/>
      <c r="M50" s="55"/>
      <c r="N50" s="55"/>
      <c r="O50" s="55"/>
      <c r="P50" s="55">
        <v>137</v>
      </c>
      <c r="Q50" s="55">
        <v>19</v>
      </c>
      <c r="R50" s="55">
        <v>1</v>
      </c>
    </row>
    <row r="51" spans="1:18" ht="15" x14ac:dyDescent="0.25">
      <c r="A51" s="56" t="str">
        <f>rebio23_80ml!A51</f>
        <v>C-B-P05-H1</v>
      </c>
      <c r="B51" s="57">
        <v>113</v>
      </c>
      <c r="C51" s="57">
        <v>12</v>
      </c>
      <c r="D51" s="57">
        <v>1</v>
      </c>
      <c r="E51" s="57"/>
      <c r="F51" s="57"/>
      <c r="G51" s="57"/>
      <c r="H51" s="57"/>
      <c r="I51" s="57">
        <v>1111</v>
      </c>
      <c r="J51" s="57">
        <v>111</v>
      </c>
      <c r="K51" s="57">
        <v>11</v>
      </c>
      <c r="L51" s="57">
        <v>1</v>
      </c>
      <c r="M51" s="57">
        <v>111</v>
      </c>
      <c r="N51" s="57">
        <v>11</v>
      </c>
      <c r="O51" s="57">
        <v>1</v>
      </c>
      <c r="P51" s="57"/>
      <c r="Q51" s="57"/>
      <c r="R51" s="57"/>
    </row>
    <row r="52" spans="1:18" ht="15" x14ac:dyDescent="0.25">
      <c r="A52" s="56" t="str">
        <f>rebio23_80ml!A52</f>
        <v>C-B-P05-H2</v>
      </c>
      <c r="B52" s="57">
        <v>113</v>
      </c>
      <c r="C52" s="57">
        <v>12</v>
      </c>
      <c r="D52" s="57">
        <v>1</v>
      </c>
      <c r="E52" s="57"/>
      <c r="F52" s="57"/>
      <c r="G52" s="57"/>
      <c r="H52" s="57"/>
      <c r="I52" s="57">
        <v>1112</v>
      </c>
      <c r="J52" s="57">
        <v>111</v>
      </c>
      <c r="K52" s="57">
        <v>11</v>
      </c>
      <c r="L52" s="57">
        <v>1</v>
      </c>
      <c r="M52" s="57">
        <v>112</v>
      </c>
      <c r="N52" s="57">
        <v>11</v>
      </c>
      <c r="O52" s="57">
        <v>1</v>
      </c>
      <c r="P52" s="57"/>
      <c r="Q52" s="57"/>
      <c r="R52" s="57"/>
    </row>
    <row r="53" spans="1:18" ht="15" x14ac:dyDescent="0.25">
      <c r="A53" s="56" t="str">
        <f>rebio23_80ml!A53</f>
        <v>C-B-P05-H3</v>
      </c>
      <c r="B53" s="57">
        <v>113</v>
      </c>
      <c r="C53" s="57">
        <v>12</v>
      </c>
      <c r="D53" s="57">
        <v>1</v>
      </c>
      <c r="E53" s="57"/>
      <c r="F53" s="57"/>
      <c r="G53" s="57"/>
      <c r="H53" s="57"/>
      <c r="I53" s="57">
        <v>1113</v>
      </c>
      <c r="J53" s="57">
        <v>111</v>
      </c>
      <c r="K53" s="57">
        <v>11</v>
      </c>
      <c r="L53" s="57">
        <v>1</v>
      </c>
      <c r="M53" s="57">
        <v>113</v>
      </c>
      <c r="N53" s="57">
        <v>11</v>
      </c>
      <c r="O53" s="57">
        <v>1</v>
      </c>
      <c r="P53" s="57"/>
      <c r="Q53" s="57"/>
      <c r="R53" s="57"/>
    </row>
    <row r="54" spans="1:18" ht="15" x14ac:dyDescent="0.25">
      <c r="A54" s="56" t="str">
        <f>rebio23_80ml!A54</f>
        <v>C-B-P06-H1</v>
      </c>
      <c r="B54" s="57">
        <v>113</v>
      </c>
      <c r="C54" s="57">
        <v>12</v>
      </c>
      <c r="D54" s="57">
        <v>1</v>
      </c>
      <c r="E54" s="57"/>
      <c r="F54" s="57"/>
      <c r="G54" s="57"/>
      <c r="H54" s="57"/>
      <c r="I54" s="57">
        <v>1114</v>
      </c>
      <c r="J54" s="57">
        <v>112</v>
      </c>
      <c r="K54" s="57">
        <v>11</v>
      </c>
      <c r="L54" s="57">
        <v>1</v>
      </c>
      <c r="M54" s="57">
        <v>114</v>
      </c>
      <c r="N54" s="57">
        <v>12</v>
      </c>
      <c r="O54" s="57">
        <v>1</v>
      </c>
      <c r="P54" s="57"/>
      <c r="Q54" s="57"/>
      <c r="R54" s="57"/>
    </row>
    <row r="55" spans="1:18" ht="15" x14ac:dyDescent="0.25">
      <c r="A55" s="56" t="str">
        <f>rebio23_80ml!A55</f>
        <v>C-B-P06-H2</v>
      </c>
      <c r="B55" s="57">
        <v>113</v>
      </c>
      <c r="C55" s="57">
        <v>12</v>
      </c>
      <c r="D55" s="57">
        <v>1</v>
      </c>
      <c r="E55" s="57"/>
      <c r="F55" s="57"/>
      <c r="G55" s="57"/>
      <c r="H55" s="57"/>
      <c r="I55" s="57">
        <v>1115</v>
      </c>
      <c r="J55" s="57">
        <v>112</v>
      </c>
      <c r="K55" s="57">
        <v>11</v>
      </c>
      <c r="L55" s="57">
        <v>1</v>
      </c>
      <c r="M55" s="57">
        <v>115</v>
      </c>
      <c r="N55" s="57">
        <v>12</v>
      </c>
      <c r="O55" s="57">
        <v>1</v>
      </c>
      <c r="P55" s="57"/>
      <c r="Q55" s="57"/>
      <c r="R55" s="57"/>
    </row>
    <row r="56" spans="1:18" ht="15" x14ac:dyDescent="0.25">
      <c r="A56" s="56" t="str">
        <f>rebio23_80ml!A56</f>
        <v>C-B-P06-H3</v>
      </c>
      <c r="B56" s="57">
        <v>113</v>
      </c>
      <c r="C56" s="57">
        <v>12</v>
      </c>
      <c r="D56" s="57">
        <v>1</v>
      </c>
      <c r="E56" s="57"/>
      <c r="F56" s="57"/>
      <c r="G56" s="57"/>
      <c r="H56" s="57"/>
      <c r="I56" s="57">
        <v>1116</v>
      </c>
      <c r="J56" s="57">
        <v>112</v>
      </c>
      <c r="K56" s="57">
        <v>11</v>
      </c>
      <c r="L56" s="57">
        <v>1</v>
      </c>
      <c r="M56" s="57">
        <v>116</v>
      </c>
      <c r="N56" s="57">
        <v>12</v>
      </c>
      <c r="O56" s="57">
        <v>1</v>
      </c>
      <c r="P56" s="57"/>
      <c r="Q56" s="57"/>
      <c r="R56" s="57"/>
    </row>
    <row r="57" spans="1:18" ht="15" x14ac:dyDescent="0.25">
      <c r="A57" s="56" t="str">
        <f>rebio23_80ml!A57</f>
        <v>C-B-P07-H1</v>
      </c>
      <c r="B57" s="57">
        <v>113</v>
      </c>
      <c r="C57" s="57">
        <v>12</v>
      </c>
      <c r="D57" s="57">
        <v>1</v>
      </c>
      <c r="E57" s="57"/>
      <c r="F57" s="57"/>
      <c r="G57" s="57"/>
      <c r="H57" s="57"/>
      <c r="I57" s="57">
        <v>1117</v>
      </c>
      <c r="J57" s="57">
        <v>113</v>
      </c>
      <c r="K57" s="57">
        <v>11</v>
      </c>
      <c r="L57" s="57">
        <v>1</v>
      </c>
      <c r="M57" s="57">
        <v>117</v>
      </c>
      <c r="N57" s="57">
        <v>13</v>
      </c>
      <c r="O57" s="57">
        <v>1</v>
      </c>
      <c r="P57" s="57"/>
      <c r="Q57" s="57"/>
      <c r="R57" s="57"/>
    </row>
    <row r="58" spans="1:18" ht="15" x14ac:dyDescent="0.25">
      <c r="A58" s="56" t="str">
        <f>rebio23_80ml!A58</f>
        <v>C-B-P07-H2</v>
      </c>
      <c r="B58" s="57">
        <v>113</v>
      </c>
      <c r="C58" s="57">
        <v>12</v>
      </c>
      <c r="D58" s="57">
        <v>1</v>
      </c>
      <c r="E58" s="57"/>
      <c r="F58" s="57"/>
      <c r="G58" s="57"/>
      <c r="H58" s="57"/>
      <c r="I58" s="57">
        <v>1118</v>
      </c>
      <c r="J58" s="57">
        <v>113</v>
      </c>
      <c r="K58" s="57">
        <v>11</v>
      </c>
      <c r="L58" s="57">
        <v>1</v>
      </c>
      <c r="M58" s="57">
        <v>118</v>
      </c>
      <c r="N58" s="57">
        <v>13</v>
      </c>
      <c r="O58" s="57">
        <v>1</v>
      </c>
      <c r="P58" s="57"/>
      <c r="Q58" s="57"/>
      <c r="R58" s="57"/>
    </row>
    <row r="59" spans="1:18" ht="15" x14ac:dyDescent="0.25">
      <c r="A59" s="56" t="str">
        <f>rebio23_80ml!A59</f>
        <v>C-B-P07-H3</v>
      </c>
      <c r="B59" s="57">
        <v>113</v>
      </c>
      <c r="C59" s="57">
        <v>12</v>
      </c>
      <c r="D59" s="57">
        <v>1</v>
      </c>
      <c r="E59" s="57"/>
      <c r="F59" s="57"/>
      <c r="G59" s="57"/>
      <c r="H59" s="57"/>
      <c r="I59" s="57">
        <v>1119</v>
      </c>
      <c r="J59" s="57">
        <v>113</v>
      </c>
      <c r="K59" s="57">
        <v>11</v>
      </c>
      <c r="L59" s="57">
        <v>1</v>
      </c>
      <c r="M59" s="57">
        <v>119</v>
      </c>
      <c r="N59" s="57">
        <v>13</v>
      </c>
      <c r="O59" s="57">
        <v>1</v>
      </c>
      <c r="P59" s="57"/>
      <c r="Q59" s="57"/>
      <c r="R59" s="57"/>
    </row>
    <row r="60" spans="1:18" ht="15" x14ac:dyDescent="0.25">
      <c r="A60" s="56" t="str">
        <f>rebio23_80ml!A60</f>
        <v>C-B-P08-H1</v>
      </c>
      <c r="B60" s="57">
        <v>113</v>
      </c>
      <c r="C60" s="57">
        <v>12</v>
      </c>
      <c r="D60" s="57">
        <v>1</v>
      </c>
      <c r="E60" s="57"/>
      <c r="F60" s="57"/>
      <c r="G60" s="57"/>
      <c r="H60" s="57"/>
      <c r="I60" s="57">
        <v>1120</v>
      </c>
      <c r="J60" s="57">
        <v>114</v>
      </c>
      <c r="K60" s="57">
        <v>11</v>
      </c>
      <c r="L60" s="57">
        <v>1</v>
      </c>
      <c r="M60" s="57">
        <v>120</v>
      </c>
      <c r="N60" s="57">
        <v>14</v>
      </c>
      <c r="O60" s="57">
        <v>1</v>
      </c>
      <c r="P60" s="57"/>
      <c r="Q60" s="57"/>
      <c r="R60" s="57"/>
    </row>
    <row r="61" spans="1:18" ht="15" x14ac:dyDescent="0.25">
      <c r="A61" s="56" t="str">
        <f>rebio23_80ml!A61</f>
        <v>C-B-P08-H2</v>
      </c>
      <c r="B61" s="57">
        <v>113</v>
      </c>
      <c r="C61" s="57">
        <v>12</v>
      </c>
      <c r="D61" s="57">
        <v>1</v>
      </c>
      <c r="E61" s="57"/>
      <c r="F61" s="57"/>
      <c r="G61" s="57"/>
      <c r="H61" s="57"/>
      <c r="I61" s="57">
        <v>1121</v>
      </c>
      <c r="J61" s="57">
        <v>114</v>
      </c>
      <c r="K61" s="57">
        <v>11</v>
      </c>
      <c r="L61" s="57">
        <v>1</v>
      </c>
      <c r="M61" s="57">
        <v>121</v>
      </c>
      <c r="N61" s="57">
        <v>14</v>
      </c>
      <c r="O61" s="57">
        <v>1</v>
      </c>
      <c r="P61" s="57"/>
      <c r="Q61" s="57"/>
      <c r="R61" s="57"/>
    </row>
    <row r="62" spans="1:18" ht="15" x14ac:dyDescent="0.25">
      <c r="A62" s="56" t="str">
        <f>rebio23_80ml!A62</f>
        <v>C-B-P08-H3</v>
      </c>
      <c r="B62" s="57">
        <v>113</v>
      </c>
      <c r="C62" s="57">
        <v>12</v>
      </c>
      <c r="D62" s="57">
        <v>1</v>
      </c>
      <c r="E62" s="57"/>
      <c r="F62" s="57"/>
      <c r="G62" s="57"/>
      <c r="H62" s="57"/>
      <c r="I62" s="57">
        <v>1122</v>
      </c>
      <c r="J62" s="57">
        <v>114</v>
      </c>
      <c r="K62" s="57">
        <v>11</v>
      </c>
      <c r="L62" s="57">
        <v>1</v>
      </c>
      <c r="M62" s="57">
        <v>122</v>
      </c>
      <c r="N62" s="57">
        <v>14</v>
      </c>
      <c r="O62" s="57">
        <v>1</v>
      </c>
      <c r="P62" s="57"/>
      <c r="Q62" s="57"/>
      <c r="R62" s="57"/>
    </row>
    <row r="63" spans="1:18" ht="15" x14ac:dyDescent="0.25">
      <c r="A63" s="56" t="str">
        <f>rebio23_80ml!A63</f>
        <v>C-B-P09-H1</v>
      </c>
      <c r="B63" s="57">
        <v>113</v>
      </c>
      <c r="C63" s="57">
        <v>12</v>
      </c>
      <c r="D63" s="57">
        <v>1</v>
      </c>
      <c r="E63" s="57"/>
      <c r="F63" s="57"/>
      <c r="G63" s="57"/>
      <c r="H63" s="57"/>
      <c r="I63" s="57">
        <v>1123</v>
      </c>
      <c r="J63" s="57">
        <v>115</v>
      </c>
      <c r="K63" s="57">
        <v>11</v>
      </c>
      <c r="L63" s="57">
        <v>1</v>
      </c>
      <c r="M63" s="57">
        <v>123</v>
      </c>
      <c r="N63" s="57">
        <v>15</v>
      </c>
      <c r="O63" s="57">
        <v>1</v>
      </c>
      <c r="P63" s="57"/>
      <c r="Q63" s="57"/>
      <c r="R63" s="57"/>
    </row>
    <row r="64" spans="1:18" ht="15" x14ac:dyDescent="0.25">
      <c r="A64" s="56" t="str">
        <f>rebio23_80ml!A64</f>
        <v>C-B-P09-H2</v>
      </c>
      <c r="B64" s="57">
        <v>113</v>
      </c>
      <c r="C64" s="57">
        <v>12</v>
      </c>
      <c r="D64" s="57">
        <v>1</v>
      </c>
      <c r="E64" s="57"/>
      <c r="F64" s="57"/>
      <c r="G64" s="57"/>
      <c r="H64" s="57"/>
      <c r="I64" s="57">
        <v>1124</v>
      </c>
      <c r="J64" s="57">
        <v>115</v>
      </c>
      <c r="K64" s="57">
        <v>11</v>
      </c>
      <c r="L64" s="57">
        <v>1</v>
      </c>
      <c r="M64" s="57">
        <v>124</v>
      </c>
      <c r="N64" s="57">
        <v>15</v>
      </c>
      <c r="O64" s="57">
        <v>1</v>
      </c>
      <c r="P64" s="57"/>
      <c r="Q64" s="57"/>
      <c r="R64" s="57"/>
    </row>
    <row r="65" spans="1:18" ht="15" x14ac:dyDescent="0.25">
      <c r="A65" s="56" t="str">
        <f>rebio23_80ml!A65</f>
        <v>C-B-P09-H3</v>
      </c>
      <c r="B65" s="57">
        <v>113</v>
      </c>
      <c r="C65" s="57">
        <v>12</v>
      </c>
      <c r="D65" s="57">
        <v>1</v>
      </c>
      <c r="E65" s="57"/>
      <c r="F65" s="57"/>
      <c r="G65" s="57"/>
      <c r="H65" s="57"/>
      <c r="I65" s="57">
        <v>1125</v>
      </c>
      <c r="J65" s="57">
        <v>115</v>
      </c>
      <c r="K65" s="57">
        <v>11</v>
      </c>
      <c r="L65" s="57">
        <v>1</v>
      </c>
      <c r="M65" s="57">
        <v>125</v>
      </c>
      <c r="N65" s="57">
        <v>15</v>
      </c>
      <c r="O65" s="57">
        <v>1</v>
      </c>
      <c r="P65" s="57"/>
      <c r="Q65" s="57"/>
      <c r="R65" s="57"/>
    </row>
    <row r="66" spans="1:18" ht="15" x14ac:dyDescent="0.25">
      <c r="A66" s="56" t="str">
        <f>rebio23_80ml!A66</f>
        <v>C-B-P10-H1</v>
      </c>
      <c r="B66" s="57">
        <v>113</v>
      </c>
      <c r="C66" s="57">
        <v>12</v>
      </c>
      <c r="D66" s="57">
        <v>1</v>
      </c>
      <c r="E66" s="57"/>
      <c r="F66" s="57"/>
      <c r="G66" s="57"/>
      <c r="H66" s="57"/>
      <c r="I66" s="57">
        <v>1126</v>
      </c>
      <c r="J66" s="57">
        <v>116</v>
      </c>
      <c r="K66" s="57">
        <v>11</v>
      </c>
      <c r="L66" s="57">
        <v>1</v>
      </c>
      <c r="M66" s="57">
        <v>126</v>
      </c>
      <c r="N66" s="57">
        <v>16</v>
      </c>
      <c r="O66" s="57">
        <v>1</v>
      </c>
      <c r="P66" s="57"/>
      <c r="Q66" s="57"/>
      <c r="R66" s="57"/>
    </row>
    <row r="67" spans="1:18" ht="15" x14ac:dyDescent="0.25">
      <c r="A67" s="56" t="str">
        <f>rebio23_80ml!A67</f>
        <v>C-B-P10-H2</v>
      </c>
      <c r="B67" s="57">
        <v>113</v>
      </c>
      <c r="C67" s="57">
        <v>12</v>
      </c>
      <c r="D67" s="57">
        <v>1</v>
      </c>
      <c r="E67" s="57"/>
      <c r="F67" s="57"/>
      <c r="G67" s="57"/>
      <c r="H67" s="57"/>
      <c r="I67" s="57">
        <v>1127</v>
      </c>
      <c r="J67" s="57">
        <v>116</v>
      </c>
      <c r="K67" s="57">
        <v>11</v>
      </c>
      <c r="L67" s="57">
        <v>1</v>
      </c>
      <c r="M67" s="57">
        <v>127</v>
      </c>
      <c r="N67" s="57">
        <v>16</v>
      </c>
      <c r="O67" s="57">
        <v>1</v>
      </c>
      <c r="P67" s="57"/>
      <c r="Q67" s="57"/>
      <c r="R67" s="57"/>
    </row>
    <row r="68" spans="1:18" ht="15" x14ac:dyDescent="0.25">
      <c r="A68" s="56" t="str">
        <f>rebio23_80ml!A68</f>
        <v>C-B-P10-H3</v>
      </c>
      <c r="B68" s="57">
        <v>113</v>
      </c>
      <c r="C68" s="57">
        <v>12</v>
      </c>
      <c r="D68" s="57">
        <v>1</v>
      </c>
      <c r="E68" s="57"/>
      <c r="F68" s="57"/>
      <c r="G68" s="57"/>
      <c r="H68" s="57"/>
      <c r="I68" s="57">
        <v>1128</v>
      </c>
      <c r="J68" s="57">
        <v>116</v>
      </c>
      <c r="K68" s="57">
        <v>11</v>
      </c>
      <c r="L68" s="57">
        <v>1</v>
      </c>
      <c r="M68" s="57">
        <v>128</v>
      </c>
      <c r="N68" s="57">
        <v>16</v>
      </c>
      <c r="O68" s="57">
        <v>1</v>
      </c>
      <c r="P68" s="57"/>
      <c r="Q68" s="57"/>
      <c r="R68" s="57"/>
    </row>
    <row r="69" spans="1:18" ht="15" x14ac:dyDescent="0.25">
      <c r="A69" s="56" t="str">
        <f>rebio23_80ml!A69</f>
        <v>C-C-P11-H1</v>
      </c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</row>
    <row r="70" spans="1:18" ht="15" x14ac:dyDescent="0.25">
      <c r="A70" s="56" t="str">
        <f>rebio23_80ml!A70</f>
        <v>C-C-P11-H2</v>
      </c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</row>
    <row r="71" spans="1:18" ht="15" x14ac:dyDescent="0.25">
      <c r="A71" s="56" t="str">
        <f>rebio23_80ml!A71</f>
        <v>C-C-P11-H3</v>
      </c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</row>
    <row r="72" spans="1:18" ht="15" x14ac:dyDescent="0.25">
      <c r="A72" s="56" t="str">
        <f>rebio23_80ml!A72</f>
        <v>C-C-P12-H1</v>
      </c>
      <c r="B72" s="57">
        <v>114</v>
      </c>
      <c r="C72" s="57">
        <v>12</v>
      </c>
      <c r="D72" s="57">
        <v>1</v>
      </c>
      <c r="E72" s="57"/>
      <c r="F72" s="57"/>
      <c r="G72" s="57"/>
      <c r="H72" s="57"/>
      <c r="I72" s="57">
        <v>1129</v>
      </c>
      <c r="J72" s="57">
        <v>117</v>
      </c>
      <c r="K72" s="57">
        <v>12</v>
      </c>
      <c r="L72" s="57">
        <v>1</v>
      </c>
      <c r="M72" s="57"/>
      <c r="N72" s="57"/>
      <c r="O72" s="57"/>
      <c r="P72" s="57">
        <v>111</v>
      </c>
      <c r="Q72" s="57">
        <v>11</v>
      </c>
      <c r="R72" s="57">
        <v>1</v>
      </c>
    </row>
    <row r="73" spans="1:18" ht="15" x14ac:dyDescent="0.25">
      <c r="A73" s="56" t="str">
        <f>rebio23_80ml!A73</f>
        <v>C-C-P12-H2</v>
      </c>
      <c r="B73" s="57">
        <v>114</v>
      </c>
      <c r="C73" s="57">
        <v>12</v>
      </c>
      <c r="D73" s="57">
        <v>1</v>
      </c>
      <c r="E73" s="57"/>
      <c r="F73" s="57"/>
      <c r="G73" s="57"/>
      <c r="H73" s="57"/>
      <c r="I73" s="57">
        <v>1130</v>
      </c>
      <c r="J73" s="57">
        <v>117</v>
      </c>
      <c r="K73" s="57">
        <v>12</v>
      </c>
      <c r="L73" s="57">
        <v>1</v>
      </c>
      <c r="M73" s="57"/>
      <c r="N73" s="57"/>
      <c r="O73" s="57"/>
      <c r="P73" s="57">
        <v>112</v>
      </c>
      <c r="Q73" s="57">
        <v>11</v>
      </c>
      <c r="R73" s="57">
        <v>1</v>
      </c>
    </row>
    <row r="74" spans="1:18" ht="15" x14ac:dyDescent="0.25">
      <c r="A74" s="56" t="str">
        <f>rebio23_80ml!A74</f>
        <v>C-C-P12-H3</v>
      </c>
      <c r="B74" s="57">
        <v>114</v>
      </c>
      <c r="C74" s="57">
        <v>12</v>
      </c>
      <c r="D74" s="57">
        <v>1</v>
      </c>
      <c r="E74" s="57"/>
      <c r="F74" s="57"/>
      <c r="G74" s="57"/>
      <c r="H74" s="57"/>
      <c r="I74" s="57">
        <v>1131</v>
      </c>
      <c r="J74" s="57">
        <v>117</v>
      </c>
      <c r="K74" s="57">
        <v>12</v>
      </c>
      <c r="L74" s="57">
        <v>1</v>
      </c>
      <c r="M74" s="57"/>
      <c r="N74" s="57"/>
      <c r="O74" s="57"/>
      <c r="P74" s="57">
        <v>113</v>
      </c>
      <c r="Q74" s="57">
        <v>11</v>
      </c>
      <c r="R74" s="57">
        <v>1</v>
      </c>
    </row>
    <row r="75" spans="1:18" ht="15" x14ac:dyDescent="0.25">
      <c r="A75" s="56" t="str">
        <f>rebio23_80ml!A75</f>
        <v>C-C-P13-H1</v>
      </c>
      <c r="B75" s="57">
        <v>114</v>
      </c>
      <c r="C75" s="57">
        <v>12</v>
      </c>
      <c r="D75" s="57">
        <v>1</v>
      </c>
      <c r="E75" s="57"/>
      <c r="F75" s="57"/>
      <c r="G75" s="57"/>
      <c r="H75" s="57"/>
      <c r="I75" s="57">
        <v>1132</v>
      </c>
      <c r="J75" s="57">
        <v>118</v>
      </c>
      <c r="K75" s="57">
        <v>12</v>
      </c>
      <c r="L75" s="57">
        <v>1</v>
      </c>
      <c r="M75" s="57"/>
      <c r="N75" s="57"/>
      <c r="O75" s="57"/>
      <c r="P75" s="57">
        <v>114</v>
      </c>
      <c r="Q75" s="57">
        <v>12</v>
      </c>
      <c r="R75" s="57">
        <v>1</v>
      </c>
    </row>
    <row r="76" spans="1:18" ht="15" x14ac:dyDescent="0.25">
      <c r="A76" s="56" t="str">
        <f>rebio23_80ml!A76</f>
        <v>C-C-P13-H2</v>
      </c>
      <c r="B76" s="57">
        <v>114</v>
      </c>
      <c r="C76" s="57">
        <v>12</v>
      </c>
      <c r="D76" s="57">
        <v>1</v>
      </c>
      <c r="E76" s="57"/>
      <c r="F76" s="57"/>
      <c r="G76" s="57"/>
      <c r="H76" s="57"/>
      <c r="I76" s="57">
        <v>1133</v>
      </c>
      <c r="J76" s="57">
        <v>118</v>
      </c>
      <c r="K76" s="57">
        <v>12</v>
      </c>
      <c r="L76" s="57">
        <v>1</v>
      </c>
      <c r="M76" s="57"/>
      <c r="N76" s="57"/>
      <c r="O76" s="57"/>
      <c r="P76" s="57">
        <v>115</v>
      </c>
      <c r="Q76" s="57">
        <v>12</v>
      </c>
      <c r="R76" s="57">
        <v>1</v>
      </c>
    </row>
    <row r="77" spans="1:18" ht="15" x14ac:dyDescent="0.25">
      <c r="A77" s="56" t="str">
        <f>rebio23_80ml!A77</f>
        <v>C-C-P13-H3</v>
      </c>
      <c r="B77" s="57">
        <v>114</v>
      </c>
      <c r="C77" s="57">
        <v>12</v>
      </c>
      <c r="D77" s="57">
        <v>1</v>
      </c>
      <c r="E77" s="57"/>
      <c r="F77" s="57"/>
      <c r="G77" s="57"/>
      <c r="H77" s="57"/>
      <c r="I77" s="57">
        <v>1134</v>
      </c>
      <c r="J77" s="57">
        <v>118</v>
      </c>
      <c r="K77" s="57">
        <v>12</v>
      </c>
      <c r="L77" s="57">
        <v>1</v>
      </c>
      <c r="M77" s="57"/>
      <c r="N77" s="57"/>
      <c r="O77" s="57"/>
      <c r="P77" s="57">
        <v>116</v>
      </c>
      <c r="Q77" s="57">
        <v>12</v>
      </c>
      <c r="R77" s="57">
        <v>1</v>
      </c>
    </row>
    <row r="78" spans="1:18" ht="15" x14ac:dyDescent="0.25">
      <c r="A78" s="56" t="str">
        <f>rebio23_80ml!A78</f>
        <v>C-C-P14-H1</v>
      </c>
      <c r="B78" s="57">
        <v>114</v>
      </c>
      <c r="C78" s="57">
        <v>12</v>
      </c>
      <c r="D78" s="57">
        <v>1</v>
      </c>
      <c r="E78" s="57"/>
      <c r="F78" s="57"/>
      <c r="G78" s="57"/>
      <c r="H78" s="57"/>
      <c r="I78" s="57">
        <v>1135</v>
      </c>
      <c r="J78" s="57">
        <v>119</v>
      </c>
      <c r="K78" s="57">
        <v>12</v>
      </c>
      <c r="L78" s="57">
        <v>1</v>
      </c>
      <c r="M78" s="57"/>
      <c r="N78" s="57"/>
      <c r="O78" s="57"/>
      <c r="P78" s="57">
        <v>117</v>
      </c>
      <c r="Q78" s="57">
        <v>13</v>
      </c>
      <c r="R78" s="57">
        <v>1</v>
      </c>
    </row>
    <row r="79" spans="1:18" ht="15" x14ac:dyDescent="0.25">
      <c r="A79" s="56" t="str">
        <f>rebio23_80ml!A79</f>
        <v>C-C-P14-H2</v>
      </c>
      <c r="B79" s="57">
        <v>114</v>
      </c>
      <c r="C79" s="57">
        <v>12</v>
      </c>
      <c r="D79" s="57">
        <v>1</v>
      </c>
      <c r="E79" s="57"/>
      <c r="F79" s="57"/>
      <c r="G79" s="57"/>
      <c r="H79" s="57"/>
      <c r="I79" s="57">
        <v>1136</v>
      </c>
      <c r="J79" s="57">
        <v>119</v>
      </c>
      <c r="K79" s="57">
        <v>12</v>
      </c>
      <c r="L79" s="57">
        <v>1</v>
      </c>
      <c r="M79" s="57"/>
      <c r="N79" s="57"/>
      <c r="O79" s="57"/>
      <c r="P79" s="57">
        <v>118</v>
      </c>
      <c r="Q79" s="57">
        <v>13</v>
      </c>
      <c r="R79" s="57">
        <v>1</v>
      </c>
    </row>
    <row r="80" spans="1:18" ht="15" x14ac:dyDescent="0.25">
      <c r="A80" s="56" t="str">
        <f>rebio23_80ml!A80</f>
        <v>C-C-P14-H3</v>
      </c>
      <c r="B80" s="57">
        <v>114</v>
      </c>
      <c r="C80" s="57">
        <v>12</v>
      </c>
      <c r="D80" s="57">
        <v>1</v>
      </c>
      <c r="E80" s="57"/>
      <c r="F80" s="57"/>
      <c r="G80" s="57"/>
      <c r="H80" s="57"/>
      <c r="I80" s="57">
        <v>1137</v>
      </c>
      <c r="J80" s="57">
        <v>119</v>
      </c>
      <c r="K80" s="57">
        <v>12</v>
      </c>
      <c r="L80" s="57">
        <v>1</v>
      </c>
      <c r="M80" s="57"/>
      <c r="N80" s="57"/>
      <c r="O80" s="57"/>
      <c r="P80" s="57">
        <v>119</v>
      </c>
      <c r="Q80" s="57">
        <v>13</v>
      </c>
      <c r="R80" s="57">
        <v>1</v>
      </c>
    </row>
    <row r="81" spans="1:18" ht="15" x14ac:dyDescent="0.25">
      <c r="A81" s="56" t="str">
        <f>rebio23_80ml!A81</f>
        <v>C-C-P15-H1</v>
      </c>
      <c r="B81" s="57">
        <v>114</v>
      </c>
      <c r="C81" s="57">
        <v>12</v>
      </c>
      <c r="D81" s="57">
        <v>1</v>
      </c>
      <c r="E81" s="57"/>
      <c r="F81" s="57"/>
      <c r="G81" s="57"/>
      <c r="H81" s="57"/>
      <c r="I81" s="57">
        <v>1138</v>
      </c>
      <c r="J81" s="57">
        <v>120</v>
      </c>
      <c r="K81" s="57">
        <v>12</v>
      </c>
      <c r="L81" s="57">
        <v>1</v>
      </c>
      <c r="M81" s="57"/>
      <c r="N81" s="57"/>
      <c r="O81" s="57"/>
      <c r="P81" s="57">
        <v>120</v>
      </c>
      <c r="Q81" s="57">
        <v>14</v>
      </c>
      <c r="R81" s="57">
        <v>1</v>
      </c>
    </row>
    <row r="82" spans="1:18" ht="15" x14ac:dyDescent="0.25">
      <c r="A82" s="56" t="str">
        <f>rebio23_80ml!A82</f>
        <v>C-C-P15-H2</v>
      </c>
      <c r="B82" s="57">
        <v>114</v>
      </c>
      <c r="C82" s="57">
        <v>12</v>
      </c>
      <c r="D82" s="57">
        <v>1</v>
      </c>
      <c r="E82" s="57"/>
      <c r="F82" s="57"/>
      <c r="G82" s="57"/>
      <c r="H82" s="57"/>
      <c r="I82" s="57">
        <v>1139</v>
      </c>
      <c r="J82" s="57">
        <v>120</v>
      </c>
      <c r="K82" s="57">
        <v>12</v>
      </c>
      <c r="L82" s="57">
        <v>1</v>
      </c>
      <c r="M82" s="57"/>
      <c r="N82" s="57"/>
      <c r="O82" s="57"/>
      <c r="P82" s="57">
        <v>121</v>
      </c>
      <c r="Q82" s="57">
        <v>14</v>
      </c>
      <c r="R82" s="57">
        <v>1</v>
      </c>
    </row>
    <row r="83" spans="1:18" ht="15" x14ac:dyDescent="0.25">
      <c r="A83" s="56" t="str">
        <f>rebio23_80ml!A83</f>
        <v>C-C-P15-H3</v>
      </c>
      <c r="B83" s="57">
        <v>114</v>
      </c>
      <c r="C83" s="57">
        <v>12</v>
      </c>
      <c r="D83" s="57">
        <v>1</v>
      </c>
      <c r="E83" s="57"/>
      <c r="F83" s="57"/>
      <c r="G83" s="57"/>
      <c r="H83" s="57"/>
      <c r="I83" s="57">
        <v>1140</v>
      </c>
      <c r="J83" s="57">
        <v>120</v>
      </c>
      <c r="K83" s="57">
        <v>12</v>
      </c>
      <c r="L83" s="57">
        <v>1</v>
      </c>
      <c r="M83" s="57"/>
      <c r="N83" s="57"/>
      <c r="O83" s="57"/>
      <c r="P83" s="57">
        <v>122</v>
      </c>
      <c r="Q83" s="57">
        <v>14</v>
      </c>
      <c r="R83" s="57">
        <v>1</v>
      </c>
    </row>
    <row r="84" spans="1:18" ht="15" x14ac:dyDescent="0.25">
      <c r="A84" s="56" t="str">
        <f>rebio23_80ml!A84</f>
        <v>C-C-P16-H1</v>
      </c>
      <c r="B84" s="57">
        <v>114</v>
      </c>
      <c r="C84" s="57">
        <v>12</v>
      </c>
      <c r="D84" s="57">
        <v>1</v>
      </c>
      <c r="E84" s="57"/>
      <c r="F84" s="57"/>
      <c r="G84" s="57"/>
      <c r="H84" s="57"/>
      <c r="I84" s="57">
        <v>1141</v>
      </c>
      <c r="J84" s="57">
        <v>121</v>
      </c>
      <c r="K84" s="57">
        <v>12</v>
      </c>
      <c r="L84" s="57">
        <v>1</v>
      </c>
      <c r="M84" s="57"/>
      <c r="N84" s="57"/>
      <c r="O84" s="57"/>
      <c r="P84" s="57">
        <v>123</v>
      </c>
      <c r="Q84" s="57">
        <v>15</v>
      </c>
      <c r="R84" s="57">
        <v>1</v>
      </c>
    </row>
    <row r="85" spans="1:18" ht="15" x14ac:dyDescent="0.25">
      <c r="A85" s="56" t="str">
        <f>rebio23_80ml!A85</f>
        <v>C-C-P16-H2</v>
      </c>
      <c r="B85" s="57">
        <v>114</v>
      </c>
      <c r="C85" s="57">
        <v>12</v>
      </c>
      <c r="D85" s="57">
        <v>1</v>
      </c>
      <c r="E85" s="57"/>
      <c r="F85" s="57"/>
      <c r="G85" s="57"/>
      <c r="H85" s="57"/>
      <c r="I85" s="57">
        <v>1142</v>
      </c>
      <c r="J85" s="57">
        <v>121</v>
      </c>
      <c r="K85" s="57">
        <v>12</v>
      </c>
      <c r="L85" s="57">
        <v>1</v>
      </c>
      <c r="M85" s="57"/>
      <c r="N85" s="57"/>
      <c r="O85" s="57"/>
      <c r="P85" s="57">
        <v>124</v>
      </c>
      <c r="Q85" s="57">
        <v>15</v>
      </c>
      <c r="R85" s="57">
        <v>1</v>
      </c>
    </row>
    <row r="86" spans="1:18" ht="15" x14ac:dyDescent="0.25">
      <c r="A86" s="56" t="str">
        <f>rebio23_80ml!A86</f>
        <v>C-C-P16-H3</v>
      </c>
      <c r="B86" s="57">
        <v>114</v>
      </c>
      <c r="C86" s="57">
        <v>12</v>
      </c>
      <c r="D86" s="57">
        <v>1</v>
      </c>
      <c r="E86" s="57"/>
      <c r="F86" s="57"/>
      <c r="G86" s="57"/>
      <c r="H86" s="57"/>
      <c r="I86" s="57">
        <v>1143</v>
      </c>
      <c r="J86" s="57">
        <v>121</v>
      </c>
      <c r="K86" s="57">
        <v>12</v>
      </c>
      <c r="L86" s="57">
        <v>1</v>
      </c>
      <c r="M86" s="57"/>
      <c r="N86" s="57"/>
      <c r="O86" s="57"/>
      <c r="P86" s="57">
        <v>125</v>
      </c>
      <c r="Q86" s="57">
        <v>15</v>
      </c>
      <c r="R86" s="57">
        <v>1</v>
      </c>
    </row>
    <row r="87" spans="1:18" ht="15" x14ac:dyDescent="0.25">
      <c r="A87" s="56" t="str">
        <f>rebio23_80ml!A87</f>
        <v>C-C-P17-H1</v>
      </c>
      <c r="B87" s="57">
        <v>114</v>
      </c>
      <c r="C87" s="57">
        <v>12</v>
      </c>
      <c r="D87" s="57">
        <v>1</v>
      </c>
      <c r="E87" s="57"/>
      <c r="F87" s="57"/>
      <c r="G87" s="57"/>
      <c r="H87" s="57"/>
      <c r="I87" s="57">
        <v>1144</v>
      </c>
      <c r="J87" s="57">
        <v>122</v>
      </c>
      <c r="K87" s="57">
        <v>12</v>
      </c>
      <c r="L87" s="57">
        <v>1</v>
      </c>
      <c r="M87" s="57"/>
      <c r="N87" s="57"/>
      <c r="O87" s="57"/>
      <c r="P87" s="57">
        <v>126</v>
      </c>
      <c r="Q87" s="57">
        <v>16</v>
      </c>
      <c r="R87" s="57">
        <v>1</v>
      </c>
    </row>
    <row r="88" spans="1:18" ht="15" x14ac:dyDescent="0.25">
      <c r="A88" s="56" t="str">
        <f>rebio23_80ml!A88</f>
        <v>C-C-P17-H2</v>
      </c>
      <c r="B88" s="57">
        <v>114</v>
      </c>
      <c r="C88" s="57">
        <v>12</v>
      </c>
      <c r="D88" s="57">
        <v>1</v>
      </c>
      <c r="E88" s="57"/>
      <c r="F88" s="57"/>
      <c r="G88" s="57"/>
      <c r="H88" s="57"/>
      <c r="I88" s="57">
        <v>1145</v>
      </c>
      <c r="J88" s="57">
        <v>122</v>
      </c>
      <c r="K88" s="57">
        <v>12</v>
      </c>
      <c r="L88" s="57">
        <v>1</v>
      </c>
      <c r="M88" s="57"/>
      <c r="N88" s="57"/>
      <c r="O88" s="57"/>
      <c r="P88" s="57">
        <v>127</v>
      </c>
      <c r="Q88" s="57">
        <v>16</v>
      </c>
      <c r="R88" s="57">
        <v>1</v>
      </c>
    </row>
    <row r="89" spans="1:18" ht="15" x14ac:dyDescent="0.25">
      <c r="A89" s="56" t="str">
        <f>rebio23_80ml!A89</f>
        <v>C-C-P17-H3</v>
      </c>
      <c r="B89" s="57">
        <v>114</v>
      </c>
      <c r="C89" s="57">
        <v>12</v>
      </c>
      <c r="D89" s="57">
        <v>1</v>
      </c>
      <c r="E89" s="57"/>
      <c r="F89" s="57"/>
      <c r="G89" s="57"/>
      <c r="H89" s="57"/>
      <c r="I89" s="57">
        <v>1146</v>
      </c>
      <c r="J89" s="57">
        <v>122</v>
      </c>
      <c r="K89" s="57">
        <v>12</v>
      </c>
      <c r="L89" s="57">
        <v>1</v>
      </c>
      <c r="M89" s="57"/>
      <c r="N89" s="57"/>
      <c r="O89" s="57"/>
      <c r="P89" s="57">
        <v>128</v>
      </c>
      <c r="Q89" s="57">
        <v>16</v>
      </c>
      <c r="R89" s="57">
        <v>1</v>
      </c>
    </row>
    <row r="90" spans="1:18" ht="15" x14ac:dyDescent="0.25">
      <c r="A90" s="56" t="str">
        <f>rebio23_80ml!A90</f>
        <v>C-C-P18-H1</v>
      </c>
      <c r="B90" s="57">
        <v>114</v>
      </c>
      <c r="C90" s="57">
        <v>12</v>
      </c>
      <c r="D90" s="57">
        <v>1</v>
      </c>
      <c r="E90" s="57"/>
      <c r="F90" s="57"/>
      <c r="G90" s="57"/>
      <c r="H90" s="57"/>
      <c r="I90" s="57">
        <v>1147</v>
      </c>
      <c r="J90" s="57">
        <v>123</v>
      </c>
      <c r="K90" s="57">
        <v>12</v>
      </c>
      <c r="L90" s="57">
        <v>1</v>
      </c>
      <c r="M90" s="57"/>
      <c r="N90" s="57"/>
      <c r="O90" s="57"/>
      <c r="P90" s="57">
        <v>129</v>
      </c>
      <c r="Q90" s="57">
        <v>17</v>
      </c>
      <c r="R90" s="57">
        <v>1</v>
      </c>
    </row>
    <row r="91" spans="1:18" ht="15" x14ac:dyDescent="0.25">
      <c r="A91" s="56" t="str">
        <f>rebio23_80ml!A91</f>
        <v>C-C-P18-H2</v>
      </c>
      <c r="B91" s="57">
        <v>114</v>
      </c>
      <c r="C91" s="57">
        <v>12</v>
      </c>
      <c r="D91" s="57">
        <v>1</v>
      </c>
      <c r="E91" s="57"/>
      <c r="F91" s="57"/>
      <c r="G91" s="57"/>
      <c r="H91" s="57"/>
      <c r="I91" s="57">
        <v>1148</v>
      </c>
      <c r="J91" s="57">
        <v>123</v>
      </c>
      <c r="K91" s="57">
        <v>12</v>
      </c>
      <c r="L91" s="57">
        <v>1</v>
      </c>
      <c r="M91" s="57"/>
      <c r="N91" s="57"/>
      <c r="O91" s="57"/>
      <c r="P91" s="57">
        <v>130</v>
      </c>
      <c r="Q91" s="57">
        <v>17</v>
      </c>
      <c r="R91" s="57">
        <v>1</v>
      </c>
    </row>
    <row r="92" spans="1:18" ht="15" x14ac:dyDescent="0.25">
      <c r="A92" s="56" t="str">
        <f>rebio23_80ml!A92</f>
        <v>C-C-P18-H3</v>
      </c>
      <c r="B92" s="57">
        <v>114</v>
      </c>
      <c r="C92" s="57">
        <v>12</v>
      </c>
      <c r="D92" s="57">
        <v>1</v>
      </c>
      <c r="E92" s="57"/>
      <c r="F92" s="57"/>
      <c r="G92" s="57"/>
      <c r="H92" s="57"/>
      <c r="I92" s="57">
        <v>1149</v>
      </c>
      <c r="J92" s="57">
        <v>123</v>
      </c>
      <c r="K92" s="57">
        <v>12</v>
      </c>
      <c r="L92" s="57">
        <v>1</v>
      </c>
      <c r="M92" s="57"/>
      <c r="N92" s="57"/>
      <c r="O92" s="57"/>
      <c r="P92" s="57">
        <v>131</v>
      </c>
      <c r="Q92" s="57">
        <v>17</v>
      </c>
      <c r="R92" s="57">
        <v>1</v>
      </c>
    </row>
    <row r="93" spans="1:18" ht="15" x14ac:dyDescent="0.25">
      <c r="A93" s="56" t="str">
        <f>rebio23_80ml!A93</f>
        <v>C-C-P19-H1</v>
      </c>
      <c r="B93" s="57">
        <v>114</v>
      </c>
      <c r="C93" s="57">
        <v>12</v>
      </c>
      <c r="D93" s="57">
        <v>1</v>
      </c>
      <c r="E93" s="57"/>
      <c r="F93" s="57"/>
      <c r="G93" s="57"/>
      <c r="H93" s="57"/>
      <c r="I93" s="57">
        <v>1150</v>
      </c>
      <c r="J93" s="57">
        <v>124</v>
      </c>
      <c r="K93" s="57">
        <v>12</v>
      </c>
      <c r="L93" s="57">
        <v>1</v>
      </c>
      <c r="M93" s="57"/>
      <c r="N93" s="57"/>
      <c r="O93" s="57"/>
      <c r="P93" s="57">
        <v>132</v>
      </c>
      <c r="Q93" s="57">
        <v>18</v>
      </c>
      <c r="R93" s="57">
        <v>1</v>
      </c>
    </row>
    <row r="94" spans="1:18" ht="15" x14ac:dyDescent="0.25">
      <c r="A94" s="56" t="str">
        <f>rebio23_80ml!A94</f>
        <v>C-C-P19-H2</v>
      </c>
      <c r="B94" s="57">
        <v>114</v>
      </c>
      <c r="C94" s="57">
        <v>12</v>
      </c>
      <c r="D94" s="57">
        <v>1</v>
      </c>
      <c r="E94" s="57"/>
      <c r="F94" s="57"/>
      <c r="G94" s="57"/>
      <c r="H94" s="57"/>
      <c r="I94" s="57">
        <v>1151</v>
      </c>
      <c r="J94" s="57">
        <v>124</v>
      </c>
      <c r="K94" s="57">
        <v>12</v>
      </c>
      <c r="L94" s="57">
        <v>1</v>
      </c>
      <c r="M94" s="57"/>
      <c r="N94" s="57"/>
      <c r="O94" s="57"/>
      <c r="P94" s="57">
        <v>133</v>
      </c>
      <c r="Q94" s="57">
        <v>18</v>
      </c>
      <c r="R94" s="57">
        <v>1</v>
      </c>
    </row>
    <row r="95" spans="1:18" ht="15" x14ac:dyDescent="0.25">
      <c r="A95" s="56" t="str">
        <f>rebio23_80ml!A95</f>
        <v>C-C-P19-H3</v>
      </c>
      <c r="B95" s="57">
        <v>114</v>
      </c>
      <c r="C95" s="57">
        <v>12</v>
      </c>
      <c r="D95" s="57">
        <v>1</v>
      </c>
      <c r="E95" s="57"/>
      <c r="F95" s="57"/>
      <c r="G95" s="57"/>
      <c r="H95" s="57"/>
      <c r="I95" s="57">
        <v>1152</v>
      </c>
      <c r="J95" s="57">
        <v>124</v>
      </c>
      <c r="K95" s="57">
        <v>12</v>
      </c>
      <c r="L95" s="57">
        <v>1</v>
      </c>
      <c r="M95" s="57"/>
      <c r="N95" s="57"/>
      <c r="O95" s="57"/>
      <c r="P95" s="57">
        <v>134</v>
      </c>
      <c r="Q95" s="57">
        <v>18</v>
      </c>
      <c r="R95" s="57">
        <v>1</v>
      </c>
    </row>
    <row r="96" spans="1:18" ht="15.75" customHeight="1" x14ac:dyDescent="0.25">
      <c r="A96" s="56" t="str">
        <f>rebio23_80ml!A96</f>
        <v>C-C-P20-H1</v>
      </c>
      <c r="B96" s="57">
        <v>114</v>
      </c>
      <c r="C96" s="57">
        <v>12</v>
      </c>
      <c r="D96" s="57">
        <v>1</v>
      </c>
      <c r="E96" s="57"/>
      <c r="F96" s="57"/>
      <c r="G96" s="57"/>
      <c r="H96" s="57"/>
      <c r="I96" s="57">
        <v>1153</v>
      </c>
      <c r="J96" s="57">
        <v>125</v>
      </c>
      <c r="K96" s="57">
        <v>12</v>
      </c>
      <c r="L96" s="57">
        <v>1</v>
      </c>
      <c r="M96" s="57"/>
      <c r="N96" s="57"/>
      <c r="O96" s="57"/>
      <c r="P96" s="57">
        <v>135</v>
      </c>
      <c r="Q96" s="57">
        <v>19</v>
      </c>
      <c r="R96" s="57">
        <v>1</v>
      </c>
    </row>
    <row r="97" spans="1:18" ht="15.75" customHeight="1" x14ac:dyDescent="0.25">
      <c r="A97" s="56" t="str">
        <f>rebio23_80ml!A97</f>
        <v>C-C-P20-H2</v>
      </c>
      <c r="B97" s="57">
        <v>114</v>
      </c>
      <c r="C97" s="57">
        <v>12</v>
      </c>
      <c r="D97" s="57">
        <v>1</v>
      </c>
      <c r="E97" s="57"/>
      <c r="F97" s="57"/>
      <c r="G97" s="57"/>
      <c r="H97" s="57"/>
      <c r="I97" s="57">
        <v>1154</v>
      </c>
      <c r="J97" s="57">
        <v>125</v>
      </c>
      <c r="K97" s="57">
        <v>12</v>
      </c>
      <c r="L97" s="57">
        <v>1</v>
      </c>
      <c r="M97" s="57"/>
      <c r="N97" s="57"/>
      <c r="O97" s="57"/>
      <c r="P97" s="57">
        <v>136</v>
      </c>
      <c r="Q97" s="57">
        <v>19</v>
      </c>
      <c r="R97" s="57">
        <v>1</v>
      </c>
    </row>
    <row r="98" spans="1:18" ht="15.75" customHeight="1" x14ac:dyDescent="0.25">
      <c r="A98" s="56" t="str">
        <f>rebio23_80ml!A98</f>
        <v>C-C-P20-H3</v>
      </c>
      <c r="B98" s="57">
        <v>114</v>
      </c>
      <c r="C98" s="57">
        <v>12</v>
      </c>
      <c r="D98" s="57">
        <v>1</v>
      </c>
      <c r="E98" s="57"/>
      <c r="F98" s="57"/>
      <c r="G98" s="57"/>
      <c r="H98" s="57"/>
      <c r="I98" s="57">
        <v>1155</v>
      </c>
      <c r="J98" s="57">
        <v>125</v>
      </c>
      <c r="K98" s="57">
        <v>12</v>
      </c>
      <c r="L98" s="57">
        <v>1</v>
      </c>
      <c r="M98" s="57"/>
      <c r="N98" s="57"/>
      <c r="O98" s="57"/>
      <c r="P98" s="57">
        <v>137</v>
      </c>
      <c r="Q98" s="57">
        <v>19</v>
      </c>
      <c r="R98" s="57">
        <v>1</v>
      </c>
    </row>
    <row r="1048575" ht="15" x14ac:dyDescent="0.25"/>
    <row r="1048576" ht="15" x14ac:dyDescent="0.25"/>
  </sheetData>
  <mergeCells count="5">
    <mergeCell ref="B1:D1"/>
    <mergeCell ref="E1:H1"/>
    <mergeCell ref="I1:L1"/>
    <mergeCell ref="M1:O1"/>
    <mergeCell ref="P1:R1"/>
  </mergeCells>
  <pageMargins left="0.78749999999999998" right="0.78749999999999998" top="1.0249999999999999" bottom="1.0249999999999999" header="0.78749999999999998" footer="0.78749999999999998"/>
  <pageSetup paperSize="9" orientation="portrait" horizontalDpi="300" verticalDpi="300" r:id="rId1"/>
  <headerFooter>
    <oddHeader>&amp;C&amp;"Arial,Normal"&amp;10&amp;Kffffff&amp;A</oddHeader>
    <oddFooter>&amp;C&amp;"Arial,Normal"&amp;10&amp;KffffffPágina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V1000"/>
  <sheetViews>
    <sheetView zoomScale="60" zoomScaleNormal="60" workbookViewId="0"/>
  </sheetViews>
  <sheetFormatPr defaultColWidth="11.5703125" defaultRowHeight="15" customHeight="1" x14ac:dyDescent="0.25"/>
  <cols>
    <col min="1" max="1" width="10.5703125" customWidth="1"/>
    <col min="2" max="20" width="8.7109375" customWidth="1"/>
    <col min="21" max="21" width="30.28515625" customWidth="1"/>
    <col min="22" max="26" width="8.7109375" customWidth="1"/>
    <col min="27" max="1024" width="14.42578125" customWidth="1"/>
  </cols>
  <sheetData>
    <row r="1" spans="1:22" ht="12.75" customHeight="1" x14ac:dyDescent="0.25">
      <c r="A1" s="34" t="s">
        <v>525</v>
      </c>
      <c r="B1" s="3"/>
      <c r="C1" s="4"/>
      <c r="D1" s="3"/>
      <c r="E1" s="3"/>
      <c r="F1" s="3"/>
      <c r="G1" s="3"/>
      <c r="H1" s="3"/>
      <c r="I1" s="4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12.75" customHeight="1" x14ac:dyDescent="0.25"/>
    <row r="3" spans="1:22" ht="12.75" customHeight="1" x14ac:dyDescent="0.25"/>
    <row r="4" spans="1:22" ht="12.75" customHeight="1" x14ac:dyDescent="0.25"/>
    <row r="5" spans="1:22" ht="12.75" customHeight="1" x14ac:dyDescent="0.25"/>
    <row r="6" spans="1:22" ht="12.75" customHeight="1" x14ac:dyDescent="0.25"/>
    <row r="7" spans="1:22" ht="12.75" customHeight="1" x14ac:dyDescent="0.25"/>
    <row r="8" spans="1:22" ht="12.75" customHeight="1" x14ac:dyDescent="0.25"/>
    <row r="9" spans="1:22" ht="12.75" customHeight="1" x14ac:dyDescent="0.25"/>
    <row r="10" spans="1:22" ht="12.75" customHeight="1" x14ac:dyDescent="0.25"/>
    <row r="11" spans="1:22" ht="12.75" customHeight="1" x14ac:dyDescent="0.25"/>
    <row r="12" spans="1:22" ht="12.75" customHeight="1" x14ac:dyDescent="0.25"/>
    <row r="13" spans="1:22" ht="12.75" customHeight="1" x14ac:dyDescent="0.25"/>
    <row r="14" spans="1:22" ht="12.75" customHeight="1" x14ac:dyDescent="0.25"/>
    <row r="15" spans="1:22" ht="12.75" customHeight="1" x14ac:dyDescent="0.25"/>
    <row r="16" spans="1:22" ht="12.75" customHeight="1" x14ac:dyDescent="0.25"/>
    <row r="17" ht="12.75" customHeight="1" x14ac:dyDescent="0.25"/>
    <row r="18" ht="12.75" customHeight="1" x14ac:dyDescent="0.25"/>
    <row r="19" ht="12.75" customHeight="1" x14ac:dyDescent="0.25"/>
    <row r="20" ht="12.75" customHeight="1" x14ac:dyDescent="0.25"/>
    <row r="21" ht="12.75" customHeight="1" x14ac:dyDescent="0.25"/>
    <row r="22" ht="12.75" customHeight="1" x14ac:dyDescent="0.25"/>
    <row r="23" ht="12.75" customHeight="1" x14ac:dyDescent="0.25"/>
    <row r="24" ht="12.75" customHeight="1" x14ac:dyDescent="0.25"/>
    <row r="25" ht="12.75" customHeight="1" x14ac:dyDescent="0.25"/>
    <row r="26" ht="12.75" customHeight="1" x14ac:dyDescent="0.25"/>
    <row r="27" ht="12.75" customHeight="1" x14ac:dyDescent="0.25"/>
    <row r="28" ht="12.75" customHeight="1" x14ac:dyDescent="0.25"/>
    <row r="29" ht="12.75" customHeight="1" x14ac:dyDescent="0.25"/>
    <row r="30" ht="12.75" customHeight="1" x14ac:dyDescent="0.25"/>
    <row r="31" ht="12.75" customHeight="1" x14ac:dyDescent="0.25"/>
    <row r="32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1529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2</vt:i4>
      </vt:variant>
    </vt:vector>
  </HeadingPairs>
  <TitlesOfParts>
    <vt:vector size="10" baseType="lpstr">
      <vt:lpstr>contagens</vt:lpstr>
      <vt:lpstr>rebio23_80ml</vt:lpstr>
      <vt:lpstr>densidade_hab_indL</vt:lpstr>
      <vt:lpstr>densidade_ponto_indL</vt:lpstr>
      <vt:lpstr>codes</vt:lpstr>
      <vt:lpstr>Espécies</vt:lpstr>
      <vt:lpstr>escalas_final</vt:lpstr>
      <vt:lpstr>&lt;-- AQUI</vt:lpstr>
      <vt:lpstr>densidade_hab_indL!Excel_BuiltIn__FilterDatabase</vt:lpstr>
      <vt:lpstr>rebio23_80ml!Excel_BuiltIn__FilterDatabase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Elvio Medeiros</cp:lastModifiedBy>
  <cp:revision>44</cp:revision>
  <dcterms:created xsi:type="dcterms:W3CDTF">2026-09-24T15:21:39Z</dcterms:created>
  <dcterms:modified xsi:type="dcterms:W3CDTF">2026-09-24T17:13:55Z</dcterms:modified>
  <dc:language>pt-BR</dc:language>
</cp:coreProperties>
</file>