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480d9b848b88e342/MSS/_Zoo-Rebio/ZooRebio3-23_24/rebio23-part/dados/"/>
    </mc:Choice>
  </mc:AlternateContent>
  <xr:revisionPtr revIDLastSave="7" documentId="11_B90BA0FBF36C0FEE4F936C9BA32C8EE46D0DF842" xr6:coauthVersionLast="47" xr6:coauthVersionMax="47" xr10:uidLastSave="{4A92C59F-2C04-4A4A-BD5C-12992AB61F0C}"/>
  <bookViews>
    <workbookView xWindow="-20550" yWindow="-12090" windowWidth="22335" windowHeight="27945" tabRatio="500" activeTab="2" xr2:uid="{00000000-000D-0000-FFFF-FFFF00000000}"/>
  </bookViews>
  <sheets>
    <sheet name="contagens" sheetId="1" r:id="rId1"/>
    <sheet name="rebio23_80ml" sheetId="2" r:id="rId2"/>
    <sheet name="densidade_hab_indL" sheetId="3" r:id="rId3"/>
    <sheet name="densidade_ponto_indL" sheetId="4" r:id="rId4"/>
    <sheet name="codes" sheetId="5" r:id="rId5"/>
    <sheet name="Espécies" sheetId="6" r:id="rId6"/>
    <sheet name="escalas_seco" sheetId="7" r:id="rId7"/>
    <sheet name="escalas_chuvoso" sheetId="8" r:id="rId8"/>
    <sheet name="&lt;-- AQUI" sheetId="9" r:id="rId9"/>
  </sheets>
  <definedNames>
    <definedName name="Excel_BuiltIn__FilterDatabase" localSheetId="2">densidade_hab_indL!$A$1:$D$49</definedName>
    <definedName name="Excel_BuiltIn__FilterDatabase" localSheetId="1">rebio23_80ml!$A$3:$CM$104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BG22" i="3" l="1"/>
  <c r="BF22" i="3"/>
  <c r="BE22" i="3"/>
  <c r="BD22" i="3"/>
  <c r="BC22" i="3"/>
  <c r="BB22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22" i="3"/>
  <c r="B22" i="3"/>
  <c r="BG21" i="3"/>
  <c r="BF21" i="3"/>
  <c r="BE21" i="3"/>
  <c r="BD21" i="3"/>
  <c r="BC21" i="3"/>
  <c r="BB21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B21" i="3"/>
  <c r="BG20" i="3"/>
  <c r="BF20" i="3"/>
  <c r="BE20" i="3"/>
  <c r="BD20" i="3"/>
  <c r="BC20" i="3"/>
  <c r="BB20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B20" i="3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3" i="7"/>
  <c r="A2" i="7"/>
  <c r="N90" i="6"/>
  <c r="N87" i="6"/>
  <c r="N86" i="6"/>
  <c r="N85" i="6"/>
  <c r="N82" i="6"/>
  <c r="N81" i="6"/>
  <c r="N79" i="6"/>
  <c r="N77" i="6"/>
  <c r="N75" i="6"/>
  <c r="N74" i="6"/>
  <c r="N72" i="6"/>
  <c r="N71" i="6"/>
  <c r="N70" i="6"/>
  <c r="N68" i="6"/>
  <c r="N67" i="6"/>
  <c r="N66" i="6"/>
  <c r="N65" i="6"/>
  <c r="N64" i="6"/>
  <c r="N59" i="6"/>
  <c r="N57" i="6"/>
  <c r="N56" i="6"/>
  <c r="N54" i="6"/>
  <c r="N52" i="6"/>
  <c r="N50" i="6"/>
  <c r="N49" i="6"/>
  <c r="N48" i="6"/>
  <c r="N46" i="6"/>
  <c r="N44" i="6"/>
  <c r="N43" i="6"/>
  <c r="N42" i="6"/>
  <c r="N41" i="6"/>
  <c r="N39" i="6"/>
  <c r="N37" i="6"/>
  <c r="N36" i="6"/>
  <c r="N35" i="6"/>
  <c r="N34" i="6"/>
  <c r="N32" i="6"/>
  <c r="N31" i="6"/>
  <c r="N30" i="6"/>
  <c r="N28" i="6"/>
  <c r="N27" i="6"/>
  <c r="N26" i="6"/>
  <c r="N25" i="6"/>
  <c r="N24" i="6"/>
  <c r="N23" i="6"/>
  <c r="N22" i="6"/>
  <c r="N21" i="6"/>
  <c r="N20" i="6"/>
  <c r="N19" i="6"/>
  <c r="N18" i="6"/>
  <c r="J18" i="6"/>
  <c r="A18" i="6"/>
  <c r="N17" i="6"/>
  <c r="J17" i="6"/>
  <c r="A17" i="6"/>
  <c r="N16" i="6"/>
  <c r="J16" i="6"/>
  <c r="A16" i="6"/>
  <c r="N15" i="6"/>
  <c r="J15" i="6"/>
  <c r="A15" i="6"/>
  <c r="N14" i="6"/>
  <c r="J14" i="6"/>
  <c r="A14" i="6"/>
  <c r="J13" i="6"/>
  <c r="A13" i="6"/>
  <c r="J12" i="6"/>
  <c r="A12" i="6"/>
  <c r="J11" i="6"/>
  <c r="A11" i="6"/>
  <c r="N10" i="6"/>
  <c r="J10" i="6"/>
  <c r="A10" i="6"/>
  <c r="J9" i="6"/>
  <c r="A9" i="6"/>
  <c r="N8" i="6"/>
  <c r="J8" i="6"/>
  <c r="A8" i="6"/>
  <c r="J7" i="6"/>
  <c r="A7" i="6"/>
  <c r="N6" i="6"/>
  <c r="J6" i="6"/>
  <c r="A6" i="6"/>
  <c r="J5" i="6"/>
  <c r="A5" i="6"/>
  <c r="N4" i="6"/>
  <c r="J4" i="6"/>
  <c r="A4" i="6"/>
  <c r="J3" i="6"/>
  <c r="A3" i="6"/>
  <c r="J2" i="6"/>
  <c r="A2" i="6"/>
  <c r="D9" i="5"/>
  <c r="E9" i="5" s="1"/>
  <c r="A9" i="5"/>
  <c r="BG1" i="4"/>
  <c r="BF1" i="4"/>
  <c r="BE1" i="4"/>
  <c r="BD1" i="4"/>
  <c r="BC1" i="4"/>
  <c r="BB1" i="4"/>
  <c r="BA1" i="4"/>
  <c r="AZ1" i="4"/>
  <c r="AY1" i="4"/>
  <c r="AX1" i="4"/>
  <c r="AW1" i="4"/>
  <c r="AV1" i="4"/>
  <c r="AU1" i="4"/>
  <c r="AT1" i="4"/>
  <c r="AS1" i="4"/>
  <c r="AR1" i="4"/>
  <c r="AQ1" i="4"/>
  <c r="AP1" i="4"/>
  <c r="AO1" i="4"/>
  <c r="AN1" i="4"/>
  <c r="AM1" i="4"/>
  <c r="AL1" i="4"/>
  <c r="AK1" i="4"/>
  <c r="AJ1" i="4"/>
  <c r="AI1" i="4"/>
  <c r="AH1" i="4"/>
  <c r="AG1" i="4"/>
  <c r="AF1" i="4"/>
  <c r="AE1" i="4"/>
  <c r="AD1" i="4"/>
  <c r="AC1" i="4"/>
  <c r="AB1" i="4"/>
  <c r="AA1" i="4"/>
  <c r="Z1" i="4"/>
  <c r="Y1" i="4"/>
  <c r="X1" i="4"/>
  <c r="W1" i="4"/>
  <c r="V1" i="4"/>
  <c r="U1" i="4"/>
  <c r="T1" i="4"/>
  <c r="S1" i="4"/>
  <c r="R1" i="4"/>
  <c r="Q1" i="4"/>
  <c r="P1" i="4"/>
  <c r="O1" i="4"/>
  <c r="N1" i="4"/>
  <c r="M1" i="4"/>
  <c r="L1" i="4"/>
  <c r="K1" i="4"/>
  <c r="J1" i="4"/>
  <c r="I1" i="4"/>
  <c r="H1" i="4"/>
  <c r="G1" i="4"/>
  <c r="F1" i="4"/>
  <c r="E1" i="4"/>
  <c r="D1" i="4"/>
  <c r="C1" i="4"/>
  <c r="B1" i="4"/>
  <c r="BG97" i="3"/>
  <c r="BF97" i="3"/>
  <c r="BE97" i="3"/>
  <c r="BD97" i="3"/>
  <c r="BC97" i="3"/>
  <c r="BB97" i="3"/>
  <c r="BA97" i="3"/>
  <c r="AZ97" i="3"/>
  <c r="AY97" i="3"/>
  <c r="AX97" i="3"/>
  <c r="AW97" i="3"/>
  <c r="AV97" i="3"/>
  <c r="AU97" i="3"/>
  <c r="AT97" i="3"/>
  <c r="AS97" i="3"/>
  <c r="AR97" i="3"/>
  <c r="AQ97" i="3"/>
  <c r="AP97" i="3"/>
  <c r="AO97" i="3"/>
  <c r="AN97" i="3"/>
  <c r="AM97" i="3"/>
  <c r="AL97" i="3"/>
  <c r="AK97" i="3"/>
  <c r="AJ97" i="3"/>
  <c r="AI97" i="3"/>
  <c r="AH97" i="3"/>
  <c r="AG97" i="3"/>
  <c r="AF97" i="3"/>
  <c r="AE97" i="3"/>
  <c r="AD97" i="3"/>
  <c r="AC97" i="3"/>
  <c r="AB97" i="3"/>
  <c r="AA97" i="3"/>
  <c r="Z97" i="3"/>
  <c r="Y97" i="3"/>
  <c r="X97" i="3"/>
  <c r="W97" i="3"/>
  <c r="V97" i="3"/>
  <c r="U97" i="3"/>
  <c r="T97" i="3"/>
  <c r="S97" i="3"/>
  <c r="R97" i="3"/>
  <c r="Q97" i="3"/>
  <c r="P97" i="3"/>
  <c r="O97" i="3"/>
  <c r="N97" i="3"/>
  <c r="M97" i="3"/>
  <c r="L97" i="3"/>
  <c r="K97" i="3"/>
  <c r="J97" i="3"/>
  <c r="I97" i="3"/>
  <c r="H97" i="3"/>
  <c r="G97" i="3"/>
  <c r="F97" i="3"/>
  <c r="E97" i="3"/>
  <c r="D97" i="3"/>
  <c r="C97" i="3"/>
  <c r="B97" i="3"/>
  <c r="A97" i="3"/>
  <c r="BG96" i="3"/>
  <c r="BF96" i="3"/>
  <c r="BE96" i="3"/>
  <c r="BD96" i="3"/>
  <c r="BC96" i="3"/>
  <c r="BB96" i="3"/>
  <c r="BA96" i="3"/>
  <c r="AZ96" i="3"/>
  <c r="AY96" i="3"/>
  <c r="AX96" i="3"/>
  <c r="AW96" i="3"/>
  <c r="AV96" i="3"/>
  <c r="AU96" i="3"/>
  <c r="AT96" i="3"/>
  <c r="AS96" i="3"/>
  <c r="AR96" i="3"/>
  <c r="AQ96" i="3"/>
  <c r="AP96" i="3"/>
  <c r="AO96" i="3"/>
  <c r="AN96" i="3"/>
  <c r="AM96" i="3"/>
  <c r="AL96" i="3"/>
  <c r="AK96" i="3"/>
  <c r="AJ96" i="3"/>
  <c r="AI96" i="3"/>
  <c r="AH96" i="3"/>
  <c r="AG96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R96" i="3"/>
  <c r="Q96" i="3"/>
  <c r="P96" i="3"/>
  <c r="O96" i="3"/>
  <c r="N96" i="3"/>
  <c r="M96" i="3"/>
  <c r="L96" i="3"/>
  <c r="K96" i="3"/>
  <c r="J96" i="3"/>
  <c r="I96" i="3"/>
  <c r="H96" i="3"/>
  <c r="G96" i="3"/>
  <c r="F96" i="3"/>
  <c r="E96" i="3"/>
  <c r="D96" i="3"/>
  <c r="C96" i="3"/>
  <c r="B96" i="3"/>
  <c r="A96" i="3"/>
  <c r="BG95" i="3"/>
  <c r="BF95" i="3"/>
  <c r="BE95" i="3"/>
  <c r="BD95" i="3"/>
  <c r="BC95" i="3"/>
  <c r="BC33" i="4" s="1"/>
  <c r="BB95" i="3"/>
  <c r="BB33" i="4" s="1"/>
  <c r="BA95" i="3"/>
  <c r="AZ95" i="3"/>
  <c r="AZ33" i="4" s="1"/>
  <c r="AY95" i="3"/>
  <c r="AX95" i="3"/>
  <c r="AW95" i="3"/>
  <c r="AV95" i="3"/>
  <c r="AU95" i="3"/>
  <c r="AU33" i="4" s="1"/>
  <c r="AT95" i="3"/>
  <c r="AT33" i="4" s="1"/>
  <c r="AS95" i="3"/>
  <c r="AR95" i="3"/>
  <c r="AR33" i="4" s="1"/>
  <c r="AQ95" i="3"/>
  <c r="AP95" i="3"/>
  <c r="AO95" i="3"/>
  <c r="AN95" i="3"/>
  <c r="AM95" i="3"/>
  <c r="AM33" i="4" s="1"/>
  <c r="AL95" i="3"/>
  <c r="AL33" i="4" s="1"/>
  <c r="AK95" i="3"/>
  <c r="AK33" i="4" s="1"/>
  <c r="AJ95" i="3"/>
  <c r="AJ33" i="4" s="1"/>
  <c r="AI95" i="3"/>
  <c r="AH95" i="3"/>
  <c r="AG95" i="3"/>
  <c r="AF95" i="3"/>
  <c r="AE95" i="3"/>
  <c r="AE33" i="4" s="1"/>
  <c r="AD95" i="3"/>
  <c r="AD33" i="4" s="1"/>
  <c r="AC95" i="3"/>
  <c r="AC33" i="4" s="1"/>
  <c r="AB95" i="3"/>
  <c r="AB33" i="4" s="1"/>
  <c r="AA95" i="3"/>
  <c r="Z95" i="3"/>
  <c r="Y95" i="3"/>
  <c r="X95" i="3"/>
  <c r="W95" i="3"/>
  <c r="W33" i="4" s="1"/>
  <c r="V95" i="3"/>
  <c r="V33" i="4" s="1"/>
  <c r="U95" i="3"/>
  <c r="U33" i="4" s="1"/>
  <c r="T95" i="3"/>
  <c r="T33" i="4" s="1"/>
  <c r="S95" i="3"/>
  <c r="R95" i="3"/>
  <c r="Q95" i="3"/>
  <c r="P95" i="3"/>
  <c r="O95" i="3"/>
  <c r="O33" i="4" s="1"/>
  <c r="N95" i="3"/>
  <c r="N33" i="4" s="1"/>
  <c r="M95" i="3"/>
  <c r="M33" i="4" s="1"/>
  <c r="L95" i="3"/>
  <c r="L33" i="4" s="1"/>
  <c r="K95" i="3"/>
  <c r="J95" i="3"/>
  <c r="I95" i="3"/>
  <c r="H95" i="3"/>
  <c r="G95" i="3"/>
  <c r="G33" i="4" s="1"/>
  <c r="F95" i="3"/>
  <c r="F33" i="4" s="1"/>
  <c r="E95" i="3"/>
  <c r="E33" i="4" s="1"/>
  <c r="D95" i="3"/>
  <c r="D33" i="4" s="1"/>
  <c r="C95" i="3"/>
  <c r="B95" i="3"/>
  <c r="A95" i="3"/>
  <c r="BG94" i="3"/>
  <c r="BF94" i="3"/>
  <c r="BE94" i="3"/>
  <c r="BD94" i="3"/>
  <c r="BC94" i="3"/>
  <c r="BB94" i="3"/>
  <c r="BA94" i="3"/>
  <c r="AZ94" i="3"/>
  <c r="AY94" i="3"/>
  <c r="AX94" i="3"/>
  <c r="AW94" i="3"/>
  <c r="AV94" i="3"/>
  <c r="AU94" i="3"/>
  <c r="AT94" i="3"/>
  <c r="AS94" i="3"/>
  <c r="AR94" i="3"/>
  <c r="AQ94" i="3"/>
  <c r="AP94" i="3"/>
  <c r="AO94" i="3"/>
  <c r="AN94" i="3"/>
  <c r="AM94" i="3"/>
  <c r="AL94" i="3"/>
  <c r="AK94" i="3"/>
  <c r="AJ94" i="3"/>
  <c r="AI94" i="3"/>
  <c r="AH94" i="3"/>
  <c r="AG94" i="3"/>
  <c r="AF94" i="3"/>
  <c r="AE94" i="3"/>
  <c r="AD94" i="3"/>
  <c r="AC94" i="3"/>
  <c r="AB94" i="3"/>
  <c r="AA94" i="3"/>
  <c r="Z94" i="3"/>
  <c r="Y94" i="3"/>
  <c r="X94" i="3"/>
  <c r="W94" i="3"/>
  <c r="V94" i="3"/>
  <c r="U94" i="3"/>
  <c r="T94" i="3"/>
  <c r="S94" i="3"/>
  <c r="R94" i="3"/>
  <c r="Q94" i="3"/>
  <c r="P94" i="3"/>
  <c r="O94" i="3"/>
  <c r="N94" i="3"/>
  <c r="M94" i="3"/>
  <c r="L94" i="3"/>
  <c r="K94" i="3"/>
  <c r="J94" i="3"/>
  <c r="I94" i="3"/>
  <c r="H94" i="3"/>
  <c r="G94" i="3"/>
  <c r="F94" i="3"/>
  <c r="E94" i="3"/>
  <c r="D94" i="3"/>
  <c r="C94" i="3"/>
  <c r="B94" i="3"/>
  <c r="A94" i="3"/>
  <c r="BG93" i="3"/>
  <c r="BF93" i="3"/>
  <c r="BE93" i="3"/>
  <c r="BD93" i="3"/>
  <c r="BC93" i="3"/>
  <c r="BB93" i="3"/>
  <c r="BA93" i="3"/>
  <c r="AZ93" i="3"/>
  <c r="AY93" i="3"/>
  <c r="AX93" i="3"/>
  <c r="AW93" i="3"/>
  <c r="AV93" i="3"/>
  <c r="AU93" i="3"/>
  <c r="AT93" i="3"/>
  <c r="AS93" i="3"/>
  <c r="AR93" i="3"/>
  <c r="AQ93" i="3"/>
  <c r="AP93" i="3"/>
  <c r="AO93" i="3"/>
  <c r="AN93" i="3"/>
  <c r="AM93" i="3"/>
  <c r="AL93" i="3"/>
  <c r="AK93" i="3"/>
  <c r="AJ93" i="3"/>
  <c r="AI93" i="3"/>
  <c r="AH93" i="3"/>
  <c r="AG93" i="3"/>
  <c r="AF93" i="3"/>
  <c r="AE93" i="3"/>
  <c r="AD93" i="3"/>
  <c r="AC93" i="3"/>
  <c r="AB93" i="3"/>
  <c r="AA93" i="3"/>
  <c r="Z93" i="3"/>
  <c r="Y93" i="3"/>
  <c r="X93" i="3"/>
  <c r="W93" i="3"/>
  <c r="V93" i="3"/>
  <c r="U93" i="3"/>
  <c r="T93" i="3"/>
  <c r="S93" i="3"/>
  <c r="R93" i="3"/>
  <c r="Q93" i="3"/>
  <c r="P93" i="3"/>
  <c r="O93" i="3"/>
  <c r="N93" i="3"/>
  <c r="M93" i="3"/>
  <c r="L93" i="3"/>
  <c r="K93" i="3"/>
  <c r="J93" i="3"/>
  <c r="I93" i="3"/>
  <c r="H93" i="3"/>
  <c r="G93" i="3"/>
  <c r="F93" i="3"/>
  <c r="E93" i="3"/>
  <c r="D93" i="3"/>
  <c r="C93" i="3"/>
  <c r="B93" i="3"/>
  <c r="A93" i="3"/>
  <c r="BG92" i="3"/>
  <c r="BF92" i="3"/>
  <c r="BE92" i="3"/>
  <c r="BD92" i="3"/>
  <c r="BC92" i="3"/>
  <c r="BC32" i="4" s="1"/>
  <c r="BB92" i="3"/>
  <c r="BB32" i="4" s="1"/>
  <c r="BA92" i="3"/>
  <c r="AZ92" i="3"/>
  <c r="AY92" i="3"/>
  <c r="AX92" i="3"/>
  <c r="AW92" i="3"/>
  <c r="AV92" i="3"/>
  <c r="AU92" i="3"/>
  <c r="AU32" i="4" s="1"/>
  <c r="AT92" i="3"/>
  <c r="AT32" i="4" s="1"/>
  <c r="AS92" i="3"/>
  <c r="AR92" i="3"/>
  <c r="AQ92" i="3"/>
  <c r="AP92" i="3"/>
  <c r="AO92" i="3"/>
  <c r="AN92" i="3"/>
  <c r="AM92" i="3"/>
  <c r="AM32" i="4" s="1"/>
  <c r="AL92" i="3"/>
  <c r="AL32" i="4" s="1"/>
  <c r="AK92" i="3"/>
  <c r="AJ92" i="3"/>
  <c r="AI92" i="3"/>
  <c r="AH92" i="3"/>
  <c r="AG92" i="3"/>
  <c r="AF92" i="3"/>
  <c r="AE92" i="3"/>
  <c r="AE32" i="4" s="1"/>
  <c r="AD92" i="3"/>
  <c r="AD32" i="4" s="1"/>
  <c r="AC92" i="3"/>
  <c r="AB92" i="3"/>
  <c r="AA92" i="3"/>
  <c r="Z92" i="3"/>
  <c r="Y92" i="3"/>
  <c r="X92" i="3"/>
  <c r="W92" i="3"/>
  <c r="W32" i="4" s="1"/>
  <c r="V92" i="3"/>
  <c r="V32" i="4" s="1"/>
  <c r="U92" i="3"/>
  <c r="T92" i="3"/>
  <c r="S92" i="3"/>
  <c r="R92" i="3"/>
  <c r="Q92" i="3"/>
  <c r="P92" i="3"/>
  <c r="O92" i="3"/>
  <c r="O32" i="4" s="1"/>
  <c r="N92" i="3"/>
  <c r="N32" i="4" s="1"/>
  <c r="M92" i="3"/>
  <c r="L92" i="3"/>
  <c r="K92" i="3"/>
  <c r="J92" i="3"/>
  <c r="I92" i="3"/>
  <c r="H92" i="3"/>
  <c r="G92" i="3"/>
  <c r="G32" i="4" s="1"/>
  <c r="F92" i="3"/>
  <c r="F32" i="4" s="1"/>
  <c r="E92" i="3"/>
  <c r="D92" i="3"/>
  <c r="C92" i="3"/>
  <c r="B92" i="3"/>
  <c r="A92" i="3"/>
  <c r="BG91" i="3"/>
  <c r="BF91" i="3"/>
  <c r="BE91" i="3"/>
  <c r="BD91" i="3"/>
  <c r="BC91" i="3"/>
  <c r="BB91" i="3"/>
  <c r="BA91" i="3"/>
  <c r="AZ91" i="3"/>
  <c r="AY91" i="3"/>
  <c r="AX91" i="3"/>
  <c r="AW91" i="3"/>
  <c r="AV91" i="3"/>
  <c r="AU91" i="3"/>
  <c r="AT91" i="3"/>
  <c r="AS91" i="3"/>
  <c r="AR91" i="3"/>
  <c r="AQ91" i="3"/>
  <c r="AP91" i="3"/>
  <c r="AO91" i="3"/>
  <c r="AN91" i="3"/>
  <c r="AM91" i="3"/>
  <c r="AL91" i="3"/>
  <c r="AK91" i="3"/>
  <c r="AJ91" i="3"/>
  <c r="AI91" i="3"/>
  <c r="AH91" i="3"/>
  <c r="AG91" i="3"/>
  <c r="AF91" i="3"/>
  <c r="AE91" i="3"/>
  <c r="AD91" i="3"/>
  <c r="AC91" i="3"/>
  <c r="AB91" i="3"/>
  <c r="AA91" i="3"/>
  <c r="Z91" i="3"/>
  <c r="Y91" i="3"/>
  <c r="X91" i="3"/>
  <c r="W91" i="3"/>
  <c r="V91" i="3"/>
  <c r="U91" i="3"/>
  <c r="T91" i="3"/>
  <c r="S91" i="3"/>
  <c r="R91" i="3"/>
  <c r="Q91" i="3"/>
  <c r="P91" i="3"/>
  <c r="O91" i="3"/>
  <c r="N91" i="3"/>
  <c r="M91" i="3"/>
  <c r="L91" i="3"/>
  <c r="K91" i="3"/>
  <c r="J91" i="3"/>
  <c r="I91" i="3"/>
  <c r="H91" i="3"/>
  <c r="G91" i="3"/>
  <c r="F91" i="3"/>
  <c r="E91" i="3"/>
  <c r="D91" i="3"/>
  <c r="C91" i="3"/>
  <c r="B91" i="3"/>
  <c r="A91" i="3"/>
  <c r="BG90" i="3"/>
  <c r="BF90" i="3"/>
  <c r="BE90" i="3"/>
  <c r="BD90" i="3"/>
  <c r="BC90" i="3"/>
  <c r="BB90" i="3"/>
  <c r="BA90" i="3"/>
  <c r="AZ90" i="3"/>
  <c r="AY90" i="3"/>
  <c r="AX90" i="3"/>
  <c r="AW90" i="3"/>
  <c r="AV90" i="3"/>
  <c r="AU90" i="3"/>
  <c r="AT90" i="3"/>
  <c r="AS90" i="3"/>
  <c r="AR90" i="3"/>
  <c r="AQ90" i="3"/>
  <c r="AP90" i="3"/>
  <c r="AO90" i="3"/>
  <c r="AN90" i="3"/>
  <c r="AM90" i="3"/>
  <c r="AL90" i="3"/>
  <c r="AK90" i="3"/>
  <c r="AJ90" i="3"/>
  <c r="AI90" i="3"/>
  <c r="AH90" i="3"/>
  <c r="AG90" i="3"/>
  <c r="AF90" i="3"/>
  <c r="AE90" i="3"/>
  <c r="AD90" i="3"/>
  <c r="AC90" i="3"/>
  <c r="AB90" i="3"/>
  <c r="AA90" i="3"/>
  <c r="Z90" i="3"/>
  <c r="Y90" i="3"/>
  <c r="X90" i="3"/>
  <c r="W90" i="3"/>
  <c r="V90" i="3"/>
  <c r="U90" i="3"/>
  <c r="T90" i="3"/>
  <c r="S90" i="3"/>
  <c r="R90" i="3"/>
  <c r="Q90" i="3"/>
  <c r="P90" i="3"/>
  <c r="O90" i="3"/>
  <c r="N90" i="3"/>
  <c r="M90" i="3"/>
  <c r="L90" i="3"/>
  <c r="K90" i="3"/>
  <c r="J90" i="3"/>
  <c r="I90" i="3"/>
  <c r="H90" i="3"/>
  <c r="G90" i="3"/>
  <c r="F90" i="3"/>
  <c r="E90" i="3"/>
  <c r="D90" i="3"/>
  <c r="C90" i="3"/>
  <c r="B90" i="3"/>
  <c r="A90" i="3"/>
  <c r="BG89" i="3"/>
  <c r="BF89" i="3"/>
  <c r="BE89" i="3"/>
  <c r="BD89" i="3"/>
  <c r="BD31" i="4" s="1"/>
  <c r="BC89" i="3"/>
  <c r="BC31" i="4" s="1"/>
  <c r="BB89" i="3"/>
  <c r="BA89" i="3"/>
  <c r="AZ89" i="3"/>
  <c r="AY89" i="3"/>
  <c r="AX89" i="3"/>
  <c r="AW89" i="3"/>
  <c r="AV89" i="3"/>
  <c r="AV31" i="4" s="1"/>
  <c r="AU89" i="3"/>
  <c r="AU31" i="4" s="1"/>
  <c r="AT89" i="3"/>
  <c r="AS89" i="3"/>
  <c r="AR89" i="3"/>
  <c r="AQ89" i="3"/>
  <c r="AP89" i="3"/>
  <c r="AO89" i="3"/>
  <c r="AN89" i="3"/>
  <c r="AN31" i="4" s="1"/>
  <c r="AM89" i="3"/>
  <c r="AM31" i="4" s="1"/>
  <c r="AL89" i="3"/>
  <c r="AK89" i="3"/>
  <c r="AJ89" i="3"/>
  <c r="AI89" i="3"/>
  <c r="AH89" i="3"/>
  <c r="AG89" i="3"/>
  <c r="AF89" i="3"/>
  <c r="AF31" i="4" s="1"/>
  <c r="AE89" i="3"/>
  <c r="AE31" i="4" s="1"/>
  <c r="AD89" i="3"/>
  <c r="AC89" i="3"/>
  <c r="AB89" i="3"/>
  <c r="AA89" i="3"/>
  <c r="Z89" i="3"/>
  <c r="Y89" i="3"/>
  <c r="X89" i="3"/>
  <c r="X31" i="4" s="1"/>
  <c r="W89" i="3"/>
  <c r="W31" i="4" s="1"/>
  <c r="V89" i="3"/>
  <c r="U89" i="3"/>
  <c r="T89" i="3"/>
  <c r="S89" i="3"/>
  <c r="R89" i="3"/>
  <c r="Q89" i="3"/>
  <c r="P89" i="3"/>
  <c r="P31" i="4" s="1"/>
  <c r="O89" i="3"/>
  <c r="O31" i="4" s="1"/>
  <c r="N89" i="3"/>
  <c r="M89" i="3"/>
  <c r="L89" i="3"/>
  <c r="K89" i="3"/>
  <c r="J89" i="3"/>
  <c r="I89" i="3"/>
  <c r="H89" i="3"/>
  <c r="H31" i="4" s="1"/>
  <c r="G89" i="3"/>
  <c r="G31" i="4" s="1"/>
  <c r="F89" i="3"/>
  <c r="E89" i="3"/>
  <c r="D89" i="3"/>
  <c r="C89" i="3"/>
  <c r="B89" i="3"/>
  <c r="A89" i="3"/>
  <c r="BG88" i="3"/>
  <c r="BF88" i="3"/>
  <c r="BE88" i="3"/>
  <c r="BD88" i="3"/>
  <c r="BC88" i="3"/>
  <c r="BB88" i="3"/>
  <c r="BA88" i="3"/>
  <c r="AZ88" i="3"/>
  <c r="AY88" i="3"/>
  <c r="AX88" i="3"/>
  <c r="AW88" i="3"/>
  <c r="AV88" i="3"/>
  <c r="AU88" i="3"/>
  <c r="AT88" i="3"/>
  <c r="AS88" i="3"/>
  <c r="AR88" i="3"/>
  <c r="AQ88" i="3"/>
  <c r="AP88" i="3"/>
  <c r="AO88" i="3"/>
  <c r="AN88" i="3"/>
  <c r="AM88" i="3"/>
  <c r="AL88" i="3"/>
  <c r="AK88" i="3"/>
  <c r="AJ88" i="3"/>
  <c r="AI88" i="3"/>
  <c r="AH88" i="3"/>
  <c r="AG88" i="3"/>
  <c r="AF88" i="3"/>
  <c r="AE88" i="3"/>
  <c r="AD88" i="3"/>
  <c r="AC88" i="3"/>
  <c r="AB88" i="3"/>
  <c r="AA88" i="3"/>
  <c r="Z88" i="3"/>
  <c r="Y88" i="3"/>
  <c r="X88" i="3"/>
  <c r="W88" i="3"/>
  <c r="V88" i="3"/>
  <c r="U88" i="3"/>
  <c r="T88" i="3"/>
  <c r="S88" i="3"/>
  <c r="R88" i="3"/>
  <c r="Q88" i="3"/>
  <c r="P88" i="3"/>
  <c r="O88" i="3"/>
  <c r="N88" i="3"/>
  <c r="M88" i="3"/>
  <c r="L88" i="3"/>
  <c r="K88" i="3"/>
  <c r="J88" i="3"/>
  <c r="I88" i="3"/>
  <c r="H88" i="3"/>
  <c r="G88" i="3"/>
  <c r="F88" i="3"/>
  <c r="E88" i="3"/>
  <c r="D88" i="3"/>
  <c r="C88" i="3"/>
  <c r="B88" i="3"/>
  <c r="A88" i="3"/>
  <c r="BG87" i="3"/>
  <c r="BF87" i="3"/>
  <c r="BE87" i="3"/>
  <c r="BD87" i="3"/>
  <c r="BC87" i="3"/>
  <c r="BB87" i="3"/>
  <c r="BA87" i="3"/>
  <c r="AZ87" i="3"/>
  <c r="AY87" i="3"/>
  <c r="AX87" i="3"/>
  <c r="AW87" i="3"/>
  <c r="AV87" i="3"/>
  <c r="AU87" i="3"/>
  <c r="AT87" i="3"/>
  <c r="AS87" i="3"/>
  <c r="AR87" i="3"/>
  <c r="AQ87" i="3"/>
  <c r="AP87" i="3"/>
  <c r="AO87" i="3"/>
  <c r="AN87" i="3"/>
  <c r="AM87" i="3"/>
  <c r="AL87" i="3"/>
  <c r="AK87" i="3"/>
  <c r="AJ87" i="3"/>
  <c r="AI87" i="3"/>
  <c r="AH87" i="3"/>
  <c r="AG87" i="3"/>
  <c r="AF87" i="3"/>
  <c r="AE87" i="3"/>
  <c r="AD87" i="3"/>
  <c r="AC87" i="3"/>
  <c r="AB87" i="3"/>
  <c r="AA87" i="3"/>
  <c r="Z87" i="3"/>
  <c r="Y87" i="3"/>
  <c r="X87" i="3"/>
  <c r="W87" i="3"/>
  <c r="V87" i="3"/>
  <c r="U87" i="3"/>
  <c r="T87" i="3"/>
  <c r="S87" i="3"/>
  <c r="R87" i="3"/>
  <c r="Q87" i="3"/>
  <c r="P87" i="3"/>
  <c r="O87" i="3"/>
  <c r="N87" i="3"/>
  <c r="M87" i="3"/>
  <c r="L87" i="3"/>
  <c r="K87" i="3"/>
  <c r="J87" i="3"/>
  <c r="I87" i="3"/>
  <c r="H87" i="3"/>
  <c r="G87" i="3"/>
  <c r="F87" i="3"/>
  <c r="E87" i="3"/>
  <c r="D87" i="3"/>
  <c r="C87" i="3"/>
  <c r="B87" i="3"/>
  <c r="A87" i="3"/>
  <c r="BG86" i="3"/>
  <c r="BF86" i="3"/>
  <c r="BE86" i="3"/>
  <c r="BE30" i="4" s="1"/>
  <c r="BD86" i="3"/>
  <c r="BD30" i="4" s="1"/>
  <c r="BC86" i="3"/>
  <c r="BB86" i="3"/>
  <c r="BA86" i="3"/>
  <c r="AZ86" i="3"/>
  <c r="AY86" i="3"/>
  <c r="AX86" i="3"/>
  <c r="AW86" i="3"/>
  <c r="AW30" i="4" s="1"/>
  <c r="AV86" i="3"/>
  <c r="AV30" i="4" s="1"/>
  <c r="AU86" i="3"/>
  <c r="AT86" i="3"/>
  <c r="AS86" i="3"/>
  <c r="AR86" i="3"/>
  <c r="AQ86" i="3"/>
  <c r="AP86" i="3"/>
  <c r="AO86" i="3"/>
  <c r="AO30" i="4" s="1"/>
  <c r="AN86" i="3"/>
  <c r="AN30" i="4" s="1"/>
  <c r="AM86" i="3"/>
  <c r="AL86" i="3"/>
  <c r="AK86" i="3"/>
  <c r="AJ86" i="3"/>
  <c r="AI86" i="3"/>
  <c r="AH86" i="3"/>
  <c r="AG86" i="3"/>
  <c r="AG30" i="4" s="1"/>
  <c r="AF86" i="3"/>
  <c r="AF30" i="4" s="1"/>
  <c r="AE86" i="3"/>
  <c r="AD86" i="3"/>
  <c r="AC86" i="3"/>
  <c r="AB86" i="3"/>
  <c r="AA86" i="3"/>
  <c r="Z86" i="3"/>
  <c r="Y86" i="3"/>
  <c r="Y30" i="4" s="1"/>
  <c r="X86" i="3"/>
  <c r="X30" i="4" s="1"/>
  <c r="W86" i="3"/>
  <c r="V86" i="3"/>
  <c r="U86" i="3"/>
  <c r="T86" i="3"/>
  <c r="S86" i="3"/>
  <c r="R86" i="3"/>
  <c r="Q86" i="3"/>
  <c r="Q30" i="4" s="1"/>
  <c r="P86" i="3"/>
  <c r="P30" i="4" s="1"/>
  <c r="O86" i="3"/>
  <c r="N86" i="3"/>
  <c r="M86" i="3"/>
  <c r="L86" i="3"/>
  <c r="K86" i="3"/>
  <c r="J86" i="3"/>
  <c r="I86" i="3"/>
  <c r="I30" i="4" s="1"/>
  <c r="H86" i="3"/>
  <c r="H30" i="4" s="1"/>
  <c r="G86" i="3"/>
  <c r="F86" i="3"/>
  <c r="E86" i="3"/>
  <c r="D86" i="3"/>
  <c r="C86" i="3"/>
  <c r="B86" i="3"/>
  <c r="A86" i="3"/>
  <c r="BG85" i="3"/>
  <c r="BF85" i="3"/>
  <c r="BE85" i="3"/>
  <c r="BD85" i="3"/>
  <c r="BC85" i="3"/>
  <c r="BB85" i="3"/>
  <c r="BA85" i="3"/>
  <c r="AZ85" i="3"/>
  <c r="AY85" i="3"/>
  <c r="AX85" i="3"/>
  <c r="AW85" i="3"/>
  <c r="AV85" i="3"/>
  <c r="AU85" i="3"/>
  <c r="AT85" i="3"/>
  <c r="AS85" i="3"/>
  <c r="AR85" i="3"/>
  <c r="AQ85" i="3"/>
  <c r="AP85" i="3"/>
  <c r="AO85" i="3"/>
  <c r="AN85" i="3"/>
  <c r="AM85" i="3"/>
  <c r="AL85" i="3"/>
  <c r="AK85" i="3"/>
  <c r="AJ85" i="3"/>
  <c r="AI85" i="3"/>
  <c r="AH85" i="3"/>
  <c r="AG85" i="3"/>
  <c r="AF85" i="3"/>
  <c r="AE85" i="3"/>
  <c r="AD85" i="3"/>
  <c r="AC85" i="3"/>
  <c r="AB85" i="3"/>
  <c r="AA85" i="3"/>
  <c r="Z85" i="3"/>
  <c r="Y85" i="3"/>
  <c r="X85" i="3"/>
  <c r="W85" i="3"/>
  <c r="V85" i="3"/>
  <c r="U85" i="3"/>
  <c r="T85" i="3"/>
  <c r="S85" i="3"/>
  <c r="R85" i="3"/>
  <c r="Q85" i="3"/>
  <c r="P85" i="3"/>
  <c r="O85" i="3"/>
  <c r="N85" i="3"/>
  <c r="M85" i="3"/>
  <c r="L85" i="3"/>
  <c r="K85" i="3"/>
  <c r="J85" i="3"/>
  <c r="I85" i="3"/>
  <c r="H85" i="3"/>
  <c r="G85" i="3"/>
  <c r="F85" i="3"/>
  <c r="E85" i="3"/>
  <c r="D85" i="3"/>
  <c r="C85" i="3"/>
  <c r="B85" i="3"/>
  <c r="A85" i="3"/>
  <c r="BG84" i="3"/>
  <c r="BF84" i="3"/>
  <c r="BE84" i="3"/>
  <c r="BD84" i="3"/>
  <c r="BC84" i="3"/>
  <c r="BB84" i="3"/>
  <c r="BA84" i="3"/>
  <c r="AZ84" i="3"/>
  <c r="AY84" i="3"/>
  <c r="AX84" i="3"/>
  <c r="AW84" i="3"/>
  <c r="AV84" i="3"/>
  <c r="AU84" i="3"/>
  <c r="AT84" i="3"/>
  <c r="AS84" i="3"/>
  <c r="AR84" i="3"/>
  <c r="AQ84" i="3"/>
  <c r="AP84" i="3"/>
  <c r="AO84" i="3"/>
  <c r="AN84" i="3"/>
  <c r="AM84" i="3"/>
  <c r="AL84" i="3"/>
  <c r="AK84" i="3"/>
  <c r="AJ84" i="3"/>
  <c r="AI84" i="3"/>
  <c r="AH84" i="3"/>
  <c r="AG84" i="3"/>
  <c r="AF84" i="3"/>
  <c r="AE84" i="3"/>
  <c r="AD84" i="3"/>
  <c r="AC84" i="3"/>
  <c r="AB84" i="3"/>
  <c r="AA84" i="3"/>
  <c r="Z84" i="3"/>
  <c r="Y84" i="3"/>
  <c r="X84" i="3"/>
  <c r="W84" i="3"/>
  <c r="V84" i="3"/>
  <c r="U84" i="3"/>
  <c r="T84" i="3"/>
  <c r="S84" i="3"/>
  <c r="R84" i="3"/>
  <c r="Q84" i="3"/>
  <c r="P84" i="3"/>
  <c r="O84" i="3"/>
  <c r="N84" i="3"/>
  <c r="M84" i="3"/>
  <c r="L84" i="3"/>
  <c r="K84" i="3"/>
  <c r="J84" i="3"/>
  <c r="I84" i="3"/>
  <c r="H84" i="3"/>
  <c r="G84" i="3"/>
  <c r="F84" i="3"/>
  <c r="E84" i="3"/>
  <c r="D84" i="3"/>
  <c r="C84" i="3"/>
  <c r="B84" i="3"/>
  <c r="A84" i="3"/>
  <c r="BG83" i="3"/>
  <c r="BF83" i="3"/>
  <c r="BF29" i="4" s="1"/>
  <c r="BE83" i="3"/>
  <c r="BE29" i="4" s="1"/>
  <c r="BD83" i="3"/>
  <c r="BC83" i="3"/>
  <c r="BB83" i="3"/>
  <c r="BA83" i="3"/>
  <c r="AZ83" i="3"/>
  <c r="AY83" i="3"/>
  <c r="AX83" i="3"/>
  <c r="AX29" i="4" s="1"/>
  <c r="AW83" i="3"/>
  <c r="AW29" i="4" s="1"/>
  <c r="AV83" i="3"/>
  <c r="AU83" i="3"/>
  <c r="AT83" i="3"/>
  <c r="AS83" i="3"/>
  <c r="AR83" i="3"/>
  <c r="AQ83" i="3"/>
  <c r="AP83" i="3"/>
  <c r="AP29" i="4" s="1"/>
  <c r="AO83" i="3"/>
  <c r="AO29" i="4" s="1"/>
  <c r="AN83" i="3"/>
  <c r="AM83" i="3"/>
  <c r="AL83" i="3"/>
  <c r="AK83" i="3"/>
  <c r="AJ83" i="3"/>
  <c r="AI83" i="3"/>
  <c r="AH83" i="3"/>
  <c r="AH29" i="4" s="1"/>
  <c r="AG83" i="3"/>
  <c r="AG29" i="4" s="1"/>
  <c r="AF83" i="3"/>
  <c r="AE83" i="3"/>
  <c r="AD83" i="3"/>
  <c r="AC83" i="3"/>
  <c r="AB83" i="3"/>
  <c r="AA83" i="3"/>
  <c r="Z83" i="3"/>
  <c r="Z29" i="4" s="1"/>
  <c r="Y83" i="3"/>
  <c r="Y29" i="4" s="1"/>
  <c r="X83" i="3"/>
  <c r="W83" i="3"/>
  <c r="V83" i="3"/>
  <c r="U83" i="3"/>
  <c r="T83" i="3"/>
  <c r="S83" i="3"/>
  <c r="R83" i="3"/>
  <c r="R29" i="4" s="1"/>
  <c r="Q83" i="3"/>
  <c r="Q29" i="4" s="1"/>
  <c r="P83" i="3"/>
  <c r="O83" i="3"/>
  <c r="N83" i="3"/>
  <c r="M83" i="3"/>
  <c r="L83" i="3"/>
  <c r="K83" i="3"/>
  <c r="J83" i="3"/>
  <c r="J29" i="4" s="1"/>
  <c r="I83" i="3"/>
  <c r="I29" i="4" s="1"/>
  <c r="H83" i="3"/>
  <c r="G83" i="3"/>
  <c r="F83" i="3"/>
  <c r="E83" i="3"/>
  <c r="D83" i="3"/>
  <c r="C83" i="3"/>
  <c r="B83" i="3"/>
  <c r="B29" i="4" s="1"/>
  <c r="A83" i="3"/>
  <c r="BG82" i="3"/>
  <c r="BF82" i="3"/>
  <c r="BE82" i="3"/>
  <c r="BD82" i="3"/>
  <c r="BC82" i="3"/>
  <c r="BB82" i="3"/>
  <c r="BA82" i="3"/>
  <c r="AZ82" i="3"/>
  <c r="AY82" i="3"/>
  <c r="AX82" i="3"/>
  <c r="AW82" i="3"/>
  <c r="AV82" i="3"/>
  <c r="AU82" i="3"/>
  <c r="AT82" i="3"/>
  <c r="AS82" i="3"/>
  <c r="AR82" i="3"/>
  <c r="AQ82" i="3"/>
  <c r="AP82" i="3"/>
  <c r="AO82" i="3"/>
  <c r="AN82" i="3"/>
  <c r="AM82" i="3"/>
  <c r="AL82" i="3"/>
  <c r="AK82" i="3"/>
  <c r="AJ82" i="3"/>
  <c r="AI82" i="3"/>
  <c r="AH82" i="3"/>
  <c r="AG82" i="3"/>
  <c r="AF82" i="3"/>
  <c r="AE82" i="3"/>
  <c r="AD82" i="3"/>
  <c r="AC82" i="3"/>
  <c r="AB82" i="3"/>
  <c r="AA82" i="3"/>
  <c r="Z82" i="3"/>
  <c r="Y82" i="3"/>
  <c r="X82" i="3"/>
  <c r="W82" i="3"/>
  <c r="V82" i="3"/>
  <c r="U82" i="3"/>
  <c r="T82" i="3"/>
  <c r="S82" i="3"/>
  <c r="R82" i="3"/>
  <c r="Q82" i="3"/>
  <c r="P82" i="3"/>
  <c r="O82" i="3"/>
  <c r="N82" i="3"/>
  <c r="M82" i="3"/>
  <c r="L82" i="3"/>
  <c r="K82" i="3"/>
  <c r="J82" i="3"/>
  <c r="I82" i="3"/>
  <c r="H82" i="3"/>
  <c r="G82" i="3"/>
  <c r="F82" i="3"/>
  <c r="E82" i="3"/>
  <c r="D82" i="3"/>
  <c r="C82" i="3"/>
  <c r="B82" i="3"/>
  <c r="A82" i="3"/>
  <c r="BG81" i="3"/>
  <c r="BF81" i="3"/>
  <c r="BE81" i="3"/>
  <c r="BD81" i="3"/>
  <c r="BC81" i="3"/>
  <c r="BB81" i="3"/>
  <c r="BA81" i="3"/>
  <c r="AZ81" i="3"/>
  <c r="AY81" i="3"/>
  <c r="AX81" i="3"/>
  <c r="AW81" i="3"/>
  <c r="AV81" i="3"/>
  <c r="AU81" i="3"/>
  <c r="AT81" i="3"/>
  <c r="AS81" i="3"/>
  <c r="AR81" i="3"/>
  <c r="AQ81" i="3"/>
  <c r="AP81" i="3"/>
  <c r="AO81" i="3"/>
  <c r="AN81" i="3"/>
  <c r="AM81" i="3"/>
  <c r="AL81" i="3"/>
  <c r="AK81" i="3"/>
  <c r="AJ81" i="3"/>
  <c r="AI81" i="3"/>
  <c r="AH81" i="3"/>
  <c r="AG81" i="3"/>
  <c r="AF81" i="3"/>
  <c r="AE81" i="3"/>
  <c r="AD81" i="3"/>
  <c r="AC81" i="3"/>
  <c r="AB81" i="3"/>
  <c r="AA81" i="3"/>
  <c r="Z81" i="3"/>
  <c r="Y81" i="3"/>
  <c r="X81" i="3"/>
  <c r="W81" i="3"/>
  <c r="V81" i="3"/>
  <c r="U81" i="3"/>
  <c r="T81" i="3"/>
  <c r="S81" i="3"/>
  <c r="R81" i="3"/>
  <c r="Q81" i="3"/>
  <c r="P81" i="3"/>
  <c r="O81" i="3"/>
  <c r="N81" i="3"/>
  <c r="M81" i="3"/>
  <c r="L81" i="3"/>
  <c r="K81" i="3"/>
  <c r="J81" i="3"/>
  <c r="I81" i="3"/>
  <c r="H81" i="3"/>
  <c r="G81" i="3"/>
  <c r="F81" i="3"/>
  <c r="E81" i="3"/>
  <c r="D81" i="3"/>
  <c r="C81" i="3"/>
  <c r="B81" i="3"/>
  <c r="A81" i="3"/>
  <c r="BG80" i="3"/>
  <c r="BG28" i="4" s="1"/>
  <c r="BF80" i="3"/>
  <c r="BF28" i="4" s="1"/>
  <c r="BE80" i="3"/>
  <c r="BD80" i="3"/>
  <c r="BC80" i="3"/>
  <c r="BB80" i="3"/>
  <c r="BA80" i="3"/>
  <c r="AZ80" i="3"/>
  <c r="AY80" i="3"/>
  <c r="AY28" i="4" s="1"/>
  <c r="AX80" i="3"/>
  <c r="AX28" i="4" s="1"/>
  <c r="AW80" i="3"/>
  <c r="AV80" i="3"/>
  <c r="AU80" i="3"/>
  <c r="AT80" i="3"/>
  <c r="AS80" i="3"/>
  <c r="AR80" i="3"/>
  <c r="AQ80" i="3"/>
  <c r="AQ28" i="4" s="1"/>
  <c r="AP80" i="3"/>
  <c r="AP28" i="4" s="1"/>
  <c r="AO80" i="3"/>
  <c r="AN80" i="3"/>
  <c r="AM80" i="3"/>
  <c r="AL80" i="3"/>
  <c r="AK80" i="3"/>
  <c r="AJ80" i="3"/>
  <c r="AI80" i="3"/>
  <c r="AI28" i="4" s="1"/>
  <c r="AH80" i="3"/>
  <c r="AH28" i="4" s="1"/>
  <c r="AG80" i="3"/>
  <c r="AF80" i="3"/>
  <c r="AE80" i="3"/>
  <c r="AD80" i="3"/>
  <c r="AC80" i="3"/>
  <c r="AB80" i="3"/>
  <c r="AA80" i="3"/>
  <c r="AA28" i="4" s="1"/>
  <c r="Z80" i="3"/>
  <c r="Z28" i="4" s="1"/>
  <c r="Y80" i="3"/>
  <c r="X80" i="3"/>
  <c r="W80" i="3"/>
  <c r="V80" i="3"/>
  <c r="U80" i="3"/>
  <c r="T80" i="3"/>
  <c r="S80" i="3"/>
  <c r="S28" i="4" s="1"/>
  <c r="R80" i="3"/>
  <c r="R28" i="4" s="1"/>
  <c r="Q80" i="3"/>
  <c r="P80" i="3"/>
  <c r="O80" i="3"/>
  <c r="N80" i="3"/>
  <c r="M80" i="3"/>
  <c r="L80" i="3"/>
  <c r="K80" i="3"/>
  <c r="K28" i="4" s="1"/>
  <c r="J80" i="3"/>
  <c r="J28" i="4" s="1"/>
  <c r="I80" i="3"/>
  <c r="H80" i="3"/>
  <c r="G80" i="3"/>
  <c r="F80" i="3"/>
  <c r="E80" i="3"/>
  <c r="D80" i="3"/>
  <c r="C80" i="3"/>
  <c r="C28" i="4" s="1"/>
  <c r="B80" i="3"/>
  <c r="B28" i="4" s="1"/>
  <c r="A80" i="3"/>
  <c r="BG79" i="3"/>
  <c r="BF79" i="3"/>
  <c r="BE79" i="3"/>
  <c r="BD79" i="3"/>
  <c r="BC79" i="3"/>
  <c r="BB79" i="3"/>
  <c r="BA79" i="3"/>
  <c r="AZ79" i="3"/>
  <c r="AY79" i="3"/>
  <c r="AX79" i="3"/>
  <c r="AW79" i="3"/>
  <c r="AV79" i="3"/>
  <c r="AU79" i="3"/>
  <c r="AT79" i="3"/>
  <c r="AS79" i="3"/>
  <c r="AR79" i="3"/>
  <c r="AQ79" i="3"/>
  <c r="AP79" i="3"/>
  <c r="AO79" i="3"/>
  <c r="AN79" i="3"/>
  <c r="AM79" i="3"/>
  <c r="AL79" i="3"/>
  <c r="AK79" i="3"/>
  <c r="AJ79" i="3"/>
  <c r="AI79" i="3"/>
  <c r="AH79" i="3"/>
  <c r="AG79" i="3"/>
  <c r="AF79" i="3"/>
  <c r="AE79" i="3"/>
  <c r="AD79" i="3"/>
  <c r="AC79" i="3"/>
  <c r="AB79" i="3"/>
  <c r="AA79" i="3"/>
  <c r="Z79" i="3"/>
  <c r="Y79" i="3"/>
  <c r="X79" i="3"/>
  <c r="W79" i="3"/>
  <c r="V79" i="3"/>
  <c r="U79" i="3"/>
  <c r="T79" i="3"/>
  <c r="S79" i="3"/>
  <c r="R79" i="3"/>
  <c r="Q79" i="3"/>
  <c r="P79" i="3"/>
  <c r="O79" i="3"/>
  <c r="N79" i="3"/>
  <c r="M79" i="3"/>
  <c r="L79" i="3"/>
  <c r="K79" i="3"/>
  <c r="J79" i="3"/>
  <c r="I79" i="3"/>
  <c r="H79" i="3"/>
  <c r="G79" i="3"/>
  <c r="F79" i="3"/>
  <c r="E79" i="3"/>
  <c r="D79" i="3"/>
  <c r="C79" i="3"/>
  <c r="B79" i="3"/>
  <c r="A79" i="3"/>
  <c r="BG78" i="3"/>
  <c r="BF78" i="3"/>
  <c r="BE78" i="3"/>
  <c r="BD78" i="3"/>
  <c r="BC78" i="3"/>
  <c r="BB78" i="3"/>
  <c r="BA78" i="3"/>
  <c r="AZ78" i="3"/>
  <c r="AY78" i="3"/>
  <c r="AX78" i="3"/>
  <c r="AW78" i="3"/>
  <c r="AV78" i="3"/>
  <c r="AU78" i="3"/>
  <c r="AT78" i="3"/>
  <c r="AS78" i="3"/>
  <c r="AR78" i="3"/>
  <c r="AQ78" i="3"/>
  <c r="AP78" i="3"/>
  <c r="AO78" i="3"/>
  <c r="AN78" i="3"/>
  <c r="AM78" i="3"/>
  <c r="AL78" i="3"/>
  <c r="AK78" i="3"/>
  <c r="AJ78" i="3"/>
  <c r="AI78" i="3"/>
  <c r="AH78" i="3"/>
  <c r="AG78" i="3"/>
  <c r="AF78" i="3"/>
  <c r="AE78" i="3"/>
  <c r="AD78" i="3"/>
  <c r="AC78" i="3"/>
  <c r="AB78" i="3"/>
  <c r="AA78" i="3"/>
  <c r="Z78" i="3"/>
  <c r="Y78" i="3"/>
  <c r="X78" i="3"/>
  <c r="W78" i="3"/>
  <c r="V78" i="3"/>
  <c r="U78" i="3"/>
  <c r="T78" i="3"/>
  <c r="S78" i="3"/>
  <c r="R78" i="3"/>
  <c r="Q78" i="3"/>
  <c r="P78" i="3"/>
  <c r="O78" i="3"/>
  <c r="N78" i="3"/>
  <c r="M78" i="3"/>
  <c r="L78" i="3"/>
  <c r="K78" i="3"/>
  <c r="J78" i="3"/>
  <c r="I78" i="3"/>
  <c r="H78" i="3"/>
  <c r="G78" i="3"/>
  <c r="F78" i="3"/>
  <c r="E78" i="3"/>
  <c r="D78" i="3"/>
  <c r="C78" i="3"/>
  <c r="B78" i="3"/>
  <c r="A78" i="3"/>
  <c r="BG77" i="3"/>
  <c r="BG27" i="4" s="1"/>
  <c r="BF77" i="3"/>
  <c r="BE77" i="3"/>
  <c r="BD77" i="3"/>
  <c r="BC77" i="3"/>
  <c r="BB77" i="3"/>
  <c r="BA77" i="3"/>
  <c r="AZ77" i="3"/>
  <c r="AZ27" i="4" s="1"/>
  <c r="AY77" i="3"/>
  <c r="AY27" i="4" s="1"/>
  <c r="AX77" i="3"/>
  <c r="AW77" i="3"/>
  <c r="AV77" i="3"/>
  <c r="AU77" i="3"/>
  <c r="AT77" i="3"/>
  <c r="AS77" i="3"/>
  <c r="AR77" i="3"/>
  <c r="AR27" i="4" s="1"/>
  <c r="AQ77" i="3"/>
  <c r="AQ27" i="4" s="1"/>
  <c r="AP77" i="3"/>
  <c r="AO77" i="3"/>
  <c r="AN77" i="3"/>
  <c r="AM77" i="3"/>
  <c r="AL77" i="3"/>
  <c r="AK77" i="3"/>
  <c r="AJ77" i="3"/>
  <c r="AJ27" i="4" s="1"/>
  <c r="AI77" i="3"/>
  <c r="AI27" i="4" s="1"/>
  <c r="AH77" i="3"/>
  <c r="AG77" i="3"/>
  <c r="AF77" i="3"/>
  <c r="AE77" i="3"/>
  <c r="AD77" i="3"/>
  <c r="AC77" i="3"/>
  <c r="AB77" i="3"/>
  <c r="AB27" i="4" s="1"/>
  <c r="AA77" i="3"/>
  <c r="AA27" i="4" s="1"/>
  <c r="Z77" i="3"/>
  <c r="Y77" i="3"/>
  <c r="X77" i="3"/>
  <c r="W77" i="3"/>
  <c r="V77" i="3"/>
  <c r="U77" i="3"/>
  <c r="T77" i="3"/>
  <c r="T27" i="4" s="1"/>
  <c r="S77" i="3"/>
  <c r="S27" i="4" s="1"/>
  <c r="R77" i="3"/>
  <c r="Q77" i="3"/>
  <c r="P77" i="3"/>
  <c r="O77" i="3"/>
  <c r="N77" i="3"/>
  <c r="M77" i="3"/>
  <c r="L77" i="3"/>
  <c r="L27" i="4" s="1"/>
  <c r="K77" i="3"/>
  <c r="K27" i="4" s="1"/>
  <c r="J77" i="3"/>
  <c r="I77" i="3"/>
  <c r="H77" i="3"/>
  <c r="G77" i="3"/>
  <c r="F77" i="3"/>
  <c r="E77" i="3"/>
  <c r="D77" i="3"/>
  <c r="D27" i="4" s="1"/>
  <c r="C77" i="3"/>
  <c r="C27" i="4" s="1"/>
  <c r="B77" i="3"/>
  <c r="A77" i="3"/>
  <c r="BG76" i="3"/>
  <c r="BF76" i="3"/>
  <c r="BE76" i="3"/>
  <c r="BD76" i="3"/>
  <c r="BC76" i="3"/>
  <c r="BB76" i="3"/>
  <c r="BA76" i="3"/>
  <c r="AZ76" i="3"/>
  <c r="AY76" i="3"/>
  <c r="AX76" i="3"/>
  <c r="AW76" i="3"/>
  <c r="AV76" i="3"/>
  <c r="AU76" i="3"/>
  <c r="AT76" i="3"/>
  <c r="AS76" i="3"/>
  <c r="AR76" i="3"/>
  <c r="AQ76" i="3"/>
  <c r="AP76" i="3"/>
  <c r="AO76" i="3"/>
  <c r="AN76" i="3"/>
  <c r="AM76" i="3"/>
  <c r="AL76" i="3"/>
  <c r="AK76" i="3"/>
  <c r="AJ76" i="3"/>
  <c r="AI76" i="3"/>
  <c r="AH76" i="3"/>
  <c r="AG76" i="3"/>
  <c r="AF76" i="3"/>
  <c r="AE76" i="3"/>
  <c r="AD76" i="3"/>
  <c r="AC76" i="3"/>
  <c r="AB76" i="3"/>
  <c r="AA76" i="3"/>
  <c r="Z76" i="3"/>
  <c r="Y76" i="3"/>
  <c r="X76" i="3"/>
  <c r="W76" i="3"/>
  <c r="V76" i="3"/>
  <c r="U76" i="3"/>
  <c r="T76" i="3"/>
  <c r="S76" i="3"/>
  <c r="R76" i="3"/>
  <c r="Q76" i="3"/>
  <c r="P76" i="3"/>
  <c r="O76" i="3"/>
  <c r="N76" i="3"/>
  <c r="M76" i="3"/>
  <c r="L76" i="3"/>
  <c r="K76" i="3"/>
  <c r="J76" i="3"/>
  <c r="I76" i="3"/>
  <c r="H76" i="3"/>
  <c r="G76" i="3"/>
  <c r="F76" i="3"/>
  <c r="E76" i="3"/>
  <c r="D76" i="3"/>
  <c r="C76" i="3"/>
  <c r="B76" i="3"/>
  <c r="A76" i="3"/>
  <c r="BG75" i="3"/>
  <c r="BF75" i="3"/>
  <c r="BE75" i="3"/>
  <c r="BD75" i="3"/>
  <c r="BC75" i="3"/>
  <c r="BB75" i="3"/>
  <c r="BA75" i="3"/>
  <c r="AZ75" i="3"/>
  <c r="AY75" i="3"/>
  <c r="AX75" i="3"/>
  <c r="AW75" i="3"/>
  <c r="AV75" i="3"/>
  <c r="AU75" i="3"/>
  <c r="AT75" i="3"/>
  <c r="AS75" i="3"/>
  <c r="AR75" i="3"/>
  <c r="AQ75" i="3"/>
  <c r="AP75" i="3"/>
  <c r="AO75" i="3"/>
  <c r="AN75" i="3"/>
  <c r="AM75" i="3"/>
  <c r="AL75" i="3"/>
  <c r="AK75" i="3"/>
  <c r="AJ75" i="3"/>
  <c r="AI75" i="3"/>
  <c r="AH75" i="3"/>
  <c r="AG75" i="3"/>
  <c r="AF75" i="3"/>
  <c r="AE75" i="3"/>
  <c r="AD75" i="3"/>
  <c r="AC75" i="3"/>
  <c r="AB75" i="3"/>
  <c r="AA75" i="3"/>
  <c r="Z75" i="3"/>
  <c r="Y75" i="3"/>
  <c r="X75" i="3"/>
  <c r="W75" i="3"/>
  <c r="V75" i="3"/>
  <c r="U75" i="3"/>
  <c r="T75" i="3"/>
  <c r="S75" i="3"/>
  <c r="R75" i="3"/>
  <c r="Q75" i="3"/>
  <c r="P75" i="3"/>
  <c r="O75" i="3"/>
  <c r="N75" i="3"/>
  <c r="M75" i="3"/>
  <c r="L75" i="3"/>
  <c r="K75" i="3"/>
  <c r="J75" i="3"/>
  <c r="I75" i="3"/>
  <c r="H75" i="3"/>
  <c r="G75" i="3"/>
  <c r="F75" i="3"/>
  <c r="E75" i="3"/>
  <c r="D75" i="3"/>
  <c r="C75" i="3"/>
  <c r="B75" i="3"/>
  <c r="A75" i="3"/>
  <c r="BG74" i="3"/>
  <c r="BF74" i="3"/>
  <c r="BE74" i="3"/>
  <c r="BD74" i="3"/>
  <c r="BC74" i="3"/>
  <c r="BB74" i="3"/>
  <c r="BA74" i="3"/>
  <c r="BA26" i="4" s="1"/>
  <c r="AZ74" i="3"/>
  <c r="AZ26" i="4" s="1"/>
  <c r="AY74" i="3"/>
  <c r="AX74" i="3"/>
  <c r="AW74" i="3"/>
  <c r="AV74" i="3"/>
  <c r="AU74" i="3"/>
  <c r="AT74" i="3"/>
  <c r="AS74" i="3"/>
  <c r="AS26" i="4" s="1"/>
  <c r="AR74" i="3"/>
  <c r="AR26" i="4" s="1"/>
  <c r="AQ74" i="3"/>
  <c r="AP74" i="3"/>
  <c r="AO74" i="3"/>
  <c r="AN74" i="3"/>
  <c r="AM74" i="3"/>
  <c r="AL74" i="3"/>
  <c r="AK74" i="3"/>
  <c r="AK26" i="4" s="1"/>
  <c r="AJ74" i="3"/>
  <c r="AJ26" i="4" s="1"/>
  <c r="AI74" i="3"/>
  <c r="AH74" i="3"/>
  <c r="AG74" i="3"/>
  <c r="AF74" i="3"/>
  <c r="AE74" i="3"/>
  <c r="AD74" i="3"/>
  <c r="AC74" i="3"/>
  <c r="AC26" i="4" s="1"/>
  <c r="AB74" i="3"/>
  <c r="AB26" i="4" s="1"/>
  <c r="AA74" i="3"/>
  <c r="Z74" i="3"/>
  <c r="Y74" i="3"/>
  <c r="X74" i="3"/>
  <c r="W74" i="3"/>
  <c r="V74" i="3"/>
  <c r="U74" i="3"/>
  <c r="U26" i="4" s="1"/>
  <c r="T74" i="3"/>
  <c r="T26" i="4" s="1"/>
  <c r="S74" i="3"/>
  <c r="R74" i="3"/>
  <c r="Q74" i="3"/>
  <c r="P74" i="3"/>
  <c r="O74" i="3"/>
  <c r="N74" i="3"/>
  <c r="M74" i="3"/>
  <c r="M26" i="4" s="1"/>
  <c r="L74" i="3"/>
  <c r="L26" i="4" s="1"/>
  <c r="K74" i="3"/>
  <c r="J74" i="3"/>
  <c r="I74" i="3"/>
  <c r="H74" i="3"/>
  <c r="G74" i="3"/>
  <c r="F74" i="3"/>
  <c r="E74" i="3"/>
  <c r="E26" i="4" s="1"/>
  <c r="D74" i="3"/>
  <c r="D26" i="4" s="1"/>
  <c r="C74" i="3"/>
  <c r="B74" i="3"/>
  <c r="A74" i="3"/>
  <c r="BG73" i="3"/>
  <c r="BF73" i="3"/>
  <c r="BE73" i="3"/>
  <c r="BD73" i="3"/>
  <c r="BC73" i="3"/>
  <c r="BB73" i="3"/>
  <c r="BA73" i="3"/>
  <c r="AZ73" i="3"/>
  <c r="AY73" i="3"/>
  <c r="AX73" i="3"/>
  <c r="AW73" i="3"/>
  <c r="AV73" i="3"/>
  <c r="AU73" i="3"/>
  <c r="AT73" i="3"/>
  <c r="AS73" i="3"/>
  <c r="AR73" i="3"/>
  <c r="AQ73" i="3"/>
  <c r="AP73" i="3"/>
  <c r="AO73" i="3"/>
  <c r="AN73" i="3"/>
  <c r="AM73" i="3"/>
  <c r="AL73" i="3"/>
  <c r="AK73" i="3"/>
  <c r="AJ73" i="3"/>
  <c r="AI73" i="3"/>
  <c r="AH73" i="3"/>
  <c r="AG73" i="3"/>
  <c r="AF73" i="3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R73" i="3"/>
  <c r="Q73" i="3"/>
  <c r="P73" i="3"/>
  <c r="O73" i="3"/>
  <c r="N73" i="3"/>
  <c r="M73" i="3"/>
  <c r="L73" i="3"/>
  <c r="K73" i="3"/>
  <c r="J73" i="3"/>
  <c r="I73" i="3"/>
  <c r="H73" i="3"/>
  <c r="G73" i="3"/>
  <c r="F73" i="3"/>
  <c r="E73" i="3"/>
  <c r="D73" i="3"/>
  <c r="C73" i="3"/>
  <c r="B73" i="3"/>
  <c r="A73" i="3"/>
  <c r="BG72" i="3"/>
  <c r="BF72" i="3"/>
  <c r="BE72" i="3"/>
  <c r="BD72" i="3"/>
  <c r="BC72" i="3"/>
  <c r="BB72" i="3"/>
  <c r="BA72" i="3"/>
  <c r="AZ72" i="3"/>
  <c r="AY72" i="3"/>
  <c r="AX72" i="3"/>
  <c r="AW72" i="3"/>
  <c r="AV72" i="3"/>
  <c r="AU72" i="3"/>
  <c r="AT72" i="3"/>
  <c r="AS72" i="3"/>
  <c r="AR72" i="3"/>
  <c r="AQ72" i="3"/>
  <c r="AP72" i="3"/>
  <c r="AO72" i="3"/>
  <c r="AN72" i="3"/>
  <c r="AM72" i="3"/>
  <c r="AL72" i="3"/>
  <c r="AK72" i="3"/>
  <c r="AJ72" i="3"/>
  <c r="AI72" i="3"/>
  <c r="AH72" i="3"/>
  <c r="AG72" i="3"/>
  <c r="AF7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P72" i="3"/>
  <c r="O72" i="3"/>
  <c r="N72" i="3"/>
  <c r="M72" i="3"/>
  <c r="L72" i="3"/>
  <c r="K72" i="3"/>
  <c r="J72" i="3"/>
  <c r="I72" i="3"/>
  <c r="H72" i="3"/>
  <c r="G72" i="3"/>
  <c r="F72" i="3"/>
  <c r="E72" i="3"/>
  <c r="D72" i="3"/>
  <c r="C72" i="3"/>
  <c r="B72" i="3"/>
  <c r="A72" i="3"/>
  <c r="BG71" i="3"/>
  <c r="BF71" i="3"/>
  <c r="BE71" i="3"/>
  <c r="BD71" i="3"/>
  <c r="BC71" i="3"/>
  <c r="BB71" i="3"/>
  <c r="BB25" i="4" s="1"/>
  <c r="BA71" i="3"/>
  <c r="BA25" i="4" s="1"/>
  <c r="AZ71" i="3"/>
  <c r="AY71" i="3"/>
  <c r="AX71" i="3"/>
  <c r="AW71" i="3"/>
  <c r="AV71" i="3"/>
  <c r="AU71" i="3"/>
  <c r="AT71" i="3"/>
  <c r="AT25" i="4" s="1"/>
  <c r="AS71" i="3"/>
  <c r="AS25" i="4" s="1"/>
  <c r="AR71" i="3"/>
  <c r="AQ71" i="3"/>
  <c r="AP71" i="3"/>
  <c r="AO71" i="3"/>
  <c r="AN71" i="3"/>
  <c r="AM71" i="3"/>
  <c r="AL71" i="3"/>
  <c r="AL25" i="4" s="1"/>
  <c r="AK71" i="3"/>
  <c r="AK25" i="4" s="1"/>
  <c r="AJ71" i="3"/>
  <c r="AI71" i="3"/>
  <c r="AH71" i="3"/>
  <c r="AG71" i="3"/>
  <c r="AF71" i="3"/>
  <c r="AE71" i="3"/>
  <c r="AD71" i="3"/>
  <c r="AD25" i="4" s="1"/>
  <c r="AC71" i="3"/>
  <c r="AC25" i="4" s="1"/>
  <c r="AB71" i="3"/>
  <c r="AA71" i="3"/>
  <c r="Z71" i="3"/>
  <c r="Y71" i="3"/>
  <c r="X71" i="3"/>
  <c r="W71" i="3"/>
  <c r="V71" i="3"/>
  <c r="V25" i="4" s="1"/>
  <c r="U71" i="3"/>
  <c r="U25" i="4" s="1"/>
  <c r="T71" i="3"/>
  <c r="S71" i="3"/>
  <c r="R71" i="3"/>
  <c r="Q71" i="3"/>
  <c r="P71" i="3"/>
  <c r="O71" i="3"/>
  <c r="N71" i="3"/>
  <c r="N25" i="4" s="1"/>
  <c r="M71" i="3"/>
  <c r="M25" i="4" s="1"/>
  <c r="L71" i="3"/>
  <c r="K71" i="3"/>
  <c r="J71" i="3"/>
  <c r="I71" i="3"/>
  <c r="H71" i="3"/>
  <c r="G71" i="3"/>
  <c r="F71" i="3"/>
  <c r="F25" i="4" s="1"/>
  <c r="E71" i="3"/>
  <c r="E25" i="4" s="1"/>
  <c r="D71" i="3"/>
  <c r="D25" i="4" s="1"/>
  <c r="C71" i="3"/>
  <c r="B71" i="3"/>
  <c r="A71" i="3"/>
  <c r="BG70" i="3"/>
  <c r="BF70" i="3"/>
  <c r="BE70" i="3"/>
  <c r="BD70" i="3"/>
  <c r="BC70" i="3"/>
  <c r="BB70" i="3"/>
  <c r="BA70" i="3"/>
  <c r="AZ70" i="3"/>
  <c r="AY70" i="3"/>
  <c r="AX70" i="3"/>
  <c r="AW70" i="3"/>
  <c r="AV70" i="3"/>
  <c r="AU70" i="3"/>
  <c r="AT70" i="3"/>
  <c r="AS70" i="3"/>
  <c r="AR70" i="3"/>
  <c r="AQ70" i="3"/>
  <c r="AP70" i="3"/>
  <c r="AO70" i="3"/>
  <c r="AN70" i="3"/>
  <c r="AM70" i="3"/>
  <c r="AL70" i="3"/>
  <c r="AK70" i="3"/>
  <c r="AJ70" i="3"/>
  <c r="AI70" i="3"/>
  <c r="AH70" i="3"/>
  <c r="AG70" i="3"/>
  <c r="AF70" i="3"/>
  <c r="AE70" i="3"/>
  <c r="AD70" i="3"/>
  <c r="AC70" i="3"/>
  <c r="AB70" i="3"/>
  <c r="AA70" i="3"/>
  <c r="Z70" i="3"/>
  <c r="Y70" i="3"/>
  <c r="X70" i="3"/>
  <c r="W70" i="3"/>
  <c r="V70" i="3"/>
  <c r="U70" i="3"/>
  <c r="T70" i="3"/>
  <c r="S70" i="3"/>
  <c r="R70" i="3"/>
  <c r="Q70" i="3"/>
  <c r="P70" i="3"/>
  <c r="O70" i="3"/>
  <c r="N70" i="3"/>
  <c r="M70" i="3"/>
  <c r="L70" i="3"/>
  <c r="K70" i="3"/>
  <c r="J70" i="3"/>
  <c r="I70" i="3"/>
  <c r="H70" i="3"/>
  <c r="G70" i="3"/>
  <c r="F70" i="3"/>
  <c r="E70" i="3"/>
  <c r="D70" i="3"/>
  <c r="C70" i="3"/>
  <c r="B70" i="3"/>
  <c r="A70" i="3"/>
  <c r="BG69" i="3"/>
  <c r="BF69" i="3"/>
  <c r="BE69" i="3"/>
  <c r="BD69" i="3"/>
  <c r="BC69" i="3"/>
  <c r="BB69" i="3"/>
  <c r="BA69" i="3"/>
  <c r="AZ69" i="3"/>
  <c r="AY69" i="3"/>
  <c r="AX69" i="3"/>
  <c r="AW69" i="3"/>
  <c r="AV69" i="3"/>
  <c r="AU69" i="3"/>
  <c r="AT69" i="3"/>
  <c r="AS69" i="3"/>
  <c r="AR69" i="3"/>
  <c r="AQ69" i="3"/>
  <c r="AP69" i="3"/>
  <c r="AO69" i="3"/>
  <c r="AN69" i="3"/>
  <c r="AM69" i="3"/>
  <c r="AL69" i="3"/>
  <c r="AK69" i="3"/>
  <c r="AJ69" i="3"/>
  <c r="AI69" i="3"/>
  <c r="AH69" i="3"/>
  <c r="AG69" i="3"/>
  <c r="AF69" i="3"/>
  <c r="AE69" i="3"/>
  <c r="AD69" i="3"/>
  <c r="AC69" i="3"/>
  <c r="AB69" i="3"/>
  <c r="AA69" i="3"/>
  <c r="Z69" i="3"/>
  <c r="Y69" i="3"/>
  <c r="X69" i="3"/>
  <c r="W69" i="3"/>
  <c r="V69" i="3"/>
  <c r="U69" i="3"/>
  <c r="T69" i="3"/>
  <c r="S69" i="3"/>
  <c r="R69" i="3"/>
  <c r="Q69" i="3"/>
  <c r="P69" i="3"/>
  <c r="O69" i="3"/>
  <c r="N69" i="3"/>
  <c r="M69" i="3"/>
  <c r="L69" i="3"/>
  <c r="K69" i="3"/>
  <c r="J69" i="3"/>
  <c r="I69" i="3"/>
  <c r="H69" i="3"/>
  <c r="G69" i="3"/>
  <c r="F69" i="3"/>
  <c r="E69" i="3"/>
  <c r="D69" i="3"/>
  <c r="C69" i="3"/>
  <c r="B69" i="3"/>
  <c r="A69" i="3"/>
  <c r="BG68" i="3"/>
  <c r="BF68" i="3"/>
  <c r="BE68" i="3"/>
  <c r="BD68" i="3"/>
  <c r="BC68" i="3"/>
  <c r="BB68" i="3"/>
  <c r="BA68" i="3"/>
  <c r="AZ68" i="3"/>
  <c r="AY68" i="3"/>
  <c r="AX68" i="3"/>
  <c r="AW68" i="3"/>
  <c r="AV68" i="3"/>
  <c r="AU68" i="3"/>
  <c r="AT68" i="3"/>
  <c r="AS68" i="3"/>
  <c r="AR68" i="3"/>
  <c r="AQ68" i="3"/>
  <c r="AP68" i="3"/>
  <c r="AO68" i="3"/>
  <c r="AN68" i="3"/>
  <c r="AM68" i="3"/>
  <c r="AL68" i="3"/>
  <c r="AK68" i="3"/>
  <c r="AJ68" i="3"/>
  <c r="AI68" i="3"/>
  <c r="AH68" i="3"/>
  <c r="AG68" i="3"/>
  <c r="AF68" i="3"/>
  <c r="AE68" i="3"/>
  <c r="AD68" i="3"/>
  <c r="AC68" i="3"/>
  <c r="AB68" i="3"/>
  <c r="AA68" i="3"/>
  <c r="Z68" i="3"/>
  <c r="Y68" i="3"/>
  <c r="X68" i="3"/>
  <c r="W68" i="3"/>
  <c r="V68" i="3"/>
  <c r="U68" i="3"/>
  <c r="T68" i="3"/>
  <c r="S68" i="3"/>
  <c r="R68" i="3"/>
  <c r="Q68" i="3"/>
  <c r="P68" i="3"/>
  <c r="O68" i="3"/>
  <c r="N68" i="3"/>
  <c r="M68" i="3"/>
  <c r="L68" i="3"/>
  <c r="K68" i="3"/>
  <c r="J68" i="3"/>
  <c r="I68" i="3"/>
  <c r="H68" i="3"/>
  <c r="G68" i="3"/>
  <c r="F68" i="3"/>
  <c r="E68" i="3"/>
  <c r="D68" i="3"/>
  <c r="C68" i="3"/>
  <c r="B68" i="3"/>
  <c r="A68" i="3"/>
  <c r="BG67" i="3"/>
  <c r="BF67" i="3"/>
  <c r="BE67" i="3"/>
  <c r="BD67" i="3"/>
  <c r="BC67" i="3"/>
  <c r="BB67" i="3"/>
  <c r="BA67" i="3"/>
  <c r="AZ67" i="3"/>
  <c r="AY67" i="3"/>
  <c r="AX67" i="3"/>
  <c r="AW67" i="3"/>
  <c r="AV67" i="3"/>
  <c r="AU67" i="3"/>
  <c r="AT67" i="3"/>
  <c r="AS67" i="3"/>
  <c r="AR67" i="3"/>
  <c r="AQ67" i="3"/>
  <c r="AP67" i="3"/>
  <c r="AO67" i="3"/>
  <c r="AN67" i="3"/>
  <c r="AM67" i="3"/>
  <c r="AL67" i="3"/>
  <c r="AK67" i="3"/>
  <c r="AJ67" i="3"/>
  <c r="AI67" i="3"/>
  <c r="AH67" i="3"/>
  <c r="AG67" i="3"/>
  <c r="AF67" i="3"/>
  <c r="AE67" i="3"/>
  <c r="AD67" i="3"/>
  <c r="AC67" i="3"/>
  <c r="AB67" i="3"/>
  <c r="AA67" i="3"/>
  <c r="Z67" i="3"/>
  <c r="Y67" i="3"/>
  <c r="X67" i="3"/>
  <c r="W67" i="3"/>
  <c r="V67" i="3"/>
  <c r="U67" i="3"/>
  <c r="T67" i="3"/>
  <c r="S67" i="3"/>
  <c r="R67" i="3"/>
  <c r="Q67" i="3"/>
  <c r="P67" i="3"/>
  <c r="O67" i="3"/>
  <c r="N67" i="3"/>
  <c r="M67" i="3"/>
  <c r="L67" i="3"/>
  <c r="K67" i="3"/>
  <c r="J67" i="3"/>
  <c r="I67" i="3"/>
  <c r="H67" i="3"/>
  <c r="G67" i="3"/>
  <c r="F67" i="3"/>
  <c r="E67" i="3"/>
  <c r="D67" i="3"/>
  <c r="C67" i="3"/>
  <c r="B67" i="3"/>
  <c r="A67" i="3"/>
  <c r="BG66" i="3"/>
  <c r="BF66" i="3"/>
  <c r="BE66" i="3"/>
  <c r="BD66" i="3"/>
  <c r="BC66" i="3"/>
  <c r="BB66" i="3"/>
  <c r="BA66" i="3"/>
  <c r="AZ66" i="3"/>
  <c r="AY66" i="3"/>
  <c r="AX66" i="3"/>
  <c r="AW66" i="3"/>
  <c r="AV66" i="3"/>
  <c r="AU66" i="3"/>
  <c r="AT66" i="3"/>
  <c r="AS66" i="3"/>
  <c r="AR66" i="3"/>
  <c r="AQ66" i="3"/>
  <c r="AP66" i="3"/>
  <c r="AO66" i="3"/>
  <c r="AN66" i="3"/>
  <c r="AM66" i="3"/>
  <c r="AL66" i="3"/>
  <c r="AK66" i="3"/>
  <c r="AJ66" i="3"/>
  <c r="AI66" i="3"/>
  <c r="AH66" i="3"/>
  <c r="AG66" i="3"/>
  <c r="AF66" i="3"/>
  <c r="AE66" i="3"/>
  <c r="AD66" i="3"/>
  <c r="AC66" i="3"/>
  <c r="AB66" i="3"/>
  <c r="AA66" i="3"/>
  <c r="Z66" i="3"/>
  <c r="Y66" i="3"/>
  <c r="X66" i="3"/>
  <c r="W66" i="3"/>
  <c r="V66" i="3"/>
  <c r="U66" i="3"/>
  <c r="T66" i="3"/>
  <c r="S66" i="3"/>
  <c r="R66" i="3"/>
  <c r="Q66" i="3"/>
  <c r="P66" i="3"/>
  <c r="O66" i="3"/>
  <c r="N66" i="3"/>
  <c r="M66" i="3"/>
  <c r="L66" i="3"/>
  <c r="K66" i="3"/>
  <c r="J66" i="3"/>
  <c r="I66" i="3"/>
  <c r="H66" i="3"/>
  <c r="G66" i="3"/>
  <c r="F66" i="3"/>
  <c r="E66" i="3"/>
  <c r="D66" i="3"/>
  <c r="C66" i="3"/>
  <c r="B66" i="3"/>
  <c r="A66" i="3"/>
  <c r="BG65" i="3"/>
  <c r="BF65" i="3"/>
  <c r="BE65" i="3"/>
  <c r="BD65" i="3"/>
  <c r="BD23" i="4" s="1"/>
  <c r="BC65" i="3"/>
  <c r="BC23" i="4" s="1"/>
  <c r="BB65" i="3"/>
  <c r="BA65" i="3"/>
  <c r="AZ65" i="3"/>
  <c r="AY65" i="3"/>
  <c r="AX65" i="3"/>
  <c r="AW65" i="3"/>
  <c r="AV65" i="3"/>
  <c r="AV23" i="4" s="1"/>
  <c r="AU65" i="3"/>
  <c r="AU23" i="4" s="1"/>
  <c r="AT65" i="3"/>
  <c r="AS65" i="3"/>
  <c r="AR65" i="3"/>
  <c r="AQ65" i="3"/>
  <c r="AP65" i="3"/>
  <c r="AO65" i="3"/>
  <c r="AN65" i="3"/>
  <c r="AN23" i="4" s="1"/>
  <c r="AM65" i="3"/>
  <c r="AM23" i="4" s="1"/>
  <c r="AL65" i="3"/>
  <c r="AK65" i="3"/>
  <c r="AJ65" i="3"/>
  <c r="AI65" i="3"/>
  <c r="AH65" i="3"/>
  <c r="AG65" i="3"/>
  <c r="AF65" i="3"/>
  <c r="AF23" i="4" s="1"/>
  <c r="AE65" i="3"/>
  <c r="AE23" i="4" s="1"/>
  <c r="AD65" i="3"/>
  <c r="AC65" i="3"/>
  <c r="AB65" i="3"/>
  <c r="AA65" i="3"/>
  <c r="Z65" i="3"/>
  <c r="Y65" i="3"/>
  <c r="X65" i="3"/>
  <c r="X23" i="4" s="1"/>
  <c r="W65" i="3"/>
  <c r="W23" i="4" s="1"/>
  <c r="V65" i="3"/>
  <c r="U65" i="3"/>
  <c r="T65" i="3"/>
  <c r="S65" i="3"/>
  <c r="R65" i="3"/>
  <c r="Q65" i="3"/>
  <c r="P65" i="3"/>
  <c r="P23" i="4" s="1"/>
  <c r="O65" i="3"/>
  <c r="O23" i="4" s="1"/>
  <c r="N65" i="3"/>
  <c r="M65" i="3"/>
  <c r="L65" i="3"/>
  <c r="K65" i="3"/>
  <c r="J65" i="3"/>
  <c r="I65" i="3"/>
  <c r="H65" i="3"/>
  <c r="H23" i="4" s="1"/>
  <c r="G65" i="3"/>
  <c r="G23" i="4" s="1"/>
  <c r="F65" i="3"/>
  <c r="E65" i="3"/>
  <c r="D65" i="3"/>
  <c r="C65" i="3"/>
  <c r="B65" i="3"/>
  <c r="A65" i="3"/>
  <c r="BG64" i="3"/>
  <c r="BF64" i="3"/>
  <c r="BE64" i="3"/>
  <c r="BD64" i="3"/>
  <c r="BC64" i="3"/>
  <c r="BB64" i="3"/>
  <c r="BA64" i="3"/>
  <c r="AZ64" i="3"/>
  <c r="AY64" i="3"/>
  <c r="AX64" i="3"/>
  <c r="AW64" i="3"/>
  <c r="AV64" i="3"/>
  <c r="AU64" i="3"/>
  <c r="AT64" i="3"/>
  <c r="AS64" i="3"/>
  <c r="AR64" i="3"/>
  <c r="AQ64" i="3"/>
  <c r="AP64" i="3"/>
  <c r="AO64" i="3"/>
  <c r="AN64" i="3"/>
  <c r="AM64" i="3"/>
  <c r="AL64" i="3"/>
  <c r="AK64" i="3"/>
  <c r="AJ64" i="3"/>
  <c r="AI64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I64" i="3"/>
  <c r="H64" i="3"/>
  <c r="G64" i="3"/>
  <c r="F64" i="3"/>
  <c r="E64" i="3"/>
  <c r="D64" i="3"/>
  <c r="C64" i="3"/>
  <c r="B64" i="3"/>
  <c r="A64" i="3"/>
  <c r="BG63" i="3"/>
  <c r="BF63" i="3"/>
  <c r="BE63" i="3"/>
  <c r="BD63" i="3"/>
  <c r="BC63" i="3"/>
  <c r="BB63" i="3"/>
  <c r="BA63" i="3"/>
  <c r="AZ63" i="3"/>
  <c r="AY63" i="3"/>
  <c r="AX63" i="3"/>
  <c r="AW63" i="3"/>
  <c r="AV63" i="3"/>
  <c r="AU63" i="3"/>
  <c r="AT63" i="3"/>
  <c r="AS63" i="3"/>
  <c r="AR63" i="3"/>
  <c r="AQ63" i="3"/>
  <c r="AP63" i="3"/>
  <c r="AO63" i="3"/>
  <c r="AN63" i="3"/>
  <c r="AM63" i="3"/>
  <c r="AL63" i="3"/>
  <c r="AK63" i="3"/>
  <c r="AJ63" i="3"/>
  <c r="AI63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I63" i="3"/>
  <c r="H63" i="3"/>
  <c r="G63" i="3"/>
  <c r="F63" i="3"/>
  <c r="E63" i="3"/>
  <c r="D63" i="3"/>
  <c r="C63" i="3"/>
  <c r="B63" i="3"/>
  <c r="A63" i="3"/>
  <c r="BG62" i="3"/>
  <c r="BF62" i="3"/>
  <c r="BE62" i="3"/>
  <c r="BE22" i="4" s="1"/>
  <c r="BD62" i="3"/>
  <c r="BD22" i="4" s="1"/>
  <c r="BC62" i="3"/>
  <c r="BB62" i="3"/>
  <c r="BA62" i="3"/>
  <c r="AZ62" i="3"/>
  <c r="AY62" i="3"/>
  <c r="AX62" i="3"/>
  <c r="AW62" i="3"/>
  <c r="AW22" i="4" s="1"/>
  <c r="AV62" i="3"/>
  <c r="AV22" i="4" s="1"/>
  <c r="AU62" i="3"/>
  <c r="AT62" i="3"/>
  <c r="AS62" i="3"/>
  <c r="AR62" i="3"/>
  <c r="AQ62" i="3"/>
  <c r="AP62" i="3"/>
  <c r="AO62" i="3"/>
  <c r="AO22" i="4" s="1"/>
  <c r="AN62" i="3"/>
  <c r="AN22" i="4" s="1"/>
  <c r="AM62" i="3"/>
  <c r="AL62" i="3"/>
  <c r="AK62" i="3"/>
  <c r="AJ62" i="3"/>
  <c r="AI62" i="3"/>
  <c r="AH62" i="3"/>
  <c r="AG62" i="3"/>
  <c r="AG22" i="4" s="1"/>
  <c r="AF62" i="3"/>
  <c r="AF22" i="4" s="1"/>
  <c r="AE62" i="3"/>
  <c r="AD62" i="3"/>
  <c r="AC62" i="3"/>
  <c r="AB62" i="3"/>
  <c r="AA62" i="3"/>
  <c r="Z62" i="3"/>
  <c r="Y62" i="3"/>
  <c r="Y22" i="4" s="1"/>
  <c r="X62" i="3"/>
  <c r="X22" i="4" s="1"/>
  <c r="W62" i="3"/>
  <c r="V62" i="3"/>
  <c r="U62" i="3"/>
  <c r="T62" i="3"/>
  <c r="S62" i="3"/>
  <c r="R62" i="3"/>
  <c r="Q62" i="3"/>
  <c r="Q22" i="4" s="1"/>
  <c r="P62" i="3"/>
  <c r="P22" i="4" s="1"/>
  <c r="O62" i="3"/>
  <c r="N62" i="3"/>
  <c r="M62" i="3"/>
  <c r="L62" i="3"/>
  <c r="K62" i="3"/>
  <c r="J62" i="3"/>
  <c r="I62" i="3"/>
  <c r="I22" i="4" s="1"/>
  <c r="H62" i="3"/>
  <c r="H22" i="4" s="1"/>
  <c r="G62" i="3"/>
  <c r="F62" i="3"/>
  <c r="E62" i="3"/>
  <c r="D62" i="3"/>
  <c r="C62" i="3"/>
  <c r="B62" i="3"/>
  <c r="A62" i="3"/>
  <c r="BG61" i="3"/>
  <c r="BF61" i="3"/>
  <c r="BE61" i="3"/>
  <c r="BD61" i="3"/>
  <c r="BC61" i="3"/>
  <c r="BB61" i="3"/>
  <c r="BA61" i="3"/>
  <c r="AZ61" i="3"/>
  <c r="AY61" i="3"/>
  <c r="AX61" i="3"/>
  <c r="AW61" i="3"/>
  <c r="AV61" i="3"/>
  <c r="AU61" i="3"/>
  <c r="AT61" i="3"/>
  <c r="AS61" i="3"/>
  <c r="AR61" i="3"/>
  <c r="AQ61" i="3"/>
  <c r="AP61" i="3"/>
  <c r="AO61" i="3"/>
  <c r="AN61" i="3"/>
  <c r="AM61" i="3"/>
  <c r="AL61" i="3"/>
  <c r="AK61" i="3"/>
  <c r="AJ61" i="3"/>
  <c r="AI61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I61" i="3"/>
  <c r="H61" i="3"/>
  <c r="G61" i="3"/>
  <c r="F61" i="3"/>
  <c r="E61" i="3"/>
  <c r="D61" i="3"/>
  <c r="C61" i="3"/>
  <c r="B61" i="3"/>
  <c r="A61" i="3"/>
  <c r="BG60" i="3"/>
  <c r="BF60" i="3"/>
  <c r="BE60" i="3"/>
  <c r="BD60" i="3"/>
  <c r="BC60" i="3"/>
  <c r="BB60" i="3"/>
  <c r="BA60" i="3"/>
  <c r="AZ60" i="3"/>
  <c r="AY60" i="3"/>
  <c r="AX60" i="3"/>
  <c r="AW60" i="3"/>
  <c r="AV60" i="3"/>
  <c r="AU60" i="3"/>
  <c r="AT60" i="3"/>
  <c r="AS60" i="3"/>
  <c r="AR60" i="3"/>
  <c r="AQ60" i="3"/>
  <c r="AP60" i="3"/>
  <c r="AO60" i="3"/>
  <c r="AN60" i="3"/>
  <c r="AM60" i="3"/>
  <c r="AL60" i="3"/>
  <c r="AK60" i="3"/>
  <c r="AJ60" i="3"/>
  <c r="AI60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I60" i="3"/>
  <c r="H60" i="3"/>
  <c r="G60" i="3"/>
  <c r="F60" i="3"/>
  <c r="E60" i="3"/>
  <c r="D60" i="3"/>
  <c r="C60" i="3"/>
  <c r="B60" i="3"/>
  <c r="A60" i="3"/>
  <c r="BG59" i="3"/>
  <c r="BF59" i="3"/>
  <c r="BF21" i="4" s="1"/>
  <c r="BE59" i="3"/>
  <c r="BE21" i="4" s="1"/>
  <c r="BD59" i="3"/>
  <c r="BC59" i="3"/>
  <c r="BB59" i="3"/>
  <c r="BA59" i="3"/>
  <c r="AZ59" i="3"/>
  <c r="AY59" i="3"/>
  <c r="AX59" i="3"/>
  <c r="AX21" i="4" s="1"/>
  <c r="AW59" i="3"/>
  <c r="AW21" i="4" s="1"/>
  <c r="AV59" i="3"/>
  <c r="AU59" i="3"/>
  <c r="AT59" i="3"/>
  <c r="AS59" i="3"/>
  <c r="AR59" i="3"/>
  <c r="AQ59" i="3"/>
  <c r="AP59" i="3"/>
  <c r="AP21" i="4" s="1"/>
  <c r="AO59" i="3"/>
  <c r="AO21" i="4" s="1"/>
  <c r="AN59" i="3"/>
  <c r="AM59" i="3"/>
  <c r="AL59" i="3"/>
  <c r="AK59" i="3"/>
  <c r="AJ59" i="3"/>
  <c r="AI59" i="3"/>
  <c r="AH59" i="3"/>
  <c r="AH21" i="4" s="1"/>
  <c r="AG59" i="3"/>
  <c r="AG21" i="4" s="1"/>
  <c r="AF59" i="3"/>
  <c r="AE59" i="3"/>
  <c r="AD59" i="3"/>
  <c r="AC59" i="3"/>
  <c r="AB59" i="3"/>
  <c r="AA59" i="3"/>
  <c r="Z59" i="3"/>
  <c r="Z21" i="4" s="1"/>
  <c r="Y59" i="3"/>
  <c r="Y21" i="4" s="1"/>
  <c r="X59" i="3"/>
  <c r="W59" i="3"/>
  <c r="V59" i="3"/>
  <c r="U59" i="3"/>
  <c r="T59" i="3"/>
  <c r="S59" i="3"/>
  <c r="R59" i="3"/>
  <c r="R21" i="4" s="1"/>
  <c r="Q59" i="3"/>
  <c r="Q21" i="4" s="1"/>
  <c r="P59" i="3"/>
  <c r="O59" i="3"/>
  <c r="N59" i="3"/>
  <c r="M59" i="3"/>
  <c r="L59" i="3"/>
  <c r="K59" i="3"/>
  <c r="J59" i="3"/>
  <c r="J21" i="4" s="1"/>
  <c r="I59" i="3"/>
  <c r="I21" i="4" s="1"/>
  <c r="H59" i="3"/>
  <c r="G59" i="3"/>
  <c r="F59" i="3"/>
  <c r="E59" i="3"/>
  <c r="D59" i="3"/>
  <c r="C59" i="3"/>
  <c r="B59" i="3"/>
  <c r="B21" i="4" s="1"/>
  <c r="A59" i="3"/>
  <c r="BG58" i="3"/>
  <c r="BF58" i="3"/>
  <c r="BE58" i="3"/>
  <c r="BD58" i="3"/>
  <c r="BC58" i="3"/>
  <c r="BB58" i="3"/>
  <c r="BA58" i="3"/>
  <c r="AZ58" i="3"/>
  <c r="AY58" i="3"/>
  <c r="AX58" i="3"/>
  <c r="AW58" i="3"/>
  <c r="AV58" i="3"/>
  <c r="AU58" i="3"/>
  <c r="AT58" i="3"/>
  <c r="AS58" i="3"/>
  <c r="AR58" i="3"/>
  <c r="AQ58" i="3"/>
  <c r="AP58" i="3"/>
  <c r="AO58" i="3"/>
  <c r="AN58" i="3"/>
  <c r="AM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I58" i="3"/>
  <c r="H58" i="3"/>
  <c r="G58" i="3"/>
  <c r="F58" i="3"/>
  <c r="E58" i="3"/>
  <c r="D58" i="3"/>
  <c r="C58" i="3"/>
  <c r="B58" i="3"/>
  <c r="A58" i="3"/>
  <c r="BG57" i="3"/>
  <c r="BF57" i="3"/>
  <c r="BE57" i="3"/>
  <c r="BD57" i="3"/>
  <c r="BC57" i="3"/>
  <c r="BB57" i="3"/>
  <c r="BA57" i="3"/>
  <c r="AZ57" i="3"/>
  <c r="AY57" i="3"/>
  <c r="AX57" i="3"/>
  <c r="AW57" i="3"/>
  <c r="AV57" i="3"/>
  <c r="AU57" i="3"/>
  <c r="AT57" i="3"/>
  <c r="AS57" i="3"/>
  <c r="AR57" i="3"/>
  <c r="AQ57" i="3"/>
  <c r="AP57" i="3"/>
  <c r="AO57" i="3"/>
  <c r="AN57" i="3"/>
  <c r="AM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I57" i="3"/>
  <c r="H57" i="3"/>
  <c r="G57" i="3"/>
  <c r="F57" i="3"/>
  <c r="E57" i="3"/>
  <c r="D57" i="3"/>
  <c r="C57" i="3"/>
  <c r="B57" i="3"/>
  <c r="A57" i="3"/>
  <c r="BG56" i="3"/>
  <c r="BG20" i="4" s="1"/>
  <c r="BF56" i="3"/>
  <c r="BF20" i="4" s="1"/>
  <c r="BE56" i="3"/>
  <c r="BD56" i="3"/>
  <c r="BC56" i="3"/>
  <c r="BB56" i="3"/>
  <c r="BA56" i="3"/>
  <c r="AZ56" i="3"/>
  <c r="AY56" i="3"/>
  <c r="AY20" i="4" s="1"/>
  <c r="AX56" i="3"/>
  <c r="AX20" i="4" s="1"/>
  <c r="AW56" i="3"/>
  <c r="AV56" i="3"/>
  <c r="AU56" i="3"/>
  <c r="AT56" i="3"/>
  <c r="AS56" i="3"/>
  <c r="AR56" i="3"/>
  <c r="AQ56" i="3"/>
  <c r="AQ20" i="4" s="1"/>
  <c r="AP56" i="3"/>
  <c r="AP20" i="4" s="1"/>
  <c r="AO56" i="3"/>
  <c r="AN56" i="3"/>
  <c r="AM56" i="3"/>
  <c r="AL56" i="3"/>
  <c r="AK56" i="3"/>
  <c r="AJ56" i="3"/>
  <c r="AI56" i="3"/>
  <c r="AI20" i="4" s="1"/>
  <c r="AH56" i="3"/>
  <c r="AH20" i="4" s="1"/>
  <c r="AG56" i="3"/>
  <c r="AF56" i="3"/>
  <c r="AE56" i="3"/>
  <c r="AD56" i="3"/>
  <c r="AC56" i="3"/>
  <c r="AB56" i="3"/>
  <c r="AA56" i="3"/>
  <c r="AA20" i="4" s="1"/>
  <c r="Z56" i="3"/>
  <c r="Z20" i="4" s="1"/>
  <c r="Y56" i="3"/>
  <c r="X56" i="3"/>
  <c r="W56" i="3"/>
  <c r="V56" i="3"/>
  <c r="U56" i="3"/>
  <c r="T56" i="3"/>
  <c r="S56" i="3"/>
  <c r="S20" i="4" s="1"/>
  <c r="R56" i="3"/>
  <c r="R20" i="4" s="1"/>
  <c r="Q56" i="3"/>
  <c r="P56" i="3"/>
  <c r="O56" i="3"/>
  <c r="N56" i="3"/>
  <c r="M56" i="3"/>
  <c r="L56" i="3"/>
  <c r="K56" i="3"/>
  <c r="K20" i="4" s="1"/>
  <c r="J56" i="3"/>
  <c r="J20" i="4" s="1"/>
  <c r="I56" i="3"/>
  <c r="H56" i="3"/>
  <c r="G56" i="3"/>
  <c r="F56" i="3"/>
  <c r="E56" i="3"/>
  <c r="D56" i="3"/>
  <c r="C56" i="3"/>
  <c r="C20" i="4" s="1"/>
  <c r="B56" i="3"/>
  <c r="B20" i="4" s="1"/>
  <c r="A56" i="3"/>
  <c r="BG55" i="3"/>
  <c r="BF55" i="3"/>
  <c r="BE55" i="3"/>
  <c r="BD55" i="3"/>
  <c r="BC55" i="3"/>
  <c r="BB55" i="3"/>
  <c r="BA55" i="3"/>
  <c r="AZ55" i="3"/>
  <c r="AY55" i="3"/>
  <c r="AX55" i="3"/>
  <c r="AW55" i="3"/>
  <c r="AV55" i="3"/>
  <c r="AU55" i="3"/>
  <c r="AT55" i="3"/>
  <c r="AS55" i="3"/>
  <c r="AR55" i="3"/>
  <c r="AQ55" i="3"/>
  <c r="AP55" i="3"/>
  <c r="AO55" i="3"/>
  <c r="AN55" i="3"/>
  <c r="AM55" i="3"/>
  <c r="AL55" i="3"/>
  <c r="AK55" i="3"/>
  <c r="AJ55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I55" i="3"/>
  <c r="H55" i="3"/>
  <c r="G55" i="3"/>
  <c r="F55" i="3"/>
  <c r="E55" i="3"/>
  <c r="D55" i="3"/>
  <c r="C55" i="3"/>
  <c r="B55" i="3"/>
  <c r="A55" i="3"/>
  <c r="BG54" i="3"/>
  <c r="BF54" i="3"/>
  <c r="BE54" i="3"/>
  <c r="BD54" i="3"/>
  <c r="BC54" i="3"/>
  <c r="BB54" i="3"/>
  <c r="BA54" i="3"/>
  <c r="AZ54" i="3"/>
  <c r="AY54" i="3"/>
  <c r="AX54" i="3"/>
  <c r="AW54" i="3"/>
  <c r="AV54" i="3"/>
  <c r="AU54" i="3"/>
  <c r="AT54" i="3"/>
  <c r="AS54" i="3"/>
  <c r="AR54" i="3"/>
  <c r="AQ54" i="3"/>
  <c r="AP54" i="3"/>
  <c r="AO54" i="3"/>
  <c r="AN54" i="3"/>
  <c r="AM54" i="3"/>
  <c r="AL54" i="3"/>
  <c r="AK54" i="3"/>
  <c r="AJ54" i="3"/>
  <c r="AI54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B54" i="3"/>
  <c r="A54" i="3"/>
  <c r="BG53" i="3"/>
  <c r="BG19" i="4" s="1"/>
  <c r="BF53" i="3"/>
  <c r="BE53" i="3"/>
  <c r="BD53" i="3"/>
  <c r="BC53" i="3"/>
  <c r="BB53" i="3"/>
  <c r="BA53" i="3"/>
  <c r="AZ53" i="3"/>
  <c r="AZ19" i="4" s="1"/>
  <c r="AY53" i="3"/>
  <c r="AY19" i="4" s="1"/>
  <c r="AX53" i="3"/>
  <c r="AW53" i="3"/>
  <c r="AV53" i="3"/>
  <c r="AU53" i="3"/>
  <c r="AT53" i="3"/>
  <c r="AS53" i="3"/>
  <c r="AR53" i="3"/>
  <c r="AR19" i="4" s="1"/>
  <c r="AQ53" i="3"/>
  <c r="AQ19" i="4" s="1"/>
  <c r="AP53" i="3"/>
  <c r="AO53" i="3"/>
  <c r="AN53" i="3"/>
  <c r="AM53" i="3"/>
  <c r="AL53" i="3"/>
  <c r="AK53" i="3"/>
  <c r="AJ53" i="3"/>
  <c r="AJ19" i="4" s="1"/>
  <c r="AI53" i="3"/>
  <c r="AI19" i="4" s="1"/>
  <c r="AH53" i="3"/>
  <c r="AG53" i="3"/>
  <c r="AF53" i="3"/>
  <c r="AE53" i="3"/>
  <c r="AD53" i="3"/>
  <c r="AC53" i="3"/>
  <c r="AB53" i="3"/>
  <c r="AB19" i="4" s="1"/>
  <c r="AA53" i="3"/>
  <c r="AA19" i="4" s="1"/>
  <c r="Z53" i="3"/>
  <c r="Y53" i="3"/>
  <c r="X53" i="3"/>
  <c r="W53" i="3"/>
  <c r="V53" i="3"/>
  <c r="U53" i="3"/>
  <c r="T53" i="3"/>
  <c r="T19" i="4" s="1"/>
  <c r="S53" i="3"/>
  <c r="S19" i="4" s="1"/>
  <c r="R53" i="3"/>
  <c r="Q53" i="3"/>
  <c r="P53" i="3"/>
  <c r="O53" i="3"/>
  <c r="N53" i="3"/>
  <c r="M53" i="3"/>
  <c r="L53" i="3"/>
  <c r="L19" i="4" s="1"/>
  <c r="K53" i="3"/>
  <c r="K19" i="4" s="1"/>
  <c r="J53" i="3"/>
  <c r="I53" i="3"/>
  <c r="H53" i="3"/>
  <c r="G53" i="3"/>
  <c r="F53" i="3"/>
  <c r="E53" i="3"/>
  <c r="D53" i="3"/>
  <c r="D19" i="4" s="1"/>
  <c r="C53" i="3"/>
  <c r="C19" i="4" s="1"/>
  <c r="B53" i="3"/>
  <c r="A53" i="3"/>
  <c r="BG52" i="3"/>
  <c r="BF52" i="3"/>
  <c r="BE52" i="3"/>
  <c r="BD52" i="3"/>
  <c r="BC52" i="3"/>
  <c r="BB52" i="3"/>
  <c r="BA52" i="3"/>
  <c r="AZ52" i="3"/>
  <c r="AY52" i="3"/>
  <c r="AX52" i="3"/>
  <c r="AW52" i="3"/>
  <c r="AV52" i="3"/>
  <c r="AU52" i="3"/>
  <c r="AT52" i="3"/>
  <c r="AS52" i="3"/>
  <c r="AR52" i="3"/>
  <c r="AQ52" i="3"/>
  <c r="AP52" i="3"/>
  <c r="AO52" i="3"/>
  <c r="AN52" i="3"/>
  <c r="AM52" i="3"/>
  <c r="AL52" i="3"/>
  <c r="AK52" i="3"/>
  <c r="AJ52" i="3"/>
  <c r="AI52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B52" i="3"/>
  <c r="A52" i="3"/>
  <c r="BG51" i="3"/>
  <c r="BF51" i="3"/>
  <c r="BE51" i="3"/>
  <c r="BD51" i="3"/>
  <c r="BC51" i="3"/>
  <c r="BB51" i="3"/>
  <c r="BA51" i="3"/>
  <c r="AZ51" i="3"/>
  <c r="AY51" i="3"/>
  <c r="AX51" i="3"/>
  <c r="AW51" i="3"/>
  <c r="AV51" i="3"/>
  <c r="AU51" i="3"/>
  <c r="AT51" i="3"/>
  <c r="AS51" i="3"/>
  <c r="AR51" i="3"/>
  <c r="AQ51" i="3"/>
  <c r="AP51" i="3"/>
  <c r="AO51" i="3"/>
  <c r="AN51" i="3"/>
  <c r="AM51" i="3"/>
  <c r="AL51" i="3"/>
  <c r="AK51" i="3"/>
  <c r="AJ51" i="3"/>
  <c r="AI51" i="3"/>
  <c r="AH51" i="3"/>
  <c r="AG51" i="3"/>
  <c r="AG18" i="4" s="1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B51" i="3"/>
  <c r="A51" i="3"/>
  <c r="BG50" i="3"/>
  <c r="BF50" i="3"/>
  <c r="BE50" i="3"/>
  <c r="BD50" i="3"/>
  <c r="BC50" i="3"/>
  <c r="BB50" i="3"/>
  <c r="BA50" i="3"/>
  <c r="BA18" i="4" s="1"/>
  <c r="AZ50" i="3"/>
  <c r="AZ18" i="4" s="1"/>
  <c r="AY50" i="3"/>
  <c r="AX50" i="3"/>
  <c r="AW50" i="3"/>
  <c r="AV50" i="3"/>
  <c r="AU50" i="3"/>
  <c r="AT50" i="3"/>
  <c r="AS50" i="3"/>
  <c r="AS18" i="4" s="1"/>
  <c r="AR50" i="3"/>
  <c r="AR18" i="4" s="1"/>
  <c r="AQ50" i="3"/>
  <c r="AP50" i="3"/>
  <c r="AO50" i="3"/>
  <c r="AN50" i="3"/>
  <c r="AM50" i="3"/>
  <c r="AL50" i="3"/>
  <c r="AK50" i="3"/>
  <c r="AK18" i="4" s="1"/>
  <c r="AJ50" i="3"/>
  <c r="AJ18" i="4" s="1"/>
  <c r="AI50" i="3"/>
  <c r="AH50" i="3"/>
  <c r="AG50" i="3"/>
  <c r="AF50" i="3"/>
  <c r="AE50" i="3"/>
  <c r="AD50" i="3"/>
  <c r="AC50" i="3"/>
  <c r="AC18" i="4" s="1"/>
  <c r="AB50" i="3"/>
  <c r="AB18" i="4" s="1"/>
  <c r="AA50" i="3"/>
  <c r="Z50" i="3"/>
  <c r="Y50" i="3"/>
  <c r="X50" i="3"/>
  <c r="W50" i="3"/>
  <c r="V50" i="3"/>
  <c r="U50" i="3"/>
  <c r="U18" i="4" s="1"/>
  <c r="T50" i="3"/>
  <c r="T18" i="4" s="1"/>
  <c r="S50" i="3"/>
  <c r="R50" i="3"/>
  <c r="Q50" i="3"/>
  <c r="P50" i="3"/>
  <c r="O50" i="3"/>
  <c r="N50" i="3"/>
  <c r="M50" i="3"/>
  <c r="M18" i="4" s="1"/>
  <c r="L50" i="3"/>
  <c r="L18" i="4" s="1"/>
  <c r="K50" i="3"/>
  <c r="J50" i="3"/>
  <c r="I50" i="3"/>
  <c r="H50" i="3"/>
  <c r="G50" i="3"/>
  <c r="F50" i="3"/>
  <c r="E50" i="3"/>
  <c r="E18" i="4" s="1"/>
  <c r="D50" i="3"/>
  <c r="D18" i="4" s="1"/>
  <c r="C50" i="3"/>
  <c r="B50" i="3"/>
  <c r="A50" i="3"/>
  <c r="BG49" i="3"/>
  <c r="BF49" i="3"/>
  <c r="BE49" i="3"/>
  <c r="BD49" i="3"/>
  <c r="BC49" i="3"/>
  <c r="BB49" i="3"/>
  <c r="BA49" i="3"/>
  <c r="AZ49" i="3"/>
  <c r="AY49" i="3"/>
  <c r="AX49" i="3"/>
  <c r="AW49" i="3"/>
  <c r="AV49" i="3"/>
  <c r="AU49" i="3"/>
  <c r="AT49" i="3"/>
  <c r="AS49" i="3"/>
  <c r="AR49" i="3"/>
  <c r="AQ49" i="3"/>
  <c r="AP49" i="3"/>
  <c r="AO49" i="3"/>
  <c r="AN49" i="3"/>
  <c r="AM49" i="3"/>
  <c r="AL49" i="3"/>
  <c r="AK49" i="3"/>
  <c r="AJ49" i="3"/>
  <c r="AI49" i="3"/>
  <c r="AH49" i="3"/>
  <c r="AG49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J49" i="3"/>
  <c r="I49" i="3"/>
  <c r="H49" i="3"/>
  <c r="G49" i="3"/>
  <c r="F49" i="3"/>
  <c r="E49" i="3"/>
  <c r="D49" i="3"/>
  <c r="C49" i="3"/>
  <c r="B49" i="3"/>
  <c r="A49" i="3"/>
  <c r="BG48" i="3"/>
  <c r="BF48" i="3"/>
  <c r="BE48" i="3"/>
  <c r="BD48" i="3"/>
  <c r="BC48" i="3"/>
  <c r="BB48" i="3"/>
  <c r="BA48" i="3"/>
  <c r="AZ48" i="3"/>
  <c r="AY48" i="3"/>
  <c r="AX48" i="3"/>
  <c r="AW48" i="3"/>
  <c r="AV48" i="3"/>
  <c r="AU48" i="3"/>
  <c r="AT48" i="3"/>
  <c r="AS48" i="3"/>
  <c r="AR48" i="3"/>
  <c r="AQ48" i="3"/>
  <c r="AP48" i="3"/>
  <c r="AO48" i="3"/>
  <c r="AN48" i="3"/>
  <c r="AM48" i="3"/>
  <c r="AL48" i="3"/>
  <c r="AK48" i="3"/>
  <c r="AJ48" i="3"/>
  <c r="AI48" i="3"/>
  <c r="AH48" i="3"/>
  <c r="AG48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R48" i="3"/>
  <c r="Q48" i="3"/>
  <c r="P48" i="3"/>
  <c r="O48" i="3"/>
  <c r="N48" i="3"/>
  <c r="M48" i="3"/>
  <c r="L48" i="3"/>
  <c r="K48" i="3"/>
  <c r="J48" i="3"/>
  <c r="I48" i="3"/>
  <c r="H48" i="3"/>
  <c r="G48" i="3"/>
  <c r="F48" i="3"/>
  <c r="E48" i="3"/>
  <c r="D48" i="3"/>
  <c r="C48" i="3"/>
  <c r="B48" i="3"/>
  <c r="A48" i="3"/>
  <c r="BG47" i="3"/>
  <c r="BF47" i="3"/>
  <c r="BE47" i="3"/>
  <c r="BD47" i="3"/>
  <c r="BC47" i="3"/>
  <c r="BB47" i="3"/>
  <c r="BB17" i="4" s="1"/>
  <c r="BA47" i="3"/>
  <c r="BA17" i="4" s="1"/>
  <c r="AZ47" i="3"/>
  <c r="AY47" i="3"/>
  <c r="AX47" i="3"/>
  <c r="AW47" i="3"/>
  <c r="AV47" i="3"/>
  <c r="AU47" i="3"/>
  <c r="AT47" i="3"/>
  <c r="AT17" i="4" s="1"/>
  <c r="AS47" i="3"/>
  <c r="AS17" i="4" s="1"/>
  <c r="AR47" i="3"/>
  <c r="AQ47" i="3"/>
  <c r="AP47" i="3"/>
  <c r="AO47" i="3"/>
  <c r="AN47" i="3"/>
  <c r="AM47" i="3"/>
  <c r="AL47" i="3"/>
  <c r="AL17" i="4" s="1"/>
  <c r="AK47" i="3"/>
  <c r="AK17" i="4" s="1"/>
  <c r="AJ47" i="3"/>
  <c r="AI47" i="3"/>
  <c r="AH47" i="3"/>
  <c r="AG47" i="3"/>
  <c r="AF47" i="3"/>
  <c r="AE47" i="3"/>
  <c r="AD47" i="3"/>
  <c r="AD17" i="4" s="1"/>
  <c r="AC47" i="3"/>
  <c r="AC17" i="4" s="1"/>
  <c r="AB47" i="3"/>
  <c r="AA47" i="3"/>
  <c r="Z47" i="3"/>
  <c r="Y47" i="3"/>
  <c r="X47" i="3"/>
  <c r="W47" i="3"/>
  <c r="V47" i="3"/>
  <c r="V17" i="4" s="1"/>
  <c r="U47" i="3"/>
  <c r="U17" i="4" s="1"/>
  <c r="T47" i="3"/>
  <c r="S47" i="3"/>
  <c r="R47" i="3"/>
  <c r="Q47" i="3"/>
  <c r="P47" i="3"/>
  <c r="O47" i="3"/>
  <c r="N47" i="3"/>
  <c r="N17" i="4" s="1"/>
  <c r="M47" i="3"/>
  <c r="M17" i="4" s="1"/>
  <c r="L47" i="3"/>
  <c r="K47" i="3"/>
  <c r="J47" i="3"/>
  <c r="I47" i="3"/>
  <c r="H47" i="3"/>
  <c r="G47" i="3"/>
  <c r="F47" i="3"/>
  <c r="F17" i="4" s="1"/>
  <c r="E47" i="3"/>
  <c r="E17" i="4" s="1"/>
  <c r="D47" i="3"/>
  <c r="C47" i="3"/>
  <c r="B47" i="3"/>
  <c r="A47" i="3"/>
  <c r="BG46" i="3"/>
  <c r="BF46" i="3"/>
  <c r="BE46" i="3"/>
  <c r="BD46" i="3"/>
  <c r="BC46" i="3"/>
  <c r="BB46" i="3"/>
  <c r="BA46" i="3"/>
  <c r="AZ46" i="3"/>
  <c r="AY46" i="3"/>
  <c r="AX46" i="3"/>
  <c r="AW46" i="3"/>
  <c r="AV46" i="3"/>
  <c r="AU46" i="3"/>
  <c r="AT46" i="3"/>
  <c r="AS46" i="3"/>
  <c r="AR46" i="3"/>
  <c r="AQ46" i="3"/>
  <c r="AP46" i="3"/>
  <c r="AO46" i="3"/>
  <c r="AN46" i="3"/>
  <c r="AM46" i="3"/>
  <c r="AL46" i="3"/>
  <c r="AK46" i="3"/>
  <c r="AJ46" i="3"/>
  <c r="AI46" i="3"/>
  <c r="AH46" i="3"/>
  <c r="AG46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B46" i="3"/>
  <c r="A46" i="3"/>
  <c r="BG45" i="3"/>
  <c r="BF45" i="3"/>
  <c r="BE45" i="3"/>
  <c r="BD45" i="3"/>
  <c r="BC45" i="3"/>
  <c r="BB45" i="3"/>
  <c r="BA45" i="3"/>
  <c r="AZ45" i="3"/>
  <c r="AY45" i="3"/>
  <c r="AX45" i="3"/>
  <c r="AW45" i="3"/>
  <c r="AV45" i="3"/>
  <c r="AU45" i="3"/>
  <c r="AT45" i="3"/>
  <c r="AS45" i="3"/>
  <c r="AR45" i="3"/>
  <c r="AQ45" i="3"/>
  <c r="AP45" i="3"/>
  <c r="AO45" i="3"/>
  <c r="AN45" i="3"/>
  <c r="AM45" i="3"/>
  <c r="AL45" i="3"/>
  <c r="AK45" i="3"/>
  <c r="AJ45" i="3"/>
  <c r="AI45" i="3"/>
  <c r="AH45" i="3"/>
  <c r="AG45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B45" i="3"/>
  <c r="A45" i="3"/>
  <c r="BG44" i="3"/>
  <c r="BF44" i="3"/>
  <c r="BE44" i="3"/>
  <c r="BD44" i="3"/>
  <c r="BC44" i="3"/>
  <c r="BC16" i="4" s="1"/>
  <c r="BB44" i="3"/>
  <c r="BB16" i="4" s="1"/>
  <c r="BA44" i="3"/>
  <c r="AZ44" i="3"/>
  <c r="AY44" i="3"/>
  <c r="AX44" i="3"/>
  <c r="AW44" i="3"/>
  <c r="AV44" i="3"/>
  <c r="AU44" i="3"/>
  <c r="AU16" i="4" s="1"/>
  <c r="AT44" i="3"/>
  <c r="AT16" i="4" s="1"/>
  <c r="AS44" i="3"/>
  <c r="AR44" i="3"/>
  <c r="AQ44" i="3"/>
  <c r="AP44" i="3"/>
  <c r="AO44" i="3"/>
  <c r="AN44" i="3"/>
  <c r="AM44" i="3"/>
  <c r="AM16" i="4" s="1"/>
  <c r="AL44" i="3"/>
  <c r="AL16" i="4" s="1"/>
  <c r="AK44" i="3"/>
  <c r="AJ44" i="3"/>
  <c r="AI44" i="3"/>
  <c r="AH44" i="3"/>
  <c r="AG44" i="3"/>
  <c r="AF44" i="3"/>
  <c r="AE44" i="3"/>
  <c r="AE16" i="4" s="1"/>
  <c r="AD44" i="3"/>
  <c r="AD16" i="4" s="1"/>
  <c r="AC44" i="3"/>
  <c r="AB44" i="3"/>
  <c r="AA44" i="3"/>
  <c r="Z44" i="3"/>
  <c r="Y44" i="3"/>
  <c r="X44" i="3"/>
  <c r="W44" i="3"/>
  <c r="W16" i="4" s="1"/>
  <c r="V44" i="3"/>
  <c r="V16" i="4" s="1"/>
  <c r="U44" i="3"/>
  <c r="T44" i="3"/>
  <c r="S44" i="3"/>
  <c r="R44" i="3"/>
  <c r="Q44" i="3"/>
  <c r="P44" i="3"/>
  <c r="O44" i="3"/>
  <c r="O16" i="4" s="1"/>
  <c r="N44" i="3"/>
  <c r="N16" i="4" s="1"/>
  <c r="M44" i="3"/>
  <c r="L44" i="3"/>
  <c r="K44" i="3"/>
  <c r="J44" i="3"/>
  <c r="I44" i="3"/>
  <c r="H44" i="3"/>
  <c r="G44" i="3"/>
  <c r="G16" i="4" s="1"/>
  <c r="F44" i="3"/>
  <c r="F16" i="4" s="1"/>
  <c r="E44" i="3"/>
  <c r="D44" i="3"/>
  <c r="C44" i="3"/>
  <c r="B44" i="3"/>
  <c r="A44" i="3"/>
  <c r="BG43" i="3"/>
  <c r="BF43" i="3"/>
  <c r="BE43" i="3"/>
  <c r="BD43" i="3"/>
  <c r="BC43" i="3"/>
  <c r="BB43" i="3"/>
  <c r="BA43" i="3"/>
  <c r="AZ43" i="3"/>
  <c r="AY43" i="3"/>
  <c r="AX43" i="3"/>
  <c r="AW43" i="3"/>
  <c r="AV43" i="3"/>
  <c r="AU43" i="3"/>
  <c r="AT43" i="3"/>
  <c r="AS43" i="3"/>
  <c r="AR43" i="3"/>
  <c r="AQ43" i="3"/>
  <c r="AP43" i="3"/>
  <c r="AO43" i="3"/>
  <c r="AN43" i="3"/>
  <c r="AM43" i="3"/>
  <c r="AL43" i="3"/>
  <c r="AK43" i="3"/>
  <c r="AJ43" i="3"/>
  <c r="AI43" i="3"/>
  <c r="AH43" i="3"/>
  <c r="AG43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P43" i="3"/>
  <c r="O43" i="3"/>
  <c r="N43" i="3"/>
  <c r="M43" i="3"/>
  <c r="L43" i="3"/>
  <c r="K43" i="3"/>
  <c r="J43" i="3"/>
  <c r="I43" i="3"/>
  <c r="H43" i="3"/>
  <c r="G43" i="3"/>
  <c r="F43" i="3"/>
  <c r="E43" i="3"/>
  <c r="D43" i="3"/>
  <c r="C43" i="3"/>
  <c r="B43" i="3"/>
  <c r="A43" i="3"/>
  <c r="BG42" i="3"/>
  <c r="BF42" i="3"/>
  <c r="BE42" i="3"/>
  <c r="BD42" i="3"/>
  <c r="BC42" i="3"/>
  <c r="BB42" i="3"/>
  <c r="BA42" i="3"/>
  <c r="AZ42" i="3"/>
  <c r="AY42" i="3"/>
  <c r="AX42" i="3"/>
  <c r="AW42" i="3"/>
  <c r="AV42" i="3"/>
  <c r="AU42" i="3"/>
  <c r="AT42" i="3"/>
  <c r="AS42" i="3"/>
  <c r="AR42" i="3"/>
  <c r="AQ42" i="3"/>
  <c r="AP42" i="3"/>
  <c r="AO42" i="3"/>
  <c r="AN42" i="3"/>
  <c r="AM42" i="3"/>
  <c r="AL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42" i="3"/>
  <c r="B42" i="3"/>
  <c r="A42" i="3"/>
  <c r="BG41" i="3"/>
  <c r="BF41" i="3"/>
  <c r="BE41" i="3"/>
  <c r="BD41" i="3"/>
  <c r="BD15" i="4" s="1"/>
  <c r="BC41" i="3"/>
  <c r="BC15" i="4" s="1"/>
  <c r="BB41" i="3"/>
  <c r="BA41" i="3"/>
  <c r="AZ41" i="3"/>
  <c r="AY41" i="3"/>
  <c r="AX41" i="3"/>
  <c r="AW41" i="3"/>
  <c r="AV41" i="3"/>
  <c r="AV15" i="4" s="1"/>
  <c r="AU41" i="3"/>
  <c r="AU15" i="4" s="1"/>
  <c r="AT41" i="3"/>
  <c r="AS41" i="3"/>
  <c r="AR41" i="3"/>
  <c r="AQ41" i="3"/>
  <c r="AP41" i="3"/>
  <c r="AO41" i="3"/>
  <c r="AN41" i="3"/>
  <c r="AN15" i="4" s="1"/>
  <c r="AM41" i="3"/>
  <c r="AM15" i="4" s="1"/>
  <c r="AL41" i="3"/>
  <c r="AK41" i="3"/>
  <c r="AJ41" i="3"/>
  <c r="AI41" i="3"/>
  <c r="AH41" i="3"/>
  <c r="AG41" i="3"/>
  <c r="AF41" i="3"/>
  <c r="AF15" i="4" s="1"/>
  <c r="AE41" i="3"/>
  <c r="AE15" i="4" s="1"/>
  <c r="AD41" i="3"/>
  <c r="AC41" i="3"/>
  <c r="AB41" i="3"/>
  <c r="AA41" i="3"/>
  <c r="Z41" i="3"/>
  <c r="Y41" i="3"/>
  <c r="X41" i="3"/>
  <c r="X15" i="4" s="1"/>
  <c r="W41" i="3"/>
  <c r="W15" i="4" s="1"/>
  <c r="V41" i="3"/>
  <c r="U41" i="3"/>
  <c r="T41" i="3"/>
  <c r="S41" i="3"/>
  <c r="R41" i="3"/>
  <c r="Q41" i="3"/>
  <c r="P41" i="3"/>
  <c r="P15" i="4" s="1"/>
  <c r="O41" i="3"/>
  <c r="O15" i="4" s="1"/>
  <c r="N41" i="3"/>
  <c r="M41" i="3"/>
  <c r="L41" i="3"/>
  <c r="K41" i="3"/>
  <c r="J41" i="3"/>
  <c r="I41" i="3"/>
  <c r="H41" i="3"/>
  <c r="H15" i="4" s="1"/>
  <c r="G41" i="3"/>
  <c r="G15" i="4" s="1"/>
  <c r="F41" i="3"/>
  <c r="E41" i="3"/>
  <c r="D41" i="3"/>
  <c r="C41" i="3"/>
  <c r="B41" i="3"/>
  <c r="A41" i="3"/>
  <c r="BG40" i="3"/>
  <c r="BF40" i="3"/>
  <c r="BE40" i="3"/>
  <c r="BD40" i="3"/>
  <c r="BC40" i="3"/>
  <c r="BB40" i="3"/>
  <c r="BA40" i="3"/>
  <c r="AZ40" i="3"/>
  <c r="AY40" i="3"/>
  <c r="AX40" i="3"/>
  <c r="AW40" i="3"/>
  <c r="AV40" i="3"/>
  <c r="AU40" i="3"/>
  <c r="AT40" i="3"/>
  <c r="AS40" i="3"/>
  <c r="AR40" i="3"/>
  <c r="AQ40" i="3"/>
  <c r="AP40" i="3"/>
  <c r="AO40" i="3"/>
  <c r="AN40" i="3"/>
  <c r="AM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40" i="3"/>
  <c r="B40" i="3"/>
  <c r="A40" i="3"/>
  <c r="BG39" i="3"/>
  <c r="BF39" i="3"/>
  <c r="BE39" i="3"/>
  <c r="BD39" i="3"/>
  <c r="BC39" i="3"/>
  <c r="BB39" i="3"/>
  <c r="BB14" i="4" s="1"/>
  <c r="BA39" i="3"/>
  <c r="AZ39" i="3"/>
  <c r="AY39" i="3"/>
  <c r="AX39" i="3"/>
  <c r="AW39" i="3"/>
  <c r="AV39" i="3"/>
  <c r="AU39" i="3"/>
  <c r="AT39" i="3"/>
  <c r="AS39" i="3"/>
  <c r="AR39" i="3"/>
  <c r="AQ39" i="3"/>
  <c r="AP39" i="3"/>
  <c r="AO39" i="3"/>
  <c r="AN39" i="3"/>
  <c r="AM39" i="3"/>
  <c r="AL39" i="3"/>
  <c r="AK39" i="3"/>
  <c r="AJ39" i="3"/>
  <c r="AI39" i="3"/>
  <c r="AH39" i="3"/>
  <c r="AG39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B39" i="3"/>
  <c r="A39" i="3"/>
  <c r="BG38" i="3"/>
  <c r="BF38" i="3"/>
  <c r="BE38" i="3"/>
  <c r="BE14" i="4" s="1"/>
  <c r="BD38" i="3"/>
  <c r="BD14" i="4" s="1"/>
  <c r="BC38" i="3"/>
  <c r="BB38" i="3"/>
  <c r="BA38" i="3"/>
  <c r="AZ38" i="3"/>
  <c r="AY38" i="3"/>
  <c r="AX38" i="3"/>
  <c r="AW38" i="3"/>
  <c r="AW14" i="4" s="1"/>
  <c r="AV38" i="3"/>
  <c r="AV14" i="4" s="1"/>
  <c r="AU38" i="3"/>
  <c r="AT38" i="3"/>
  <c r="AS38" i="3"/>
  <c r="AR38" i="3"/>
  <c r="AQ38" i="3"/>
  <c r="AP38" i="3"/>
  <c r="AO38" i="3"/>
  <c r="AO14" i="4" s="1"/>
  <c r="AN38" i="3"/>
  <c r="AN14" i="4" s="1"/>
  <c r="AM38" i="3"/>
  <c r="AL38" i="3"/>
  <c r="AK38" i="3"/>
  <c r="AJ38" i="3"/>
  <c r="AI38" i="3"/>
  <c r="AH38" i="3"/>
  <c r="AG38" i="3"/>
  <c r="AG14" i="4" s="1"/>
  <c r="AF38" i="3"/>
  <c r="AF14" i="4" s="1"/>
  <c r="AE38" i="3"/>
  <c r="AD38" i="3"/>
  <c r="AC38" i="3"/>
  <c r="AB38" i="3"/>
  <c r="AA38" i="3"/>
  <c r="Z38" i="3"/>
  <c r="Y38" i="3"/>
  <c r="Y14" i="4" s="1"/>
  <c r="X38" i="3"/>
  <c r="X14" i="4" s="1"/>
  <c r="W38" i="3"/>
  <c r="V38" i="3"/>
  <c r="U38" i="3"/>
  <c r="T38" i="3"/>
  <c r="S38" i="3"/>
  <c r="R38" i="3"/>
  <c r="Q38" i="3"/>
  <c r="Q14" i="4" s="1"/>
  <c r="P38" i="3"/>
  <c r="P14" i="4" s="1"/>
  <c r="O38" i="3"/>
  <c r="N38" i="3"/>
  <c r="M38" i="3"/>
  <c r="L38" i="3"/>
  <c r="K38" i="3"/>
  <c r="J38" i="3"/>
  <c r="I38" i="3"/>
  <c r="I14" i="4" s="1"/>
  <c r="H38" i="3"/>
  <c r="H14" i="4" s="1"/>
  <c r="G38" i="3"/>
  <c r="F38" i="3"/>
  <c r="E38" i="3"/>
  <c r="D38" i="3"/>
  <c r="C38" i="3"/>
  <c r="B38" i="3"/>
  <c r="A38" i="3"/>
  <c r="BG37" i="3"/>
  <c r="BF37" i="3"/>
  <c r="BE37" i="3"/>
  <c r="BD37" i="3"/>
  <c r="BC37" i="3"/>
  <c r="BB37" i="3"/>
  <c r="BA37" i="3"/>
  <c r="AZ37" i="3"/>
  <c r="AY37" i="3"/>
  <c r="AX37" i="3"/>
  <c r="AW37" i="3"/>
  <c r="AV37" i="3"/>
  <c r="AU37" i="3"/>
  <c r="AT37" i="3"/>
  <c r="AS37" i="3"/>
  <c r="AR37" i="3"/>
  <c r="AQ37" i="3"/>
  <c r="AP37" i="3"/>
  <c r="AO37" i="3"/>
  <c r="AN37" i="3"/>
  <c r="AM37" i="3"/>
  <c r="AL37" i="3"/>
  <c r="AK37" i="3"/>
  <c r="AJ37" i="3"/>
  <c r="AI37" i="3"/>
  <c r="AH37" i="3"/>
  <c r="AG37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37" i="3"/>
  <c r="B37" i="3"/>
  <c r="A37" i="3"/>
  <c r="BG36" i="3"/>
  <c r="BF36" i="3"/>
  <c r="BE36" i="3"/>
  <c r="BD36" i="3"/>
  <c r="BC36" i="3"/>
  <c r="BB36" i="3"/>
  <c r="BA36" i="3"/>
  <c r="AZ36" i="3"/>
  <c r="AY36" i="3"/>
  <c r="AX36" i="3"/>
  <c r="AW36" i="3"/>
  <c r="AV36" i="3"/>
  <c r="AU36" i="3"/>
  <c r="AU13" i="4" s="1"/>
  <c r="AT36" i="3"/>
  <c r="AS36" i="3"/>
  <c r="AR36" i="3"/>
  <c r="AQ36" i="3"/>
  <c r="AP36" i="3"/>
  <c r="AO36" i="3"/>
  <c r="AN36" i="3"/>
  <c r="AM36" i="3"/>
  <c r="AL36" i="3"/>
  <c r="AK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36" i="3"/>
  <c r="B36" i="3"/>
  <c r="A36" i="3"/>
  <c r="BG35" i="3"/>
  <c r="BF35" i="3"/>
  <c r="BF13" i="4" s="1"/>
  <c r="BE35" i="3"/>
  <c r="BE13" i="4" s="1"/>
  <c r="BD35" i="3"/>
  <c r="BC35" i="3"/>
  <c r="BB35" i="3"/>
  <c r="BA35" i="3"/>
  <c r="AZ35" i="3"/>
  <c r="AY35" i="3"/>
  <c r="AX35" i="3"/>
  <c r="AX13" i="4" s="1"/>
  <c r="AW35" i="3"/>
  <c r="AW13" i="4" s="1"/>
  <c r="AV35" i="3"/>
  <c r="AU35" i="3"/>
  <c r="AT35" i="3"/>
  <c r="AS35" i="3"/>
  <c r="AR35" i="3"/>
  <c r="AQ35" i="3"/>
  <c r="AP35" i="3"/>
  <c r="AP13" i="4" s="1"/>
  <c r="AO35" i="3"/>
  <c r="AO13" i="4" s="1"/>
  <c r="AN35" i="3"/>
  <c r="AM35" i="3"/>
  <c r="AL35" i="3"/>
  <c r="AK35" i="3"/>
  <c r="AJ35" i="3"/>
  <c r="AI35" i="3"/>
  <c r="AH35" i="3"/>
  <c r="AH13" i="4" s="1"/>
  <c r="AG35" i="3"/>
  <c r="AG13" i="4" s="1"/>
  <c r="AF35" i="3"/>
  <c r="AE35" i="3"/>
  <c r="AD35" i="3"/>
  <c r="AC35" i="3"/>
  <c r="AB35" i="3"/>
  <c r="AA35" i="3"/>
  <c r="Z35" i="3"/>
  <c r="Z13" i="4" s="1"/>
  <c r="Y35" i="3"/>
  <c r="Y13" i="4" s="1"/>
  <c r="X35" i="3"/>
  <c r="W35" i="3"/>
  <c r="V35" i="3"/>
  <c r="U35" i="3"/>
  <c r="T35" i="3"/>
  <c r="S35" i="3"/>
  <c r="R35" i="3"/>
  <c r="R13" i="4" s="1"/>
  <c r="Q35" i="3"/>
  <c r="Q13" i="4" s="1"/>
  <c r="P35" i="3"/>
  <c r="O35" i="3"/>
  <c r="N35" i="3"/>
  <c r="M35" i="3"/>
  <c r="L35" i="3"/>
  <c r="K35" i="3"/>
  <c r="J35" i="3"/>
  <c r="J13" i="4" s="1"/>
  <c r="I35" i="3"/>
  <c r="I13" i="4" s="1"/>
  <c r="H35" i="3"/>
  <c r="G35" i="3"/>
  <c r="F35" i="3"/>
  <c r="E35" i="3"/>
  <c r="D35" i="3"/>
  <c r="C35" i="3"/>
  <c r="B35" i="3"/>
  <c r="B13" i="4" s="1"/>
  <c r="A35" i="3"/>
  <c r="BG34" i="3"/>
  <c r="BF34" i="3"/>
  <c r="BE34" i="3"/>
  <c r="BD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D34" i="3"/>
  <c r="C34" i="3"/>
  <c r="B34" i="3"/>
  <c r="A34" i="3"/>
  <c r="BG33" i="3"/>
  <c r="BF33" i="3"/>
  <c r="BE33" i="3"/>
  <c r="BD33" i="3"/>
  <c r="BC33" i="3"/>
  <c r="BB33" i="3"/>
  <c r="BA33" i="3"/>
  <c r="AZ33" i="3"/>
  <c r="AY33" i="3"/>
  <c r="AX33" i="3"/>
  <c r="AW33" i="3"/>
  <c r="AV33" i="3"/>
  <c r="AU33" i="3"/>
  <c r="AT33" i="3"/>
  <c r="AS33" i="3"/>
  <c r="AR33" i="3"/>
  <c r="AQ33" i="3"/>
  <c r="AP33" i="3"/>
  <c r="AO33" i="3"/>
  <c r="AN33" i="3"/>
  <c r="AM33" i="3"/>
  <c r="AL33" i="3"/>
  <c r="AK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B33" i="3"/>
  <c r="A33" i="3"/>
  <c r="BG32" i="3"/>
  <c r="BG12" i="4" s="1"/>
  <c r="BF32" i="3"/>
  <c r="BF12" i="4" s="1"/>
  <c r="BE32" i="3"/>
  <c r="BD32" i="3"/>
  <c r="BC32" i="3"/>
  <c r="BB32" i="3"/>
  <c r="BA32" i="3"/>
  <c r="AZ32" i="3"/>
  <c r="AY32" i="3"/>
  <c r="AY12" i="4" s="1"/>
  <c r="AX32" i="3"/>
  <c r="AX12" i="4" s="1"/>
  <c r="AW32" i="3"/>
  <c r="AV32" i="3"/>
  <c r="AU32" i="3"/>
  <c r="AT32" i="3"/>
  <c r="AS32" i="3"/>
  <c r="AR32" i="3"/>
  <c r="AQ32" i="3"/>
  <c r="AQ12" i="4" s="1"/>
  <c r="AP32" i="3"/>
  <c r="AP12" i="4" s="1"/>
  <c r="AO32" i="3"/>
  <c r="AN32" i="3"/>
  <c r="AM32" i="3"/>
  <c r="AL32" i="3"/>
  <c r="AK32" i="3"/>
  <c r="AJ32" i="3"/>
  <c r="AI32" i="3"/>
  <c r="AI12" i="4" s="1"/>
  <c r="AH32" i="3"/>
  <c r="AH12" i="4" s="1"/>
  <c r="AG32" i="3"/>
  <c r="AF32" i="3"/>
  <c r="AE32" i="3"/>
  <c r="AD32" i="3"/>
  <c r="AC32" i="3"/>
  <c r="AB32" i="3"/>
  <c r="AA32" i="3"/>
  <c r="AA12" i="4" s="1"/>
  <c r="Z32" i="3"/>
  <c r="Z12" i="4" s="1"/>
  <c r="Y32" i="3"/>
  <c r="X32" i="3"/>
  <c r="W32" i="3"/>
  <c r="V32" i="3"/>
  <c r="U32" i="3"/>
  <c r="T32" i="3"/>
  <c r="S32" i="3"/>
  <c r="S12" i="4" s="1"/>
  <c r="R32" i="3"/>
  <c r="R12" i="4" s="1"/>
  <c r="Q32" i="3"/>
  <c r="P32" i="3"/>
  <c r="O32" i="3"/>
  <c r="N32" i="3"/>
  <c r="M32" i="3"/>
  <c r="L32" i="3"/>
  <c r="K32" i="3"/>
  <c r="K12" i="4" s="1"/>
  <c r="J32" i="3"/>
  <c r="J12" i="4" s="1"/>
  <c r="I32" i="3"/>
  <c r="H32" i="3"/>
  <c r="G32" i="3"/>
  <c r="F32" i="3"/>
  <c r="E32" i="3"/>
  <c r="D32" i="3"/>
  <c r="C32" i="3"/>
  <c r="C12" i="4" s="1"/>
  <c r="B32" i="3"/>
  <c r="B12" i="4" s="1"/>
  <c r="A32" i="3"/>
  <c r="BG31" i="3"/>
  <c r="BF31" i="3"/>
  <c r="BE31" i="3"/>
  <c r="BD31" i="3"/>
  <c r="BC31" i="3"/>
  <c r="BB31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31" i="3"/>
  <c r="B31" i="3"/>
  <c r="A31" i="3"/>
  <c r="BG30" i="3"/>
  <c r="BF30" i="3"/>
  <c r="BE30" i="3"/>
  <c r="BD30" i="3"/>
  <c r="BC30" i="3"/>
  <c r="BB30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G30" i="3"/>
  <c r="F30" i="3"/>
  <c r="E30" i="3"/>
  <c r="D30" i="3"/>
  <c r="C30" i="3"/>
  <c r="B30" i="3"/>
  <c r="A30" i="3"/>
  <c r="BG29" i="3"/>
  <c r="BG11" i="4" s="1"/>
  <c r="BF29" i="3"/>
  <c r="BE29" i="3"/>
  <c r="BD29" i="3"/>
  <c r="BC29" i="3"/>
  <c r="BB29" i="3"/>
  <c r="BA29" i="3"/>
  <c r="AZ29" i="3"/>
  <c r="AZ11" i="4" s="1"/>
  <c r="AY29" i="3"/>
  <c r="AY11" i="4" s="1"/>
  <c r="AX29" i="3"/>
  <c r="AW29" i="3"/>
  <c r="AV29" i="3"/>
  <c r="AU29" i="3"/>
  <c r="AT29" i="3"/>
  <c r="AS29" i="3"/>
  <c r="AR29" i="3"/>
  <c r="AR11" i="4" s="1"/>
  <c r="AQ29" i="3"/>
  <c r="AQ11" i="4" s="1"/>
  <c r="AP29" i="3"/>
  <c r="AO29" i="3"/>
  <c r="AN29" i="3"/>
  <c r="AM29" i="3"/>
  <c r="AL29" i="3"/>
  <c r="AK29" i="3"/>
  <c r="AJ29" i="3"/>
  <c r="AJ11" i="4" s="1"/>
  <c r="AI29" i="3"/>
  <c r="AI11" i="4" s="1"/>
  <c r="AH29" i="3"/>
  <c r="AG29" i="3"/>
  <c r="AF29" i="3"/>
  <c r="AE29" i="3"/>
  <c r="AD29" i="3"/>
  <c r="AC29" i="3"/>
  <c r="AB29" i="3"/>
  <c r="AB11" i="4" s="1"/>
  <c r="AA29" i="3"/>
  <c r="AA11" i="4" s="1"/>
  <c r="Z29" i="3"/>
  <c r="Y29" i="3"/>
  <c r="X29" i="3"/>
  <c r="W29" i="3"/>
  <c r="V29" i="3"/>
  <c r="U29" i="3"/>
  <c r="T29" i="3"/>
  <c r="T11" i="4" s="1"/>
  <c r="S29" i="3"/>
  <c r="S11" i="4" s="1"/>
  <c r="R29" i="3"/>
  <c r="Q29" i="3"/>
  <c r="P29" i="3"/>
  <c r="O29" i="3"/>
  <c r="N29" i="3"/>
  <c r="M29" i="3"/>
  <c r="L29" i="3"/>
  <c r="L11" i="4" s="1"/>
  <c r="K29" i="3"/>
  <c r="K11" i="4" s="1"/>
  <c r="J29" i="3"/>
  <c r="I29" i="3"/>
  <c r="H29" i="3"/>
  <c r="G29" i="3"/>
  <c r="F29" i="3"/>
  <c r="E29" i="3"/>
  <c r="D29" i="3"/>
  <c r="D11" i="4" s="1"/>
  <c r="C29" i="3"/>
  <c r="C11" i="4" s="1"/>
  <c r="B29" i="3"/>
  <c r="A29" i="3"/>
  <c r="BG28" i="3"/>
  <c r="BF28" i="3"/>
  <c r="BE28" i="3"/>
  <c r="BD28" i="3"/>
  <c r="BC28" i="3"/>
  <c r="BB28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28" i="3"/>
  <c r="B28" i="3"/>
  <c r="A28" i="3"/>
  <c r="BG27" i="3"/>
  <c r="BF27" i="3"/>
  <c r="BE27" i="3"/>
  <c r="BD27" i="3"/>
  <c r="BC27" i="3"/>
  <c r="BB27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27" i="3"/>
  <c r="B27" i="3"/>
  <c r="A27" i="3"/>
  <c r="BG26" i="3"/>
  <c r="BF26" i="3"/>
  <c r="BE26" i="3"/>
  <c r="BD26" i="3"/>
  <c r="BC26" i="3"/>
  <c r="BB26" i="3"/>
  <c r="BA26" i="3"/>
  <c r="BA10" i="4" s="1"/>
  <c r="AZ26" i="3"/>
  <c r="AZ10" i="4" s="1"/>
  <c r="AY26" i="3"/>
  <c r="AX26" i="3"/>
  <c r="AW26" i="3"/>
  <c r="AV26" i="3"/>
  <c r="AU26" i="3"/>
  <c r="AT26" i="3"/>
  <c r="AS26" i="3"/>
  <c r="AS10" i="4" s="1"/>
  <c r="AR26" i="3"/>
  <c r="AR10" i="4" s="1"/>
  <c r="AQ26" i="3"/>
  <c r="AP26" i="3"/>
  <c r="AO26" i="3"/>
  <c r="AN26" i="3"/>
  <c r="AM26" i="3"/>
  <c r="AL26" i="3"/>
  <c r="AK26" i="3"/>
  <c r="AK10" i="4" s="1"/>
  <c r="AJ26" i="3"/>
  <c r="AJ10" i="4" s="1"/>
  <c r="AI26" i="3"/>
  <c r="AH26" i="3"/>
  <c r="AG26" i="3"/>
  <c r="AF26" i="3"/>
  <c r="AE26" i="3"/>
  <c r="AD26" i="3"/>
  <c r="AC26" i="3"/>
  <c r="AC10" i="4" s="1"/>
  <c r="AB26" i="3"/>
  <c r="AB10" i="4" s="1"/>
  <c r="AA26" i="3"/>
  <c r="Z26" i="3"/>
  <c r="Y26" i="3"/>
  <c r="X26" i="3"/>
  <c r="W26" i="3"/>
  <c r="V26" i="3"/>
  <c r="U26" i="3"/>
  <c r="U10" i="4" s="1"/>
  <c r="T26" i="3"/>
  <c r="T10" i="4" s="1"/>
  <c r="S26" i="3"/>
  <c r="R26" i="3"/>
  <c r="Q26" i="3"/>
  <c r="P26" i="3"/>
  <c r="O26" i="3"/>
  <c r="N26" i="3"/>
  <c r="M26" i="3"/>
  <c r="M10" i="4" s="1"/>
  <c r="L26" i="3"/>
  <c r="L10" i="4" s="1"/>
  <c r="K26" i="3"/>
  <c r="J26" i="3"/>
  <c r="I26" i="3"/>
  <c r="H26" i="3"/>
  <c r="G26" i="3"/>
  <c r="F26" i="3"/>
  <c r="E26" i="3"/>
  <c r="E10" i="4" s="1"/>
  <c r="D26" i="3"/>
  <c r="D10" i="4" s="1"/>
  <c r="C26" i="3"/>
  <c r="B26" i="3"/>
  <c r="A26" i="3"/>
  <c r="BG25" i="3"/>
  <c r="BF25" i="3"/>
  <c r="BE25" i="3"/>
  <c r="BD25" i="3"/>
  <c r="BC25" i="3"/>
  <c r="BB25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25" i="3"/>
  <c r="B25" i="3"/>
  <c r="A25" i="3"/>
  <c r="BG24" i="3"/>
  <c r="BF24" i="3"/>
  <c r="BE24" i="3"/>
  <c r="BD24" i="3"/>
  <c r="BC24" i="3"/>
  <c r="BB24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24" i="3"/>
  <c r="B24" i="3"/>
  <c r="A24" i="3"/>
  <c r="BG23" i="3"/>
  <c r="BF23" i="3"/>
  <c r="BE23" i="3"/>
  <c r="BD23" i="3"/>
  <c r="BC23" i="3"/>
  <c r="BB23" i="3"/>
  <c r="BB9" i="4" s="1"/>
  <c r="BA23" i="3"/>
  <c r="BA9" i="4" s="1"/>
  <c r="AZ23" i="3"/>
  <c r="AY23" i="3"/>
  <c r="AX23" i="3"/>
  <c r="AW23" i="3"/>
  <c r="AV23" i="3"/>
  <c r="AU23" i="3"/>
  <c r="AT23" i="3"/>
  <c r="AT9" i="4" s="1"/>
  <c r="AS23" i="3"/>
  <c r="AS9" i="4" s="1"/>
  <c r="AR23" i="3"/>
  <c r="AQ23" i="3"/>
  <c r="AP23" i="3"/>
  <c r="AO23" i="3"/>
  <c r="AN23" i="3"/>
  <c r="AM23" i="3"/>
  <c r="AL23" i="3"/>
  <c r="AL9" i="4" s="1"/>
  <c r="AK23" i="3"/>
  <c r="AK9" i="4" s="1"/>
  <c r="AJ23" i="3"/>
  <c r="AI23" i="3"/>
  <c r="AH23" i="3"/>
  <c r="AG23" i="3"/>
  <c r="AF23" i="3"/>
  <c r="AE23" i="3"/>
  <c r="AD23" i="3"/>
  <c r="AD9" i="4" s="1"/>
  <c r="AC23" i="3"/>
  <c r="AC9" i="4" s="1"/>
  <c r="AB23" i="3"/>
  <c r="AA23" i="3"/>
  <c r="Z23" i="3"/>
  <c r="Y23" i="3"/>
  <c r="X23" i="3"/>
  <c r="W23" i="3"/>
  <c r="V23" i="3"/>
  <c r="V9" i="4" s="1"/>
  <c r="U23" i="3"/>
  <c r="U9" i="4" s="1"/>
  <c r="T23" i="3"/>
  <c r="S23" i="3"/>
  <c r="R23" i="3"/>
  <c r="Q23" i="3"/>
  <c r="P23" i="3"/>
  <c r="O23" i="3"/>
  <c r="N23" i="3"/>
  <c r="N9" i="4" s="1"/>
  <c r="M23" i="3"/>
  <c r="M9" i="4" s="1"/>
  <c r="L23" i="3"/>
  <c r="K23" i="3"/>
  <c r="J23" i="3"/>
  <c r="I23" i="3"/>
  <c r="H23" i="3"/>
  <c r="G23" i="3"/>
  <c r="F23" i="3"/>
  <c r="F9" i="4" s="1"/>
  <c r="E23" i="3"/>
  <c r="E9" i="4" s="1"/>
  <c r="D23" i="3"/>
  <c r="C23" i="3"/>
  <c r="B23" i="3"/>
  <c r="A23" i="3"/>
  <c r="A22" i="3"/>
  <c r="A21" i="3"/>
  <c r="A20" i="3"/>
  <c r="BG19" i="3"/>
  <c r="BF19" i="3"/>
  <c r="BE19" i="3"/>
  <c r="BD19" i="3"/>
  <c r="BC19" i="3"/>
  <c r="BB19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B19" i="3"/>
  <c r="A19" i="3"/>
  <c r="BG18" i="3"/>
  <c r="BF18" i="3"/>
  <c r="BE18" i="3"/>
  <c r="BD18" i="3"/>
  <c r="BC18" i="3"/>
  <c r="BB18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E7" i="4" s="1"/>
  <c r="D18" i="3"/>
  <c r="C18" i="3"/>
  <c r="B18" i="3"/>
  <c r="A18" i="3"/>
  <c r="BG17" i="3"/>
  <c r="BF17" i="3"/>
  <c r="BF7" i="4" s="1"/>
  <c r="BE17" i="3"/>
  <c r="BE7" i="4" s="1"/>
  <c r="BD17" i="3"/>
  <c r="BC17" i="3"/>
  <c r="BB17" i="3"/>
  <c r="BA17" i="3"/>
  <c r="AZ17" i="3"/>
  <c r="AY17" i="3"/>
  <c r="AX17" i="3"/>
  <c r="AX7" i="4" s="1"/>
  <c r="AW17" i="3"/>
  <c r="AW7" i="4" s="1"/>
  <c r="AV17" i="3"/>
  <c r="AU17" i="3"/>
  <c r="AT17" i="3"/>
  <c r="AS17" i="3"/>
  <c r="AR17" i="3"/>
  <c r="AQ17" i="3"/>
  <c r="AP17" i="3"/>
  <c r="AP7" i="4" s="1"/>
  <c r="AO17" i="3"/>
  <c r="AO7" i="4" s="1"/>
  <c r="AN17" i="3"/>
  <c r="AM17" i="3"/>
  <c r="AL17" i="3"/>
  <c r="AK17" i="3"/>
  <c r="AJ17" i="3"/>
  <c r="AI17" i="3"/>
  <c r="AH17" i="3"/>
  <c r="AH7" i="4" s="1"/>
  <c r="AG17" i="3"/>
  <c r="AG7" i="4" s="1"/>
  <c r="AF17" i="3"/>
  <c r="AE17" i="3"/>
  <c r="AD17" i="3"/>
  <c r="AC17" i="3"/>
  <c r="AB17" i="3"/>
  <c r="AA17" i="3"/>
  <c r="Z17" i="3"/>
  <c r="Z7" i="4" s="1"/>
  <c r="Y17" i="3"/>
  <c r="Y7" i="4" s="1"/>
  <c r="X17" i="3"/>
  <c r="W17" i="3"/>
  <c r="V17" i="3"/>
  <c r="U17" i="3"/>
  <c r="T17" i="3"/>
  <c r="S17" i="3"/>
  <c r="R17" i="3"/>
  <c r="R7" i="4" s="1"/>
  <c r="Q17" i="3"/>
  <c r="Q7" i="4" s="1"/>
  <c r="P17" i="3"/>
  <c r="O17" i="3"/>
  <c r="N17" i="3"/>
  <c r="M17" i="3"/>
  <c r="L17" i="3"/>
  <c r="K17" i="3"/>
  <c r="J17" i="3"/>
  <c r="J7" i="4" s="1"/>
  <c r="I17" i="3"/>
  <c r="I7" i="4" s="1"/>
  <c r="H17" i="3"/>
  <c r="G17" i="3"/>
  <c r="F17" i="3"/>
  <c r="E17" i="3"/>
  <c r="D17" i="3"/>
  <c r="C17" i="3"/>
  <c r="B17" i="3"/>
  <c r="B7" i="4" s="1"/>
  <c r="A17" i="3"/>
  <c r="BG16" i="3"/>
  <c r="BF16" i="3"/>
  <c r="BE16" i="3"/>
  <c r="BD16" i="3"/>
  <c r="BC16" i="3"/>
  <c r="BB16" i="3"/>
  <c r="BA16" i="3"/>
  <c r="BA6" i="4" s="1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B16" i="3"/>
  <c r="A16" i="3"/>
  <c r="BG15" i="3"/>
  <c r="BF15" i="3"/>
  <c r="BE15" i="3"/>
  <c r="BD15" i="3"/>
  <c r="BC15" i="3"/>
  <c r="BB15" i="3"/>
  <c r="BA15" i="3"/>
  <c r="AZ15" i="3"/>
  <c r="AY15" i="3"/>
  <c r="AX15" i="3"/>
  <c r="AW15" i="3"/>
  <c r="AV15" i="3"/>
  <c r="AU15" i="3"/>
  <c r="AT15" i="3"/>
  <c r="AS15" i="3"/>
  <c r="AR15" i="3"/>
  <c r="AQ15" i="3"/>
  <c r="AP15" i="3"/>
  <c r="AO15" i="3"/>
  <c r="AN15" i="3"/>
  <c r="AM15" i="3"/>
  <c r="AL15" i="3"/>
  <c r="AK15" i="3"/>
  <c r="AJ15" i="3"/>
  <c r="AI15" i="3"/>
  <c r="AH15" i="3"/>
  <c r="AG15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I15" i="3"/>
  <c r="H15" i="3"/>
  <c r="G15" i="3"/>
  <c r="F15" i="3"/>
  <c r="E15" i="3"/>
  <c r="D15" i="3"/>
  <c r="C15" i="3"/>
  <c r="B15" i="3"/>
  <c r="A15" i="3"/>
  <c r="BG14" i="3"/>
  <c r="BG6" i="4" s="1"/>
  <c r="BF14" i="3"/>
  <c r="BF6" i="4" s="1"/>
  <c r="BE14" i="3"/>
  <c r="BD14" i="3"/>
  <c r="BC14" i="3"/>
  <c r="BB14" i="3"/>
  <c r="BA14" i="3"/>
  <c r="AZ14" i="3"/>
  <c r="AY14" i="3"/>
  <c r="AY6" i="4" s="1"/>
  <c r="AX14" i="3"/>
  <c r="AX6" i="4" s="1"/>
  <c r="AW14" i="3"/>
  <c r="AV14" i="3"/>
  <c r="AU14" i="3"/>
  <c r="AT14" i="3"/>
  <c r="AS14" i="3"/>
  <c r="AR14" i="3"/>
  <c r="AQ14" i="3"/>
  <c r="AQ6" i="4" s="1"/>
  <c r="AP14" i="3"/>
  <c r="AP6" i="4" s="1"/>
  <c r="AO14" i="3"/>
  <c r="AN14" i="3"/>
  <c r="AM14" i="3"/>
  <c r="AL14" i="3"/>
  <c r="AK14" i="3"/>
  <c r="AJ14" i="3"/>
  <c r="AI14" i="3"/>
  <c r="AI6" i="4" s="1"/>
  <c r="AH14" i="3"/>
  <c r="AH6" i="4" s="1"/>
  <c r="AG14" i="3"/>
  <c r="AF14" i="3"/>
  <c r="AE14" i="3"/>
  <c r="AD14" i="3"/>
  <c r="AC14" i="3"/>
  <c r="AB14" i="3"/>
  <c r="AA14" i="3"/>
  <c r="AA6" i="4" s="1"/>
  <c r="Z14" i="3"/>
  <c r="Z6" i="4" s="1"/>
  <c r="Y14" i="3"/>
  <c r="X14" i="3"/>
  <c r="W14" i="3"/>
  <c r="V14" i="3"/>
  <c r="U14" i="3"/>
  <c r="T14" i="3"/>
  <c r="S14" i="3"/>
  <c r="S6" i="4" s="1"/>
  <c r="R14" i="3"/>
  <c r="R6" i="4" s="1"/>
  <c r="Q14" i="3"/>
  <c r="P14" i="3"/>
  <c r="O14" i="3"/>
  <c r="N14" i="3"/>
  <c r="M14" i="3"/>
  <c r="L14" i="3"/>
  <c r="K14" i="3"/>
  <c r="K6" i="4" s="1"/>
  <c r="J14" i="3"/>
  <c r="J6" i="4" s="1"/>
  <c r="I14" i="3"/>
  <c r="H14" i="3"/>
  <c r="G14" i="3"/>
  <c r="F14" i="3"/>
  <c r="E14" i="3"/>
  <c r="D14" i="3"/>
  <c r="C14" i="3"/>
  <c r="C6" i="4" s="1"/>
  <c r="B14" i="3"/>
  <c r="B6" i="4" s="1"/>
  <c r="A14" i="3"/>
  <c r="BG13" i="3"/>
  <c r="BF13" i="3"/>
  <c r="BE13" i="3"/>
  <c r="BD13" i="3"/>
  <c r="BC13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I13" i="3"/>
  <c r="H13" i="3"/>
  <c r="G13" i="3"/>
  <c r="F13" i="3"/>
  <c r="E13" i="3"/>
  <c r="D13" i="3"/>
  <c r="C13" i="3"/>
  <c r="B13" i="3"/>
  <c r="A13" i="3"/>
  <c r="BG12" i="3"/>
  <c r="BF12" i="3"/>
  <c r="BE12" i="3"/>
  <c r="BD12" i="3"/>
  <c r="BC12" i="3"/>
  <c r="BB12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AJ12" i="3"/>
  <c r="AI12" i="3"/>
  <c r="AH12" i="3"/>
  <c r="AG12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G12" i="3"/>
  <c r="F12" i="3"/>
  <c r="E12" i="3"/>
  <c r="D12" i="3"/>
  <c r="C12" i="3"/>
  <c r="B12" i="3"/>
  <c r="A12" i="3"/>
  <c r="BG11" i="3"/>
  <c r="BG5" i="4" s="1"/>
  <c r="BF11" i="3"/>
  <c r="BE11" i="3"/>
  <c r="BD11" i="3"/>
  <c r="BC11" i="3"/>
  <c r="BB11" i="3"/>
  <c r="BA11" i="3"/>
  <c r="AZ11" i="3"/>
  <c r="AZ5" i="4" s="1"/>
  <c r="AY11" i="3"/>
  <c r="AY5" i="4" s="1"/>
  <c r="AX11" i="3"/>
  <c r="AW11" i="3"/>
  <c r="AV11" i="3"/>
  <c r="AU11" i="3"/>
  <c r="AT11" i="3"/>
  <c r="AS11" i="3"/>
  <c r="AR11" i="3"/>
  <c r="AR5" i="4" s="1"/>
  <c r="AQ11" i="3"/>
  <c r="AQ5" i="4" s="1"/>
  <c r="AP11" i="3"/>
  <c r="AP5" i="4" s="1"/>
  <c r="AO11" i="3"/>
  <c r="AN11" i="3"/>
  <c r="AM11" i="3"/>
  <c r="AL11" i="3"/>
  <c r="AK11" i="3"/>
  <c r="AJ11" i="3"/>
  <c r="AJ5" i="4" s="1"/>
  <c r="AI11" i="3"/>
  <c r="AI5" i="4" s="1"/>
  <c r="AH11" i="3"/>
  <c r="AH5" i="4" s="1"/>
  <c r="AG11" i="3"/>
  <c r="AF11" i="3"/>
  <c r="AE11" i="3"/>
  <c r="AD11" i="3"/>
  <c r="AC11" i="3"/>
  <c r="AB11" i="3"/>
  <c r="AB5" i="4" s="1"/>
  <c r="AA11" i="3"/>
  <c r="AA5" i="4" s="1"/>
  <c r="Z11" i="3"/>
  <c r="Z5" i="4" s="1"/>
  <c r="Y11" i="3"/>
  <c r="X11" i="3"/>
  <c r="W11" i="3"/>
  <c r="V11" i="3"/>
  <c r="U11" i="3"/>
  <c r="T11" i="3"/>
  <c r="T5" i="4" s="1"/>
  <c r="S11" i="3"/>
  <c r="S5" i="4" s="1"/>
  <c r="R11" i="3"/>
  <c r="R5" i="4" s="1"/>
  <c r="Q11" i="3"/>
  <c r="P11" i="3"/>
  <c r="O11" i="3"/>
  <c r="N11" i="3"/>
  <c r="M11" i="3"/>
  <c r="L11" i="3"/>
  <c r="L5" i="4" s="1"/>
  <c r="K11" i="3"/>
  <c r="K5" i="4" s="1"/>
  <c r="J11" i="3"/>
  <c r="J5" i="4" s="1"/>
  <c r="I11" i="3"/>
  <c r="H11" i="3"/>
  <c r="G11" i="3"/>
  <c r="F11" i="3"/>
  <c r="E11" i="3"/>
  <c r="D11" i="3"/>
  <c r="D5" i="4" s="1"/>
  <c r="C11" i="3"/>
  <c r="C5" i="4" s="1"/>
  <c r="B11" i="3"/>
  <c r="B5" i="4" s="1"/>
  <c r="A11" i="3"/>
  <c r="BG10" i="3"/>
  <c r="BF10" i="3"/>
  <c r="BE10" i="3"/>
  <c r="BD10" i="3"/>
  <c r="BC10" i="3"/>
  <c r="BB10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AK10" i="3"/>
  <c r="AJ10" i="3"/>
  <c r="AI10" i="3"/>
  <c r="AH10" i="3"/>
  <c r="AG10" i="3"/>
  <c r="AF10" i="3"/>
  <c r="AE10" i="3"/>
  <c r="AD10" i="3"/>
  <c r="AC10" i="3"/>
  <c r="AB10" i="3"/>
  <c r="AA10" i="3"/>
  <c r="Z10" i="3"/>
  <c r="Y10" i="3"/>
  <c r="X10" i="3"/>
  <c r="W10" i="3"/>
  <c r="V10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B10" i="3"/>
  <c r="A10" i="3"/>
  <c r="BG9" i="3"/>
  <c r="BF9" i="3"/>
  <c r="BE9" i="3"/>
  <c r="BD9" i="3"/>
  <c r="BC9" i="3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C9" i="3"/>
  <c r="B9" i="3"/>
  <c r="A9" i="3"/>
  <c r="BG8" i="3"/>
  <c r="BG4" i="4" s="1"/>
  <c r="BF8" i="3"/>
  <c r="BE8" i="3"/>
  <c r="BD8" i="3"/>
  <c r="BC8" i="3"/>
  <c r="BB8" i="3"/>
  <c r="BA8" i="3"/>
  <c r="BA4" i="4" s="1"/>
  <c r="AZ8" i="3"/>
  <c r="AZ4" i="4" s="1"/>
  <c r="AY8" i="3"/>
  <c r="AY4" i="4" s="1"/>
  <c r="AX8" i="3"/>
  <c r="AW8" i="3"/>
  <c r="AV8" i="3"/>
  <c r="AU8" i="3"/>
  <c r="AT8" i="3"/>
  <c r="AS8" i="3"/>
  <c r="AS4" i="4" s="1"/>
  <c r="AR8" i="3"/>
  <c r="AR4" i="4" s="1"/>
  <c r="AQ8" i="3"/>
  <c r="AQ4" i="4" s="1"/>
  <c r="AP8" i="3"/>
  <c r="AO8" i="3"/>
  <c r="AN8" i="3"/>
  <c r="AM8" i="3"/>
  <c r="AL8" i="3"/>
  <c r="AK8" i="3"/>
  <c r="AK4" i="4" s="1"/>
  <c r="AJ8" i="3"/>
  <c r="AJ4" i="4" s="1"/>
  <c r="AI8" i="3"/>
  <c r="AI4" i="4" s="1"/>
  <c r="AH8" i="3"/>
  <c r="AG8" i="3"/>
  <c r="AF8" i="3"/>
  <c r="AE8" i="3"/>
  <c r="AD8" i="3"/>
  <c r="AC8" i="3"/>
  <c r="AC4" i="4" s="1"/>
  <c r="AB8" i="3"/>
  <c r="AB4" i="4" s="1"/>
  <c r="AA8" i="3"/>
  <c r="AA4" i="4" s="1"/>
  <c r="Z8" i="3"/>
  <c r="Y8" i="3"/>
  <c r="X8" i="3"/>
  <c r="W8" i="3"/>
  <c r="V8" i="3"/>
  <c r="U8" i="3"/>
  <c r="U4" i="4" s="1"/>
  <c r="T8" i="3"/>
  <c r="T4" i="4" s="1"/>
  <c r="S8" i="3"/>
  <c r="S4" i="4" s="1"/>
  <c r="R8" i="3"/>
  <c r="Q8" i="3"/>
  <c r="P8" i="3"/>
  <c r="O8" i="3"/>
  <c r="N8" i="3"/>
  <c r="M8" i="3"/>
  <c r="M4" i="4" s="1"/>
  <c r="L8" i="3"/>
  <c r="L4" i="4" s="1"/>
  <c r="K8" i="3"/>
  <c r="K4" i="4" s="1"/>
  <c r="J8" i="3"/>
  <c r="I8" i="3"/>
  <c r="H8" i="3"/>
  <c r="G8" i="3"/>
  <c r="F8" i="3"/>
  <c r="E8" i="3"/>
  <c r="E4" i="4" s="1"/>
  <c r="D8" i="3"/>
  <c r="D4" i="4" s="1"/>
  <c r="C8" i="3"/>
  <c r="C4" i="4" s="1"/>
  <c r="B8" i="3"/>
  <c r="A8" i="3"/>
  <c r="BG7" i="3"/>
  <c r="BF7" i="3"/>
  <c r="BE7" i="3"/>
  <c r="BD7" i="3"/>
  <c r="BC7" i="3"/>
  <c r="BB7" i="3"/>
  <c r="BA7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AI7" i="3"/>
  <c r="AH7" i="3"/>
  <c r="AG7" i="3"/>
  <c r="AF7" i="3"/>
  <c r="AF3" i="4" s="1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G7" i="3"/>
  <c r="F7" i="3"/>
  <c r="E7" i="3"/>
  <c r="D7" i="3"/>
  <c r="C7" i="3"/>
  <c r="B7" i="3"/>
  <c r="A7" i="3"/>
  <c r="BG6" i="3"/>
  <c r="BF6" i="3"/>
  <c r="BE6" i="3"/>
  <c r="BD6" i="3"/>
  <c r="BC6" i="3"/>
  <c r="BB6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H3" i="4" s="1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C6" i="3"/>
  <c r="B6" i="3"/>
  <c r="A6" i="3"/>
  <c r="BG5" i="3"/>
  <c r="BF5" i="3"/>
  <c r="BE5" i="3"/>
  <c r="BD5" i="3"/>
  <c r="BC5" i="3"/>
  <c r="BB5" i="3"/>
  <c r="BB3" i="4" s="1"/>
  <c r="BA5" i="3"/>
  <c r="BA3" i="4" s="1"/>
  <c r="AZ5" i="3"/>
  <c r="AZ3" i="4" s="1"/>
  <c r="AY5" i="3"/>
  <c r="AX5" i="3"/>
  <c r="AW5" i="3"/>
  <c r="AV5" i="3"/>
  <c r="AU5" i="3"/>
  <c r="AT5" i="3"/>
  <c r="AT3" i="4" s="1"/>
  <c r="AS5" i="3"/>
  <c r="AS3" i="4" s="1"/>
  <c r="AR5" i="3"/>
  <c r="AR3" i="4" s="1"/>
  <c r="AQ5" i="3"/>
  <c r="AP5" i="3"/>
  <c r="AO5" i="3"/>
  <c r="AN5" i="3"/>
  <c r="AM5" i="3"/>
  <c r="AL5" i="3"/>
  <c r="AL3" i="4" s="1"/>
  <c r="AK5" i="3"/>
  <c r="AK3" i="4" s="1"/>
  <c r="AJ5" i="3"/>
  <c r="AJ3" i="4" s="1"/>
  <c r="AI5" i="3"/>
  <c r="AH5" i="3"/>
  <c r="AG5" i="3"/>
  <c r="AF5" i="3"/>
  <c r="AE5" i="3"/>
  <c r="AD5" i="3"/>
  <c r="AD3" i="4" s="1"/>
  <c r="AC5" i="3"/>
  <c r="AC3" i="4" s="1"/>
  <c r="AB5" i="3"/>
  <c r="AB3" i="4" s="1"/>
  <c r="AA5" i="3"/>
  <c r="Z5" i="3"/>
  <c r="Y5" i="3"/>
  <c r="X5" i="3"/>
  <c r="W5" i="3"/>
  <c r="V5" i="3"/>
  <c r="V3" i="4" s="1"/>
  <c r="U5" i="3"/>
  <c r="U3" i="4" s="1"/>
  <c r="T5" i="3"/>
  <c r="T3" i="4" s="1"/>
  <c r="S5" i="3"/>
  <c r="R5" i="3"/>
  <c r="Q5" i="3"/>
  <c r="P5" i="3"/>
  <c r="O5" i="3"/>
  <c r="N5" i="3"/>
  <c r="N3" i="4" s="1"/>
  <c r="M5" i="3"/>
  <c r="M3" i="4" s="1"/>
  <c r="L5" i="3"/>
  <c r="L3" i="4" s="1"/>
  <c r="K5" i="3"/>
  <c r="J5" i="3"/>
  <c r="I5" i="3"/>
  <c r="H5" i="3"/>
  <c r="G5" i="3"/>
  <c r="F5" i="3"/>
  <c r="F3" i="4" s="1"/>
  <c r="E5" i="3"/>
  <c r="E3" i="4" s="1"/>
  <c r="D5" i="3"/>
  <c r="D3" i="4" s="1"/>
  <c r="C5" i="3"/>
  <c r="B5" i="3"/>
  <c r="A5" i="3"/>
  <c r="BG4" i="3"/>
  <c r="BF4" i="3"/>
  <c r="BE4" i="3"/>
  <c r="BD4" i="3"/>
  <c r="BC4" i="3"/>
  <c r="BB4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P4" i="3"/>
  <c r="O4" i="3"/>
  <c r="N4" i="3"/>
  <c r="M4" i="3"/>
  <c r="L4" i="3"/>
  <c r="K4" i="3"/>
  <c r="J4" i="3"/>
  <c r="I4" i="3"/>
  <c r="I2" i="4" s="1"/>
  <c r="H4" i="3"/>
  <c r="G4" i="3"/>
  <c r="F4" i="3"/>
  <c r="E4" i="3"/>
  <c r="D4" i="3"/>
  <c r="C4" i="3"/>
  <c r="B4" i="3"/>
  <c r="A4" i="3"/>
  <c r="BG3" i="3"/>
  <c r="BF3" i="3"/>
  <c r="BE3" i="3"/>
  <c r="BD3" i="3"/>
  <c r="BC3" i="3"/>
  <c r="BB3" i="3"/>
  <c r="BA3" i="3"/>
  <c r="AZ3" i="3"/>
  <c r="AY3" i="3"/>
  <c r="AX3" i="3"/>
  <c r="AW3" i="3"/>
  <c r="AV3" i="3"/>
  <c r="AU3" i="3"/>
  <c r="AT3" i="3"/>
  <c r="AS3" i="3"/>
  <c r="AR3" i="3"/>
  <c r="AQ3" i="3"/>
  <c r="AP3" i="3"/>
  <c r="AO3" i="3"/>
  <c r="AN3" i="3"/>
  <c r="AM3" i="3"/>
  <c r="AL3" i="3"/>
  <c r="AK3" i="3"/>
  <c r="AJ3" i="3"/>
  <c r="AI3" i="3"/>
  <c r="AH3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D2" i="4" s="1"/>
  <c r="C3" i="3"/>
  <c r="B3" i="3"/>
  <c r="A3" i="3"/>
  <c r="BG2" i="3"/>
  <c r="BF2" i="3"/>
  <c r="BE2" i="3"/>
  <c r="BD2" i="3"/>
  <c r="BC2" i="3"/>
  <c r="BC2" i="4" s="1"/>
  <c r="BB2" i="3"/>
  <c r="BB2" i="4" s="1"/>
  <c r="BA2" i="3"/>
  <c r="BA2" i="4" s="1"/>
  <c r="AZ2" i="3"/>
  <c r="AY2" i="3"/>
  <c r="AX2" i="3"/>
  <c r="AW2" i="3"/>
  <c r="AV2" i="3"/>
  <c r="AU2" i="3"/>
  <c r="AU2" i="4" s="1"/>
  <c r="AT2" i="3"/>
  <c r="AT2" i="4" s="1"/>
  <c r="AS2" i="3"/>
  <c r="AS2" i="4" s="1"/>
  <c r="AR2" i="3"/>
  <c r="AQ2" i="3"/>
  <c r="AP2" i="3"/>
  <c r="AO2" i="3"/>
  <c r="AN2" i="3"/>
  <c r="AM2" i="3"/>
  <c r="AM2" i="4" s="1"/>
  <c r="AL2" i="3"/>
  <c r="AL2" i="4" s="1"/>
  <c r="AK2" i="3"/>
  <c r="AK2" i="4" s="1"/>
  <c r="AJ2" i="3"/>
  <c r="AI2" i="3"/>
  <c r="AH2" i="3"/>
  <c r="AG2" i="3"/>
  <c r="AF2" i="3"/>
  <c r="AE2" i="3"/>
  <c r="AE2" i="4" s="1"/>
  <c r="AD2" i="3"/>
  <c r="AD2" i="4" s="1"/>
  <c r="AC2" i="3"/>
  <c r="AC2" i="4" s="1"/>
  <c r="AB2" i="3"/>
  <c r="AA2" i="3"/>
  <c r="Z2" i="3"/>
  <c r="Y2" i="3"/>
  <c r="X2" i="3"/>
  <c r="W2" i="3"/>
  <c r="W2" i="4" s="1"/>
  <c r="V2" i="3"/>
  <c r="V2" i="4" s="1"/>
  <c r="U2" i="3"/>
  <c r="U2" i="4" s="1"/>
  <c r="T2" i="3"/>
  <c r="S2" i="3"/>
  <c r="R2" i="3"/>
  <c r="Q2" i="3"/>
  <c r="P2" i="3"/>
  <c r="O2" i="3"/>
  <c r="O2" i="4" s="1"/>
  <c r="N2" i="3"/>
  <c r="N2" i="4" s="1"/>
  <c r="M2" i="3"/>
  <c r="M2" i="4" s="1"/>
  <c r="L2" i="3"/>
  <c r="K2" i="3"/>
  <c r="J2" i="3"/>
  <c r="I2" i="3"/>
  <c r="H2" i="3"/>
  <c r="G2" i="3"/>
  <c r="G2" i="4" s="1"/>
  <c r="F2" i="3"/>
  <c r="F2" i="4" s="1"/>
  <c r="E2" i="3"/>
  <c r="E2" i="4" s="1"/>
  <c r="D2" i="3"/>
  <c r="C2" i="3"/>
  <c r="B2" i="3"/>
  <c r="A2" i="3"/>
  <c r="BG1" i="3"/>
  <c r="BF1" i="3"/>
  <c r="BE1" i="3"/>
  <c r="BD1" i="3"/>
  <c r="BC1" i="3"/>
  <c r="BB1" i="3"/>
  <c r="BA1" i="3"/>
  <c r="AZ1" i="3"/>
  <c r="AY1" i="3"/>
  <c r="AX1" i="3"/>
  <c r="AW1" i="3"/>
  <c r="AV1" i="3"/>
  <c r="AU1" i="3"/>
  <c r="AT1" i="3"/>
  <c r="AS1" i="3"/>
  <c r="AR1" i="3"/>
  <c r="AQ1" i="3"/>
  <c r="AP1" i="3"/>
  <c r="AO1" i="3"/>
  <c r="AN1" i="3"/>
  <c r="AM1" i="3"/>
  <c r="AL1" i="3"/>
  <c r="AK1" i="3"/>
  <c r="AJ1" i="3"/>
  <c r="AI1" i="3"/>
  <c r="AH1" i="3"/>
  <c r="AG1" i="3"/>
  <c r="AF1" i="3"/>
  <c r="AE1" i="3"/>
  <c r="AD1" i="3"/>
  <c r="AC1" i="3"/>
  <c r="AB1" i="3"/>
  <c r="AA1" i="3"/>
  <c r="Z1" i="3"/>
  <c r="Y1" i="3"/>
  <c r="X1" i="3"/>
  <c r="W1" i="3"/>
  <c r="V1" i="3"/>
  <c r="U1" i="3"/>
  <c r="T1" i="3"/>
  <c r="S1" i="3"/>
  <c r="R1" i="3"/>
  <c r="Q1" i="3"/>
  <c r="P1" i="3"/>
  <c r="O1" i="3"/>
  <c r="N1" i="3"/>
  <c r="M1" i="3"/>
  <c r="L1" i="3"/>
  <c r="K1" i="3"/>
  <c r="J1" i="3"/>
  <c r="I1" i="3"/>
  <c r="H1" i="3"/>
  <c r="G1" i="3"/>
  <c r="F1" i="3"/>
  <c r="E1" i="3"/>
  <c r="D1" i="3"/>
  <c r="C1" i="3"/>
  <c r="B1" i="3"/>
  <c r="H1" i="1"/>
  <c r="G1" i="1"/>
  <c r="A1" i="1"/>
  <c r="A2" i="2"/>
  <c r="A1" i="2"/>
  <c r="X2" i="4" l="1"/>
  <c r="AN2" i="4"/>
  <c r="O3" i="4"/>
  <c r="AU3" i="4"/>
  <c r="AL4" i="4"/>
  <c r="E5" i="4"/>
  <c r="AK5" i="4"/>
  <c r="D6" i="4"/>
  <c r="AJ6" i="4"/>
  <c r="AA7" i="4"/>
  <c r="AY7" i="4"/>
  <c r="AE9" i="4"/>
  <c r="F10" i="4"/>
  <c r="BB10" i="4"/>
  <c r="M11" i="4"/>
  <c r="AK11" i="4"/>
  <c r="L12" i="4"/>
  <c r="AZ12" i="4"/>
  <c r="S13" i="4"/>
  <c r="AQ13" i="4"/>
  <c r="V5" i="4"/>
  <c r="AT5" i="4"/>
  <c r="AF2" i="4"/>
  <c r="W3" i="4"/>
  <c r="F4" i="4"/>
  <c r="AD4" i="4"/>
  <c r="AC5" i="4"/>
  <c r="AR6" i="4"/>
  <c r="S7" i="4"/>
  <c r="AQ7" i="4"/>
  <c r="O9" i="4"/>
  <c r="AM9" i="4"/>
  <c r="AD10" i="4"/>
  <c r="AS11" i="4"/>
  <c r="AJ12" i="4"/>
  <c r="AX2" i="4"/>
  <c r="P4" i="4"/>
  <c r="AN4" i="4"/>
  <c r="H2" i="4"/>
  <c r="AV2" i="4"/>
  <c r="AE3" i="4"/>
  <c r="BC3" i="4"/>
  <c r="N4" i="4"/>
  <c r="AT4" i="4"/>
  <c r="U5" i="4"/>
  <c r="BA5" i="4"/>
  <c r="T6" i="4"/>
  <c r="AZ6" i="4"/>
  <c r="K7" i="4"/>
  <c r="G9" i="4"/>
  <c r="AU9" i="4"/>
  <c r="V10" i="4"/>
  <c r="AT10" i="4"/>
  <c r="U11" i="4"/>
  <c r="BA11" i="4"/>
  <c r="T12" i="4"/>
  <c r="AR12" i="4"/>
  <c r="K13" i="4"/>
  <c r="AI13" i="4"/>
  <c r="BG13" i="4"/>
  <c r="BD3" i="4"/>
  <c r="Z2" i="4"/>
  <c r="J3" i="4"/>
  <c r="O6" i="4"/>
  <c r="AW10" i="4"/>
  <c r="P2" i="4"/>
  <c r="BD2" i="4"/>
  <c r="G3" i="4"/>
  <c r="AM3" i="4"/>
  <c r="V4" i="4"/>
  <c r="BB4" i="4"/>
  <c r="M5" i="4"/>
  <c r="AS5" i="4"/>
  <c r="L6" i="4"/>
  <c r="AB6" i="4"/>
  <c r="C7" i="4"/>
  <c r="AI7" i="4"/>
  <c r="BG7" i="4"/>
  <c r="W9" i="4"/>
  <c r="BC9" i="4"/>
  <c r="N10" i="4"/>
  <c r="AL10" i="4"/>
  <c r="E11" i="4"/>
  <c r="AC11" i="4"/>
  <c r="D12" i="4"/>
  <c r="AB12" i="4"/>
  <c r="C13" i="4"/>
  <c r="AA13" i="4"/>
  <c r="AY13" i="4"/>
  <c r="AW2" i="4"/>
  <c r="AB2" i="4"/>
  <c r="AA9" i="4"/>
  <c r="AX5" i="4"/>
  <c r="BF5" i="4"/>
  <c r="I6" i="4"/>
  <c r="Q6" i="4"/>
  <c r="Y6" i="4"/>
  <c r="AG6" i="4"/>
  <c r="AO6" i="4"/>
  <c r="AW6" i="4"/>
  <c r="BE6" i="4"/>
  <c r="H7" i="4"/>
  <c r="P7" i="4"/>
  <c r="X7" i="4"/>
  <c r="AF7" i="4"/>
  <c r="AN7" i="4"/>
  <c r="AV7" i="4"/>
  <c r="BD7" i="4"/>
  <c r="D9" i="4"/>
  <c r="L9" i="4"/>
  <c r="T9" i="4"/>
  <c r="AB9" i="4"/>
  <c r="AJ9" i="4"/>
  <c r="AR9" i="4"/>
  <c r="AZ9" i="4"/>
  <c r="C10" i="4"/>
  <c r="K10" i="4"/>
  <c r="S10" i="4"/>
  <c r="AA10" i="4"/>
  <c r="AI10" i="4"/>
  <c r="AQ10" i="4"/>
  <c r="AY10" i="4"/>
  <c r="BG10" i="4"/>
  <c r="B11" i="4"/>
  <c r="J11" i="4"/>
  <c r="R11" i="4"/>
  <c r="Z11" i="4"/>
  <c r="AH11" i="4"/>
  <c r="AP11" i="4"/>
  <c r="AX11" i="4"/>
  <c r="BF11" i="4"/>
  <c r="I12" i="4"/>
  <c r="Q12" i="4"/>
  <c r="Y12" i="4"/>
  <c r="AG12" i="4"/>
  <c r="AO12" i="4"/>
  <c r="AW12" i="4"/>
  <c r="BE12" i="4"/>
  <c r="X13" i="4"/>
  <c r="AV13" i="4"/>
  <c r="J14" i="4"/>
  <c r="AH14" i="4"/>
  <c r="BF14" i="4"/>
  <c r="AG15" i="4"/>
  <c r="BE15" i="4"/>
  <c r="P16" i="4"/>
  <c r="AV16" i="4"/>
  <c r="O17" i="4"/>
  <c r="W17" i="4"/>
  <c r="AU17" i="4"/>
  <c r="AD18" i="4"/>
  <c r="BB18" i="4"/>
  <c r="U19" i="4"/>
  <c r="AS19" i="4"/>
  <c r="AJ20" i="4"/>
  <c r="AZ20" i="4"/>
  <c r="C21" i="4"/>
  <c r="S21" i="4"/>
  <c r="AI21" i="4"/>
  <c r="BG21" i="4"/>
  <c r="B22" i="4"/>
  <c r="Z22" i="4"/>
  <c r="AP22" i="4"/>
  <c r="BF22" i="4"/>
  <c r="I23" i="4"/>
  <c r="Y23" i="4"/>
  <c r="AG23" i="4"/>
  <c r="AW23" i="4"/>
  <c r="G25" i="4"/>
  <c r="W25" i="4"/>
  <c r="AM25" i="4"/>
  <c r="BC25" i="4"/>
  <c r="F26" i="4"/>
  <c r="AD26" i="4"/>
  <c r="AL26" i="4"/>
  <c r="BB26" i="4"/>
  <c r="E27" i="4"/>
  <c r="M27" i="4"/>
  <c r="U27" i="4"/>
  <c r="AC27" i="4"/>
  <c r="AK27" i="4"/>
  <c r="AS27" i="4"/>
  <c r="BA27" i="4"/>
  <c r="D28" i="4"/>
  <c r="L28" i="4"/>
  <c r="T28" i="4"/>
  <c r="AB28" i="4"/>
  <c r="AJ28" i="4"/>
  <c r="AR28" i="4"/>
  <c r="AZ28" i="4"/>
  <c r="C29" i="4"/>
  <c r="K29" i="4"/>
  <c r="S29" i="4"/>
  <c r="AA29" i="4"/>
  <c r="AI29" i="4"/>
  <c r="AQ29" i="4"/>
  <c r="AY29" i="4"/>
  <c r="BG29" i="4"/>
  <c r="B30" i="4"/>
  <c r="J30" i="4"/>
  <c r="R30" i="4"/>
  <c r="Z30" i="4"/>
  <c r="AH30" i="4"/>
  <c r="AP30" i="4"/>
  <c r="AX30" i="4"/>
  <c r="BF30" i="4"/>
  <c r="I31" i="4"/>
  <c r="Q31" i="4"/>
  <c r="Y31" i="4"/>
  <c r="AG31" i="4"/>
  <c r="AO31" i="4"/>
  <c r="AW31" i="4"/>
  <c r="BE31" i="4"/>
  <c r="H32" i="4"/>
  <c r="P32" i="4"/>
  <c r="X32" i="4"/>
  <c r="AF32" i="4"/>
  <c r="AN32" i="4"/>
  <c r="AV32" i="4"/>
  <c r="BD32" i="4"/>
  <c r="B14" i="4"/>
  <c r="Z14" i="4"/>
  <c r="AP14" i="4"/>
  <c r="I15" i="4"/>
  <c r="Y15" i="4"/>
  <c r="AW15" i="4"/>
  <c r="X16" i="4"/>
  <c r="AN16" i="4"/>
  <c r="G17" i="4"/>
  <c r="AE17" i="4"/>
  <c r="BC17" i="4"/>
  <c r="F18" i="4"/>
  <c r="V18" i="4"/>
  <c r="AT18" i="4"/>
  <c r="E19" i="4"/>
  <c r="AC19" i="4"/>
  <c r="BA19" i="4"/>
  <c r="L20" i="4"/>
  <c r="T20" i="4"/>
  <c r="AR20" i="4"/>
  <c r="AA21" i="4"/>
  <c r="AQ21" i="4"/>
  <c r="AY21" i="4"/>
  <c r="J22" i="4"/>
  <c r="R22" i="4"/>
  <c r="AH22" i="4"/>
  <c r="AX22" i="4"/>
  <c r="Q23" i="4"/>
  <c r="AO23" i="4"/>
  <c r="BE23" i="4"/>
  <c r="O25" i="4"/>
  <c r="AE25" i="4"/>
  <c r="AU25" i="4"/>
  <c r="N26" i="4"/>
  <c r="V26" i="4"/>
  <c r="AT26" i="4"/>
  <c r="Q2" i="4"/>
  <c r="Y2" i="4"/>
  <c r="AG2" i="4"/>
  <c r="AO2" i="4"/>
  <c r="BE2" i="4"/>
  <c r="H3" i="4"/>
  <c r="P3" i="4"/>
  <c r="X3" i="4"/>
  <c r="AN3" i="4"/>
  <c r="AV3" i="4"/>
  <c r="G4" i="4"/>
  <c r="O4" i="4"/>
  <c r="W4" i="4"/>
  <c r="AE4" i="4"/>
  <c r="AM4" i="4"/>
  <c r="AU4" i="4"/>
  <c r="BC4" i="4"/>
  <c r="F5" i="4"/>
  <c r="N5" i="4"/>
  <c r="AD5" i="4"/>
  <c r="AL5" i="4"/>
  <c r="BB5" i="4"/>
  <c r="E6" i="4"/>
  <c r="M6" i="4"/>
  <c r="U6" i="4"/>
  <c r="AC6" i="4"/>
  <c r="AK6" i="4"/>
  <c r="AS6" i="4"/>
  <c r="D7" i="4"/>
  <c r="L7" i="4"/>
  <c r="T7" i="4"/>
  <c r="AB7" i="4"/>
  <c r="AJ7" i="4"/>
  <c r="AR7" i="4"/>
  <c r="U12" i="4"/>
  <c r="AS20" i="4"/>
  <c r="AB29" i="4"/>
  <c r="R14" i="4"/>
  <c r="AX14" i="4"/>
  <c r="Q15" i="4"/>
  <c r="AO15" i="4"/>
  <c r="H16" i="4"/>
  <c r="BD16" i="4"/>
  <c r="AM17" i="4"/>
  <c r="N18" i="4"/>
  <c r="AL18" i="4"/>
  <c r="M19" i="4"/>
  <c r="AK19" i="4"/>
  <c r="D20" i="4"/>
  <c r="AB20" i="4"/>
  <c r="K21" i="4"/>
  <c r="B2" i="4"/>
  <c r="J2" i="4"/>
  <c r="R2" i="4"/>
  <c r="AH2" i="4"/>
  <c r="AP2" i="4"/>
  <c r="BF2" i="4"/>
  <c r="I3" i="4"/>
  <c r="Q3" i="4"/>
  <c r="Y3" i="4"/>
  <c r="AG3" i="4"/>
  <c r="AO3" i="4"/>
  <c r="AW3" i="4"/>
  <c r="BE3" i="4"/>
  <c r="H4" i="4"/>
  <c r="X4" i="4"/>
  <c r="AF4" i="4"/>
  <c r="AV4" i="4"/>
  <c r="BD4" i="4"/>
  <c r="G5" i="4"/>
  <c r="O5" i="4"/>
  <c r="W5" i="4"/>
  <c r="AE5" i="4"/>
  <c r="AM5" i="4"/>
  <c r="AU5" i="4"/>
  <c r="BC5" i="4"/>
  <c r="F6" i="4"/>
  <c r="N6" i="4"/>
  <c r="V6" i="4"/>
  <c r="AD6" i="4"/>
  <c r="AL6" i="4"/>
  <c r="AT6" i="4"/>
  <c r="U7" i="4"/>
  <c r="AK7" i="4"/>
  <c r="BA7" i="4"/>
  <c r="Q9" i="4"/>
  <c r="AG9" i="4"/>
  <c r="O11" i="4"/>
  <c r="BC11" i="4"/>
  <c r="S15" i="4"/>
  <c r="AX16" i="4"/>
  <c r="Y25" i="4"/>
  <c r="AF16" i="4"/>
  <c r="K2" i="4"/>
  <c r="AA2" i="4"/>
  <c r="AQ2" i="4"/>
  <c r="AY2" i="4"/>
  <c r="BG2" i="4"/>
  <c r="B3" i="4"/>
  <c r="R3" i="4"/>
  <c r="Z3" i="4"/>
  <c r="AP3" i="4"/>
  <c r="AX3" i="4"/>
  <c r="BF3" i="4"/>
  <c r="I4" i="4"/>
  <c r="Q4" i="4"/>
  <c r="Y4" i="4"/>
  <c r="AG4" i="4"/>
  <c r="AO4" i="4"/>
  <c r="AW4" i="4"/>
  <c r="BE4" i="4"/>
  <c r="H5" i="4"/>
  <c r="P5" i="4"/>
  <c r="X5" i="4"/>
  <c r="AF5" i="4"/>
  <c r="AN5" i="4"/>
  <c r="AV5" i="4"/>
  <c r="BD5" i="4"/>
  <c r="G6" i="4"/>
  <c r="W6" i="4"/>
  <c r="AE6" i="4"/>
  <c r="AM6" i="4"/>
  <c r="AU6" i="4"/>
  <c r="BC6" i="4"/>
  <c r="F7" i="4"/>
  <c r="N7" i="4"/>
  <c r="V7" i="4"/>
  <c r="AD7" i="4"/>
  <c r="AL7" i="4"/>
  <c r="AT7" i="4"/>
  <c r="BB7" i="4"/>
  <c r="B9" i="4"/>
  <c r="J9" i="4"/>
  <c r="R9" i="4"/>
  <c r="Z9" i="4"/>
  <c r="AH9" i="4"/>
  <c r="AP9" i="4"/>
  <c r="AX9" i="4"/>
  <c r="BF9" i="4"/>
  <c r="I10" i="4"/>
  <c r="Q10" i="4"/>
  <c r="Y10" i="4"/>
  <c r="AG10" i="4"/>
  <c r="AO10" i="4"/>
  <c r="BE10" i="4"/>
  <c r="H11" i="4"/>
  <c r="P11" i="4"/>
  <c r="X11" i="4"/>
  <c r="AF11" i="4"/>
  <c r="AN11" i="4"/>
  <c r="AV11" i="4"/>
  <c r="BD11" i="4"/>
  <c r="G12" i="4"/>
  <c r="O12" i="4"/>
  <c r="W12" i="4"/>
  <c r="AE12" i="4"/>
  <c r="M14" i="4"/>
  <c r="BA14" i="4"/>
  <c r="AY16" i="4"/>
  <c r="C2" i="4"/>
  <c r="S2" i="4"/>
  <c r="AI2" i="4"/>
  <c r="L2" i="4"/>
  <c r="T2" i="4"/>
  <c r="AJ2" i="4"/>
  <c r="AR2" i="4"/>
  <c r="AZ2" i="4"/>
  <c r="C3" i="4"/>
  <c r="K3" i="4"/>
  <c r="S3" i="4"/>
  <c r="AA3" i="4"/>
  <c r="AI3" i="4"/>
  <c r="AQ3" i="4"/>
  <c r="AY3" i="4"/>
  <c r="BG3" i="4"/>
  <c r="B4" i="4"/>
  <c r="J4" i="4"/>
  <c r="R4" i="4"/>
  <c r="Z4" i="4"/>
  <c r="AH4" i="4"/>
  <c r="AP4" i="4"/>
  <c r="AX4" i="4"/>
  <c r="BF4" i="4"/>
  <c r="I5" i="4"/>
  <c r="Q5" i="4"/>
  <c r="Y5" i="4"/>
  <c r="AG5" i="4"/>
  <c r="AO5" i="4"/>
  <c r="AW5" i="4"/>
  <c r="BE5" i="4"/>
  <c r="H6" i="4"/>
  <c r="P6" i="4"/>
  <c r="X6" i="4"/>
  <c r="AF6" i="4"/>
  <c r="AN6" i="4"/>
  <c r="AV6" i="4"/>
  <c r="BD6" i="4"/>
  <c r="G7" i="4"/>
  <c r="O7" i="4"/>
  <c r="W7" i="4"/>
  <c r="AE7" i="4"/>
  <c r="AM7" i="4"/>
  <c r="AU7" i="4"/>
  <c r="BC7" i="4"/>
  <c r="C9" i="4"/>
  <c r="K9" i="4"/>
  <c r="S9" i="4"/>
  <c r="AI9" i="4"/>
  <c r="AQ9" i="4"/>
  <c r="AY9" i="4"/>
  <c r="BG9" i="4"/>
  <c r="B10" i="4"/>
  <c r="J10" i="4"/>
  <c r="R10" i="4"/>
  <c r="Z10" i="4"/>
  <c r="AH10" i="4"/>
  <c r="AP10" i="4"/>
  <c r="AX10" i="4"/>
  <c r="BF10" i="4"/>
  <c r="I11" i="4"/>
  <c r="Q11" i="4"/>
  <c r="Y11" i="4"/>
  <c r="AG11" i="4"/>
  <c r="AO11" i="4"/>
  <c r="AW11" i="4"/>
  <c r="BE11" i="4"/>
  <c r="G13" i="4"/>
  <c r="AD14" i="4"/>
  <c r="AS15" i="4"/>
  <c r="BA15" i="4"/>
  <c r="H13" i="4"/>
  <c r="P13" i="4"/>
  <c r="AF13" i="4"/>
  <c r="AN13" i="4"/>
  <c r="BD13" i="4"/>
  <c r="G14" i="4"/>
  <c r="O14" i="4"/>
  <c r="W14" i="4"/>
  <c r="AE14" i="4"/>
  <c r="AM14" i="4"/>
  <c r="AU14" i="4"/>
  <c r="BC14" i="4"/>
  <c r="F15" i="4"/>
  <c r="N15" i="4"/>
  <c r="V15" i="4"/>
  <c r="AD15" i="4"/>
  <c r="AL15" i="4"/>
  <c r="AT15" i="4"/>
  <c r="BB15" i="4"/>
  <c r="E16" i="4"/>
  <c r="M16" i="4"/>
  <c r="U16" i="4"/>
  <c r="AC16" i="4"/>
  <c r="AK16" i="4"/>
  <c r="AS16" i="4"/>
  <c r="BA16" i="4"/>
  <c r="D17" i="4"/>
  <c r="L17" i="4"/>
  <c r="T17" i="4"/>
  <c r="AB17" i="4"/>
  <c r="AJ17" i="4"/>
  <c r="AR17" i="4"/>
  <c r="AZ17" i="4"/>
  <c r="C18" i="4"/>
  <c r="K18" i="4"/>
  <c r="S18" i="4"/>
  <c r="AA18" i="4"/>
  <c r="AI18" i="4"/>
  <c r="AQ18" i="4"/>
  <c r="AY18" i="4"/>
  <c r="BG18" i="4"/>
  <c r="B19" i="4"/>
  <c r="J19" i="4"/>
  <c r="R19" i="4"/>
  <c r="Z19" i="4"/>
  <c r="AH19" i="4"/>
  <c r="AP19" i="4"/>
  <c r="AX19" i="4"/>
  <c r="BF19" i="4"/>
  <c r="I20" i="4"/>
  <c r="Q20" i="4"/>
  <c r="Y20" i="4"/>
  <c r="AG20" i="4"/>
  <c r="AO20" i="4"/>
  <c r="AW20" i="4"/>
  <c r="BE20" i="4"/>
  <c r="H21" i="4"/>
  <c r="P21" i="4"/>
  <c r="X21" i="4"/>
  <c r="AF21" i="4"/>
  <c r="AN21" i="4"/>
  <c r="AV21" i="4"/>
  <c r="BD21" i="4"/>
  <c r="G22" i="4"/>
  <c r="O22" i="4"/>
  <c r="W22" i="4"/>
  <c r="AE22" i="4"/>
  <c r="AM22" i="4"/>
  <c r="AU22" i="4"/>
  <c r="BC22" i="4"/>
  <c r="F23" i="4"/>
  <c r="N23" i="4"/>
  <c r="V23" i="4"/>
  <c r="AD23" i="4"/>
  <c r="AL23" i="4"/>
  <c r="AT23" i="4"/>
  <c r="BB23" i="4"/>
  <c r="L25" i="4"/>
  <c r="T25" i="4"/>
  <c r="AB25" i="4"/>
  <c r="AJ25" i="4"/>
  <c r="AR25" i="4"/>
  <c r="AZ25" i="4"/>
  <c r="C26" i="4"/>
  <c r="K26" i="4"/>
  <c r="S26" i="4"/>
  <c r="AA26" i="4"/>
  <c r="AI26" i="4"/>
  <c r="AQ26" i="4"/>
  <c r="AY26" i="4"/>
  <c r="BG26" i="4"/>
  <c r="B27" i="4"/>
  <c r="J27" i="4"/>
  <c r="R27" i="4"/>
  <c r="Z27" i="4"/>
  <c r="AH27" i="4"/>
  <c r="AP27" i="4"/>
  <c r="AX27" i="4"/>
  <c r="BF27" i="4"/>
  <c r="I28" i="4"/>
  <c r="Q28" i="4"/>
  <c r="Y28" i="4"/>
  <c r="AG28" i="4"/>
  <c r="AO28" i="4"/>
  <c r="AW28" i="4"/>
  <c r="BE28" i="4"/>
  <c r="H29" i="4"/>
  <c r="P29" i="4"/>
  <c r="X29" i="4"/>
  <c r="AF29" i="4"/>
  <c r="AN29" i="4"/>
  <c r="AV29" i="4"/>
  <c r="BD29" i="4"/>
  <c r="G30" i="4"/>
  <c r="O30" i="4"/>
  <c r="W30" i="4"/>
  <c r="AE30" i="4"/>
  <c r="AM30" i="4"/>
  <c r="AU30" i="4"/>
  <c r="BC30" i="4"/>
  <c r="F31" i="4"/>
  <c r="N31" i="4"/>
  <c r="V31" i="4"/>
  <c r="AD31" i="4"/>
  <c r="AL31" i="4"/>
  <c r="AT31" i="4"/>
  <c r="BB31" i="4"/>
  <c r="E32" i="4"/>
  <c r="M32" i="4"/>
  <c r="U32" i="4"/>
  <c r="AC32" i="4"/>
  <c r="AK32" i="4"/>
  <c r="AS32" i="4"/>
  <c r="BA32" i="4"/>
  <c r="AZ7" i="4"/>
  <c r="H9" i="4"/>
  <c r="P9" i="4"/>
  <c r="X9" i="4"/>
  <c r="AF9" i="4"/>
  <c r="AN9" i="4"/>
  <c r="AV9" i="4"/>
  <c r="BD9" i="4"/>
  <c r="G10" i="4"/>
  <c r="O10" i="4"/>
  <c r="W10" i="4"/>
  <c r="AE10" i="4"/>
  <c r="AM10" i="4"/>
  <c r="AU10" i="4"/>
  <c r="BC10" i="4"/>
  <c r="F11" i="4"/>
  <c r="N11" i="4"/>
  <c r="V11" i="4"/>
  <c r="AD11" i="4"/>
  <c r="AL11" i="4"/>
  <c r="AT11" i="4"/>
  <c r="BB11" i="4"/>
  <c r="E12" i="4"/>
  <c r="M12" i="4"/>
  <c r="AC12" i="4"/>
  <c r="AK12" i="4"/>
  <c r="AS12" i="4"/>
  <c r="BA12" i="4"/>
  <c r="D13" i="4"/>
  <c r="L13" i="4"/>
  <c r="T13" i="4"/>
  <c r="AB13" i="4"/>
  <c r="AJ13" i="4"/>
  <c r="AR13" i="4"/>
  <c r="AZ13" i="4"/>
  <c r="C14" i="4"/>
  <c r="K14" i="4"/>
  <c r="S14" i="4"/>
  <c r="AA14" i="4"/>
  <c r="AI14" i="4"/>
  <c r="AQ14" i="4"/>
  <c r="AY14" i="4"/>
  <c r="BG14" i="4"/>
  <c r="B15" i="4"/>
  <c r="J15" i="4"/>
  <c r="R15" i="4"/>
  <c r="Z15" i="4"/>
  <c r="AH15" i="4"/>
  <c r="AP15" i="4"/>
  <c r="AX15" i="4"/>
  <c r="BF15" i="4"/>
  <c r="I16" i="4"/>
  <c r="Q16" i="4"/>
  <c r="Y16" i="4"/>
  <c r="AG16" i="4"/>
  <c r="AO16" i="4"/>
  <c r="AW16" i="4"/>
  <c r="BE16" i="4"/>
  <c r="H17" i="4"/>
  <c r="P17" i="4"/>
  <c r="X17" i="4"/>
  <c r="AF17" i="4"/>
  <c r="AN17" i="4"/>
  <c r="AV17" i="4"/>
  <c r="BD17" i="4"/>
  <c r="G18" i="4"/>
  <c r="O18" i="4"/>
  <c r="W18" i="4"/>
  <c r="AE18" i="4"/>
  <c r="AM18" i="4"/>
  <c r="AU18" i="4"/>
  <c r="BC18" i="4"/>
  <c r="F19" i="4"/>
  <c r="N19" i="4"/>
  <c r="V19" i="4"/>
  <c r="AD19" i="4"/>
  <c r="AL19" i="4"/>
  <c r="AT19" i="4"/>
  <c r="BB19" i="4"/>
  <c r="E20" i="4"/>
  <c r="M20" i="4"/>
  <c r="U20" i="4"/>
  <c r="AC20" i="4"/>
  <c r="AK20" i="4"/>
  <c r="BA20" i="4"/>
  <c r="D21" i="4"/>
  <c r="L21" i="4"/>
  <c r="T21" i="4"/>
  <c r="AB21" i="4"/>
  <c r="AJ21" i="4"/>
  <c r="AR21" i="4"/>
  <c r="AZ21" i="4"/>
  <c r="C22" i="4"/>
  <c r="K22" i="4"/>
  <c r="S22" i="4"/>
  <c r="AA22" i="4"/>
  <c r="AI22" i="4"/>
  <c r="AQ22" i="4"/>
  <c r="AY22" i="4"/>
  <c r="BG22" i="4"/>
  <c r="B23" i="4"/>
  <c r="J23" i="4"/>
  <c r="R23" i="4"/>
  <c r="Z23" i="4"/>
  <c r="AH23" i="4"/>
  <c r="AP23" i="4"/>
  <c r="AX23" i="4"/>
  <c r="BF23" i="4"/>
  <c r="H25" i="4"/>
  <c r="P25" i="4"/>
  <c r="X25" i="4"/>
  <c r="AF25" i="4"/>
  <c r="AN25" i="4"/>
  <c r="AV25" i="4"/>
  <c r="BD25" i="4"/>
  <c r="G26" i="4"/>
  <c r="O26" i="4"/>
  <c r="W26" i="4"/>
  <c r="AE26" i="4"/>
  <c r="AM26" i="4"/>
  <c r="AU26" i="4"/>
  <c r="BC26" i="4"/>
  <c r="F27" i="4"/>
  <c r="N27" i="4"/>
  <c r="V27" i="4"/>
  <c r="AD27" i="4"/>
  <c r="AL27" i="4"/>
  <c r="AT27" i="4"/>
  <c r="BB27" i="4"/>
  <c r="E28" i="4"/>
  <c r="M28" i="4"/>
  <c r="U28" i="4"/>
  <c r="AC28" i="4"/>
  <c r="AK28" i="4"/>
  <c r="AS28" i="4"/>
  <c r="BA28" i="4"/>
  <c r="D29" i="4"/>
  <c r="L29" i="4"/>
  <c r="T29" i="4"/>
  <c r="AJ29" i="4"/>
  <c r="AR29" i="4"/>
  <c r="AZ29" i="4"/>
  <c r="C30" i="4"/>
  <c r="K30" i="4"/>
  <c r="S30" i="4"/>
  <c r="AA30" i="4"/>
  <c r="AI30" i="4"/>
  <c r="AQ30" i="4"/>
  <c r="AY30" i="4"/>
  <c r="BG30" i="4"/>
  <c r="BB6" i="4"/>
  <c r="M7" i="4"/>
  <c r="AC7" i="4"/>
  <c r="AS7" i="4"/>
  <c r="I9" i="4"/>
  <c r="Y9" i="4"/>
  <c r="AO9" i="4"/>
  <c r="AW9" i="4"/>
  <c r="BE9" i="4"/>
  <c r="H10" i="4"/>
  <c r="P10" i="4"/>
  <c r="X10" i="4"/>
  <c r="AF10" i="4"/>
  <c r="AN10" i="4"/>
  <c r="AV10" i="4"/>
  <c r="BD10" i="4"/>
  <c r="G11" i="4"/>
  <c r="W11" i="4"/>
  <c r="AE11" i="4"/>
  <c r="AM11" i="4"/>
  <c r="AU11" i="4"/>
  <c r="F12" i="4"/>
  <c r="N12" i="4"/>
  <c r="V12" i="4"/>
  <c r="AD12" i="4"/>
  <c r="AL12" i="4"/>
  <c r="AT12" i="4"/>
  <c r="BB12" i="4"/>
  <c r="E13" i="4"/>
  <c r="M13" i="4"/>
  <c r="U13" i="4"/>
  <c r="AC13" i="4"/>
  <c r="AK13" i="4"/>
  <c r="AS13" i="4"/>
  <c r="BA13" i="4"/>
  <c r="D14" i="4"/>
  <c r="L14" i="4"/>
  <c r="T14" i="4"/>
  <c r="AB14" i="4"/>
  <c r="AJ14" i="4"/>
  <c r="AR14" i="4"/>
  <c r="AZ14" i="4"/>
  <c r="C15" i="4"/>
  <c r="K15" i="4"/>
  <c r="AA15" i="4"/>
  <c r="AI15" i="4"/>
  <c r="AQ15" i="4"/>
  <c r="AY15" i="4"/>
  <c r="BG15" i="4"/>
  <c r="B16" i="4"/>
  <c r="J16" i="4"/>
  <c r="R16" i="4"/>
  <c r="Z16" i="4"/>
  <c r="AH16" i="4"/>
  <c r="AP16" i="4"/>
  <c r="BF16" i="4"/>
  <c r="I17" i="4"/>
  <c r="Q17" i="4"/>
  <c r="Y17" i="4"/>
  <c r="AG17" i="4"/>
  <c r="AO17" i="4"/>
  <c r="AW17" i="4"/>
  <c r="BE17" i="4"/>
  <c r="H18" i="4"/>
  <c r="P18" i="4"/>
  <c r="X18" i="4"/>
  <c r="AF18" i="4"/>
  <c r="AN18" i="4"/>
  <c r="AV18" i="4"/>
  <c r="BD18" i="4"/>
  <c r="G19" i="4"/>
  <c r="O19" i="4"/>
  <c r="W19" i="4"/>
  <c r="AE19" i="4"/>
  <c r="AM19" i="4"/>
  <c r="AU19" i="4"/>
  <c r="BC19" i="4"/>
  <c r="F20" i="4"/>
  <c r="N20" i="4"/>
  <c r="V20" i="4"/>
  <c r="AD20" i="4"/>
  <c r="AL20" i="4"/>
  <c r="AT20" i="4"/>
  <c r="BB20" i="4"/>
  <c r="E21" i="4"/>
  <c r="M21" i="4"/>
  <c r="U21" i="4"/>
  <c r="AC21" i="4"/>
  <c r="AK21" i="4"/>
  <c r="AS21" i="4"/>
  <c r="BA21" i="4"/>
  <c r="D22" i="4"/>
  <c r="L22" i="4"/>
  <c r="T22" i="4"/>
  <c r="AB22" i="4"/>
  <c r="AJ22" i="4"/>
  <c r="AR22" i="4"/>
  <c r="AZ22" i="4"/>
  <c r="C23" i="4"/>
  <c r="K23" i="4"/>
  <c r="S23" i="4"/>
  <c r="AA23" i="4"/>
  <c r="AI23" i="4"/>
  <c r="AQ23" i="4"/>
  <c r="AY23" i="4"/>
  <c r="BG23" i="4"/>
  <c r="I25" i="4"/>
  <c r="Q25" i="4"/>
  <c r="AG25" i="4"/>
  <c r="AO25" i="4"/>
  <c r="AW25" i="4"/>
  <c r="BE25" i="4"/>
  <c r="H26" i="4"/>
  <c r="P26" i="4"/>
  <c r="X26" i="4"/>
  <c r="AF26" i="4"/>
  <c r="AN26" i="4"/>
  <c r="AV26" i="4"/>
  <c r="BD26" i="4"/>
  <c r="G27" i="4"/>
  <c r="O27" i="4"/>
  <c r="W27" i="4"/>
  <c r="AE27" i="4"/>
  <c r="AM27" i="4"/>
  <c r="AU27" i="4"/>
  <c r="BC27" i="4"/>
  <c r="F28" i="4"/>
  <c r="N28" i="4"/>
  <c r="V28" i="4"/>
  <c r="AD28" i="4"/>
  <c r="AL28" i="4"/>
  <c r="AT28" i="4"/>
  <c r="BB28" i="4"/>
  <c r="E29" i="4"/>
  <c r="M29" i="4"/>
  <c r="U29" i="4"/>
  <c r="AC29" i="4"/>
  <c r="AK29" i="4"/>
  <c r="AS29" i="4"/>
  <c r="BA29" i="4"/>
  <c r="D30" i="4"/>
  <c r="L30" i="4"/>
  <c r="T30" i="4"/>
  <c r="AB30" i="4"/>
  <c r="AJ30" i="4"/>
  <c r="AR30" i="4"/>
  <c r="AZ30" i="4"/>
  <c r="I33" i="4"/>
  <c r="AM12" i="4"/>
  <c r="AU12" i="4"/>
  <c r="BC12" i="4"/>
  <c r="F13" i="4"/>
  <c r="N13" i="4"/>
  <c r="V13" i="4"/>
  <c r="AD13" i="4"/>
  <c r="AL13" i="4"/>
  <c r="AT13" i="4"/>
  <c r="BB13" i="4"/>
  <c r="E14" i="4"/>
  <c r="U14" i="4"/>
  <c r="AC14" i="4"/>
  <c r="AK14" i="4"/>
  <c r="AS14" i="4"/>
  <c r="D15" i="4"/>
  <c r="L15" i="4"/>
  <c r="T15" i="4"/>
  <c r="AB15" i="4"/>
  <c r="AJ15" i="4"/>
  <c r="AR15" i="4"/>
  <c r="AZ15" i="4"/>
  <c r="C16" i="4"/>
  <c r="K16" i="4"/>
  <c r="S16" i="4"/>
  <c r="AA16" i="4"/>
  <c r="AI16" i="4"/>
  <c r="AQ16" i="4"/>
  <c r="BG16" i="4"/>
  <c r="B17" i="4"/>
  <c r="J17" i="4"/>
  <c r="R17" i="4"/>
  <c r="Z17" i="4"/>
  <c r="AH17" i="4"/>
  <c r="AP17" i="4"/>
  <c r="AX17" i="4"/>
  <c r="BF17" i="4"/>
  <c r="I18" i="4"/>
  <c r="Q18" i="4"/>
  <c r="Y18" i="4"/>
  <c r="AO18" i="4"/>
  <c r="AW18" i="4"/>
  <c r="BE18" i="4"/>
  <c r="H19" i="4"/>
  <c r="P19" i="4"/>
  <c r="X19" i="4"/>
  <c r="AF19" i="4"/>
  <c r="AN19" i="4"/>
  <c r="AV19" i="4"/>
  <c r="BD19" i="4"/>
  <c r="G20" i="4"/>
  <c r="O20" i="4"/>
  <c r="W20" i="4"/>
  <c r="AE20" i="4"/>
  <c r="AM20" i="4"/>
  <c r="AU20" i="4"/>
  <c r="BC20" i="4"/>
  <c r="F21" i="4"/>
  <c r="N21" i="4"/>
  <c r="V21" i="4"/>
  <c r="AD21" i="4"/>
  <c r="AL21" i="4"/>
  <c r="AT21" i="4"/>
  <c r="BB21" i="4"/>
  <c r="E22" i="4"/>
  <c r="M22" i="4"/>
  <c r="U22" i="4"/>
  <c r="AC22" i="4"/>
  <c r="AK22" i="4"/>
  <c r="AS22" i="4"/>
  <c r="BA22" i="4"/>
  <c r="D23" i="4"/>
  <c r="L23" i="4"/>
  <c r="T23" i="4"/>
  <c r="AB23" i="4"/>
  <c r="AJ23" i="4"/>
  <c r="AR23" i="4"/>
  <c r="AZ23" i="4"/>
  <c r="B25" i="4"/>
  <c r="J25" i="4"/>
  <c r="R25" i="4"/>
  <c r="Z25" i="4"/>
  <c r="AH25" i="4"/>
  <c r="AP25" i="4"/>
  <c r="AX25" i="4"/>
  <c r="BF25" i="4"/>
  <c r="I26" i="4"/>
  <c r="Q26" i="4"/>
  <c r="Y26" i="4"/>
  <c r="AG26" i="4"/>
  <c r="AO26" i="4"/>
  <c r="AW26" i="4"/>
  <c r="BE26" i="4"/>
  <c r="H27" i="4"/>
  <c r="P27" i="4"/>
  <c r="X27" i="4"/>
  <c r="AF27" i="4"/>
  <c r="AN27" i="4"/>
  <c r="AV27" i="4"/>
  <c r="BD27" i="4"/>
  <c r="G28" i="4"/>
  <c r="O28" i="4"/>
  <c r="W28" i="4"/>
  <c r="AE28" i="4"/>
  <c r="AM28" i="4"/>
  <c r="AU28" i="4"/>
  <c r="BC28" i="4"/>
  <c r="F29" i="4"/>
  <c r="N29" i="4"/>
  <c r="V29" i="4"/>
  <c r="AD29" i="4"/>
  <c r="AL29" i="4"/>
  <c r="AT29" i="4"/>
  <c r="BB29" i="4"/>
  <c r="E30" i="4"/>
  <c r="M30" i="4"/>
  <c r="U30" i="4"/>
  <c r="AC30" i="4"/>
  <c r="AK30" i="4"/>
  <c r="C32" i="4"/>
  <c r="H12" i="4"/>
  <c r="P12" i="4"/>
  <c r="X12" i="4"/>
  <c r="AF12" i="4"/>
  <c r="AN12" i="4"/>
  <c r="AV12" i="4"/>
  <c r="BD12" i="4"/>
  <c r="O13" i="4"/>
  <c r="W13" i="4"/>
  <c r="AE13" i="4"/>
  <c r="AM13" i="4"/>
  <c r="BC13" i="4"/>
  <c r="F14" i="4"/>
  <c r="N14" i="4"/>
  <c r="V14" i="4"/>
  <c r="AL14" i="4"/>
  <c r="AT14" i="4"/>
  <c r="E15" i="4"/>
  <c r="M15" i="4"/>
  <c r="U15" i="4"/>
  <c r="AC15" i="4"/>
  <c r="AK15" i="4"/>
  <c r="D16" i="4"/>
  <c r="L16" i="4"/>
  <c r="T16" i="4"/>
  <c r="AB16" i="4"/>
  <c r="AJ16" i="4"/>
  <c r="AR16" i="4"/>
  <c r="AZ16" i="4"/>
  <c r="C17" i="4"/>
  <c r="K17" i="4"/>
  <c r="S17" i="4"/>
  <c r="AA17" i="4"/>
  <c r="AI17" i="4"/>
  <c r="AQ17" i="4"/>
  <c r="AY17" i="4"/>
  <c r="BG17" i="4"/>
  <c r="B18" i="4"/>
  <c r="J18" i="4"/>
  <c r="R18" i="4"/>
  <c r="Z18" i="4"/>
  <c r="AH18" i="4"/>
  <c r="AP18" i="4"/>
  <c r="AX18" i="4"/>
  <c r="BF18" i="4"/>
  <c r="I19" i="4"/>
  <c r="Q19" i="4"/>
  <c r="Y19" i="4"/>
  <c r="AG19" i="4"/>
  <c r="AO19" i="4"/>
  <c r="AW19" i="4"/>
  <c r="BE19" i="4"/>
  <c r="H20" i="4"/>
  <c r="P20" i="4"/>
  <c r="X20" i="4"/>
  <c r="AF20" i="4"/>
  <c r="AN20" i="4"/>
  <c r="AV20" i="4"/>
  <c r="BD20" i="4"/>
  <c r="G21" i="4"/>
  <c r="O21" i="4"/>
  <c r="W21" i="4"/>
  <c r="AE21" i="4"/>
  <c r="AM21" i="4"/>
  <c r="AU21" i="4"/>
  <c r="BC21" i="4"/>
  <c r="F22" i="4"/>
  <c r="N22" i="4"/>
  <c r="V22" i="4"/>
  <c r="AD22" i="4"/>
  <c r="AL22" i="4"/>
  <c r="AT22" i="4"/>
  <c r="BB22" i="4"/>
  <c r="E23" i="4"/>
  <c r="M23" i="4"/>
  <c r="U23" i="4"/>
  <c r="AC23" i="4"/>
  <c r="AK23" i="4"/>
  <c r="AS23" i="4"/>
  <c r="BA23" i="4"/>
  <c r="C25" i="4"/>
  <c r="K25" i="4"/>
  <c r="S25" i="4"/>
  <c r="AA25" i="4"/>
  <c r="AI25" i="4"/>
  <c r="AQ25" i="4"/>
  <c r="AY25" i="4"/>
  <c r="BG25" i="4"/>
  <c r="B26" i="4"/>
  <c r="J26" i="4"/>
  <c r="R26" i="4"/>
  <c r="Z26" i="4"/>
  <c r="AH26" i="4"/>
  <c r="AP26" i="4"/>
  <c r="AX26" i="4"/>
  <c r="BF26" i="4"/>
  <c r="I27" i="4"/>
  <c r="Q27" i="4"/>
  <c r="Y27" i="4"/>
  <c r="AG27" i="4"/>
  <c r="AO27" i="4"/>
  <c r="AW27" i="4"/>
  <c r="BE27" i="4"/>
  <c r="H28" i="4"/>
  <c r="P28" i="4"/>
  <c r="X28" i="4"/>
  <c r="AF28" i="4"/>
  <c r="AN28" i="4"/>
  <c r="AV28" i="4"/>
  <c r="BD28" i="4"/>
  <c r="G29" i="4"/>
  <c r="O29" i="4"/>
  <c r="W29" i="4"/>
  <c r="AE29" i="4"/>
  <c r="AM29" i="4"/>
  <c r="AU29" i="4"/>
  <c r="BC29" i="4"/>
  <c r="F30" i="4"/>
  <c r="N30" i="4"/>
  <c r="V30" i="4"/>
  <c r="AD30" i="4"/>
  <c r="AL30" i="4"/>
  <c r="AT30" i="4"/>
  <c r="BB30" i="4"/>
  <c r="E31" i="4"/>
  <c r="M31" i="4"/>
  <c r="U31" i="4"/>
  <c r="AC31" i="4"/>
  <c r="AK31" i="4"/>
  <c r="AS31" i="4"/>
  <c r="BA31" i="4"/>
  <c r="D32" i="4"/>
  <c r="L32" i="4"/>
  <c r="T32" i="4"/>
  <c r="AB32" i="4"/>
  <c r="AJ32" i="4"/>
  <c r="AR32" i="4"/>
  <c r="AZ32" i="4"/>
  <c r="C33" i="4"/>
  <c r="K33" i="4"/>
  <c r="S33" i="4"/>
  <c r="AA33" i="4"/>
  <c r="AI33" i="4"/>
  <c r="AQ33" i="4"/>
  <c r="AY33" i="4"/>
  <c r="BG33" i="4"/>
  <c r="AS33" i="4"/>
  <c r="BA33" i="4"/>
  <c r="B31" i="4"/>
  <c r="J31" i="4"/>
  <c r="R31" i="4"/>
  <c r="Z31" i="4"/>
  <c r="AH31" i="4"/>
  <c r="AP31" i="4"/>
  <c r="AX31" i="4"/>
  <c r="BF31" i="4"/>
  <c r="I32" i="4"/>
  <c r="Q32" i="4"/>
  <c r="Y32" i="4"/>
  <c r="AG32" i="4"/>
  <c r="AO32" i="4"/>
  <c r="AW32" i="4"/>
  <c r="BE32" i="4"/>
  <c r="H33" i="4"/>
  <c r="P33" i="4"/>
  <c r="X33" i="4"/>
  <c r="AF33" i="4"/>
  <c r="AN33" i="4"/>
  <c r="AV33" i="4"/>
  <c r="BD33" i="4"/>
  <c r="C31" i="4"/>
  <c r="K31" i="4"/>
  <c r="S31" i="4"/>
  <c r="AA31" i="4"/>
  <c r="AI31" i="4"/>
  <c r="AQ31" i="4"/>
  <c r="AY31" i="4"/>
  <c r="BG31" i="4"/>
  <c r="B32" i="4"/>
  <c r="J32" i="4"/>
  <c r="R32" i="4"/>
  <c r="Z32" i="4"/>
  <c r="AH32" i="4"/>
  <c r="AP32" i="4"/>
  <c r="AX32" i="4"/>
  <c r="BF32" i="4"/>
  <c r="Q33" i="4"/>
  <c r="Y33" i="4"/>
  <c r="AG33" i="4"/>
  <c r="AO33" i="4"/>
  <c r="AW33" i="4"/>
  <c r="BE33" i="4"/>
  <c r="AS30" i="4"/>
  <c r="BA30" i="4"/>
  <c r="D31" i="4"/>
  <c r="L31" i="4"/>
  <c r="T31" i="4"/>
  <c r="AB31" i="4"/>
  <c r="AJ31" i="4"/>
  <c r="AR31" i="4"/>
  <c r="AZ31" i="4"/>
  <c r="K32" i="4"/>
  <c r="S32" i="4"/>
  <c r="AA32" i="4"/>
  <c r="AI32" i="4"/>
  <c r="AQ32" i="4"/>
  <c r="AY32" i="4"/>
  <c r="BG32" i="4"/>
  <c r="B33" i="4"/>
  <c r="J33" i="4"/>
  <c r="R33" i="4"/>
  <c r="Z33" i="4"/>
  <c r="AH33" i="4"/>
  <c r="AP33" i="4"/>
  <c r="AX33" i="4"/>
  <c r="BF33" i="4"/>
  <c r="N3" i="6"/>
</calcChain>
</file>

<file path=xl/sharedStrings.xml><?xml version="1.0" encoding="utf-8"?>
<sst xmlns="http://schemas.openxmlformats.org/spreadsheetml/2006/main" count="971" uniqueCount="538">
  <si>
    <t>TAG</t>
  </si>
  <si>
    <t>Coleta</t>
  </si>
  <si>
    <t>Data</t>
  </si>
  <si>
    <t>Rio</t>
  </si>
  <si>
    <t>Habitat=Pote</t>
  </si>
  <si>
    <t>PONTO1</t>
  </si>
  <si>
    <t>PONTO2</t>
  </si>
  <si>
    <t>PONTO3</t>
  </si>
  <si>
    <t>PONTO4</t>
  </si>
  <si>
    <t>PONTO5</t>
  </si>
  <si>
    <t>P05-C1-H1</t>
  </si>
  <si>
    <t>Barro Branco</t>
  </si>
  <si>
    <t>P05-C1-H2</t>
  </si>
  <si>
    <t>P05-C1-H3</t>
  </si>
  <si>
    <t>PONTO6</t>
  </si>
  <si>
    <t>P06-C1-H1</t>
  </si>
  <si>
    <t>P06-C1-H2</t>
  </si>
  <si>
    <t>P06-C1-H3</t>
  </si>
  <si>
    <t>PONTO7</t>
  </si>
  <si>
    <t>P07-C1-H1</t>
  </si>
  <si>
    <t>P07-C1-H2</t>
  </si>
  <si>
    <t>P07-C1-H3</t>
  </si>
  <si>
    <t>PONTO8</t>
  </si>
  <si>
    <t>P08-C1-H1</t>
  </si>
  <si>
    <t>P08-C1-H2</t>
  </si>
  <si>
    <t>P08-C1-H3</t>
  </si>
  <si>
    <t>PONTO9</t>
  </si>
  <si>
    <t>P09-C1-H1</t>
  </si>
  <si>
    <t>P09-C1-H2</t>
  </si>
  <si>
    <t>P09-C1-H3</t>
  </si>
  <si>
    <t>PONTO10</t>
  </si>
  <si>
    <t>P010-C1-H1</t>
  </si>
  <si>
    <t>P010-C1-H2</t>
  </si>
  <si>
    <t>P010-C1-H3</t>
  </si>
  <si>
    <t>PONTO11</t>
  </si>
  <si>
    <t>P011-C1-H1</t>
  </si>
  <si>
    <t>Caiana</t>
  </si>
  <si>
    <t>P011-C1-H2</t>
  </si>
  <si>
    <t>P011-C1-H3</t>
  </si>
  <si>
    <t>PONTO12</t>
  </si>
  <si>
    <t>P012-C1-H1</t>
  </si>
  <si>
    <t>P012-C1-H2</t>
  </si>
  <si>
    <t>P012-C1-H3</t>
  </si>
  <si>
    <t>PONTO13</t>
  </si>
  <si>
    <t>P013-C1-H1</t>
  </si>
  <si>
    <t>P013-C1-H2</t>
  </si>
  <si>
    <t>P013-C1-H3</t>
  </si>
  <si>
    <t>PONTO14</t>
  </si>
  <si>
    <t>P014-C1-H1</t>
  </si>
  <si>
    <t>P014-C1-H2</t>
  </si>
  <si>
    <t>P014-C1-H3</t>
  </si>
  <si>
    <t>PONTO15</t>
  </si>
  <si>
    <t>P015-C1-H1</t>
  </si>
  <si>
    <t>P015-C1-H2</t>
  </si>
  <si>
    <t>P015-C1-H3</t>
  </si>
  <si>
    <t>PONTO16</t>
  </si>
  <si>
    <t>P016-C1-H1</t>
  </si>
  <si>
    <t>P016-C1-H2</t>
  </si>
  <si>
    <t>P016-C1-H3</t>
  </si>
  <si>
    <t>PONTO17</t>
  </si>
  <si>
    <t>P017-C1-H1</t>
  </si>
  <si>
    <t>P017-C1-H2</t>
  </si>
  <si>
    <t>P017-C1-H3</t>
  </si>
  <si>
    <t>PONTO18</t>
  </si>
  <si>
    <t>P018-C1-H1</t>
  </si>
  <si>
    <t>P018-C1-H2</t>
  </si>
  <si>
    <t>P018-C1-H3</t>
  </si>
  <si>
    <t>PONTO19</t>
  </si>
  <si>
    <t>P019-C1-H1</t>
  </si>
  <si>
    <t>P019-C1-H2</t>
  </si>
  <si>
    <t>P019-C1-H3</t>
  </si>
  <si>
    <t>PONTO20</t>
  </si>
  <si>
    <t>P020-C1-H1</t>
  </si>
  <si>
    <t>P020-C1-H2</t>
  </si>
  <si>
    <t>P020-C1-H3</t>
  </si>
  <si>
    <t>PONTO21</t>
  </si>
  <si>
    <t>PONTO22</t>
  </si>
  <si>
    <t>PONTO23</t>
  </si>
  <si>
    <t>PONTO24</t>
  </si>
  <si>
    <t>PONTO25</t>
  </si>
  <si>
    <t>PONTO26</t>
  </si>
  <si>
    <t>PONTO27</t>
  </si>
  <si>
    <t>PONTO28</t>
  </si>
  <si>
    <t>PONTO29</t>
  </si>
  <si>
    <t>PONTO30</t>
  </si>
  <si>
    <t>PONTO31</t>
  </si>
  <si>
    <t>PONTO32</t>
  </si>
  <si>
    <t>PONTO33</t>
  </si>
  <si>
    <t>PONTO34</t>
  </si>
  <si>
    <t>PONTO35</t>
  </si>
  <si>
    <t>PONTO36</t>
  </si>
  <si>
    <t>PONTO37</t>
  </si>
  <si>
    <t>PONTO38</t>
  </si>
  <si>
    <t>PONTO39</t>
  </si>
  <si>
    <t>PONTO40</t>
  </si>
  <si>
    <t>Alonella dadayi Birge, 1910</t>
  </si>
  <si>
    <t>Alonella hamulata (Birge, 1910)</t>
  </si>
  <si>
    <t>Alonella sp.</t>
  </si>
  <si>
    <t>Bdelloidea</t>
  </si>
  <si>
    <t>Brachionus patulus Müller, 1786</t>
  </si>
  <si>
    <t>Cephalodella sp.</t>
  </si>
  <si>
    <t>Colurella adriatica Ehrenberg, 1831</t>
  </si>
  <si>
    <t>Copepodite</t>
  </si>
  <si>
    <t>Chydorus sp.</t>
  </si>
  <si>
    <t>Dicranophoroides sp.</t>
  </si>
  <si>
    <t>Diaphanosoma birgei Korínek, 1981</t>
  </si>
  <si>
    <t>Diaphanosoma spinulosum Herbst, 1975</t>
  </si>
  <si>
    <t>Dissotrocha aculeata (Ehrenberg, 1832)</t>
  </si>
  <si>
    <t>Euchlanis dilatata Ehrenberg, 1832</t>
  </si>
  <si>
    <t>Filinia longiseta (Ehrenberg, 1834)</t>
  </si>
  <si>
    <t>Ilyocryptus spinifer Herrick, 1882</t>
  </si>
  <si>
    <t>Lecane aculeata (Jakubski, 1912)</t>
  </si>
  <si>
    <t>Lecane bulla (Gosse, 1851)</t>
  </si>
  <si>
    <t>Lecane cornuta (Müller, 1786)</t>
  </si>
  <si>
    <t>Lecane crepida Murray, 1913</t>
  </si>
  <si>
    <t>Lecane curvicornis (Murray, 1913)</t>
  </si>
  <si>
    <t>Lecane furcata (Murray, 1913)</t>
  </si>
  <si>
    <t>Lecane haliclysta Harring &amp; Myers, 1926</t>
  </si>
  <si>
    <t>Lecane leontina (Turner, 1892)</t>
  </si>
  <si>
    <t>Lecane lunaris (Ehrenberg, 1832)</t>
  </si>
  <si>
    <t>Lecane luna (Müller, 1776)</t>
  </si>
  <si>
    <t>Lecane monostyla (Daday, 1897)</t>
  </si>
  <si>
    <t>Lecane obtusa (Murray, 1913)</t>
  </si>
  <si>
    <t>Lecane papuana (Murray, 1913)</t>
  </si>
  <si>
    <t>Lecane quadridentata (Ehrenberg, 1832)</t>
  </si>
  <si>
    <t>Lecane signifera (Jennings, 1896)</t>
  </si>
  <si>
    <t>Leydigia sp.</t>
  </si>
  <si>
    <t xml:space="preserve">Lepadella benjamini Harring, 1916 </t>
  </si>
  <si>
    <t>Lepadella imbricata Harring, 1914</t>
  </si>
  <si>
    <t>Lepadella ovalis (Müller, 1786)</t>
  </si>
  <si>
    <t>Lepadella patella (Müller, 1773)</t>
  </si>
  <si>
    <t>Mesocyclops sp.</t>
  </si>
  <si>
    <t>Macrocyclops sp.</t>
  </si>
  <si>
    <t>Macrochaetus sp.</t>
  </si>
  <si>
    <t>Macrothrix sp.</t>
  </si>
  <si>
    <t>Macrothrix mira (Smirnov, 1992)</t>
  </si>
  <si>
    <t>Macrothrix laticornis (Jurine, 1820)</t>
  </si>
  <si>
    <t>Moina minuta Hansen, 1899</t>
  </si>
  <si>
    <t>Mytilina crassipes Wulfert, 1939</t>
  </si>
  <si>
    <t>Mytilina sp.</t>
  </si>
  <si>
    <t>Mytilina bisulcata (Lucks, 1912)</t>
  </si>
  <si>
    <t>Nauplii</t>
  </si>
  <si>
    <t>Notodiaptomus sp.</t>
  </si>
  <si>
    <t>Paracyclops sp.</t>
  </si>
  <si>
    <t>Platyias quadricornis (Ehrenberg, 1832)</t>
  </si>
  <si>
    <t>Polyarthra sp.</t>
  </si>
  <si>
    <t>Polyarthra bicerca Wulfert, 1956</t>
  </si>
  <si>
    <t>Polyarthra dolichoptera Idelson, 1925</t>
  </si>
  <si>
    <t>Polyarthra vulgaris Carlin, 1943</t>
  </si>
  <si>
    <t>Testudinella patina (Hermann, 1783)</t>
  </si>
  <si>
    <t xml:space="preserve">Testudinella mucronata (Gosse, 1886) </t>
  </si>
  <si>
    <t>Trichocerca sp.</t>
  </si>
  <si>
    <t>Trichotria tetractis (Ehrenberg, 1830)</t>
  </si>
  <si>
    <t>Alo.dadayi</t>
  </si>
  <si>
    <t>Alo.hamulata</t>
  </si>
  <si>
    <t>Alonella.sp</t>
  </si>
  <si>
    <t>Bra.patulus</t>
  </si>
  <si>
    <t>Cephalodella.sp</t>
  </si>
  <si>
    <t>Colurella.sp</t>
  </si>
  <si>
    <t>Chydorus.sp</t>
  </si>
  <si>
    <t>Dicranophoroides.sp</t>
  </si>
  <si>
    <t>Dia.birgei</t>
  </si>
  <si>
    <t>Dia.spinulosum</t>
  </si>
  <si>
    <t>Dis.aculeata</t>
  </si>
  <si>
    <t>Euc.dilatata</t>
  </si>
  <si>
    <t>Fil.longiseta</t>
  </si>
  <si>
    <t>Ily.spinifer</t>
  </si>
  <si>
    <t>Lec.aculeata</t>
  </si>
  <si>
    <t>Lec.bulla</t>
  </si>
  <si>
    <t>Lec.cornuta</t>
  </si>
  <si>
    <t>Lec.crepida</t>
  </si>
  <si>
    <t>Lec.curvicornis</t>
  </si>
  <si>
    <t>Lec.furcata</t>
  </si>
  <si>
    <t>Lecane.sp1</t>
  </si>
  <si>
    <t>Lec.leontina</t>
  </si>
  <si>
    <t>Lec.lunaris</t>
  </si>
  <si>
    <t>Lec.luna</t>
  </si>
  <si>
    <t>Lec.monostyla</t>
  </si>
  <si>
    <t>Lecane.sp2</t>
  </si>
  <si>
    <t>Lec.papuana</t>
  </si>
  <si>
    <t>Lec.quadridentata</t>
  </si>
  <si>
    <t>Lecane.sp3</t>
  </si>
  <si>
    <t>Leydigia.sp</t>
  </si>
  <si>
    <t>Lepadella.sp1</t>
  </si>
  <si>
    <t>Lepadella.sp2</t>
  </si>
  <si>
    <t>Lep.ovalis</t>
  </si>
  <si>
    <t>Lep.patella</t>
  </si>
  <si>
    <t>Mesocyclops.sp</t>
  </si>
  <si>
    <t>Macrocyclops.sp</t>
  </si>
  <si>
    <t>Macrochaetus.sp</t>
  </si>
  <si>
    <t>Macrothrix.sp</t>
  </si>
  <si>
    <t>Mac.mira</t>
  </si>
  <si>
    <t>Mac.laticornis</t>
  </si>
  <si>
    <t>Moi.minuta</t>
  </si>
  <si>
    <t>Myt.crassipes</t>
  </si>
  <si>
    <t>Mytilina.sp</t>
  </si>
  <si>
    <t>Myt.bisulcata</t>
  </si>
  <si>
    <t>Notodiaptomus.sp</t>
  </si>
  <si>
    <t>Paracyclops.sp</t>
  </si>
  <si>
    <t>Pla.quadricornis</t>
  </si>
  <si>
    <t>Polyarthra.sp</t>
  </si>
  <si>
    <t>Pol.bicerca</t>
  </si>
  <si>
    <t>Pol.dolichoptera</t>
  </si>
  <si>
    <t>Pol.vulgaris</t>
  </si>
  <si>
    <t>Tes.patina</t>
  </si>
  <si>
    <t>Tes.mucronata</t>
  </si>
  <si>
    <t>Trichocerca.sp</t>
  </si>
  <si>
    <t>Tri.tetractis</t>
  </si>
  <si>
    <t>S-B-P05-H1</t>
  </si>
  <si>
    <t>S-B-P05-H2</t>
  </si>
  <si>
    <t>S-B-P05-H3</t>
  </si>
  <si>
    <t>S-B-P06-H1</t>
  </si>
  <si>
    <t>S-B-P06-H2</t>
  </si>
  <si>
    <t>S-B-P06-H3</t>
  </si>
  <si>
    <t>S-B-P07-H1</t>
  </si>
  <si>
    <t>S-B-P07-H2</t>
  </si>
  <si>
    <t>S-B-P07-H3</t>
  </si>
  <si>
    <t>S-B-P08-H1</t>
  </si>
  <si>
    <t>S-B-P08-H2</t>
  </si>
  <si>
    <t>S-B-P08-H3</t>
  </si>
  <si>
    <t>S-B-P09-H1</t>
  </si>
  <si>
    <t>S-B-P09-H2</t>
  </si>
  <si>
    <t>S-B-P09-H3</t>
  </si>
  <si>
    <t>S-B-P10-H1</t>
  </si>
  <si>
    <t>S-B-P10-H2</t>
  </si>
  <si>
    <t>S-B-P10-H3</t>
  </si>
  <si>
    <t>S-C-P11-H1</t>
  </si>
  <si>
    <t>S-C-P11-H2</t>
  </si>
  <si>
    <t>S-C-P11-H3</t>
  </si>
  <si>
    <t>S-C-P12-H1</t>
  </si>
  <si>
    <t>S-C-P12-H2</t>
  </si>
  <si>
    <t>S-C-P12-H3</t>
  </si>
  <si>
    <t>S-C-P13-H1</t>
  </si>
  <si>
    <t>S-C-P13-H2</t>
  </si>
  <si>
    <t>S-C-P13-H3</t>
  </si>
  <si>
    <t>S-C-P14-H1</t>
  </si>
  <si>
    <t>S-C-P14-H2</t>
  </si>
  <si>
    <t>S-C-P14-H3</t>
  </si>
  <si>
    <t>S-C-P15-H1</t>
  </si>
  <si>
    <t>S-C-P15-H2</t>
  </si>
  <si>
    <t>S-C-P15-H3</t>
  </si>
  <si>
    <t>S-C-P16-H1</t>
  </si>
  <si>
    <t>S-C-P16-H2</t>
  </si>
  <si>
    <t>S-C-P16-H3</t>
  </si>
  <si>
    <t>S-C-P17-H1</t>
  </si>
  <si>
    <t>S-C-P17-H2</t>
  </si>
  <si>
    <t>S-C-P17-H3</t>
  </si>
  <si>
    <t>S-C-P18-H1</t>
  </si>
  <si>
    <t>S-C-P18-H2</t>
  </si>
  <si>
    <t>S-C-P18-H3</t>
  </si>
  <si>
    <t>S-C-P19-H1</t>
  </si>
  <si>
    <t>S-C-P19-H2</t>
  </si>
  <si>
    <t>S-C-P19-H3</t>
  </si>
  <si>
    <t>S-C-P20-H1</t>
  </si>
  <si>
    <t>S-C-P20-H2</t>
  </si>
  <si>
    <t>S-C-P20-H3</t>
  </si>
  <si>
    <t>C-B-P05-H1</t>
  </si>
  <si>
    <t>C-B-P05-H2</t>
  </si>
  <si>
    <t>C-B-P05-H3</t>
  </si>
  <si>
    <t>C-B-P06-H1</t>
  </si>
  <si>
    <t>C-B-P06-H2</t>
  </si>
  <si>
    <t>C-B-P06-H3</t>
  </si>
  <si>
    <t>C-B-P07-H1</t>
  </si>
  <si>
    <t>C-B-P07-H2</t>
  </si>
  <si>
    <t>C-B-P07-H3</t>
  </si>
  <si>
    <t>C-B-P08-H1</t>
  </si>
  <si>
    <t>C-B-P08-H2</t>
  </si>
  <si>
    <t>C-B-P08-H3</t>
  </si>
  <si>
    <t>C-B-P09-H1</t>
  </si>
  <si>
    <t>C-B-P09-H2</t>
  </si>
  <si>
    <t>C-B-P09-H3</t>
  </si>
  <si>
    <t>C-B-P10-H1</t>
  </si>
  <si>
    <t>C-B-P10-H2</t>
  </si>
  <si>
    <t>C-B-P10-H3</t>
  </si>
  <si>
    <t>C-C-P11-H1</t>
  </si>
  <si>
    <t>C-C-P11-H2</t>
  </si>
  <si>
    <t>C-C-P11-H3</t>
  </si>
  <si>
    <t>C-C-P12-H1</t>
  </si>
  <si>
    <t>C-C-P12-H2</t>
  </si>
  <si>
    <t>C-C-P12-H3</t>
  </si>
  <si>
    <t>C-C-P13-H1</t>
  </si>
  <si>
    <t>C-C-P13-H2</t>
  </si>
  <si>
    <t>C-C-P13-H3</t>
  </si>
  <si>
    <t>C-C-P14-H1</t>
  </si>
  <si>
    <t>C-C-P14-H2</t>
  </si>
  <si>
    <t>C-C-P14-H3</t>
  </si>
  <si>
    <t>C-C-P15-H1</t>
  </si>
  <si>
    <t>C-C-P15-H2</t>
  </si>
  <si>
    <t>C-C-P15-H3</t>
  </si>
  <si>
    <t>C-C-P16-H1</t>
  </si>
  <si>
    <t>C-C-P16-H2</t>
  </si>
  <si>
    <t>C-C-P16-H3</t>
  </si>
  <si>
    <t>C-C-P17-H1</t>
  </si>
  <si>
    <t>C-C-P17-H2</t>
  </si>
  <si>
    <t>C-C-P17-H3</t>
  </si>
  <si>
    <t>C-C-P18-H1</t>
  </si>
  <si>
    <t>C-C-P18-H2</t>
  </si>
  <si>
    <t>C-C-P18-H3</t>
  </si>
  <si>
    <t>C-C-P19-H1</t>
  </si>
  <si>
    <t>C-C-P19-H2</t>
  </si>
  <si>
    <t>C-C-P19-H3</t>
  </si>
  <si>
    <t>C-C-P20-H1</t>
  </si>
  <si>
    <t>C-C-P20-H2</t>
  </si>
  <si>
    <t>C-C-P20-H3</t>
  </si>
  <si>
    <t>n/a</t>
  </si>
  <si>
    <t>S-BB-P05</t>
  </si>
  <si>
    <t>S-BB-P06</t>
  </si>
  <si>
    <t>S-BB-P07</t>
  </si>
  <si>
    <t>S-BB-P08</t>
  </si>
  <si>
    <t>S-BB-P09</t>
  </si>
  <si>
    <t>S-BB-P10</t>
  </si>
  <si>
    <t>S-CA-P11</t>
  </si>
  <si>
    <t>S-CA-P12</t>
  </si>
  <si>
    <t>S-CA-P13</t>
  </si>
  <si>
    <t>S-CA-P14</t>
  </si>
  <si>
    <t>S-CA-P15</t>
  </si>
  <si>
    <t>S-CA-P16</t>
  </si>
  <si>
    <t>S-CA-P17</t>
  </si>
  <si>
    <t>S-CA-P18</t>
  </si>
  <si>
    <t>S-CA-P19</t>
  </si>
  <si>
    <t>S-CA-P20</t>
  </si>
  <si>
    <t>C-BB-P05</t>
  </si>
  <si>
    <t>C-BB-P06</t>
  </si>
  <si>
    <t>C-BB-P07</t>
  </si>
  <si>
    <t>C-BB-P08</t>
  </si>
  <si>
    <t>C-BB-P09</t>
  </si>
  <si>
    <t>C-BB-P10</t>
  </si>
  <si>
    <t>C-CA-P11</t>
  </si>
  <si>
    <t>C-CA-P12</t>
  </si>
  <si>
    <t>C-CA-P13</t>
  </si>
  <si>
    <t>C-CA-P14</t>
  </si>
  <si>
    <t>C-CA-P15</t>
  </si>
  <si>
    <t>C-CA-P16</t>
  </si>
  <si>
    <t>C-CA-P17</t>
  </si>
  <si>
    <t>C-CA-P18</t>
  </si>
  <si>
    <t>C-CA-P19</t>
  </si>
  <si>
    <t>C-CA-P20</t>
  </si>
  <si>
    <t>P01C1-H1-I</t>
  </si>
  <si>
    <t>Amostra (50L/80mL)</t>
  </si>
  <si>
    <t>Alíquota (1mL)</t>
  </si>
  <si>
    <t>Ponto</t>
  </si>
  <si>
    <t>Datas</t>
  </si>
  <si>
    <t>Lâmina</t>
  </si>
  <si>
    <t>P01</t>
  </si>
  <si>
    <t>C1</t>
  </si>
  <si>
    <t>x</t>
  </si>
  <si>
    <t>-H1</t>
  </si>
  <si>
    <t>-I</t>
  </si>
  <si>
    <t>P02</t>
  </si>
  <si>
    <t>-H2</t>
  </si>
  <si>
    <t>-II</t>
  </si>
  <si>
    <t>P03</t>
  </si>
  <si>
    <t>-H3</t>
  </si>
  <si>
    <t>-III</t>
  </si>
  <si>
    <t>P04</t>
  </si>
  <si>
    <t>P05</t>
  </si>
  <si>
    <t>Em vermelho</t>
  </si>
  <si>
    <t>conferir ou alterado</t>
  </si>
  <si>
    <t>Em azul</t>
  </si>
  <si>
    <t>errado</t>
  </si>
  <si>
    <t>Em verde</t>
  </si>
  <si>
    <t>não foram nós que identificamos</t>
  </si>
  <si>
    <t>Em rosa</t>
  </si>
  <si>
    <t>corrigir</t>
  </si>
  <si>
    <t>Em preto</t>
  </si>
  <si>
    <t>conferido por Elvio</t>
  </si>
  <si>
    <t>TOTAL REBIO 2012</t>
  </si>
  <si>
    <t>TOTAL REBIO 2023</t>
  </si>
  <si>
    <t>Lista de acordo com:</t>
  </si>
  <si>
    <t>ROTIFERA</t>
  </si>
  <si>
    <t>https://www.gbif.org/</t>
  </si>
  <si>
    <t xml:space="preserve">  DIGONONTA</t>
  </si>
  <si>
    <t>Entorno</t>
  </si>
  <si>
    <t>REBio</t>
  </si>
  <si>
    <t>https://www.nies.go.jp/chiiki1/protoz/index.html</t>
  </si>
  <si>
    <r>
      <rPr>
        <sz val="10"/>
        <color rgb="FF000000"/>
        <rFont val="Calibri"/>
        <charset val="1"/>
      </rPr>
      <t xml:space="preserve">     </t>
    </r>
    <r>
      <rPr>
        <b/>
        <sz val="10"/>
        <color rgb="FF000000"/>
        <rFont val="Calibri"/>
        <charset val="1"/>
      </rPr>
      <t>BDELLOIDEA</t>
    </r>
  </si>
  <si>
    <t>https://www.nies.go.jp/chiiki1/protoz/identi-r.htm</t>
  </si>
  <si>
    <t>Philodinidae</t>
  </si>
  <si>
    <t>Rotaria neptunia (Ehrenberg, 1830)</t>
  </si>
  <si>
    <t>Rot.neptunia</t>
  </si>
  <si>
    <t>Dicranophoridae</t>
  </si>
  <si>
    <t>Rotaria sp.</t>
  </si>
  <si>
    <t>Rotaria.sp</t>
  </si>
  <si>
    <t>Dicranop.sp</t>
  </si>
  <si>
    <t xml:space="preserve">  MONOGONONTA</t>
  </si>
  <si>
    <t>Notommatidae</t>
  </si>
  <si>
    <r>
      <rPr>
        <sz val="10"/>
        <color rgb="FF000000"/>
        <rFont val="Calibri"/>
        <charset val="1"/>
      </rPr>
      <t xml:space="preserve">     </t>
    </r>
    <r>
      <rPr>
        <b/>
        <sz val="10"/>
        <color rgb="FF000000"/>
        <rFont val="Calibri"/>
        <charset val="1"/>
      </rPr>
      <t>PLOIMA</t>
    </r>
  </si>
  <si>
    <t xml:space="preserve">     FLOSCULARIACEA</t>
  </si>
  <si>
    <t xml:space="preserve">Lecanidae </t>
  </si>
  <si>
    <t>Lecane aculeata (Jakubski, 1912)</t>
  </si>
  <si>
    <t>Lecane cornuta (Müller, 1786)</t>
  </si>
  <si>
    <t>Lecane crepida Harring, 1914</t>
  </si>
  <si>
    <t>Lecane curvicornis (Murray, 1913)</t>
  </si>
  <si>
    <t>Lecane elasma Harring &amp; Myers, 1926</t>
  </si>
  <si>
    <t>Lec.elasma</t>
  </si>
  <si>
    <t>Lecane furcata (Murray, 1913)</t>
  </si>
  <si>
    <t>Lecane leontina (Turner, 1892)</t>
  </si>
  <si>
    <t>Lecane hastata (Murray, 1913)</t>
  </si>
  <si>
    <t>Lec.hastata</t>
  </si>
  <si>
    <t>Lecane hornemanni (Ehrenberg, 1834)</t>
  </si>
  <si>
    <t>Lec.hornemanni</t>
  </si>
  <si>
    <t>Lecane luna (Müller, 1776)</t>
  </si>
  <si>
    <t>Lecane kluchor Tarnogradski, 1930</t>
  </si>
  <si>
    <t>Lec.kluchor</t>
  </si>
  <si>
    <t>Lecane monostyla (Daday, 1897):</t>
  </si>
  <si>
    <t>Lecane ligona (Dunlop, 1901)</t>
  </si>
  <si>
    <t>Lec.ligona</t>
  </si>
  <si>
    <t>Lecane quadridentata (Ehrenberg, 1830)</t>
  </si>
  <si>
    <t>Lecane sp.1</t>
  </si>
  <si>
    <t>Lecane sp.2</t>
  </si>
  <si>
    <t>Lecane sp.3</t>
  </si>
  <si>
    <t>Lecane ovalis (Jakubski, 1914)</t>
  </si>
  <si>
    <t>Lec.ovalis</t>
  </si>
  <si>
    <t>Brachionidae</t>
  </si>
  <si>
    <t>Lecane sp.</t>
  </si>
  <si>
    <t>Lecane.sp</t>
  </si>
  <si>
    <t>Brachionus urceolaris Müller, 1773</t>
  </si>
  <si>
    <t>Bra.urceolaris</t>
  </si>
  <si>
    <t>Lepadellidae</t>
  </si>
  <si>
    <t>Brachionus calyciflorus Pallas, 1766</t>
  </si>
  <si>
    <t>Bra.calyciflorus</t>
  </si>
  <si>
    <t>Lepadella ovalis (Müller, 1786)</t>
  </si>
  <si>
    <t>Brachionus caudatus Barrois &amp; Daday, 1894</t>
  </si>
  <si>
    <t>Bra.caudatus</t>
  </si>
  <si>
    <t>Brachionus angularis Gosse, 1851</t>
  </si>
  <si>
    <t>Bra.angularis</t>
  </si>
  <si>
    <t>Lep.imbricata</t>
  </si>
  <si>
    <t>Brachionus havanaensis Rousselet, 1911</t>
  </si>
  <si>
    <t>Bra.havanaensis</t>
  </si>
  <si>
    <t>Lepadella sp.</t>
  </si>
  <si>
    <t>Lepadella.sp</t>
  </si>
  <si>
    <t>Brachionus falcatus Zacharias, 1898</t>
  </si>
  <si>
    <t>Bra.falcatus</t>
  </si>
  <si>
    <t>Euchlanidae</t>
  </si>
  <si>
    <t>Brachionus quadridentatus Hermann, 1783</t>
  </si>
  <si>
    <t>Bra.quadridentatus</t>
  </si>
  <si>
    <t>Synchaetidae</t>
  </si>
  <si>
    <t>Keratella tropica (Apstein, 1907)</t>
  </si>
  <si>
    <t>Ker.tropica</t>
  </si>
  <si>
    <t>Polyarthra bicerca</t>
  </si>
  <si>
    <t>Keratella serrulata (Ehrenberg, 1838)</t>
  </si>
  <si>
    <t>Ker.serrulata</t>
  </si>
  <si>
    <t>Keratella Ienzi Hauer, 1987</t>
  </si>
  <si>
    <t>Ker.lenzi</t>
  </si>
  <si>
    <t>Polyarthra vulgaris</t>
  </si>
  <si>
    <t>Macrochaetus collinsi Gosse, 1867</t>
  </si>
  <si>
    <t>Mac.collinsi</t>
  </si>
  <si>
    <t>Plationus patulus (Müller,1786)</t>
  </si>
  <si>
    <t>Pla.patulus</t>
  </si>
  <si>
    <t xml:space="preserve">Colurellidae </t>
  </si>
  <si>
    <t>Notholca sp.</t>
  </si>
  <si>
    <t>Notholca.sp</t>
  </si>
  <si>
    <t>Colurella sp.</t>
  </si>
  <si>
    <t xml:space="preserve">Mytilinidae </t>
  </si>
  <si>
    <t>Mytilina crassipes (Lucks, 1912)</t>
  </si>
  <si>
    <t>Lepadella dactyliseta (Stenroos, 1898)</t>
  </si>
  <si>
    <t>Lep.dactyliseta</t>
  </si>
  <si>
    <t>Trichotriidae</t>
  </si>
  <si>
    <t>Trichotria tetractis (Ehrenberg, 1830)</t>
  </si>
  <si>
    <t>Filiniidae</t>
  </si>
  <si>
    <t>Beauchampiella eudactylota (Gosse, 1886)</t>
  </si>
  <si>
    <t>Bea.eudactylota</t>
  </si>
  <si>
    <t>Euchlanis sp.</t>
  </si>
  <si>
    <t>Euchlanis.sp</t>
  </si>
  <si>
    <t>Testudinellidae</t>
  </si>
  <si>
    <t>Gastropodidae</t>
  </si>
  <si>
    <t>Ascomorpha ecaudis Perty, 1850</t>
  </si>
  <si>
    <t>Asc.ecaudis</t>
  </si>
  <si>
    <t>Ascomorpha saltans Bartsch, 1870</t>
  </si>
  <si>
    <t>Asc.saltans</t>
  </si>
  <si>
    <t xml:space="preserve">Trichocercidae </t>
  </si>
  <si>
    <t>Ascomorpha sp.</t>
  </si>
  <si>
    <t>Ascomorpha.sp</t>
  </si>
  <si>
    <t>CRUSTACEA</t>
  </si>
  <si>
    <t xml:space="preserve">  CLADOCERA</t>
  </si>
  <si>
    <t xml:space="preserve">     ANOMOPODA</t>
  </si>
  <si>
    <t>Chydoridae</t>
  </si>
  <si>
    <t>Colurella geophila Donner, 1951</t>
  </si>
  <si>
    <t>Col.geophila</t>
  </si>
  <si>
    <t>Macrothricidae</t>
  </si>
  <si>
    <t>Macrothrix laticornis (Jurine, 1820)</t>
  </si>
  <si>
    <t>Macrochaetus subquadratus Perty, 1850</t>
  </si>
  <si>
    <t>Mac.subquadratus</t>
  </si>
  <si>
    <t>Macrothrix mira Smirnov 1982</t>
  </si>
  <si>
    <t>Sididae</t>
  </si>
  <si>
    <t>Aspelta sp.</t>
  </si>
  <si>
    <t>Aspelta.sp</t>
  </si>
  <si>
    <t>Diaphanosoma birgei</t>
  </si>
  <si>
    <t>Epiphanidae</t>
  </si>
  <si>
    <t>Diaphanosoma spinulosum</t>
  </si>
  <si>
    <t>Epiphanes senta (Müller, 1773)</t>
  </si>
  <si>
    <t>Epi.senta</t>
  </si>
  <si>
    <t>Ilyocryptidae</t>
  </si>
  <si>
    <t>Proalidae</t>
  </si>
  <si>
    <t>Ilyocryptus spinifer Herrick, 1882</t>
  </si>
  <si>
    <t>Proales similis de Beauchamp, 1907</t>
  </si>
  <si>
    <t>Pro.similis</t>
  </si>
  <si>
    <t>Moinidae</t>
  </si>
  <si>
    <t>COPEPODA</t>
  </si>
  <si>
    <r>
      <rPr>
        <sz val="10"/>
        <color rgb="FF000000"/>
        <rFont val="Calibri"/>
        <charset val="1"/>
      </rPr>
      <t xml:space="preserve">     </t>
    </r>
    <r>
      <rPr>
        <b/>
        <sz val="10"/>
        <color rgb="FF000000"/>
        <rFont val="Calibri"/>
        <charset val="1"/>
      </rPr>
      <t>FLOSCULARIACEAE</t>
    </r>
  </si>
  <si>
    <t>Conochilidae</t>
  </si>
  <si>
    <t>Conochilus unicornis Rousselet, 1892</t>
  </si>
  <si>
    <t>Con.unicornis</t>
  </si>
  <si>
    <t xml:space="preserve">  CYCLOPOIDA</t>
  </si>
  <si>
    <t>Cyclopidae</t>
  </si>
  <si>
    <t>Hexarthridae</t>
  </si>
  <si>
    <t>Hexarthra sp.</t>
  </si>
  <si>
    <t>Hexarthra.sp</t>
  </si>
  <si>
    <t xml:space="preserve">  CALANOIDA</t>
  </si>
  <si>
    <t>Pompholyx sulcata Hudson, 1885</t>
  </si>
  <si>
    <t>Pom.sulcata</t>
  </si>
  <si>
    <t>Diaptomidae</t>
  </si>
  <si>
    <t xml:space="preserve">  HARPACTICOIDA</t>
  </si>
  <si>
    <t>Alona pulchella King, 1853</t>
  </si>
  <si>
    <t>Alo.pulchella</t>
  </si>
  <si>
    <t>Chydorus eurynotus Sars, 1901</t>
  </si>
  <si>
    <t>Chy.eurynotus</t>
  </si>
  <si>
    <t>Chydorus sphaericus (O.F.Müller, 1776)</t>
  </si>
  <si>
    <t>Chy.sphaericus</t>
  </si>
  <si>
    <t>Dunhevedia odontoplax Sars, 1901</t>
  </si>
  <si>
    <t>Dun.odontoplax</t>
  </si>
  <si>
    <t>Nauplius</t>
  </si>
  <si>
    <t>Cyclopoida</t>
  </si>
  <si>
    <t>Harpacticoida</t>
  </si>
  <si>
    <t>rebio.habitat</t>
  </si>
  <si>
    <t>rebio.ponto</t>
  </si>
  <si>
    <t>rebio.ref</t>
  </si>
  <si>
    <t>rebio.rio</t>
  </si>
  <si>
    <t>rebio</t>
  </si>
  <si>
    <t>bb.habitat</t>
  </si>
  <si>
    <t>bb.ponto</t>
  </si>
  <si>
    <t>bb.ref</t>
  </si>
  <si>
    <t>barrobranco</t>
  </si>
  <si>
    <t>ca.habitat</t>
  </si>
  <si>
    <t>ca.ponto</t>
  </si>
  <si>
    <t>ca.ref</t>
  </si>
  <si>
    <t>caiana</t>
  </si>
  <si>
    <t>Daqui para o lado esquerdo está correto e atualizado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</si>
</sst>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/yyyy"/>
    <numFmt numFmtId="165" formatCode="0.000"/>
  </numFmts>
  <fonts count="15" x14ac:knownFonts="1">
    <font>
      <sz val="11"/>
      <color rgb="FF000000"/>
      <name val="Calibri"/>
      <family val="2"/>
      <charset val="1"/>
    </font>
    <font>
      <b/>
      <sz val="10"/>
      <color rgb="FF000000"/>
      <name val="Calibri"/>
      <charset val="1"/>
    </font>
    <font>
      <sz val="10"/>
      <color rgb="FF000000"/>
      <name val="Calibri"/>
      <charset val="1"/>
    </font>
    <font>
      <sz val="10"/>
      <color rgb="FF000000"/>
      <name val="Calibri"/>
      <family val="2"/>
      <charset val="1"/>
    </font>
    <font>
      <sz val="10"/>
      <color rgb="FFC9211E"/>
      <name val="Calibri"/>
      <charset val="1"/>
    </font>
    <font>
      <sz val="10"/>
      <color rgb="FF008000"/>
      <name val="Calibri"/>
      <charset val="1"/>
    </font>
    <font>
      <sz val="10"/>
      <color rgb="FFFF4000"/>
      <name val="Calibri"/>
      <charset val="1"/>
    </font>
    <font>
      <sz val="10"/>
      <color rgb="FFFF0000"/>
      <name val="Calibri"/>
      <charset val="1"/>
    </font>
    <font>
      <sz val="10"/>
      <color rgb="FF0000FF"/>
      <name val="Calibri"/>
      <charset val="1"/>
    </font>
    <font>
      <sz val="11"/>
      <color rgb="FFFF00FF"/>
      <name val="Calibri"/>
      <charset val="1"/>
    </font>
    <font>
      <sz val="11"/>
      <color rgb="FF000000"/>
      <name val="Calibri"/>
      <charset val="1"/>
    </font>
    <font>
      <u/>
      <sz val="10"/>
      <color rgb="FF0000EE"/>
      <name val="Calibri"/>
      <charset val="1"/>
    </font>
    <font>
      <b/>
      <sz val="10"/>
      <color rgb="FF000000"/>
      <name val="Calibri"/>
      <family val="2"/>
      <charset val="1"/>
    </font>
    <font>
      <sz val="10"/>
      <color rgb="FF00AE00"/>
      <name val="Calibri"/>
      <charset val="1"/>
    </font>
    <font>
      <sz val="10"/>
      <color rgb="FF00AE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left"/>
    </xf>
    <xf numFmtId="164" fontId="2" fillId="0" borderId="0" xfId="0" applyNumberFormat="1" applyFont="1" applyAlignment="1">
      <alignment horizontal="right"/>
    </xf>
    <xf numFmtId="164" fontId="2" fillId="0" borderId="0" xfId="0" applyNumberFormat="1" applyFont="1"/>
    <xf numFmtId="0" fontId="3" fillId="0" borderId="0" xfId="0" applyFont="1"/>
    <xf numFmtId="0" fontId="2" fillId="0" borderId="0" xfId="0" applyFont="1" applyAlignment="1">
      <alignment horizontal="left" vertical="center" readingOrder="1"/>
    </xf>
    <xf numFmtId="0" fontId="2" fillId="0" borderId="0" xfId="0" applyFont="1" applyAlignment="1">
      <alignment horizontal="left" vertical="center" wrapText="1" readingOrder="1"/>
    </xf>
    <xf numFmtId="0" fontId="4" fillId="0" borderId="0" xfId="0" applyFont="1" applyAlignment="1">
      <alignment horizontal="left" vertical="center" wrapText="1" readingOrder="1"/>
    </xf>
    <xf numFmtId="0" fontId="4" fillId="0" borderId="0" xfId="0" applyFont="1" applyAlignment="1">
      <alignment vertical="center" wrapText="1" readingOrder="1"/>
    </xf>
    <xf numFmtId="0" fontId="5" fillId="0" borderId="0" xfId="0" applyFont="1" applyAlignment="1">
      <alignment horizontal="left" vertical="center" wrapText="1" readingOrder="1"/>
    </xf>
    <xf numFmtId="0" fontId="3" fillId="0" borderId="0" xfId="0" applyFont="1" applyAlignment="1">
      <alignment readingOrder="1"/>
    </xf>
    <xf numFmtId="0" fontId="2" fillId="0" borderId="0" xfId="0" applyFont="1" applyAlignment="1">
      <alignment readingOrder="1"/>
    </xf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1" fontId="2" fillId="0" borderId="0" xfId="0" applyNumberFormat="1" applyFont="1" applyAlignment="1">
      <alignment horizontal="left" vertical="center"/>
    </xf>
    <xf numFmtId="1" fontId="2" fillId="0" borderId="0" xfId="0" applyNumberFormat="1" applyFont="1" applyAlignment="1">
      <alignment horizontal="right"/>
    </xf>
    <xf numFmtId="0" fontId="3" fillId="0" borderId="0" xfId="0" applyFont="1" applyAlignment="1">
      <alignment horizontal="left"/>
    </xf>
    <xf numFmtId="0" fontId="0" fillId="0" borderId="0" xfId="0" applyAlignment="1">
      <alignment horizontal="left"/>
    </xf>
    <xf numFmtId="0" fontId="6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165" fontId="2" fillId="0" borderId="0" xfId="0" applyNumberFormat="1" applyFont="1"/>
    <xf numFmtId="4" fontId="2" fillId="0" borderId="0" xfId="0" applyNumberFormat="1" applyFont="1"/>
    <xf numFmtId="4" fontId="0" fillId="0" borderId="0" xfId="0" applyNumberFormat="1"/>
    <xf numFmtId="0" fontId="7" fillId="0" borderId="0" xfId="0" applyFont="1"/>
    <xf numFmtId="0" fontId="8" fillId="0" borderId="0" xfId="0" applyFont="1"/>
    <xf numFmtId="0" fontId="5" fillId="0" borderId="0" xfId="0" applyFont="1"/>
    <xf numFmtId="0" fontId="9" fillId="0" borderId="0" xfId="0" applyFont="1"/>
    <xf numFmtId="0" fontId="10" fillId="0" borderId="0" xfId="0" applyFont="1"/>
    <xf numFmtId="0" fontId="3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vertical="center"/>
    </xf>
    <xf numFmtId="0" fontId="1" fillId="0" borderId="0" xfId="0" applyFont="1" applyAlignment="1">
      <alignment horizontal="left" vertical="center"/>
    </xf>
    <xf numFmtId="0" fontId="11" fillId="0" borderId="0" xfId="0" applyFont="1" applyAlignment="1">
      <alignment vertical="center"/>
    </xf>
    <xf numFmtId="2" fontId="2" fillId="0" borderId="0" xfId="0" applyNumberFormat="1" applyFont="1" applyAlignment="1">
      <alignment vertical="center"/>
    </xf>
    <xf numFmtId="2" fontId="2" fillId="0" borderId="0" xfId="0" applyNumberFormat="1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2" fontId="13" fillId="0" borderId="0" xfId="0" applyNumberFormat="1" applyFont="1" applyAlignment="1">
      <alignment horizontal="left" vertical="center"/>
    </xf>
    <xf numFmtId="2" fontId="14" fillId="0" borderId="0" xfId="0" applyNumberFormat="1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165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EE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66"/>
      <rgbColor rgb="FF99CC00"/>
      <rgbColor rgb="FFFFCC00"/>
      <rgbColor rgb="FFFF9900"/>
      <rgbColor rgb="FFFF4000"/>
      <rgbColor rgb="FF666699"/>
      <rgbColor rgb="FF969696"/>
      <rgbColor rgb="FF003366"/>
      <rgbColor rgb="FF00AE0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ies.go.jp/chiiki1/protoz/identi-r.htm" TargetMode="External"/><Relationship Id="rId2" Type="http://schemas.openxmlformats.org/officeDocument/2006/relationships/hyperlink" Target="https://www.nies.go.jp/chiiki1/protoz/index.html" TargetMode="External"/><Relationship Id="rId1" Type="http://schemas.openxmlformats.org/officeDocument/2006/relationships/hyperlink" Target="https://www.gbif.org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zoomScale="60" zoomScaleNormal="60" workbookViewId="0"/>
  </sheetViews>
  <sheetFormatPr defaultColWidth="11.5703125" defaultRowHeight="15" customHeight="1" x14ac:dyDescent="0.25"/>
  <cols>
    <col min="1" max="8" width="19.140625" customWidth="1"/>
    <col min="9" max="26" width="8.7109375" customWidth="1"/>
    <col min="27" max="1024" width="14.42578125" customWidth="1"/>
  </cols>
  <sheetData>
    <row r="1" spans="1:26" ht="15.75" customHeight="1" x14ac:dyDescent="0.25">
      <c r="A1" s="1" t="str">
        <f>"n = "&amp;(COUNTA(A6:A1024))</f>
        <v>n = 68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1" t="str">
        <f>"Alíquotas = "&amp;SUM(G6:G1024)</f>
        <v>Alíquotas = 54</v>
      </c>
      <c r="H1" s="1" t="str">
        <f>"Amostras = "&amp;SUM(H6:H1024)</f>
        <v>Amostras = 9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5.75" customHeight="1" x14ac:dyDescent="0.25">
      <c r="A2" s="1" t="s">
        <v>5</v>
      </c>
      <c r="B2" s="2"/>
      <c r="C2" s="2"/>
      <c r="D2" s="2"/>
      <c r="E2" s="2"/>
      <c r="F2" s="2"/>
      <c r="G2" s="1"/>
      <c r="H2" s="1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5.75" customHeight="1" x14ac:dyDescent="0.25">
      <c r="A3" s="1" t="s">
        <v>6</v>
      </c>
      <c r="B3" s="2"/>
      <c r="C3" s="2"/>
      <c r="D3" s="2"/>
      <c r="E3" s="2"/>
      <c r="F3" s="2"/>
      <c r="G3" s="1"/>
      <c r="H3" s="1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5.75" customHeight="1" x14ac:dyDescent="0.25">
      <c r="A4" s="1" t="s">
        <v>7</v>
      </c>
      <c r="B4" s="2"/>
      <c r="C4" s="2"/>
      <c r="D4" s="2"/>
      <c r="E4" s="2"/>
      <c r="F4" s="2"/>
      <c r="G4" s="1"/>
      <c r="H4" s="1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5.75" customHeight="1" x14ac:dyDescent="0.25">
      <c r="A5" s="1" t="s">
        <v>8</v>
      </c>
      <c r="B5" s="2"/>
      <c r="C5" s="2"/>
      <c r="D5" s="2"/>
      <c r="E5" s="2"/>
      <c r="F5" s="2"/>
      <c r="G5" s="1"/>
      <c r="H5" s="1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5.75" customHeight="1" x14ac:dyDescent="0.25">
      <c r="A6" s="1" t="s">
        <v>9</v>
      </c>
      <c r="B6" s="4" t="s">
        <v>10</v>
      </c>
      <c r="C6" s="3">
        <v>2</v>
      </c>
      <c r="D6" s="5">
        <v>45210</v>
      </c>
      <c r="E6" s="4" t="s">
        <v>11</v>
      </c>
      <c r="F6" s="3">
        <v>1</v>
      </c>
      <c r="G6" s="3">
        <v>3</v>
      </c>
      <c r="H6" s="3">
        <v>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5.75" customHeight="1" x14ac:dyDescent="0.25">
      <c r="A7" s="1" t="s">
        <v>9</v>
      </c>
      <c r="B7" s="4" t="s">
        <v>12</v>
      </c>
      <c r="C7" s="3">
        <v>2</v>
      </c>
      <c r="D7" s="5">
        <v>45210</v>
      </c>
      <c r="E7" s="4" t="s">
        <v>11</v>
      </c>
      <c r="F7" s="3">
        <v>2</v>
      </c>
      <c r="G7" s="3">
        <v>3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5.75" customHeight="1" x14ac:dyDescent="0.25">
      <c r="A8" s="1" t="s">
        <v>9</v>
      </c>
      <c r="B8" s="4" t="s">
        <v>13</v>
      </c>
      <c r="C8" s="3">
        <v>2</v>
      </c>
      <c r="D8" s="5">
        <v>45210</v>
      </c>
      <c r="E8" s="4" t="s">
        <v>11</v>
      </c>
      <c r="F8" s="3">
        <v>3</v>
      </c>
      <c r="G8" s="3">
        <v>3</v>
      </c>
      <c r="H8" s="3">
        <v>0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5.75" customHeight="1" x14ac:dyDescent="0.25">
      <c r="A9" s="1" t="s">
        <v>14</v>
      </c>
      <c r="B9" s="4" t="s">
        <v>15</v>
      </c>
      <c r="C9" s="3">
        <v>2</v>
      </c>
      <c r="D9" s="5">
        <v>45210</v>
      </c>
      <c r="E9" s="4" t="s">
        <v>11</v>
      </c>
      <c r="F9" s="3">
        <v>1</v>
      </c>
      <c r="G9" s="3">
        <v>3</v>
      </c>
      <c r="H9" s="3">
        <v>0</v>
      </c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5.75" customHeight="1" x14ac:dyDescent="0.25">
      <c r="A10" s="1" t="s">
        <v>14</v>
      </c>
      <c r="B10" s="4" t="s">
        <v>16</v>
      </c>
      <c r="C10" s="3">
        <v>2</v>
      </c>
      <c r="D10" s="5">
        <v>45210</v>
      </c>
      <c r="E10" s="4" t="s">
        <v>11</v>
      </c>
      <c r="F10" s="3">
        <v>2</v>
      </c>
      <c r="G10" s="3">
        <v>3</v>
      </c>
      <c r="H10" s="3">
        <v>0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5.75" customHeight="1" x14ac:dyDescent="0.25">
      <c r="A11" s="1" t="s">
        <v>14</v>
      </c>
      <c r="B11" s="4" t="s">
        <v>17</v>
      </c>
      <c r="C11" s="3">
        <v>2</v>
      </c>
      <c r="D11" s="5">
        <v>45210</v>
      </c>
      <c r="E11" s="4" t="s">
        <v>11</v>
      </c>
      <c r="F11" s="3">
        <v>3</v>
      </c>
      <c r="G11" s="3">
        <v>3</v>
      </c>
      <c r="H11" s="3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5.75" customHeight="1" x14ac:dyDescent="0.25">
      <c r="A12" s="1" t="s">
        <v>18</v>
      </c>
      <c r="B12" s="4" t="s">
        <v>19</v>
      </c>
      <c r="C12" s="3">
        <v>2</v>
      </c>
      <c r="D12" s="5">
        <v>45210</v>
      </c>
      <c r="E12" s="4" t="s">
        <v>11</v>
      </c>
      <c r="F12" s="3">
        <v>1</v>
      </c>
      <c r="G12" s="3">
        <v>3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5.75" customHeight="1" x14ac:dyDescent="0.25">
      <c r="A13" s="1" t="s">
        <v>18</v>
      </c>
      <c r="B13" s="4" t="s">
        <v>20</v>
      </c>
      <c r="C13" s="3">
        <v>2</v>
      </c>
      <c r="D13" s="5">
        <v>45210</v>
      </c>
      <c r="E13" s="4" t="s">
        <v>11</v>
      </c>
      <c r="F13" s="3">
        <v>2</v>
      </c>
      <c r="G13" s="3">
        <v>3</v>
      </c>
      <c r="H13" s="3">
        <v>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5.75" customHeight="1" x14ac:dyDescent="0.25">
      <c r="A14" s="1" t="s">
        <v>18</v>
      </c>
      <c r="B14" s="4" t="s">
        <v>21</v>
      </c>
      <c r="C14" s="3">
        <v>2</v>
      </c>
      <c r="D14" s="5">
        <v>45210</v>
      </c>
      <c r="E14" s="4" t="s">
        <v>11</v>
      </c>
      <c r="F14" s="3">
        <v>3</v>
      </c>
      <c r="G14" s="3">
        <v>3</v>
      </c>
      <c r="H14" s="3">
        <v>0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5.75" customHeight="1" x14ac:dyDescent="0.25">
      <c r="A15" s="1" t="s">
        <v>22</v>
      </c>
      <c r="B15" s="3" t="s">
        <v>23</v>
      </c>
      <c r="C15" s="3">
        <v>1</v>
      </c>
      <c r="D15" s="6">
        <v>45168</v>
      </c>
      <c r="E15" s="6" t="s">
        <v>11</v>
      </c>
      <c r="F15" s="3">
        <v>1</v>
      </c>
      <c r="G15" s="3">
        <v>3</v>
      </c>
      <c r="H15" s="3">
        <v>0</v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5.75" customHeight="1" x14ac:dyDescent="0.25">
      <c r="A16" s="1" t="s">
        <v>22</v>
      </c>
      <c r="B16" s="3" t="s">
        <v>24</v>
      </c>
      <c r="C16" s="3">
        <v>1</v>
      </c>
      <c r="D16" s="6">
        <v>45168</v>
      </c>
      <c r="E16" s="6" t="s">
        <v>11</v>
      </c>
      <c r="F16" s="3">
        <v>2</v>
      </c>
      <c r="G16" s="3">
        <v>3</v>
      </c>
      <c r="H16" s="3">
        <v>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5.75" customHeight="1" x14ac:dyDescent="0.25">
      <c r="A17" s="1" t="s">
        <v>22</v>
      </c>
      <c r="B17" s="3" t="s">
        <v>25</v>
      </c>
      <c r="C17" s="3">
        <v>1</v>
      </c>
      <c r="D17" s="6">
        <v>45168</v>
      </c>
      <c r="E17" s="6" t="s">
        <v>11</v>
      </c>
      <c r="F17" s="3">
        <v>3</v>
      </c>
      <c r="G17" s="3">
        <v>3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5.75" customHeight="1" x14ac:dyDescent="0.25">
      <c r="A18" s="1" t="s">
        <v>26</v>
      </c>
      <c r="B18" s="4" t="s">
        <v>27</v>
      </c>
      <c r="C18" s="3">
        <v>1</v>
      </c>
      <c r="D18" s="6">
        <v>45168</v>
      </c>
      <c r="E18" s="6" t="s">
        <v>11</v>
      </c>
      <c r="F18" s="3">
        <v>1</v>
      </c>
      <c r="G18" s="3">
        <v>3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5.75" customHeight="1" x14ac:dyDescent="0.25">
      <c r="A19" s="1" t="s">
        <v>26</v>
      </c>
      <c r="B19" s="4" t="s">
        <v>28</v>
      </c>
      <c r="C19" s="3">
        <v>1</v>
      </c>
      <c r="D19" s="6">
        <v>45168</v>
      </c>
      <c r="E19" s="6" t="s">
        <v>11</v>
      </c>
      <c r="F19" s="3">
        <v>2</v>
      </c>
      <c r="G19" s="3">
        <v>3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5.75" customHeight="1" x14ac:dyDescent="0.25">
      <c r="A20" s="1" t="s">
        <v>26</v>
      </c>
      <c r="B20" s="4" t="s">
        <v>29</v>
      </c>
      <c r="C20" s="3">
        <v>1</v>
      </c>
      <c r="D20" s="6">
        <v>45168</v>
      </c>
      <c r="E20" s="6" t="s">
        <v>11</v>
      </c>
      <c r="F20" s="3">
        <v>3</v>
      </c>
      <c r="G20" s="3">
        <v>3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5.75" customHeight="1" x14ac:dyDescent="0.25">
      <c r="A21" s="1" t="s">
        <v>30</v>
      </c>
      <c r="B21" s="4" t="s">
        <v>31</v>
      </c>
      <c r="C21" s="3">
        <v>1</v>
      </c>
      <c r="D21" s="5">
        <v>45168</v>
      </c>
      <c r="E21" s="4" t="s">
        <v>11</v>
      </c>
      <c r="F21" s="3">
        <v>1</v>
      </c>
      <c r="G21" s="3">
        <v>3</v>
      </c>
      <c r="H21" s="3">
        <v>3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5.75" customHeight="1" x14ac:dyDescent="0.25">
      <c r="A22" s="1" t="s">
        <v>30</v>
      </c>
      <c r="B22" s="4" t="s">
        <v>32</v>
      </c>
      <c r="C22" s="3">
        <v>1</v>
      </c>
      <c r="D22" s="5">
        <v>45168</v>
      </c>
      <c r="E22" s="4" t="s">
        <v>11</v>
      </c>
      <c r="F22" s="3">
        <v>2</v>
      </c>
      <c r="G22" s="3">
        <v>3</v>
      </c>
      <c r="H22" s="3">
        <v>3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5.75" customHeight="1" x14ac:dyDescent="0.25">
      <c r="A23" s="1" t="s">
        <v>30</v>
      </c>
      <c r="B23" s="4" t="s">
        <v>33</v>
      </c>
      <c r="C23" s="3">
        <v>1</v>
      </c>
      <c r="D23" s="6">
        <v>45168</v>
      </c>
      <c r="E23" s="6" t="s">
        <v>11</v>
      </c>
      <c r="F23" s="3">
        <v>3</v>
      </c>
      <c r="G23" s="3">
        <v>3</v>
      </c>
      <c r="H23" s="3">
        <v>3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5.75" customHeight="1" x14ac:dyDescent="0.25">
      <c r="A24" s="1" t="s">
        <v>34</v>
      </c>
      <c r="B24" s="4" t="s">
        <v>35</v>
      </c>
      <c r="C24" s="3">
        <v>5</v>
      </c>
      <c r="D24" s="6">
        <v>45322</v>
      </c>
      <c r="E24" s="6" t="s">
        <v>36</v>
      </c>
      <c r="F24" s="3">
        <v>1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5.75" customHeight="1" x14ac:dyDescent="0.25">
      <c r="A25" s="1" t="s">
        <v>34</v>
      </c>
      <c r="B25" s="4" t="s">
        <v>37</v>
      </c>
      <c r="C25" s="3">
        <v>5</v>
      </c>
      <c r="D25" s="6">
        <v>45322</v>
      </c>
      <c r="E25" s="6" t="s">
        <v>36</v>
      </c>
      <c r="F25" s="3">
        <v>2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5.75" customHeight="1" x14ac:dyDescent="0.25">
      <c r="A26" s="1" t="s">
        <v>34</v>
      </c>
      <c r="B26" s="4" t="s">
        <v>38</v>
      </c>
      <c r="C26" s="3">
        <v>5</v>
      </c>
      <c r="D26" s="6">
        <v>45322</v>
      </c>
      <c r="E26" s="6" t="s">
        <v>36</v>
      </c>
      <c r="F26" s="3">
        <v>3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5.75" customHeight="1" x14ac:dyDescent="0.25">
      <c r="A27" s="1" t="s">
        <v>39</v>
      </c>
      <c r="B27" s="4" t="s">
        <v>40</v>
      </c>
      <c r="C27" s="3">
        <v>5</v>
      </c>
      <c r="D27" s="6">
        <v>45322</v>
      </c>
      <c r="E27" s="6" t="s">
        <v>36</v>
      </c>
      <c r="F27" s="3">
        <v>1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5.75" customHeight="1" x14ac:dyDescent="0.25">
      <c r="A28" s="1" t="s">
        <v>39</v>
      </c>
      <c r="B28" s="4" t="s">
        <v>41</v>
      </c>
      <c r="C28" s="3">
        <v>5</v>
      </c>
      <c r="D28" s="6">
        <v>45322</v>
      </c>
      <c r="E28" s="6" t="s">
        <v>36</v>
      </c>
      <c r="F28" s="3">
        <v>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5.75" customHeight="1" x14ac:dyDescent="0.25">
      <c r="A29" s="1" t="s">
        <v>39</v>
      </c>
      <c r="B29" s="4" t="s">
        <v>42</v>
      </c>
      <c r="C29" s="3">
        <v>5</v>
      </c>
      <c r="D29" s="6">
        <v>45322</v>
      </c>
      <c r="E29" s="6" t="s">
        <v>36</v>
      </c>
      <c r="F29" s="3">
        <v>3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5.75" customHeight="1" x14ac:dyDescent="0.25">
      <c r="A30" s="1" t="s">
        <v>43</v>
      </c>
      <c r="B30" s="4" t="s">
        <v>44</v>
      </c>
      <c r="C30" s="3">
        <v>5</v>
      </c>
      <c r="D30" s="6">
        <v>45322</v>
      </c>
      <c r="E30" s="6" t="s">
        <v>36</v>
      </c>
      <c r="F30" s="3">
        <v>1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5.75" customHeight="1" x14ac:dyDescent="0.25">
      <c r="A31" s="1" t="s">
        <v>43</v>
      </c>
      <c r="B31" s="4" t="s">
        <v>45</v>
      </c>
      <c r="C31" s="3">
        <v>5</v>
      </c>
      <c r="D31" s="6">
        <v>45322</v>
      </c>
      <c r="E31" s="6" t="s">
        <v>36</v>
      </c>
      <c r="F31" s="3">
        <v>2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5.75" customHeight="1" x14ac:dyDescent="0.25">
      <c r="A32" s="1" t="s">
        <v>43</v>
      </c>
      <c r="B32" s="4" t="s">
        <v>46</v>
      </c>
      <c r="C32" s="3">
        <v>5</v>
      </c>
      <c r="D32" s="6">
        <v>45322</v>
      </c>
      <c r="E32" s="6" t="s">
        <v>36</v>
      </c>
      <c r="F32" s="3">
        <v>3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5.75" customHeight="1" x14ac:dyDescent="0.25">
      <c r="A33" s="1" t="s">
        <v>47</v>
      </c>
      <c r="B33" s="4" t="s">
        <v>48</v>
      </c>
      <c r="C33" s="3">
        <v>5</v>
      </c>
      <c r="D33" s="6">
        <v>45322</v>
      </c>
      <c r="E33" s="6" t="s">
        <v>36</v>
      </c>
      <c r="F33" s="3">
        <v>1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5.75" customHeight="1" x14ac:dyDescent="0.25">
      <c r="A34" s="1" t="s">
        <v>47</v>
      </c>
      <c r="B34" s="4" t="s">
        <v>49</v>
      </c>
      <c r="C34" s="3">
        <v>5</v>
      </c>
      <c r="D34" s="6">
        <v>45322</v>
      </c>
      <c r="E34" s="6" t="s">
        <v>36</v>
      </c>
      <c r="F34" s="3">
        <v>2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5.75" customHeight="1" x14ac:dyDescent="0.25">
      <c r="A35" s="1" t="s">
        <v>47</v>
      </c>
      <c r="B35" s="4" t="s">
        <v>50</v>
      </c>
      <c r="C35" s="3">
        <v>5</v>
      </c>
      <c r="D35" s="6">
        <v>45322</v>
      </c>
      <c r="E35" s="6" t="s">
        <v>36</v>
      </c>
      <c r="F35" s="3">
        <v>3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5.75" customHeight="1" x14ac:dyDescent="0.25">
      <c r="A36" s="1" t="s">
        <v>51</v>
      </c>
      <c r="B36" s="4" t="s">
        <v>52</v>
      </c>
      <c r="C36" s="3">
        <v>5</v>
      </c>
      <c r="D36" s="6">
        <v>45322</v>
      </c>
      <c r="E36" s="6" t="s">
        <v>36</v>
      </c>
      <c r="F36" s="3">
        <v>1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5.75" customHeight="1" x14ac:dyDescent="0.25">
      <c r="A37" s="1" t="s">
        <v>51</v>
      </c>
      <c r="B37" s="4" t="s">
        <v>53</v>
      </c>
      <c r="C37" s="3">
        <v>5</v>
      </c>
      <c r="D37" s="6">
        <v>45322</v>
      </c>
      <c r="E37" s="6" t="s">
        <v>36</v>
      </c>
      <c r="F37" s="3">
        <v>2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5.75" customHeight="1" x14ac:dyDescent="0.25">
      <c r="A38" s="1" t="s">
        <v>51</v>
      </c>
      <c r="B38" s="4" t="s">
        <v>54</v>
      </c>
      <c r="C38" s="3">
        <v>5</v>
      </c>
      <c r="D38" s="6">
        <v>45322</v>
      </c>
      <c r="E38" s="6" t="s">
        <v>36</v>
      </c>
      <c r="F38" s="3">
        <v>3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5.75" customHeight="1" x14ac:dyDescent="0.25">
      <c r="A39" s="1" t="s">
        <v>55</v>
      </c>
      <c r="B39" s="4" t="s">
        <v>56</v>
      </c>
      <c r="C39" s="3">
        <v>5</v>
      </c>
      <c r="D39" s="6">
        <v>45322</v>
      </c>
      <c r="E39" s="6" t="s">
        <v>36</v>
      </c>
      <c r="F39" s="3">
        <v>1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5.75" customHeight="1" x14ac:dyDescent="0.25">
      <c r="A40" s="1" t="s">
        <v>55</v>
      </c>
      <c r="B40" s="4" t="s">
        <v>57</v>
      </c>
      <c r="C40" s="3">
        <v>5</v>
      </c>
      <c r="D40" s="6">
        <v>45322</v>
      </c>
      <c r="E40" s="6" t="s">
        <v>36</v>
      </c>
      <c r="F40" s="3">
        <v>2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5.75" customHeight="1" x14ac:dyDescent="0.25">
      <c r="A41" s="1" t="s">
        <v>55</v>
      </c>
      <c r="B41" s="4" t="s">
        <v>58</v>
      </c>
      <c r="C41" s="3">
        <v>5</v>
      </c>
      <c r="D41" s="6">
        <v>45322</v>
      </c>
      <c r="E41" s="6" t="s">
        <v>36</v>
      </c>
      <c r="F41" s="3">
        <v>3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5.75" customHeight="1" x14ac:dyDescent="0.25">
      <c r="A42" s="1" t="s">
        <v>59</v>
      </c>
      <c r="B42" s="4" t="s">
        <v>60</v>
      </c>
      <c r="C42" s="3">
        <v>6</v>
      </c>
      <c r="D42" s="5">
        <v>45343</v>
      </c>
      <c r="E42" s="3" t="s">
        <v>36</v>
      </c>
      <c r="F42" s="3">
        <v>1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5.75" customHeight="1" x14ac:dyDescent="0.25">
      <c r="A43" s="1" t="s">
        <v>59</v>
      </c>
      <c r="B43" s="4" t="s">
        <v>61</v>
      </c>
      <c r="C43" s="3">
        <v>6</v>
      </c>
      <c r="D43" s="5">
        <v>45343</v>
      </c>
      <c r="E43" s="3" t="s">
        <v>36</v>
      </c>
      <c r="F43" s="3">
        <v>2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5.75" customHeight="1" x14ac:dyDescent="0.25">
      <c r="A44" s="1" t="s">
        <v>59</v>
      </c>
      <c r="B44" s="4" t="s">
        <v>62</v>
      </c>
      <c r="C44" s="3">
        <v>6</v>
      </c>
      <c r="D44" s="5">
        <v>45343</v>
      </c>
      <c r="E44" s="3" t="s">
        <v>36</v>
      </c>
      <c r="F44" s="3">
        <v>3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5.75" customHeight="1" x14ac:dyDescent="0.25">
      <c r="A45" s="1" t="s">
        <v>63</v>
      </c>
      <c r="B45" s="4" t="s">
        <v>64</v>
      </c>
      <c r="C45" s="3">
        <v>6</v>
      </c>
      <c r="D45" s="5">
        <v>45343</v>
      </c>
      <c r="E45" s="3" t="s">
        <v>36</v>
      </c>
      <c r="F45" s="3">
        <v>1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5.75" customHeight="1" x14ac:dyDescent="0.25">
      <c r="A46" s="1" t="s">
        <v>63</v>
      </c>
      <c r="B46" s="4" t="s">
        <v>65</v>
      </c>
      <c r="C46" s="3">
        <v>6</v>
      </c>
      <c r="D46" s="5">
        <v>45343</v>
      </c>
      <c r="E46" s="3" t="s">
        <v>36</v>
      </c>
      <c r="F46" s="3">
        <v>2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5.75" customHeight="1" x14ac:dyDescent="0.25">
      <c r="A47" s="1" t="s">
        <v>63</v>
      </c>
      <c r="B47" s="4" t="s">
        <v>66</v>
      </c>
      <c r="C47" s="3">
        <v>6</v>
      </c>
      <c r="D47" s="5">
        <v>45343</v>
      </c>
      <c r="E47" s="3" t="s">
        <v>36</v>
      </c>
      <c r="F47" s="3">
        <v>3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5.75" customHeight="1" x14ac:dyDescent="0.25">
      <c r="A48" s="1" t="s">
        <v>67</v>
      </c>
      <c r="B48" s="4" t="s">
        <v>68</v>
      </c>
      <c r="C48" s="3">
        <v>6</v>
      </c>
      <c r="D48" s="5">
        <v>45343</v>
      </c>
      <c r="E48" s="3" t="s">
        <v>36</v>
      </c>
      <c r="F48" s="3">
        <v>1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5.75" customHeight="1" x14ac:dyDescent="0.25">
      <c r="A49" s="1" t="s">
        <v>67</v>
      </c>
      <c r="B49" s="4" t="s">
        <v>69</v>
      </c>
      <c r="C49" s="3">
        <v>6</v>
      </c>
      <c r="D49" s="5">
        <v>45343</v>
      </c>
      <c r="E49" s="3" t="s">
        <v>36</v>
      </c>
      <c r="F49" s="3">
        <v>2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5.75" customHeight="1" x14ac:dyDescent="0.25">
      <c r="A50" s="1" t="s">
        <v>67</v>
      </c>
      <c r="B50" s="4" t="s">
        <v>70</v>
      </c>
      <c r="C50" s="3">
        <v>6</v>
      </c>
      <c r="D50" s="5">
        <v>45343</v>
      </c>
      <c r="E50" s="3" t="s">
        <v>36</v>
      </c>
      <c r="F50" s="3">
        <v>3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5.75" customHeight="1" x14ac:dyDescent="0.25">
      <c r="A51" s="1" t="s">
        <v>71</v>
      </c>
      <c r="B51" s="4" t="s">
        <v>72</v>
      </c>
      <c r="C51" s="3">
        <v>6</v>
      </c>
      <c r="D51" s="5">
        <v>45343</v>
      </c>
      <c r="E51" s="3" t="s">
        <v>36</v>
      </c>
      <c r="F51" s="3">
        <v>1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5.75" customHeight="1" x14ac:dyDescent="0.25">
      <c r="A52" s="1" t="s">
        <v>71</v>
      </c>
      <c r="B52" s="4" t="s">
        <v>73</v>
      </c>
      <c r="C52" s="3">
        <v>6</v>
      </c>
      <c r="D52" s="5">
        <v>45343</v>
      </c>
      <c r="E52" s="3" t="s">
        <v>36</v>
      </c>
      <c r="F52" s="3">
        <v>2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5.75" customHeight="1" x14ac:dyDescent="0.25">
      <c r="A53" s="1" t="s">
        <v>71</v>
      </c>
      <c r="B53" s="4" t="s">
        <v>74</v>
      </c>
      <c r="C53" s="3">
        <v>6</v>
      </c>
      <c r="D53" s="5">
        <v>45343</v>
      </c>
      <c r="E53" s="3" t="s">
        <v>36</v>
      </c>
      <c r="F53" s="3">
        <v>3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5.75" customHeight="1" x14ac:dyDescent="0.25">
      <c r="A54" s="1" t="s">
        <v>75</v>
      </c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5.75" customHeight="1" x14ac:dyDescent="0.25">
      <c r="A55" s="1" t="s">
        <v>76</v>
      </c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5.75" customHeight="1" x14ac:dyDescent="0.25">
      <c r="A56" s="1" t="s">
        <v>77</v>
      </c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5.75" customHeight="1" x14ac:dyDescent="0.25">
      <c r="A57" s="1" t="s">
        <v>78</v>
      </c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5.75" customHeight="1" x14ac:dyDescent="0.25">
      <c r="A58" s="1" t="s">
        <v>79</v>
      </c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5.75" customHeight="1" x14ac:dyDescent="0.25">
      <c r="A59" s="1" t="s">
        <v>80</v>
      </c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5.75" customHeight="1" x14ac:dyDescent="0.25">
      <c r="A60" s="1" t="s">
        <v>81</v>
      </c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5.75" customHeight="1" x14ac:dyDescent="0.25">
      <c r="A61" s="1" t="s">
        <v>82</v>
      </c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5.75" customHeight="1" x14ac:dyDescent="0.25">
      <c r="A62" s="1" t="s">
        <v>83</v>
      </c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5.75" customHeight="1" x14ac:dyDescent="0.25">
      <c r="A63" s="1" t="s">
        <v>84</v>
      </c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5.75" customHeight="1" x14ac:dyDescent="0.25">
      <c r="A64" s="1" t="s">
        <v>85</v>
      </c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5.75" customHeight="1" x14ac:dyDescent="0.25">
      <c r="A65" s="1" t="s">
        <v>86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5.75" customHeight="1" x14ac:dyDescent="0.25">
      <c r="A66" s="1" t="s">
        <v>87</v>
      </c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5.75" customHeight="1" x14ac:dyDescent="0.25">
      <c r="A67" s="1" t="s">
        <v>88</v>
      </c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5.75" customHeight="1" x14ac:dyDescent="0.25">
      <c r="A68" s="1" t="s">
        <v>89</v>
      </c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5.75" customHeight="1" x14ac:dyDescent="0.25">
      <c r="A69" s="1" t="s">
        <v>90</v>
      </c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5.75" customHeight="1" x14ac:dyDescent="0.25">
      <c r="A70" s="1" t="s">
        <v>91</v>
      </c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5.75" customHeight="1" x14ac:dyDescent="0.25">
      <c r="A71" s="1" t="s">
        <v>92</v>
      </c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5.75" customHeight="1" x14ac:dyDescent="0.25">
      <c r="A72" s="1" t="s">
        <v>93</v>
      </c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5.75" customHeight="1" x14ac:dyDescent="0.25">
      <c r="A73" s="1" t="s">
        <v>94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5.75" customHeight="1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5.75" customHeight="1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5.75" customHeight="1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5.75" customHeight="1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5.75" customHeight="1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5.75" customHeight="1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5.75" customHeight="1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5.75" customHeight="1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5.75" customHeight="1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5.75" customHeight="1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5.75" customHeight="1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5.75" customHeight="1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5.75" customHeight="1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5.75" customHeight="1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5.75" customHeight="1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5.75" customHeight="1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5.75" customHeight="1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5.75" customHeight="1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5.75" customHeight="1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5.75" customHeight="1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5.75" customHeight="1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5.75" customHeight="1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5.75" customHeight="1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5.75" customHeight="1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5.75" customHeight="1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5.75" customHeight="1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5.75" customHeight="1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5.75" customHeight="1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5.75" customHeight="1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5.75" customHeight="1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5.75" customHeight="1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5.75" customHeight="1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5.75" customHeight="1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5.75" customHeight="1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5.75" customHeight="1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5.75" customHeight="1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5.75" customHeight="1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5.75" customHeight="1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5.75" customHeight="1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5.75" customHeight="1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5.75" customHeight="1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5.75" customHeight="1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5.75" customHeight="1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5.75" customHeight="1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5.75" customHeight="1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5.75" customHeight="1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5.75" customHeight="1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5.75" customHeight="1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5.75" customHeight="1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5.75" customHeight="1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5.75" customHeight="1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5.75" customHeight="1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5.75" customHeight="1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5.75" customHeight="1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5.75" customHeight="1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5.75" customHeight="1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5.75" customHeight="1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5.75" customHeight="1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5.75" customHeight="1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5.75" customHeight="1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5.75" customHeight="1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5.75" customHeight="1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5.75" customHeight="1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5.75" customHeight="1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5.75" customHeight="1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5.75" customHeight="1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5.75" customHeight="1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5.75" customHeight="1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5.75" customHeight="1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5.75" customHeight="1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5.75" customHeight="1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5.75" customHeight="1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5.75" customHeight="1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5.75" customHeight="1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5.75" customHeight="1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5.75" customHeight="1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5.75" customHeight="1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5.75" customHeight="1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5.75" customHeight="1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5.75" customHeight="1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5.75" customHeight="1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5.75" customHeight="1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5.75" customHeight="1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5.75" customHeight="1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5.75" customHeight="1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5.75" customHeight="1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5.75" customHeight="1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5.75" customHeight="1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5.75" customHeight="1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5.75" customHeight="1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5.75" customHeight="1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5.75" customHeight="1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5.75" customHeight="1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5.75" customHeight="1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5.75" customHeight="1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5.75" customHeight="1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5.75" customHeight="1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5.75" customHeight="1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5.75" customHeight="1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5.75" customHeight="1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5.75" customHeight="1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5.75" customHeight="1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5.75" customHeight="1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5.75" customHeight="1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5.75" customHeight="1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5.75" customHeight="1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5.75" customHeight="1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5.75" customHeight="1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5.75" customHeight="1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5.75" customHeight="1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5.75" customHeight="1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5.75" customHeight="1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5.75" customHeight="1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5.75" customHeight="1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5.75" customHeight="1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5.75" customHeight="1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5.75" customHeight="1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5.75" customHeight="1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5.75" customHeight="1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5.75" customHeight="1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5.75" customHeight="1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5.75" customHeight="1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5.75" customHeight="1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5.75" customHeight="1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5.75" customHeight="1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5.75" customHeight="1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5.75" customHeight="1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5.75" customHeight="1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5.75" customHeight="1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5.75" customHeight="1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5.75" customHeight="1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5.75" customHeight="1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5.75" customHeight="1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5.75" customHeight="1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5.75" customHeight="1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5.75" customHeight="1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5.75" customHeight="1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5.75" customHeight="1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5.75" customHeight="1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5.75" customHeight="1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5.75" customHeight="1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5.75" customHeight="1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5.75" customHeight="1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5.75" customHeight="1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5.75" customHeight="1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5.75" customHeight="1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5.75" customHeight="1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5.75" customHeight="1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5.75" customHeight="1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5.75" customHeight="1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5.75" customHeight="1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5.75" customHeight="1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5.75" customHeight="1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5.75" customHeight="1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5.75" customHeight="1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5.75" customHeight="1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5.75" customHeight="1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5.75" customHeight="1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5.75" customHeight="1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5.75" customHeight="1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5.75" customHeight="1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5.75" customHeight="1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5.75" customHeight="1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5.75" customHeight="1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5.75" customHeight="1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5.75" customHeight="1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5.75" customHeight="1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5.75" customHeight="1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5.75" customHeight="1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5.75" customHeight="1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5.75" customHeight="1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5.75" customHeight="1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5.75" customHeight="1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5.75" customHeight="1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5.75" customHeight="1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5.75" customHeight="1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5.75" customHeight="1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5.75" customHeight="1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5.75" customHeight="1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5.75" customHeight="1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5.75" customHeight="1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5.75" customHeight="1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5.75" customHeight="1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5.75" customHeight="1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5.75" customHeight="1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5.75" customHeight="1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5.75" customHeight="1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5.75" customHeight="1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5.75" customHeight="1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5.75" customHeight="1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5.75" customHeight="1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5.75" customHeight="1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5.75" customHeight="1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5.75" customHeight="1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5.75" customHeight="1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5.75" customHeight="1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5.75" customHeight="1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5.75" customHeight="1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5.75" customHeight="1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5.75" customHeight="1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5.75" customHeight="1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5.75" customHeight="1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5.75" customHeight="1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5.75" customHeight="1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5.75" customHeight="1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5.75" customHeight="1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5.75" customHeight="1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5.75" customHeight="1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5.75" customHeight="1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5.75" customHeight="1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5.75" customHeight="1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5.75" customHeight="1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5.75" customHeight="1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5.75" customHeight="1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5.75" customHeight="1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5.75" customHeight="1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5.75" customHeight="1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5.75" customHeight="1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5.75" customHeight="1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5.75" customHeight="1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5.75" customHeight="1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5.75" customHeight="1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5.75" customHeight="1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5.75" customHeight="1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5.75" customHeight="1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5.75" customHeight="1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5.75" customHeight="1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5.75" customHeight="1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5.75" customHeight="1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5.75" customHeight="1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5.75" customHeight="1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5.75" customHeight="1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5.75" customHeight="1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5.75" customHeight="1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5.75" customHeight="1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5.75" customHeight="1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5.75" customHeight="1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5.75" customHeight="1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5.75" customHeight="1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5.75" customHeight="1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5.75" customHeight="1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5.75" customHeight="1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5.75" customHeight="1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5.75" customHeight="1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5.75" customHeight="1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5.75" customHeight="1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5.75" customHeight="1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5.75" customHeight="1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5.75" customHeight="1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5.75" customHeight="1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5.75" customHeight="1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5.75" customHeight="1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5.75" customHeight="1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5.75" customHeight="1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5.75" customHeight="1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5.75" customHeight="1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5.75" customHeight="1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5.75" customHeight="1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5.75" customHeight="1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5.75" customHeight="1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5.75" customHeight="1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5.75" customHeight="1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5.75" customHeight="1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5.75" customHeight="1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5.75" customHeight="1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5.75" customHeight="1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5.75" customHeight="1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5.75" customHeight="1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5.75" customHeight="1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5.75" customHeight="1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5.75" customHeight="1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5.75" customHeight="1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5.75" customHeight="1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5.75" customHeight="1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5.75" customHeight="1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5.75" customHeight="1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5.75" customHeight="1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5.75" customHeight="1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5.75" customHeight="1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5.75" customHeight="1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5.75" customHeight="1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5.75" customHeight="1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5.75" customHeight="1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5.75" customHeight="1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5.75" customHeight="1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5.75" customHeight="1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5.75" customHeight="1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5.75" customHeight="1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5.75" customHeight="1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5.75" customHeight="1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5.75" customHeight="1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5.75" customHeight="1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5.75" customHeight="1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5.75" customHeight="1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5.75" customHeight="1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5.75" customHeight="1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5.75" customHeight="1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5.75" customHeight="1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5.75" customHeight="1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5.75" customHeight="1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5.75" customHeight="1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5.75" customHeight="1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5.75" customHeight="1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5.75" customHeight="1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5.75" customHeight="1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5.75" customHeight="1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5.75" customHeight="1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5.75" customHeight="1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5.75" customHeight="1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5.75" customHeight="1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5.75" customHeight="1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5.75" customHeight="1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5.75" customHeight="1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5.75" customHeight="1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5.75" customHeight="1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5.75" customHeight="1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5.75" customHeight="1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5.75" customHeight="1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5.75" customHeight="1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5.75" customHeight="1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5.75" customHeight="1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5.75" customHeight="1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5.75" customHeight="1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5.75" customHeight="1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5.75" customHeight="1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5.75" customHeight="1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5.75" customHeight="1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5.75" customHeight="1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5.75" customHeight="1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5.75" customHeight="1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5.75" customHeight="1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5.75" customHeight="1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5.75" customHeight="1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5.75" customHeight="1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5.75" customHeight="1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5.75" customHeight="1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5.75" customHeight="1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5.75" customHeight="1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5.75" customHeight="1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5.75" customHeight="1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5.75" customHeight="1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5.75" customHeight="1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5.75" customHeight="1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5.75" customHeight="1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5.75" customHeight="1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5.75" customHeight="1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5.75" customHeight="1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5.75" customHeight="1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5.75" customHeight="1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5.75" customHeight="1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5.75" customHeight="1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5.75" customHeight="1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5.75" customHeight="1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5.75" customHeight="1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5.75" customHeight="1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5.75" customHeight="1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5.75" customHeight="1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5.75" customHeight="1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5.75" customHeight="1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5.75" customHeight="1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5.75" customHeight="1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5.75" customHeight="1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5.75" customHeight="1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5.75" customHeight="1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5.75" customHeight="1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5.75" customHeight="1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5.75" customHeight="1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5.75" customHeight="1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5.75" customHeight="1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5.75" customHeight="1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5.75" customHeight="1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5.75" customHeight="1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5.75" customHeight="1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5.75" customHeight="1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5.75" customHeight="1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5.75" customHeight="1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5.75" customHeight="1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5.75" customHeight="1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5.75" customHeight="1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5.75" customHeight="1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5.75" customHeight="1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5.75" customHeight="1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5.75" customHeight="1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5.75" customHeight="1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5.75" customHeight="1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5.75" customHeight="1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5.75" customHeight="1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5.75" customHeight="1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5.75" customHeight="1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5.75" customHeight="1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5.75" customHeight="1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5.75" customHeight="1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5.75" customHeight="1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5.75" customHeight="1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5.75" customHeight="1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5.75" customHeight="1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5.75" customHeight="1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5.75" customHeight="1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5.75" customHeight="1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5.75" customHeight="1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5.75" customHeight="1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5.75" customHeight="1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5.75" customHeight="1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5.75" customHeight="1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5.75" customHeight="1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5.75" customHeight="1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5.75" customHeight="1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5.75" customHeight="1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5.75" customHeight="1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5.75" customHeight="1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5.75" customHeight="1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5.75" customHeight="1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5.75" customHeight="1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5.75" customHeight="1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5.75" customHeight="1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5.75" customHeight="1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5.75" customHeight="1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5.75" customHeight="1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5.75" customHeight="1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5.75" customHeight="1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5.75" customHeight="1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5.75" customHeight="1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5.75" customHeight="1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5.75" customHeight="1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5.75" customHeight="1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5.75" customHeight="1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5.75" customHeight="1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5.75" customHeight="1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5.75" customHeight="1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5.75" customHeight="1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5.75" customHeight="1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5.75" customHeight="1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5.75" customHeight="1" x14ac:dyDescent="0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5.75" customHeight="1" x14ac:dyDescent="0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5.75" customHeight="1" x14ac:dyDescent="0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5.75" customHeight="1" x14ac:dyDescent="0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5.75" customHeight="1" x14ac:dyDescent="0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5.75" customHeight="1" x14ac:dyDescent="0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5.75" customHeight="1" x14ac:dyDescent="0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5.75" customHeight="1" x14ac:dyDescent="0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5.75" customHeight="1" x14ac:dyDescent="0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5.75" customHeight="1" x14ac:dyDescent="0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5.75" customHeight="1" x14ac:dyDescent="0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5.75" customHeight="1" x14ac:dyDescent="0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5.75" customHeight="1" x14ac:dyDescent="0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5.75" customHeight="1" x14ac:dyDescent="0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5.75" customHeight="1" x14ac:dyDescent="0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5.75" customHeight="1" x14ac:dyDescent="0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5.75" customHeight="1" x14ac:dyDescent="0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5.75" customHeight="1" x14ac:dyDescent="0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5.75" customHeight="1" x14ac:dyDescent="0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5.75" customHeight="1" x14ac:dyDescent="0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5.75" customHeight="1" x14ac:dyDescent="0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5.75" customHeight="1" x14ac:dyDescent="0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5.75" customHeight="1" x14ac:dyDescent="0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5.75" customHeight="1" x14ac:dyDescent="0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5.75" customHeight="1" x14ac:dyDescent="0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5.75" customHeight="1" x14ac:dyDescent="0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5.75" customHeight="1" x14ac:dyDescent="0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5.75" customHeight="1" x14ac:dyDescent="0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5.75" customHeight="1" x14ac:dyDescent="0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5.75" customHeight="1" x14ac:dyDescent="0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5.75" customHeight="1" x14ac:dyDescent="0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5.75" customHeight="1" x14ac:dyDescent="0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5.75" customHeight="1" x14ac:dyDescent="0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5.75" customHeight="1" x14ac:dyDescent="0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5.75" customHeight="1" x14ac:dyDescent="0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5.75" customHeight="1" x14ac:dyDescent="0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5.75" customHeight="1" x14ac:dyDescent="0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5.75" customHeight="1" x14ac:dyDescent="0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5.75" customHeight="1" x14ac:dyDescent="0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5.75" customHeight="1" x14ac:dyDescent="0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5.75" customHeight="1" x14ac:dyDescent="0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5.75" customHeight="1" x14ac:dyDescent="0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5.75" customHeight="1" x14ac:dyDescent="0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5.75" customHeight="1" x14ac:dyDescent="0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5.75" customHeight="1" x14ac:dyDescent="0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5.75" customHeight="1" x14ac:dyDescent="0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5.75" customHeight="1" x14ac:dyDescent="0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5.75" customHeight="1" x14ac:dyDescent="0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5.75" customHeight="1" x14ac:dyDescent="0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5.75" customHeight="1" x14ac:dyDescent="0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5.75" customHeight="1" x14ac:dyDescent="0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5.75" customHeight="1" x14ac:dyDescent="0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5.75" customHeight="1" x14ac:dyDescent="0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5.75" customHeight="1" x14ac:dyDescent="0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5.75" customHeight="1" x14ac:dyDescent="0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5.75" customHeight="1" x14ac:dyDescent="0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5.75" customHeight="1" x14ac:dyDescent="0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5.75" customHeight="1" x14ac:dyDescent="0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5.75" customHeight="1" x14ac:dyDescent="0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5.75" customHeight="1" x14ac:dyDescent="0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5.75" customHeight="1" x14ac:dyDescent="0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5.75" customHeight="1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5.75" customHeight="1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5.75" customHeight="1" x14ac:dyDescent="0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5.75" customHeight="1" x14ac:dyDescent="0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5.75" customHeight="1" x14ac:dyDescent="0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5.75" customHeight="1" x14ac:dyDescent="0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5.75" customHeight="1" x14ac:dyDescent="0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5.75" customHeight="1" x14ac:dyDescent="0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5.75" customHeight="1" x14ac:dyDescent="0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5.75" customHeight="1" x14ac:dyDescent="0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5.75" customHeight="1" x14ac:dyDescent="0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5.75" customHeight="1" x14ac:dyDescent="0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5.75" customHeight="1" x14ac:dyDescent="0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5.75" customHeight="1" x14ac:dyDescent="0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5.75" customHeight="1" x14ac:dyDescent="0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5.75" customHeight="1" x14ac:dyDescent="0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5.75" customHeight="1" x14ac:dyDescent="0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5.75" customHeight="1" x14ac:dyDescent="0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5.75" customHeight="1" x14ac:dyDescent="0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5.75" customHeight="1" x14ac:dyDescent="0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5.75" customHeight="1" x14ac:dyDescent="0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5.75" customHeight="1" x14ac:dyDescent="0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5.75" customHeight="1" x14ac:dyDescent="0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5.75" customHeight="1" x14ac:dyDescent="0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5.75" customHeight="1" x14ac:dyDescent="0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5.75" customHeight="1" x14ac:dyDescent="0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5.75" customHeight="1" x14ac:dyDescent="0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5.75" customHeight="1" x14ac:dyDescent="0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5.75" customHeight="1" x14ac:dyDescent="0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5.75" customHeight="1" x14ac:dyDescent="0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5.75" customHeight="1" x14ac:dyDescent="0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5.75" customHeight="1" x14ac:dyDescent="0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5.75" customHeight="1" x14ac:dyDescent="0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5.75" customHeight="1" x14ac:dyDescent="0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5.75" customHeight="1" x14ac:dyDescent="0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5.75" customHeight="1" x14ac:dyDescent="0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5.75" customHeight="1" x14ac:dyDescent="0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5.75" customHeight="1" x14ac:dyDescent="0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5.75" customHeight="1" x14ac:dyDescent="0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5.75" customHeight="1" x14ac:dyDescent="0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5.75" customHeight="1" x14ac:dyDescent="0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5.75" customHeight="1" x14ac:dyDescent="0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5.75" customHeight="1" x14ac:dyDescent="0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5.75" customHeight="1" x14ac:dyDescent="0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5.75" customHeight="1" x14ac:dyDescent="0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5.75" customHeight="1" x14ac:dyDescent="0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5.75" customHeight="1" x14ac:dyDescent="0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5.75" customHeight="1" x14ac:dyDescent="0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5.75" customHeight="1" x14ac:dyDescent="0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5.75" customHeight="1" x14ac:dyDescent="0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5.75" customHeight="1" x14ac:dyDescent="0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5.75" customHeight="1" x14ac:dyDescent="0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5.75" customHeight="1" x14ac:dyDescent="0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5.75" customHeight="1" x14ac:dyDescent="0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5.75" customHeight="1" x14ac:dyDescent="0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5.75" customHeight="1" x14ac:dyDescent="0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5.75" customHeight="1" x14ac:dyDescent="0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5.75" customHeight="1" x14ac:dyDescent="0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5.75" customHeight="1" x14ac:dyDescent="0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5.75" customHeight="1" x14ac:dyDescent="0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5.75" customHeight="1" x14ac:dyDescent="0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5.75" customHeight="1" x14ac:dyDescent="0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5.75" customHeight="1" x14ac:dyDescent="0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5.75" customHeight="1" x14ac:dyDescent="0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5.75" customHeight="1" x14ac:dyDescent="0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5.75" customHeight="1" x14ac:dyDescent="0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5.75" customHeight="1" x14ac:dyDescent="0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5.75" customHeight="1" x14ac:dyDescent="0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5.75" customHeight="1" x14ac:dyDescent="0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5.75" customHeight="1" x14ac:dyDescent="0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5.75" customHeight="1" x14ac:dyDescent="0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5.75" customHeight="1" x14ac:dyDescent="0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5.75" customHeight="1" x14ac:dyDescent="0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5.75" customHeight="1" x14ac:dyDescent="0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5.75" customHeight="1" x14ac:dyDescent="0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5.75" customHeight="1" x14ac:dyDescent="0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5.75" customHeight="1" x14ac:dyDescent="0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5.75" customHeight="1" x14ac:dyDescent="0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5.75" customHeight="1" x14ac:dyDescent="0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5.75" customHeight="1" x14ac:dyDescent="0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5.75" customHeight="1" x14ac:dyDescent="0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5.75" customHeight="1" x14ac:dyDescent="0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5.75" customHeight="1" x14ac:dyDescent="0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5.75" customHeight="1" x14ac:dyDescent="0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5.75" customHeight="1" x14ac:dyDescent="0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5.75" customHeight="1" x14ac:dyDescent="0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5.75" customHeight="1" x14ac:dyDescent="0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5.75" customHeight="1" x14ac:dyDescent="0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5.75" customHeight="1" x14ac:dyDescent="0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5.75" customHeight="1" x14ac:dyDescent="0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5.75" customHeight="1" x14ac:dyDescent="0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5.75" customHeight="1" x14ac:dyDescent="0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5.75" customHeight="1" x14ac:dyDescent="0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5.75" customHeight="1" x14ac:dyDescent="0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5.75" customHeight="1" x14ac:dyDescent="0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5.75" customHeight="1" x14ac:dyDescent="0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5.75" customHeight="1" x14ac:dyDescent="0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5.75" customHeight="1" x14ac:dyDescent="0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5.75" customHeight="1" x14ac:dyDescent="0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5.75" customHeight="1" x14ac:dyDescent="0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5.75" customHeight="1" x14ac:dyDescent="0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5.75" customHeight="1" x14ac:dyDescent="0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5.75" customHeight="1" x14ac:dyDescent="0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5.75" customHeight="1" x14ac:dyDescent="0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5.75" customHeight="1" x14ac:dyDescent="0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5.75" customHeight="1" x14ac:dyDescent="0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5.75" customHeight="1" x14ac:dyDescent="0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5.75" customHeight="1" x14ac:dyDescent="0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5.75" customHeight="1" x14ac:dyDescent="0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5.75" customHeight="1" x14ac:dyDescent="0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5.75" customHeight="1" x14ac:dyDescent="0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5.75" customHeight="1" x14ac:dyDescent="0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5.75" customHeight="1" x14ac:dyDescent="0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5.75" customHeight="1" x14ac:dyDescent="0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5.75" customHeight="1" x14ac:dyDescent="0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5.75" customHeight="1" x14ac:dyDescent="0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5.75" customHeight="1" x14ac:dyDescent="0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5.75" customHeight="1" x14ac:dyDescent="0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5.75" customHeight="1" x14ac:dyDescent="0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5.75" customHeight="1" x14ac:dyDescent="0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5.75" customHeight="1" x14ac:dyDescent="0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5.75" customHeight="1" x14ac:dyDescent="0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5.75" customHeight="1" x14ac:dyDescent="0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5.75" customHeight="1" x14ac:dyDescent="0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5.75" customHeight="1" x14ac:dyDescent="0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5.75" customHeight="1" x14ac:dyDescent="0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5.75" customHeight="1" x14ac:dyDescent="0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5.75" customHeight="1" x14ac:dyDescent="0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5.75" customHeight="1" x14ac:dyDescent="0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5.75" customHeight="1" x14ac:dyDescent="0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5.75" customHeight="1" x14ac:dyDescent="0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5.75" customHeight="1" x14ac:dyDescent="0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5.75" customHeight="1" x14ac:dyDescent="0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5.75" customHeight="1" x14ac:dyDescent="0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5.75" customHeight="1" x14ac:dyDescent="0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5.75" customHeight="1" x14ac:dyDescent="0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5.75" customHeight="1" x14ac:dyDescent="0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5.75" customHeight="1" x14ac:dyDescent="0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5.75" customHeight="1" x14ac:dyDescent="0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5.75" customHeight="1" x14ac:dyDescent="0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5.75" customHeight="1" x14ac:dyDescent="0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5.75" customHeight="1" x14ac:dyDescent="0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5.75" customHeight="1" x14ac:dyDescent="0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5.75" customHeight="1" x14ac:dyDescent="0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5.75" customHeight="1" x14ac:dyDescent="0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5.75" customHeight="1" x14ac:dyDescent="0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5.75" customHeight="1" x14ac:dyDescent="0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5.75" customHeight="1" x14ac:dyDescent="0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5.75" customHeight="1" x14ac:dyDescent="0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5.75" customHeight="1" x14ac:dyDescent="0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5.75" customHeight="1" x14ac:dyDescent="0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5.75" customHeight="1" x14ac:dyDescent="0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5.75" customHeight="1" x14ac:dyDescent="0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5.75" customHeight="1" x14ac:dyDescent="0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5.75" customHeight="1" x14ac:dyDescent="0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5.75" customHeight="1" x14ac:dyDescent="0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5.75" customHeight="1" x14ac:dyDescent="0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5.75" customHeight="1" x14ac:dyDescent="0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5.75" customHeight="1" x14ac:dyDescent="0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5.75" customHeight="1" x14ac:dyDescent="0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5.75" customHeight="1" x14ac:dyDescent="0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5.75" customHeight="1" x14ac:dyDescent="0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5.75" customHeight="1" x14ac:dyDescent="0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5.75" customHeight="1" x14ac:dyDescent="0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5.75" customHeight="1" x14ac:dyDescent="0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5.75" customHeight="1" x14ac:dyDescent="0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5.75" customHeight="1" x14ac:dyDescent="0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5.75" customHeight="1" x14ac:dyDescent="0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5.75" customHeight="1" x14ac:dyDescent="0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5.75" customHeight="1" x14ac:dyDescent="0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5.75" customHeight="1" x14ac:dyDescent="0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5.75" customHeight="1" x14ac:dyDescent="0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5.75" customHeight="1" x14ac:dyDescent="0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5.75" customHeight="1" x14ac:dyDescent="0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5.75" customHeight="1" x14ac:dyDescent="0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5.75" customHeight="1" x14ac:dyDescent="0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5.75" customHeight="1" x14ac:dyDescent="0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5.75" customHeight="1" x14ac:dyDescent="0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5.75" customHeight="1" x14ac:dyDescent="0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5.75" customHeight="1" x14ac:dyDescent="0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5.75" customHeight="1" x14ac:dyDescent="0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5.75" customHeight="1" x14ac:dyDescent="0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5.75" customHeight="1" x14ac:dyDescent="0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5.75" customHeight="1" x14ac:dyDescent="0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5.75" customHeight="1" x14ac:dyDescent="0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5.75" customHeight="1" x14ac:dyDescent="0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5.75" customHeight="1" x14ac:dyDescent="0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5.75" customHeight="1" x14ac:dyDescent="0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5.75" customHeight="1" x14ac:dyDescent="0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5.75" customHeight="1" x14ac:dyDescent="0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5.75" customHeight="1" x14ac:dyDescent="0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5.75" customHeight="1" x14ac:dyDescent="0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5.75" customHeight="1" x14ac:dyDescent="0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5.75" customHeight="1" x14ac:dyDescent="0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5.75" customHeight="1" x14ac:dyDescent="0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5.75" customHeight="1" x14ac:dyDescent="0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5.75" customHeight="1" x14ac:dyDescent="0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5.75" customHeight="1" x14ac:dyDescent="0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5.75" customHeight="1" x14ac:dyDescent="0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5.75" customHeight="1" x14ac:dyDescent="0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5.75" customHeight="1" x14ac:dyDescent="0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5.75" customHeight="1" x14ac:dyDescent="0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5.75" customHeight="1" x14ac:dyDescent="0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5.75" customHeight="1" x14ac:dyDescent="0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5.75" customHeight="1" x14ac:dyDescent="0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5.75" customHeight="1" x14ac:dyDescent="0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5.75" customHeight="1" x14ac:dyDescent="0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5.75" customHeight="1" x14ac:dyDescent="0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5.75" customHeight="1" x14ac:dyDescent="0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5.75" customHeight="1" x14ac:dyDescent="0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5.75" customHeight="1" x14ac:dyDescent="0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5.75" customHeight="1" x14ac:dyDescent="0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5.75" customHeight="1" x14ac:dyDescent="0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5.75" customHeight="1" x14ac:dyDescent="0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5.75" customHeight="1" x14ac:dyDescent="0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5.75" customHeight="1" x14ac:dyDescent="0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5.75" customHeight="1" x14ac:dyDescent="0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5.75" customHeight="1" x14ac:dyDescent="0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5.75" customHeight="1" x14ac:dyDescent="0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5.75" customHeight="1" x14ac:dyDescent="0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5.75" customHeight="1" x14ac:dyDescent="0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5.75" customHeight="1" x14ac:dyDescent="0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5.75" customHeight="1" x14ac:dyDescent="0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5.75" customHeight="1" x14ac:dyDescent="0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5.75" customHeight="1" x14ac:dyDescent="0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5.75" customHeight="1" x14ac:dyDescent="0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5.75" customHeight="1" x14ac:dyDescent="0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5.75" customHeight="1" x14ac:dyDescent="0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5.75" customHeight="1" x14ac:dyDescent="0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5.75" customHeight="1" x14ac:dyDescent="0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5.75" customHeight="1" x14ac:dyDescent="0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5.75" customHeight="1" x14ac:dyDescent="0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5.75" customHeight="1" x14ac:dyDescent="0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5.75" customHeight="1" x14ac:dyDescent="0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5.75" customHeight="1" x14ac:dyDescent="0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5.75" customHeight="1" x14ac:dyDescent="0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5.75" customHeight="1" x14ac:dyDescent="0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5.75" customHeight="1" x14ac:dyDescent="0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5.75" customHeight="1" x14ac:dyDescent="0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5.75" customHeight="1" x14ac:dyDescent="0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5.75" customHeight="1" x14ac:dyDescent="0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5.75" customHeight="1" x14ac:dyDescent="0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5.75" customHeight="1" x14ac:dyDescent="0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5.75" customHeight="1" x14ac:dyDescent="0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5.75" customHeight="1" x14ac:dyDescent="0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5.75" customHeight="1" x14ac:dyDescent="0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5.75" customHeight="1" x14ac:dyDescent="0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5.75" customHeight="1" x14ac:dyDescent="0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5.75" customHeight="1" x14ac:dyDescent="0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5.75" customHeight="1" x14ac:dyDescent="0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5.75" customHeight="1" x14ac:dyDescent="0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5.75" customHeight="1" x14ac:dyDescent="0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5.75" customHeight="1" x14ac:dyDescent="0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5.75" customHeight="1" x14ac:dyDescent="0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5.75" customHeight="1" x14ac:dyDescent="0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5.75" customHeight="1" x14ac:dyDescent="0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5.75" customHeight="1" x14ac:dyDescent="0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5.75" customHeight="1" x14ac:dyDescent="0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5.75" customHeight="1" x14ac:dyDescent="0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5.75" customHeight="1" x14ac:dyDescent="0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5.75" customHeight="1" x14ac:dyDescent="0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5.75" customHeight="1" x14ac:dyDescent="0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5.75" customHeight="1" x14ac:dyDescent="0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5.75" customHeight="1" x14ac:dyDescent="0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5.75" customHeight="1" x14ac:dyDescent="0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5.75" customHeight="1" x14ac:dyDescent="0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5.75" customHeight="1" x14ac:dyDescent="0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5.75" customHeight="1" x14ac:dyDescent="0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5.75" customHeight="1" x14ac:dyDescent="0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5.75" customHeight="1" x14ac:dyDescent="0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5.75" customHeight="1" x14ac:dyDescent="0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5.75" customHeight="1" x14ac:dyDescent="0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5.75" customHeight="1" x14ac:dyDescent="0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5.75" customHeight="1" x14ac:dyDescent="0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5.75" customHeight="1" x14ac:dyDescent="0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5.75" customHeight="1" x14ac:dyDescent="0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5.75" customHeight="1" x14ac:dyDescent="0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5.75" customHeight="1" x14ac:dyDescent="0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5.75" customHeight="1" x14ac:dyDescent="0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5.75" customHeight="1" x14ac:dyDescent="0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5.75" customHeight="1" x14ac:dyDescent="0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5.75" customHeight="1" x14ac:dyDescent="0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5.75" customHeight="1" x14ac:dyDescent="0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5.75" customHeight="1" x14ac:dyDescent="0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5.75" customHeight="1" x14ac:dyDescent="0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5.75" customHeight="1" x14ac:dyDescent="0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5.75" customHeight="1" x14ac:dyDescent="0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5.75" customHeight="1" x14ac:dyDescent="0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5.75" customHeight="1" x14ac:dyDescent="0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5.75" customHeight="1" x14ac:dyDescent="0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5.75" customHeight="1" x14ac:dyDescent="0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5.75" customHeight="1" x14ac:dyDescent="0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5.75" customHeight="1" x14ac:dyDescent="0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5.75" customHeight="1" x14ac:dyDescent="0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5.75" customHeight="1" x14ac:dyDescent="0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5.75" customHeight="1" x14ac:dyDescent="0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5.75" customHeight="1" x14ac:dyDescent="0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5.75" customHeight="1" x14ac:dyDescent="0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5.75" customHeight="1" x14ac:dyDescent="0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5.75" customHeight="1" x14ac:dyDescent="0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5.75" customHeight="1" x14ac:dyDescent="0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5.75" customHeight="1" x14ac:dyDescent="0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5.75" customHeight="1" x14ac:dyDescent="0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5.75" customHeight="1" x14ac:dyDescent="0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5.75" customHeight="1" x14ac:dyDescent="0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5.75" customHeight="1" x14ac:dyDescent="0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5.75" customHeight="1" x14ac:dyDescent="0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5.75" customHeight="1" x14ac:dyDescent="0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5.75" customHeight="1" x14ac:dyDescent="0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5.75" customHeight="1" x14ac:dyDescent="0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5.75" customHeight="1" x14ac:dyDescent="0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5.75" customHeight="1" x14ac:dyDescent="0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5.75" customHeight="1" x14ac:dyDescent="0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5.75" customHeight="1" x14ac:dyDescent="0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5.75" customHeight="1" x14ac:dyDescent="0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5.75" customHeight="1" x14ac:dyDescent="0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5.75" customHeight="1" x14ac:dyDescent="0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5.75" customHeight="1" x14ac:dyDescent="0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5.75" customHeight="1" x14ac:dyDescent="0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5.75" customHeight="1" x14ac:dyDescent="0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5.75" customHeight="1" x14ac:dyDescent="0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5.75" customHeight="1" x14ac:dyDescent="0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5.75" customHeight="1" x14ac:dyDescent="0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5.75" customHeight="1" x14ac:dyDescent="0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5.75" customHeight="1" x14ac:dyDescent="0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5.75" customHeight="1" x14ac:dyDescent="0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5.75" customHeight="1" x14ac:dyDescent="0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5.75" customHeight="1" x14ac:dyDescent="0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5.75" customHeight="1" x14ac:dyDescent="0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5.75" customHeight="1" x14ac:dyDescent="0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5.75" customHeight="1" x14ac:dyDescent="0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5.75" customHeight="1" x14ac:dyDescent="0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5.75" customHeight="1" x14ac:dyDescent="0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5.75" customHeight="1" x14ac:dyDescent="0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5.75" customHeight="1" x14ac:dyDescent="0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5.75" customHeight="1" x14ac:dyDescent="0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5.75" customHeight="1" x14ac:dyDescent="0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5.75" customHeight="1" x14ac:dyDescent="0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5.75" customHeight="1" x14ac:dyDescent="0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5.75" customHeight="1" x14ac:dyDescent="0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5.75" customHeight="1" x14ac:dyDescent="0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5.75" customHeight="1" x14ac:dyDescent="0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5.75" customHeight="1" x14ac:dyDescent="0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5.75" customHeight="1" x14ac:dyDescent="0.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5.75" customHeight="1" x14ac:dyDescent="0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5.75" customHeight="1" x14ac:dyDescent="0.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5.75" customHeight="1" x14ac:dyDescent="0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5.75" customHeight="1" x14ac:dyDescent="0.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5.75" customHeight="1" x14ac:dyDescent="0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5.75" customHeight="1" x14ac:dyDescent="0.2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5.75" customHeight="1" x14ac:dyDescent="0.2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5.75" customHeight="1" x14ac:dyDescent="0.2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5.75" customHeight="1" x14ac:dyDescent="0.2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5.75" customHeight="1" x14ac:dyDescent="0.2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5.75" customHeight="1" x14ac:dyDescent="0.2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5.75" customHeight="1" x14ac:dyDescent="0.2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5.75" customHeight="1" x14ac:dyDescent="0.2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5.75" customHeight="1" x14ac:dyDescent="0.2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5.75" customHeight="1" x14ac:dyDescent="0.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5.75" customHeight="1" x14ac:dyDescent="0.2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5.75" customHeight="1" x14ac:dyDescent="0.2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5.75" customHeight="1" x14ac:dyDescent="0.2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5.75" customHeight="1" x14ac:dyDescent="0.2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5.75" customHeight="1" x14ac:dyDescent="0.2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5.75" customHeight="1" x14ac:dyDescent="0.2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5.75" customHeight="1" x14ac:dyDescent="0.2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5.75" customHeight="1" x14ac:dyDescent="0.2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5.75" customHeight="1" x14ac:dyDescent="0.2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5.75" customHeight="1" x14ac:dyDescent="0.2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5.75" customHeight="1" x14ac:dyDescent="0.2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5.75" customHeight="1" x14ac:dyDescent="0.2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5.75" customHeight="1" x14ac:dyDescent="0.2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5.75" customHeight="1" x14ac:dyDescent="0.2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5.75" customHeight="1" x14ac:dyDescent="0.2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5.75" customHeight="1" x14ac:dyDescent="0.2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5.75" customHeight="1" x14ac:dyDescent="0.2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5.75" customHeight="1" x14ac:dyDescent="0.2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5.75" customHeight="1" x14ac:dyDescent="0.2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5.75" customHeight="1" x14ac:dyDescent="0.2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5.75" customHeight="1" x14ac:dyDescent="0.2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5.75" customHeight="1" x14ac:dyDescent="0.2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5.75" customHeight="1" x14ac:dyDescent="0.2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5.75" customHeight="1" x14ac:dyDescent="0.2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5.75" customHeight="1" x14ac:dyDescent="0.2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5.75" customHeight="1" x14ac:dyDescent="0.2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5.75" customHeight="1" x14ac:dyDescent="0.2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5.75" customHeight="1" x14ac:dyDescent="0.2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5.75" customHeight="1" x14ac:dyDescent="0.2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5.75" customHeight="1" x14ac:dyDescent="0.2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5.75" customHeight="1" x14ac:dyDescent="0.2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5.75" customHeight="1" x14ac:dyDescent="0.2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5.75" customHeight="1" x14ac:dyDescent="0.2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5.75" customHeight="1" x14ac:dyDescent="0.2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5.75" customHeight="1" x14ac:dyDescent="0.2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5.75" customHeight="1" x14ac:dyDescent="0.2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5.75" customHeight="1" x14ac:dyDescent="0.2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5.75" customHeight="1" x14ac:dyDescent="0.2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5.75" customHeight="1" x14ac:dyDescent="0.2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5.75" customHeight="1" x14ac:dyDescent="0.2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5.75" customHeight="1" x14ac:dyDescent="0.2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5.75" customHeight="1" x14ac:dyDescent="0.2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5.75" customHeight="1" x14ac:dyDescent="0.2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5.75" customHeight="1" x14ac:dyDescent="0.2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5.75" customHeight="1" x14ac:dyDescent="0.2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5.75" customHeight="1" x14ac:dyDescent="0.2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5.75" customHeight="1" x14ac:dyDescent="0.2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5.75" customHeight="1" x14ac:dyDescent="0.2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5.75" customHeight="1" x14ac:dyDescent="0.2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5.75" customHeight="1" x14ac:dyDescent="0.2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5.75" customHeight="1" x14ac:dyDescent="0.2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5.75" customHeight="1" x14ac:dyDescent="0.2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5.75" customHeight="1" x14ac:dyDescent="0.2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5.75" customHeight="1" x14ac:dyDescent="0.2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5.75" customHeight="1" x14ac:dyDescent="0.2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5.75" customHeight="1" x14ac:dyDescent="0.2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5.75" customHeight="1" x14ac:dyDescent="0.2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5.75" customHeight="1" x14ac:dyDescent="0.2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5.75" customHeight="1" x14ac:dyDescent="0.2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5.75" customHeight="1" x14ac:dyDescent="0.2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5.75" customHeight="1" x14ac:dyDescent="0.2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5.75" customHeight="1" x14ac:dyDescent="0.2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5.75" customHeight="1" x14ac:dyDescent="0.2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5.75" customHeight="1" x14ac:dyDescent="0.2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5.75" customHeight="1" x14ac:dyDescent="0.2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5.75" customHeight="1" x14ac:dyDescent="0.2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5.75" customHeight="1" x14ac:dyDescent="0.2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5.75" customHeight="1" x14ac:dyDescent="0.2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5.75" customHeight="1" x14ac:dyDescent="0.2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5.75" customHeight="1" x14ac:dyDescent="0.2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5.75" customHeight="1" x14ac:dyDescent="0.2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5.75" customHeight="1" x14ac:dyDescent="0.2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5.75" customHeight="1" x14ac:dyDescent="0.2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5.75" customHeight="1" x14ac:dyDescent="0.2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5.75" customHeight="1" x14ac:dyDescent="0.2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ageMargins left="0.51180555555555596" right="0.51180555555555596" top="1.575" bottom="1.5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3CC66"/>
  </sheetPr>
  <dimension ref="A1:AMH1048576"/>
  <sheetViews>
    <sheetView zoomScale="60" zoomScaleNormal="60" workbookViewId="0"/>
  </sheetViews>
  <sheetFormatPr defaultColWidth="11.5703125" defaultRowHeight="15" customHeight="1" x14ac:dyDescent="0.2"/>
  <cols>
    <col min="1" max="1" width="12.140625" style="7" customWidth="1"/>
    <col min="2" max="1022" width="23.85546875" style="7" customWidth="1"/>
    <col min="1023" max="16384" width="11.5703125" style="7"/>
  </cols>
  <sheetData>
    <row r="1" spans="1:1022" ht="25.9" customHeight="1" x14ac:dyDescent="0.2">
      <c r="A1" s="8" t="str">
        <f>"sum= "&amp;SUM(B3:BG50)</f>
        <v>sum= 4420</v>
      </c>
      <c r="B1" s="9" t="s">
        <v>95</v>
      </c>
      <c r="C1" s="9" t="s">
        <v>96</v>
      </c>
      <c r="D1" s="9" t="s">
        <v>97</v>
      </c>
      <c r="E1" s="9" t="s">
        <v>98</v>
      </c>
      <c r="F1" s="9" t="s">
        <v>99</v>
      </c>
      <c r="G1" s="9" t="s">
        <v>100</v>
      </c>
      <c r="H1" s="10" t="s">
        <v>101</v>
      </c>
      <c r="I1" s="9" t="s">
        <v>102</v>
      </c>
      <c r="J1" s="9" t="s">
        <v>103</v>
      </c>
      <c r="K1" s="9" t="s">
        <v>104</v>
      </c>
      <c r="L1" s="9" t="s">
        <v>105</v>
      </c>
      <c r="M1" s="9" t="s">
        <v>106</v>
      </c>
      <c r="N1" s="9" t="s">
        <v>107</v>
      </c>
      <c r="O1" s="9" t="s">
        <v>108</v>
      </c>
      <c r="P1" s="11" t="s">
        <v>109</v>
      </c>
      <c r="Q1" s="9" t="s">
        <v>110</v>
      </c>
      <c r="R1" s="9" t="s">
        <v>111</v>
      </c>
      <c r="S1" s="9" t="s">
        <v>112</v>
      </c>
      <c r="T1" s="9" t="s">
        <v>113</v>
      </c>
      <c r="U1" s="9" t="s">
        <v>114</v>
      </c>
      <c r="V1" s="9" t="s">
        <v>115</v>
      </c>
      <c r="W1" s="9" t="s">
        <v>116</v>
      </c>
      <c r="X1" s="12" t="s">
        <v>117</v>
      </c>
      <c r="Y1" s="9" t="s">
        <v>118</v>
      </c>
      <c r="Z1" s="9" t="s">
        <v>119</v>
      </c>
      <c r="AA1" s="9" t="s">
        <v>120</v>
      </c>
      <c r="AB1" s="9" t="s">
        <v>121</v>
      </c>
      <c r="AC1" s="12" t="s">
        <v>122</v>
      </c>
      <c r="AD1" s="9" t="s">
        <v>123</v>
      </c>
      <c r="AE1" s="9" t="s">
        <v>124</v>
      </c>
      <c r="AF1" s="12" t="s">
        <v>125</v>
      </c>
      <c r="AG1" s="9" t="s">
        <v>126</v>
      </c>
      <c r="AH1" s="12" t="s">
        <v>127</v>
      </c>
      <c r="AI1" s="12" t="s">
        <v>128</v>
      </c>
      <c r="AJ1" s="9" t="s">
        <v>129</v>
      </c>
      <c r="AK1" s="9" t="s">
        <v>130</v>
      </c>
      <c r="AL1" s="9" t="s">
        <v>131</v>
      </c>
      <c r="AM1" s="9" t="s">
        <v>132</v>
      </c>
      <c r="AN1" s="9" t="s">
        <v>133</v>
      </c>
      <c r="AO1" s="9" t="s">
        <v>134</v>
      </c>
      <c r="AP1" s="9" t="s">
        <v>135</v>
      </c>
      <c r="AQ1" s="9" t="s">
        <v>136</v>
      </c>
      <c r="AR1" s="9" t="s">
        <v>137</v>
      </c>
      <c r="AS1" s="9" t="s">
        <v>138</v>
      </c>
      <c r="AT1" s="9" t="s">
        <v>139</v>
      </c>
      <c r="AU1" s="12" t="s">
        <v>140</v>
      </c>
      <c r="AV1" s="9" t="s">
        <v>141</v>
      </c>
      <c r="AW1" s="9" t="s">
        <v>142</v>
      </c>
      <c r="AX1" s="9" t="s">
        <v>143</v>
      </c>
      <c r="AY1" s="9" t="s">
        <v>144</v>
      </c>
      <c r="AZ1" s="9" t="s">
        <v>145</v>
      </c>
      <c r="BA1" s="9" t="s">
        <v>146</v>
      </c>
      <c r="BB1" s="12" t="s">
        <v>147</v>
      </c>
      <c r="BC1" s="9" t="s">
        <v>148</v>
      </c>
      <c r="BD1" s="9" t="s">
        <v>149</v>
      </c>
      <c r="BE1" s="9" t="s">
        <v>150</v>
      </c>
      <c r="BF1" s="9" t="s">
        <v>151</v>
      </c>
      <c r="BG1" s="9" t="s">
        <v>152</v>
      </c>
      <c r="BH1" s="13"/>
      <c r="BI1" s="14"/>
      <c r="BJ1" s="14"/>
      <c r="BK1" s="14"/>
      <c r="BL1" s="14"/>
      <c r="BM1" s="14"/>
      <c r="BN1" s="14"/>
      <c r="BO1" s="14"/>
      <c r="BP1" s="13"/>
      <c r="BQ1" s="13"/>
      <c r="BR1" s="13"/>
      <c r="BS1" s="13"/>
      <c r="BT1" s="13"/>
      <c r="BU1" s="13"/>
      <c r="BV1" s="13"/>
      <c r="BW1" s="13"/>
      <c r="BX1" s="13"/>
      <c r="BY1" s="13"/>
      <c r="BZ1" s="13"/>
      <c r="CA1" s="13"/>
      <c r="CB1" s="13"/>
      <c r="CC1" s="13"/>
      <c r="CD1" s="13"/>
      <c r="CE1" s="13"/>
      <c r="CF1" s="13"/>
      <c r="CG1" s="13"/>
      <c r="CH1" s="13"/>
      <c r="CI1" s="13"/>
      <c r="CJ1" s="13"/>
      <c r="CK1" s="13"/>
      <c r="CL1" s="13"/>
      <c r="CM1" s="13"/>
      <c r="CN1" s="13"/>
      <c r="CO1" s="13"/>
      <c r="CP1" s="13"/>
      <c r="CQ1" s="13"/>
      <c r="CR1" s="13"/>
      <c r="CS1" s="13"/>
      <c r="CT1" s="13"/>
      <c r="CU1" s="13"/>
      <c r="CV1" s="13"/>
      <c r="CW1" s="13"/>
      <c r="CX1" s="13"/>
      <c r="CY1" s="13"/>
      <c r="CZ1" s="13"/>
      <c r="DA1" s="13"/>
      <c r="DB1" s="13"/>
      <c r="DC1" s="13"/>
      <c r="DD1" s="13"/>
      <c r="DE1" s="13"/>
      <c r="DF1" s="13"/>
      <c r="DG1" s="13"/>
      <c r="DH1" s="13"/>
      <c r="DI1" s="13"/>
      <c r="DJ1" s="13"/>
      <c r="DK1" s="13"/>
      <c r="DL1" s="13"/>
      <c r="DM1" s="13"/>
      <c r="DN1" s="13"/>
      <c r="DO1" s="13"/>
      <c r="DP1" s="13"/>
      <c r="DQ1" s="13"/>
      <c r="DR1" s="13"/>
      <c r="DS1" s="13"/>
      <c r="DT1" s="13"/>
      <c r="DU1" s="13"/>
      <c r="DV1" s="13"/>
      <c r="DW1" s="13"/>
      <c r="DX1" s="13"/>
      <c r="DY1" s="13"/>
      <c r="DZ1" s="13"/>
      <c r="EA1" s="13"/>
      <c r="EB1" s="13"/>
      <c r="EC1" s="13"/>
      <c r="ED1" s="13"/>
      <c r="EE1" s="13"/>
      <c r="EF1" s="13"/>
      <c r="EG1" s="13"/>
      <c r="EH1" s="13"/>
      <c r="EI1" s="13"/>
      <c r="EJ1" s="13"/>
      <c r="EK1" s="13"/>
      <c r="EL1" s="13"/>
      <c r="EM1" s="13"/>
      <c r="EN1" s="13"/>
      <c r="EO1" s="13"/>
      <c r="EP1" s="13"/>
      <c r="EQ1" s="13"/>
      <c r="ER1" s="13"/>
      <c r="ES1" s="13"/>
      <c r="ET1" s="13"/>
      <c r="EU1" s="13"/>
      <c r="EV1" s="13"/>
      <c r="EW1" s="13"/>
      <c r="EX1" s="13"/>
      <c r="EY1" s="13"/>
      <c r="EZ1" s="13"/>
      <c r="FA1" s="13"/>
      <c r="FB1" s="13"/>
      <c r="FC1" s="13"/>
      <c r="FD1" s="13"/>
      <c r="FE1" s="13"/>
      <c r="FF1" s="13"/>
      <c r="FG1" s="13"/>
      <c r="FH1" s="13"/>
      <c r="FI1" s="13"/>
      <c r="FJ1" s="13"/>
      <c r="FK1" s="13"/>
      <c r="FL1" s="13"/>
      <c r="FM1" s="13"/>
      <c r="FN1" s="13"/>
      <c r="FO1" s="13"/>
      <c r="FP1" s="13"/>
      <c r="FQ1" s="13"/>
      <c r="FR1" s="13"/>
      <c r="FS1" s="13"/>
      <c r="FT1" s="13"/>
      <c r="FU1" s="13"/>
      <c r="FV1" s="13"/>
      <c r="FW1" s="13"/>
      <c r="FX1" s="13"/>
      <c r="FY1" s="13"/>
      <c r="FZ1" s="13"/>
      <c r="GA1" s="13"/>
      <c r="GB1" s="13"/>
      <c r="GC1" s="13"/>
      <c r="GD1" s="13"/>
      <c r="GE1" s="13"/>
      <c r="GF1" s="13"/>
      <c r="GG1" s="13"/>
      <c r="GH1" s="13"/>
      <c r="GI1" s="13"/>
      <c r="GJ1" s="13"/>
      <c r="GK1" s="13"/>
      <c r="GL1" s="13"/>
      <c r="GM1" s="13"/>
      <c r="GN1" s="13"/>
      <c r="GO1" s="13"/>
      <c r="GP1" s="13"/>
      <c r="GQ1" s="13"/>
      <c r="GR1" s="13"/>
      <c r="GS1" s="13"/>
      <c r="GT1" s="13"/>
      <c r="GU1" s="13"/>
      <c r="GV1" s="13"/>
      <c r="GW1" s="13"/>
      <c r="GX1" s="13"/>
      <c r="GY1" s="13"/>
      <c r="GZ1" s="13"/>
      <c r="HA1" s="13"/>
      <c r="HB1" s="13"/>
      <c r="HC1" s="13"/>
      <c r="HD1" s="13"/>
      <c r="HE1" s="13"/>
      <c r="HF1" s="13"/>
      <c r="HG1" s="13"/>
      <c r="HH1" s="13"/>
      <c r="HI1" s="13"/>
      <c r="HJ1" s="13"/>
      <c r="HK1" s="13"/>
      <c r="HL1" s="13"/>
      <c r="HM1" s="13"/>
      <c r="HN1" s="13"/>
      <c r="HO1" s="13"/>
      <c r="HP1" s="13"/>
      <c r="HQ1" s="13"/>
      <c r="HR1" s="13"/>
      <c r="HS1" s="13"/>
      <c r="HT1" s="13"/>
      <c r="HU1" s="13"/>
      <c r="HV1" s="13"/>
      <c r="HW1" s="13"/>
      <c r="HX1" s="13"/>
      <c r="HY1" s="13"/>
      <c r="HZ1" s="13"/>
      <c r="IA1" s="13"/>
      <c r="IB1" s="13"/>
      <c r="IC1" s="13"/>
      <c r="ID1" s="13"/>
      <c r="IE1" s="13"/>
      <c r="IF1" s="13"/>
      <c r="IG1" s="13"/>
      <c r="IH1" s="13"/>
      <c r="II1" s="13"/>
      <c r="IJ1" s="13"/>
      <c r="IK1" s="13"/>
      <c r="IL1" s="13"/>
      <c r="IM1" s="13"/>
      <c r="IN1" s="13"/>
      <c r="IO1" s="13"/>
      <c r="IP1" s="13"/>
      <c r="IQ1" s="13"/>
      <c r="IR1" s="13"/>
      <c r="IS1" s="13"/>
      <c r="IT1" s="13"/>
      <c r="IU1" s="13"/>
      <c r="IV1" s="13"/>
      <c r="IW1" s="13"/>
      <c r="IX1" s="13"/>
      <c r="IY1" s="13"/>
      <c r="IZ1" s="13"/>
      <c r="JA1" s="13"/>
      <c r="JB1" s="13"/>
      <c r="JC1" s="13"/>
      <c r="JD1" s="13"/>
      <c r="JE1" s="13"/>
      <c r="JF1" s="13"/>
      <c r="JG1" s="13"/>
      <c r="JH1" s="13"/>
      <c r="JI1" s="13"/>
      <c r="JJ1" s="13"/>
      <c r="JK1" s="13"/>
      <c r="JL1" s="13"/>
      <c r="JM1" s="13"/>
      <c r="JN1" s="13"/>
      <c r="JO1" s="13"/>
      <c r="JP1" s="13"/>
      <c r="JQ1" s="13"/>
      <c r="JR1" s="13"/>
      <c r="JS1" s="13"/>
      <c r="JT1" s="13"/>
      <c r="JU1" s="13"/>
      <c r="JV1" s="13"/>
      <c r="JW1" s="13"/>
      <c r="JX1" s="13"/>
      <c r="JY1" s="13"/>
      <c r="JZ1" s="13"/>
      <c r="KA1" s="13"/>
      <c r="KB1" s="13"/>
      <c r="KC1" s="13"/>
      <c r="KD1" s="13"/>
      <c r="KE1" s="13"/>
      <c r="KF1" s="13"/>
      <c r="KG1" s="13"/>
      <c r="KH1" s="13"/>
      <c r="KI1" s="13"/>
      <c r="KJ1" s="13"/>
      <c r="KK1" s="13"/>
      <c r="KL1" s="13"/>
      <c r="KM1" s="13"/>
      <c r="KN1" s="13"/>
      <c r="KO1" s="13"/>
      <c r="KP1" s="13"/>
      <c r="KQ1" s="13"/>
      <c r="KR1" s="13"/>
      <c r="KS1" s="13"/>
      <c r="KT1" s="13"/>
      <c r="KU1" s="13"/>
      <c r="KV1" s="13"/>
      <c r="KW1" s="13"/>
      <c r="KX1" s="13"/>
      <c r="KY1" s="13"/>
      <c r="KZ1" s="13"/>
      <c r="LA1" s="13"/>
      <c r="LB1" s="13"/>
      <c r="LC1" s="13"/>
      <c r="LD1" s="13"/>
      <c r="LE1" s="13"/>
      <c r="LF1" s="13"/>
      <c r="LG1" s="13"/>
      <c r="LH1" s="13"/>
      <c r="LI1" s="13"/>
      <c r="LJ1" s="13"/>
      <c r="LK1" s="13"/>
      <c r="LL1" s="13"/>
      <c r="LM1" s="13"/>
      <c r="LN1" s="13"/>
      <c r="LO1" s="13"/>
      <c r="LP1" s="13"/>
      <c r="LQ1" s="13"/>
      <c r="LR1" s="13"/>
      <c r="LS1" s="13"/>
      <c r="LT1" s="13"/>
      <c r="LU1" s="13"/>
      <c r="LV1" s="13"/>
      <c r="LW1" s="13"/>
      <c r="LX1" s="13"/>
      <c r="LY1" s="13"/>
      <c r="LZ1" s="13"/>
      <c r="MA1" s="13"/>
      <c r="MB1" s="13"/>
      <c r="MC1" s="13"/>
      <c r="MD1" s="13"/>
      <c r="ME1" s="13"/>
      <c r="MF1" s="13"/>
      <c r="MG1" s="13"/>
      <c r="MH1" s="13"/>
      <c r="MI1" s="13"/>
      <c r="MJ1" s="13"/>
      <c r="MK1" s="13"/>
      <c r="ML1" s="13"/>
      <c r="MM1" s="13"/>
      <c r="MN1" s="13"/>
      <c r="MO1" s="13"/>
      <c r="MP1" s="13"/>
      <c r="MQ1" s="13"/>
      <c r="MR1" s="13"/>
      <c r="MS1" s="13"/>
      <c r="MT1" s="13"/>
      <c r="MU1" s="13"/>
      <c r="MV1" s="13"/>
      <c r="MW1" s="13"/>
      <c r="MX1" s="13"/>
      <c r="MY1" s="13"/>
      <c r="MZ1" s="13"/>
      <c r="NA1" s="13"/>
      <c r="NB1" s="13"/>
      <c r="NC1" s="13"/>
      <c r="ND1" s="13"/>
      <c r="NE1" s="13"/>
      <c r="NF1" s="13"/>
      <c r="NG1" s="13"/>
      <c r="NH1" s="13"/>
      <c r="NI1" s="13"/>
      <c r="NJ1" s="13"/>
      <c r="NK1" s="13"/>
      <c r="NL1" s="13"/>
      <c r="NM1" s="13"/>
      <c r="NN1" s="13"/>
      <c r="NO1" s="13"/>
      <c r="NP1" s="13"/>
      <c r="NQ1" s="13"/>
      <c r="NR1" s="13"/>
      <c r="NS1" s="13"/>
      <c r="NT1" s="13"/>
      <c r="NU1" s="13"/>
      <c r="NV1" s="13"/>
      <c r="NW1" s="13"/>
      <c r="NX1" s="13"/>
      <c r="NY1" s="13"/>
      <c r="NZ1" s="13"/>
      <c r="OA1" s="13"/>
      <c r="OB1" s="13"/>
      <c r="OC1" s="13"/>
      <c r="OD1" s="13"/>
      <c r="OE1" s="13"/>
      <c r="OF1" s="13"/>
      <c r="OG1" s="13"/>
      <c r="OH1" s="13"/>
      <c r="OI1" s="13"/>
      <c r="OJ1" s="13"/>
      <c r="OK1" s="13"/>
      <c r="OL1" s="13"/>
      <c r="OM1" s="13"/>
      <c r="ON1" s="13"/>
      <c r="OO1" s="13"/>
      <c r="OP1" s="13"/>
      <c r="OQ1" s="13"/>
      <c r="OR1" s="13"/>
      <c r="OS1" s="13"/>
      <c r="OT1" s="13"/>
      <c r="OU1" s="13"/>
      <c r="OV1" s="13"/>
      <c r="OW1" s="13"/>
      <c r="OX1" s="13"/>
      <c r="OY1" s="13"/>
      <c r="OZ1" s="13"/>
      <c r="PA1" s="13"/>
      <c r="PB1" s="13"/>
      <c r="PC1" s="13"/>
      <c r="PD1" s="13"/>
      <c r="PE1" s="13"/>
      <c r="PF1" s="13"/>
      <c r="PG1" s="13"/>
      <c r="PH1" s="13"/>
      <c r="PI1" s="13"/>
      <c r="PJ1" s="13"/>
      <c r="PK1" s="13"/>
      <c r="PL1" s="13"/>
      <c r="PM1" s="13"/>
      <c r="PN1" s="13"/>
      <c r="PO1" s="13"/>
      <c r="PP1" s="13"/>
      <c r="PQ1" s="13"/>
      <c r="PR1" s="13"/>
      <c r="PS1" s="13"/>
      <c r="PT1" s="13"/>
      <c r="PU1" s="13"/>
      <c r="PV1" s="13"/>
      <c r="PW1" s="13"/>
      <c r="PX1" s="13"/>
      <c r="PY1" s="13"/>
      <c r="PZ1" s="13"/>
      <c r="QA1" s="13"/>
      <c r="QB1" s="13"/>
      <c r="QC1" s="13"/>
      <c r="QD1" s="13"/>
      <c r="QE1" s="13"/>
      <c r="QF1" s="13"/>
      <c r="QG1" s="13"/>
      <c r="QH1" s="13"/>
      <c r="QI1" s="13"/>
      <c r="QJ1" s="13"/>
      <c r="QK1" s="13"/>
      <c r="QL1" s="13"/>
      <c r="QM1" s="13"/>
      <c r="QN1" s="13"/>
      <c r="QO1" s="13"/>
      <c r="QP1" s="13"/>
      <c r="QQ1" s="13"/>
      <c r="QR1" s="13"/>
      <c r="QS1" s="13"/>
      <c r="QT1" s="13"/>
      <c r="QU1" s="13"/>
      <c r="QV1" s="13"/>
      <c r="QW1" s="13"/>
      <c r="QX1" s="13"/>
      <c r="QY1" s="13"/>
      <c r="QZ1" s="13"/>
      <c r="RA1" s="13"/>
      <c r="RB1" s="13"/>
      <c r="RC1" s="13"/>
      <c r="RD1" s="13"/>
      <c r="RE1" s="13"/>
      <c r="RF1" s="13"/>
      <c r="RG1" s="13"/>
      <c r="RH1" s="13"/>
      <c r="RI1" s="13"/>
      <c r="RJ1" s="13"/>
      <c r="RK1" s="13"/>
      <c r="RL1" s="13"/>
      <c r="RM1" s="13"/>
      <c r="RN1" s="13"/>
      <c r="RO1" s="13"/>
      <c r="RP1" s="13"/>
      <c r="RQ1" s="13"/>
      <c r="RR1" s="13"/>
      <c r="RS1" s="13"/>
      <c r="RT1" s="13"/>
      <c r="RU1" s="13"/>
      <c r="RV1" s="13"/>
      <c r="RW1" s="13"/>
      <c r="RX1" s="13"/>
      <c r="RY1" s="13"/>
      <c r="RZ1" s="13"/>
      <c r="SA1" s="13"/>
      <c r="SB1" s="13"/>
      <c r="SC1" s="13"/>
      <c r="SD1" s="13"/>
      <c r="SE1" s="13"/>
      <c r="SF1" s="13"/>
      <c r="SG1" s="13"/>
      <c r="SH1" s="13"/>
      <c r="SI1" s="13"/>
      <c r="SJ1" s="13"/>
      <c r="SK1" s="13"/>
      <c r="SL1" s="13"/>
      <c r="SM1" s="13"/>
      <c r="SN1" s="13"/>
      <c r="SO1" s="13"/>
      <c r="SP1" s="13"/>
      <c r="SQ1" s="13"/>
      <c r="SR1" s="13"/>
      <c r="SS1" s="13"/>
      <c r="ST1" s="13"/>
      <c r="SU1" s="13"/>
      <c r="SV1" s="13"/>
      <c r="SW1" s="13"/>
      <c r="SX1" s="13"/>
      <c r="SY1" s="13"/>
      <c r="SZ1" s="13"/>
      <c r="TA1" s="13"/>
      <c r="TB1" s="13"/>
      <c r="TC1" s="13"/>
      <c r="TD1" s="13"/>
      <c r="TE1" s="13"/>
      <c r="TF1" s="13"/>
      <c r="TG1" s="13"/>
      <c r="TH1" s="13"/>
      <c r="TI1" s="13"/>
      <c r="TJ1" s="13"/>
      <c r="TK1" s="13"/>
      <c r="TL1" s="13"/>
      <c r="TM1" s="13"/>
      <c r="TN1" s="13"/>
      <c r="TO1" s="13"/>
      <c r="TP1" s="13"/>
      <c r="TQ1" s="13"/>
      <c r="TR1" s="13"/>
      <c r="TS1" s="13"/>
      <c r="TT1" s="13"/>
      <c r="TU1" s="13"/>
      <c r="TV1" s="13"/>
      <c r="TW1" s="13"/>
      <c r="TX1" s="13"/>
      <c r="TY1" s="13"/>
      <c r="TZ1" s="13"/>
      <c r="UA1" s="13"/>
      <c r="UB1" s="13"/>
      <c r="UC1" s="13"/>
      <c r="UD1" s="13"/>
      <c r="UE1" s="13"/>
      <c r="UF1" s="13"/>
      <c r="UG1" s="13"/>
      <c r="UH1" s="13"/>
      <c r="UI1" s="13"/>
      <c r="UJ1" s="13"/>
      <c r="UK1" s="13"/>
      <c r="UL1" s="13"/>
      <c r="UM1" s="13"/>
      <c r="UN1" s="13"/>
      <c r="UO1" s="13"/>
      <c r="UP1" s="13"/>
      <c r="UQ1" s="13"/>
      <c r="UR1" s="13"/>
      <c r="US1" s="13"/>
      <c r="UT1" s="13"/>
      <c r="UU1" s="13"/>
      <c r="UV1" s="13"/>
      <c r="UW1" s="13"/>
      <c r="UX1" s="13"/>
      <c r="UY1" s="13"/>
      <c r="UZ1" s="13"/>
      <c r="VA1" s="13"/>
      <c r="VB1" s="13"/>
      <c r="VC1" s="13"/>
      <c r="VD1" s="13"/>
      <c r="VE1" s="13"/>
      <c r="VF1" s="13"/>
      <c r="VG1" s="13"/>
      <c r="VH1" s="13"/>
      <c r="VI1" s="13"/>
      <c r="VJ1" s="13"/>
      <c r="VK1" s="13"/>
      <c r="VL1" s="13"/>
      <c r="VM1" s="13"/>
      <c r="VN1" s="13"/>
      <c r="VO1" s="13"/>
      <c r="VP1" s="13"/>
      <c r="VQ1" s="13"/>
      <c r="VR1" s="13"/>
      <c r="VS1" s="13"/>
      <c r="VT1" s="13"/>
      <c r="VU1" s="13"/>
      <c r="VV1" s="13"/>
      <c r="VW1" s="13"/>
      <c r="VX1" s="13"/>
      <c r="VY1" s="13"/>
      <c r="VZ1" s="13"/>
      <c r="WA1" s="13"/>
      <c r="WB1" s="13"/>
      <c r="WC1" s="13"/>
      <c r="WD1" s="13"/>
      <c r="WE1" s="13"/>
      <c r="WF1" s="13"/>
      <c r="WG1" s="13"/>
      <c r="WH1" s="13"/>
      <c r="WI1" s="13"/>
      <c r="WJ1" s="13"/>
      <c r="WK1" s="13"/>
      <c r="WL1" s="13"/>
      <c r="WM1" s="13"/>
      <c r="WN1" s="13"/>
      <c r="WO1" s="13"/>
      <c r="WP1" s="13"/>
      <c r="WQ1" s="13"/>
      <c r="WR1" s="13"/>
      <c r="WS1" s="13"/>
      <c r="WT1" s="13"/>
      <c r="WU1" s="13"/>
      <c r="WV1" s="13"/>
      <c r="WW1" s="13"/>
      <c r="WX1" s="13"/>
      <c r="WY1" s="13"/>
      <c r="WZ1" s="13"/>
      <c r="XA1" s="13"/>
      <c r="XB1" s="13"/>
      <c r="XC1" s="13"/>
      <c r="XD1" s="13"/>
      <c r="XE1" s="13"/>
      <c r="XF1" s="13"/>
      <c r="XG1" s="13"/>
      <c r="XH1" s="13"/>
      <c r="XI1" s="13"/>
      <c r="XJ1" s="13"/>
      <c r="XK1" s="13"/>
      <c r="XL1" s="13"/>
      <c r="XM1" s="13"/>
      <c r="XN1" s="13"/>
      <c r="XO1" s="13"/>
      <c r="XP1" s="13"/>
      <c r="XQ1" s="13"/>
      <c r="XR1" s="13"/>
      <c r="XS1" s="13"/>
      <c r="XT1" s="13"/>
      <c r="XU1" s="13"/>
      <c r="XV1" s="13"/>
      <c r="XW1" s="13"/>
      <c r="XX1" s="13"/>
      <c r="XY1" s="13"/>
      <c r="XZ1" s="13"/>
      <c r="YA1" s="13"/>
      <c r="YB1" s="13"/>
      <c r="YC1" s="13"/>
      <c r="YD1" s="13"/>
      <c r="YE1" s="13"/>
      <c r="YF1" s="13"/>
      <c r="YG1" s="13"/>
      <c r="YH1" s="13"/>
      <c r="YI1" s="13"/>
      <c r="YJ1" s="13"/>
      <c r="YK1" s="13"/>
      <c r="YL1" s="13"/>
      <c r="YM1" s="13"/>
      <c r="YN1" s="13"/>
      <c r="YO1" s="13"/>
      <c r="YP1" s="13"/>
      <c r="YQ1" s="13"/>
      <c r="YR1" s="13"/>
      <c r="YS1" s="13"/>
      <c r="YT1" s="13"/>
      <c r="YU1" s="13"/>
      <c r="YV1" s="13"/>
      <c r="YW1" s="13"/>
      <c r="YX1" s="13"/>
      <c r="YY1" s="13"/>
      <c r="YZ1" s="13"/>
      <c r="ZA1" s="13"/>
      <c r="ZB1" s="13"/>
      <c r="ZC1" s="13"/>
      <c r="ZD1" s="13"/>
      <c r="ZE1" s="13"/>
      <c r="ZF1" s="13"/>
      <c r="ZG1" s="13"/>
      <c r="ZH1" s="13"/>
      <c r="ZI1" s="13"/>
      <c r="ZJ1" s="13"/>
      <c r="ZK1" s="13"/>
      <c r="ZL1" s="13"/>
      <c r="ZM1" s="13"/>
      <c r="ZN1" s="13"/>
      <c r="ZO1" s="13"/>
      <c r="ZP1" s="13"/>
      <c r="ZQ1" s="13"/>
      <c r="ZR1" s="13"/>
      <c r="ZS1" s="13"/>
      <c r="ZT1" s="13"/>
      <c r="ZU1" s="13"/>
      <c r="ZV1" s="13"/>
      <c r="ZW1" s="13"/>
      <c r="ZX1" s="13"/>
      <c r="ZY1" s="13"/>
      <c r="ZZ1" s="13"/>
      <c r="AAA1" s="13"/>
      <c r="AAB1" s="13"/>
      <c r="AAC1" s="13"/>
      <c r="AAD1" s="13"/>
      <c r="AAE1" s="13"/>
      <c r="AAF1" s="13"/>
      <c r="AAG1" s="13"/>
      <c r="AAH1" s="13"/>
      <c r="AAI1" s="13"/>
      <c r="AAJ1" s="13"/>
      <c r="AAK1" s="13"/>
      <c r="AAL1" s="13"/>
      <c r="AAM1" s="13"/>
      <c r="AAN1" s="13"/>
      <c r="AAO1" s="13"/>
      <c r="AAP1" s="13"/>
      <c r="AAQ1" s="13"/>
      <c r="AAR1" s="13"/>
      <c r="AAS1" s="13"/>
      <c r="AAT1" s="13"/>
      <c r="AAU1" s="13"/>
      <c r="AAV1" s="13"/>
      <c r="AAW1" s="13"/>
      <c r="AAX1" s="13"/>
      <c r="AAY1" s="13"/>
      <c r="AAZ1" s="13"/>
      <c r="ABA1" s="13"/>
      <c r="ABB1" s="13"/>
      <c r="ABC1" s="13"/>
      <c r="ABD1" s="13"/>
      <c r="ABE1" s="13"/>
      <c r="ABF1" s="13"/>
      <c r="ABG1" s="13"/>
      <c r="ABH1" s="13"/>
      <c r="ABI1" s="13"/>
      <c r="ABJ1" s="13"/>
      <c r="ABK1" s="13"/>
      <c r="ABL1" s="13"/>
      <c r="ABM1" s="13"/>
      <c r="ABN1" s="13"/>
      <c r="ABO1" s="13"/>
      <c r="ABP1" s="13"/>
      <c r="ABQ1" s="13"/>
      <c r="ABR1" s="13"/>
      <c r="ABS1" s="13"/>
      <c r="ABT1" s="13"/>
      <c r="ABU1" s="13"/>
      <c r="ABV1" s="13"/>
      <c r="ABW1" s="13"/>
      <c r="ABX1" s="13"/>
      <c r="ABY1" s="13"/>
      <c r="ABZ1" s="13"/>
      <c r="ACA1" s="13"/>
      <c r="ACB1" s="13"/>
      <c r="ACC1" s="13"/>
      <c r="ACD1" s="13"/>
      <c r="ACE1" s="13"/>
      <c r="ACF1" s="13"/>
      <c r="ACG1" s="13"/>
      <c r="ACH1" s="13"/>
      <c r="ACI1" s="13"/>
      <c r="ACJ1" s="13"/>
      <c r="ACK1" s="13"/>
      <c r="ACL1" s="13"/>
      <c r="ACM1" s="13"/>
      <c r="ACN1" s="13"/>
      <c r="ACO1" s="13"/>
      <c r="ACP1" s="13"/>
      <c r="ACQ1" s="13"/>
      <c r="ACR1" s="13"/>
      <c r="ACS1" s="13"/>
      <c r="ACT1" s="13"/>
      <c r="ACU1" s="13"/>
      <c r="ACV1" s="13"/>
      <c r="ACW1" s="13"/>
      <c r="ACX1" s="13"/>
      <c r="ACY1" s="13"/>
      <c r="ACZ1" s="13"/>
      <c r="ADA1" s="13"/>
      <c r="ADB1" s="13"/>
      <c r="ADC1" s="13"/>
      <c r="ADD1" s="13"/>
      <c r="ADE1" s="13"/>
      <c r="ADF1" s="13"/>
      <c r="ADG1" s="13"/>
      <c r="ADH1" s="13"/>
      <c r="ADI1" s="13"/>
      <c r="ADJ1" s="13"/>
      <c r="ADK1" s="13"/>
      <c r="ADL1" s="13"/>
      <c r="ADM1" s="13"/>
      <c r="ADN1" s="13"/>
      <c r="ADO1" s="13"/>
      <c r="ADP1" s="13"/>
      <c r="ADQ1" s="13"/>
      <c r="ADR1" s="13"/>
      <c r="ADS1" s="13"/>
      <c r="ADT1" s="13"/>
      <c r="ADU1" s="13"/>
      <c r="ADV1" s="13"/>
      <c r="ADW1" s="13"/>
      <c r="ADX1" s="13"/>
      <c r="ADY1" s="13"/>
      <c r="ADZ1" s="13"/>
      <c r="AEA1" s="13"/>
      <c r="AEB1" s="13"/>
      <c r="AEC1" s="13"/>
      <c r="AED1" s="13"/>
      <c r="AEE1" s="13"/>
      <c r="AEF1" s="13"/>
      <c r="AEG1" s="13"/>
      <c r="AEH1" s="13"/>
      <c r="AEI1" s="13"/>
      <c r="AEJ1" s="13"/>
      <c r="AEK1" s="13"/>
      <c r="AEL1" s="13"/>
      <c r="AEM1" s="13"/>
      <c r="AEN1" s="13"/>
      <c r="AEO1" s="13"/>
      <c r="AEP1" s="13"/>
      <c r="AEQ1" s="13"/>
      <c r="AER1" s="13"/>
      <c r="AES1" s="13"/>
      <c r="AET1" s="13"/>
      <c r="AEU1" s="13"/>
      <c r="AEV1" s="13"/>
      <c r="AEW1" s="13"/>
      <c r="AEX1" s="13"/>
      <c r="AEY1" s="13"/>
      <c r="AEZ1" s="13"/>
      <c r="AFA1" s="13"/>
      <c r="AFB1" s="13"/>
      <c r="AFC1" s="13"/>
      <c r="AFD1" s="13"/>
      <c r="AFE1" s="13"/>
      <c r="AFF1" s="13"/>
      <c r="AFG1" s="13"/>
      <c r="AFH1" s="13"/>
      <c r="AFI1" s="13"/>
      <c r="AFJ1" s="13"/>
      <c r="AFK1" s="13"/>
      <c r="AFL1" s="13"/>
      <c r="AFM1" s="13"/>
      <c r="AFN1" s="13"/>
      <c r="AFO1" s="13"/>
      <c r="AFP1" s="13"/>
      <c r="AFQ1" s="13"/>
      <c r="AFR1" s="13"/>
      <c r="AFS1" s="13"/>
      <c r="AFT1" s="13"/>
      <c r="AFU1" s="13"/>
      <c r="AFV1" s="13"/>
      <c r="AFW1" s="13"/>
      <c r="AFX1" s="13"/>
      <c r="AFY1" s="13"/>
      <c r="AFZ1" s="13"/>
      <c r="AGA1" s="13"/>
      <c r="AGB1" s="13"/>
      <c r="AGC1" s="13"/>
      <c r="AGD1" s="13"/>
      <c r="AGE1" s="13"/>
      <c r="AGF1" s="13"/>
      <c r="AGG1" s="13"/>
      <c r="AGH1" s="13"/>
      <c r="AGI1" s="13"/>
      <c r="AGJ1" s="13"/>
      <c r="AGK1" s="13"/>
      <c r="AGL1" s="13"/>
      <c r="AGM1" s="13"/>
      <c r="AGN1" s="13"/>
      <c r="AGO1" s="13"/>
      <c r="AGP1" s="13"/>
      <c r="AGQ1" s="13"/>
      <c r="AGR1" s="13"/>
      <c r="AGS1" s="13"/>
      <c r="AGT1" s="13"/>
      <c r="AGU1" s="13"/>
      <c r="AGV1" s="13"/>
      <c r="AGW1" s="13"/>
      <c r="AGX1" s="13"/>
      <c r="AGY1" s="13"/>
      <c r="AGZ1" s="13"/>
      <c r="AHA1" s="13"/>
      <c r="AHB1" s="13"/>
      <c r="AHC1" s="13"/>
      <c r="AHD1" s="13"/>
      <c r="AHE1" s="13"/>
      <c r="AHF1" s="13"/>
      <c r="AHG1" s="13"/>
      <c r="AHH1" s="13"/>
      <c r="AHI1" s="13"/>
      <c r="AHJ1" s="13"/>
      <c r="AHK1" s="13"/>
      <c r="AHL1" s="13"/>
      <c r="AHM1" s="13"/>
      <c r="AHN1" s="13"/>
      <c r="AHO1" s="13"/>
      <c r="AHP1" s="13"/>
      <c r="AHQ1" s="13"/>
      <c r="AHR1" s="13"/>
      <c r="AHS1" s="13"/>
      <c r="AHT1" s="13"/>
      <c r="AHU1" s="13"/>
      <c r="AHV1" s="13"/>
      <c r="AHW1" s="13"/>
      <c r="AHX1" s="13"/>
      <c r="AHY1" s="13"/>
      <c r="AHZ1" s="13"/>
      <c r="AIA1" s="13"/>
      <c r="AIB1" s="13"/>
      <c r="AIC1" s="13"/>
      <c r="AID1" s="13"/>
      <c r="AIE1" s="13"/>
      <c r="AIF1" s="13"/>
      <c r="AIG1" s="13"/>
      <c r="AIH1" s="13"/>
      <c r="AII1" s="13"/>
      <c r="AIJ1" s="13"/>
      <c r="AIK1" s="13"/>
      <c r="AIL1" s="13"/>
      <c r="AIM1" s="13"/>
      <c r="AIN1" s="13"/>
      <c r="AIO1" s="13"/>
      <c r="AIP1" s="13"/>
      <c r="AIQ1" s="13"/>
      <c r="AIR1" s="13"/>
      <c r="AIS1" s="13"/>
      <c r="AIT1" s="13"/>
      <c r="AIU1" s="13"/>
      <c r="AIV1" s="13"/>
      <c r="AIW1" s="13"/>
      <c r="AIX1" s="13"/>
      <c r="AIY1" s="13"/>
      <c r="AIZ1" s="13"/>
      <c r="AJA1" s="13"/>
      <c r="AJB1" s="13"/>
      <c r="AJC1" s="13"/>
      <c r="AJD1" s="13"/>
      <c r="AJE1" s="13"/>
      <c r="AJF1" s="13"/>
      <c r="AJG1" s="13"/>
      <c r="AJH1" s="13"/>
      <c r="AJI1" s="13"/>
      <c r="AJJ1" s="13"/>
      <c r="AJK1" s="13"/>
      <c r="AJL1" s="13"/>
      <c r="AJM1" s="13"/>
      <c r="AJN1" s="13"/>
      <c r="AJO1" s="13"/>
      <c r="AJP1" s="13"/>
      <c r="AJQ1" s="13"/>
      <c r="AJR1" s="13"/>
      <c r="AJS1" s="13"/>
      <c r="AJT1" s="13"/>
      <c r="AJU1" s="13"/>
      <c r="AJV1" s="13"/>
      <c r="AJW1" s="13"/>
      <c r="AJX1" s="13"/>
      <c r="AJY1" s="13"/>
      <c r="AJZ1" s="13"/>
      <c r="AKA1" s="13"/>
      <c r="AKB1" s="13"/>
      <c r="AKC1" s="13"/>
      <c r="AKD1" s="13"/>
      <c r="AKE1" s="13"/>
      <c r="AKF1" s="13"/>
      <c r="AKG1" s="13"/>
      <c r="AKH1" s="13"/>
      <c r="AKI1" s="13"/>
      <c r="AKJ1" s="13"/>
      <c r="AKK1" s="13"/>
      <c r="AKL1" s="13"/>
      <c r="AKM1" s="13"/>
      <c r="AKN1" s="13"/>
      <c r="AKO1" s="13"/>
      <c r="AKP1" s="13"/>
      <c r="AKQ1" s="13"/>
      <c r="AKR1" s="13"/>
      <c r="AKS1" s="13"/>
      <c r="AKT1" s="13"/>
      <c r="AKU1" s="13"/>
      <c r="AKV1" s="13"/>
      <c r="AKW1" s="13"/>
      <c r="AKX1" s="13"/>
      <c r="AKY1" s="13"/>
      <c r="AKZ1" s="13"/>
      <c r="ALA1" s="13"/>
      <c r="ALB1" s="13"/>
      <c r="ALC1" s="13"/>
      <c r="ALD1" s="13"/>
      <c r="ALE1" s="13"/>
      <c r="ALF1" s="13"/>
      <c r="ALG1" s="13"/>
      <c r="ALH1" s="13"/>
      <c r="ALI1" s="13"/>
      <c r="ALJ1" s="13"/>
      <c r="ALK1" s="13"/>
      <c r="ALL1" s="13"/>
      <c r="ALM1" s="13"/>
      <c r="ALN1" s="13"/>
      <c r="ALO1" s="13"/>
      <c r="ALP1" s="13"/>
      <c r="ALQ1" s="13"/>
      <c r="ALR1" s="13"/>
      <c r="ALS1" s="13"/>
      <c r="ALT1" s="13"/>
      <c r="ALU1" s="13"/>
      <c r="ALV1" s="13"/>
      <c r="ALW1" s="13"/>
      <c r="ALX1" s="13"/>
      <c r="ALY1" s="13"/>
      <c r="ALZ1" s="13"/>
      <c r="AMA1" s="13"/>
      <c r="AMB1" s="13"/>
      <c r="AMC1" s="13"/>
      <c r="AMD1" s="13"/>
      <c r="AME1" s="13"/>
      <c r="AMF1" s="13"/>
      <c r="AMG1" s="13"/>
      <c r="AMH1" s="13"/>
    </row>
    <row r="2" spans="1:1022" ht="12.75" customHeight="1" x14ac:dyDescent="0.2">
      <c r="A2" s="15" t="str">
        <f>"m = "&amp;COUNTA(A3:A1014)</f>
        <v>m = 96</v>
      </c>
      <c r="B2" s="15" t="s">
        <v>153</v>
      </c>
      <c r="C2" s="15" t="s">
        <v>154</v>
      </c>
      <c r="D2" s="15" t="s">
        <v>155</v>
      </c>
      <c r="E2" s="15" t="s">
        <v>98</v>
      </c>
      <c r="F2" s="15" t="s">
        <v>156</v>
      </c>
      <c r="G2" s="15" t="s">
        <v>157</v>
      </c>
      <c r="H2" s="16" t="s">
        <v>158</v>
      </c>
      <c r="I2" s="15" t="s">
        <v>102</v>
      </c>
      <c r="J2" s="15" t="s">
        <v>159</v>
      </c>
      <c r="K2" s="15" t="s">
        <v>160</v>
      </c>
      <c r="L2" s="15" t="s">
        <v>161</v>
      </c>
      <c r="M2" s="15" t="s">
        <v>162</v>
      </c>
      <c r="N2" s="15" t="s">
        <v>163</v>
      </c>
      <c r="O2" s="15" t="s">
        <v>164</v>
      </c>
      <c r="P2" s="17" t="s">
        <v>165</v>
      </c>
      <c r="Q2" s="15" t="s">
        <v>166</v>
      </c>
      <c r="R2" s="15" t="s">
        <v>167</v>
      </c>
      <c r="S2" s="15" t="s">
        <v>168</v>
      </c>
      <c r="T2" s="15" t="s">
        <v>169</v>
      </c>
      <c r="U2" s="15" t="s">
        <v>170</v>
      </c>
      <c r="V2" s="15" t="s">
        <v>171</v>
      </c>
      <c r="W2" s="15" t="s">
        <v>172</v>
      </c>
      <c r="X2" s="18" t="s">
        <v>173</v>
      </c>
      <c r="Y2" s="15" t="s">
        <v>174</v>
      </c>
      <c r="Z2" s="15" t="s">
        <v>175</v>
      </c>
      <c r="AA2" s="15" t="s">
        <v>176</v>
      </c>
      <c r="AB2" s="15" t="s">
        <v>177</v>
      </c>
      <c r="AC2" s="18" t="s">
        <v>178</v>
      </c>
      <c r="AD2" s="15" t="s">
        <v>179</v>
      </c>
      <c r="AE2" s="15" t="s">
        <v>180</v>
      </c>
      <c r="AF2" s="18" t="s">
        <v>181</v>
      </c>
      <c r="AG2" s="15" t="s">
        <v>182</v>
      </c>
      <c r="AH2" s="19" t="s">
        <v>183</v>
      </c>
      <c r="AI2" s="19" t="s">
        <v>184</v>
      </c>
      <c r="AJ2" s="15" t="s">
        <v>185</v>
      </c>
      <c r="AK2" s="15" t="s">
        <v>186</v>
      </c>
      <c r="AL2" s="15" t="s">
        <v>187</v>
      </c>
      <c r="AM2" s="15" t="s">
        <v>188</v>
      </c>
      <c r="AN2" s="15" t="s">
        <v>189</v>
      </c>
      <c r="AO2" s="15" t="s">
        <v>190</v>
      </c>
      <c r="AP2" s="15" t="s">
        <v>191</v>
      </c>
      <c r="AQ2" s="20" t="s">
        <v>192</v>
      </c>
      <c r="AR2" s="20" t="s">
        <v>193</v>
      </c>
      <c r="AS2" s="20" t="s">
        <v>194</v>
      </c>
      <c r="AT2" s="15" t="s">
        <v>195</v>
      </c>
      <c r="AU2" s="19" t="s">
        <v>196</v>
      </c>
      <c r="AV2" s="15" t="s">
        <v>141</v>
      </c>
      <c r="AW2" s="15" t="s">
        <v>197</v>
      </c>
      <c r="AX2" s="15" t="s">
        <v>198</v>
      </c>
      <c r="AY2" s="15" t="s">
        <v>199</v>
      </c>
      <c r="AZ2" s="15" t="s">
        <v>200</v>
      </c>
      <c r="BA2" s="15" t="s">
        <v>201</v>
      </c>
      <c r="BB2" s="18" t="s">
        <v>202</v>
      </c>
      <c r="BC2" s="15" t="s">
        <v>203</v>
      </c>
      <c r="BD2" s="15" t="s">
        <v>204</v>
      </c>
      <c r="BE2" s="15" t="s">
        <v>205</v>
      </c>
      <c r="BF2" s="15" t="s">
        <v>206</v>
      </c>
      <c r="BG2" s="15" t="s">
        <v>207</v>
      </c>
      <c r="BI2" s="3"/>
      <c r="BJ2" s="3"/>
      <c r="BK2" s="3"/>
      <c r="BL2" s="3"/>
      <c r="BM2" s="3"/>
      <c r="BN2" s="3"/>
      <c r="BO2" s="3"/>
    </row>
    <row r="3" spans="1:1022" ht="12.75" x14ac:dyDescent="0.2">
      <c r="A3" s="15" t="s">
        <v>208</v>
      </c>
      <c r="B3" s="21">
        <v>0</v>
      </c>
      <c r="C3" s="21">
        <v>0</v>
      </c>
      <c r="D3" s="21">
        <v>0</v>
      </c>
      <c r="E3" s="21">
        <v>37</v>
      </c>
      <c r="F3" s="21">
        <v>0</v>
      </c>
      <c r="G3" s="21">
        <v>0</v>
      </c>
      <c r="H3" s="21">
        <v>0</v>
      </c>
      <c r="I3" s="21">
        <v>0</v>
      </c>
      <c r="J3" s="21">
        <v>0</v>
      </c>
      <c r="K3" s="21">
        <v>0</v>
      </c>
      <c r="L3" s="21">
        <v>0</v>
      </c>
      <c r="M3" s="21">
        <v>0</v>
      </c>
      <c r="N3" s="21">
        <v>0</v>
      </c>
      <c r="O3" s="21">
        <v>0</v>
      </c>
      <c r="P3" s="21">
        <v>0</v>
      </c>
      <c r="Q3" s="21">
        <v>0</v>
      </c>
      <c r="R3" s="21">
        <v>0</v>
      </c>
      <c r="S3" s="21">
        <v>1</v>
      </c>
      <c r="T3" s="21">
        <v>0</v>
      </c>
      <c r="U3" s="21">
        <v>0</v>
      </c>
      <c r="V3" s="21">
        <v>0</v>
      </c>
      <c r="W3" s="21">
        <v>0</v>
      </c>
      <c r="X3" s="21">
        <v>0</v>
      </c>
      <c r="Y3" s="21">
        <v>0</v>
      </c>
      <c r="Z3" s="21">
        <v>0</v>
      </c>
      <c r="AA3" s="21">
        <v>0</v>
      </c>
      <c r="AB3" s="21">
        <v>0</v>
      </c>
      <c r="AC3" s="21">
        <v>0</v>
      </c>
      <c r="AD3" s="21">
        <v>0</v>
      </c>
      <c r="AE3" s="21">
        <v>0</v>
      </c>
      <c r="AF3" s="21">
        <v>0</v>
      </c>
      <c r="AG3" s="21">
        <v>0</v>
      </c>
      <c r="AH3" s="21">
        <v>0</v>
      </c>
      <c r="AI3" s="21">
        <v>0</v>
      </c>
      <c r="AJ3" s="21">
        <v>0</v>
      </c>
      <c r="AK3" s="21">
        <v>0</v>
      </c>
      <c r="AL3" s="21">
        <v>0</v>
      </c>
      <c r="AM3" s="21">
        <v>0</v>
      </c>
      <c r="AN3" s="21">
        <v>0</v>
      </c>
      <c r="AO3" s="21">
        <v>0</v>
      </c>
      <c r="AP3" s="21">
        <v>0</v>
      </c>
      <c r="AQ3" s="21">
        <v>0</v>
      </c>
      <c r="AR3" s="21">
        <v>0</v>
      </c>
      <c r="AS3" s="21">
        <v>0</v>
      </c>
      <c r="AT3" s="21">
        <v>0</v>
      </c>
      <c r="AU3" s="21">
        <v>0</v>
      </c>
      <c r="AV3" s="21">
        <v>3</v>
      </c>
      <c r="AW3" s="21">
        <v>0</v>
      </c>
      <c r="AX3" s="21">
        <v>1</v>
      </c>
      <c r="AY3" s="21">
        <v>0</v>
      </c>
      <c r="AZ3" s="21">
        <v>1</v>
      </c>
      <c r="BA3" s="21">
        <v>0</v>
      </c>
      <c r="BB3" s="21">
        <v>1</v>
      </c>
      <c r="BC3" s="21">
        <v>0</v>
      </c>
      <c r="BD3" s="21">
        <v>0</v>
      </c>
      <c r="BE3" s="21">
        <v>0</v>
      </c>
      <c r="BF3" s="21">
        <v>0</v>
      </c>
      <c r="BG3" s="21">
        <v>0</v>
      </c>
      <c r="BI3" s="3"/>
      <c r="BJ3" s="3"/>
      <c r="BK3" s="3"/>
      <c r="BL3" s="3"/>
      <c r="BM3" s="3"/>
      <c r="BN3" s="3"/>
      <c r="BO3" s="3"/>
    </row>
    <row r="4" spans="1:1022" ht="12.75" x14ac:dyDescent="0.2">
      <c r="A4" s="15" t="s">
        <v>209</v>
      </c>
      <c r="B4" s="21">
        <v>0</v>
      </c>
      <c r="C4" s="21">
        <v>0</v>
      </c>
      <c r="D4" s="21">
        <v>0</v>
      </c>
      <c r="E4" s="21">
        <v>23</v>
      </c>
      <c r="F4" s="21">
        <v>0</v>
      </c>
      <c r="G4" s="21">
        <v>0</v>
      </c>
      <c r="H4" s="21">
        <v>0</v>
      </c>
      <c r="I4" s="21">
        <v>4</v>
      </c>
      <c r="J4" s="21">
        <v>0</v>
      </c>
      <c r="K4" s="21">
        <v>0</v>
      </c>
      <c r="L4" s="21">
        <v>0</v>
      </c>
      <c r="M4" s="21">
        <v>0</v>
      </c>
      <c r="N4" s="21">
        <v>0</v>
      </c>
      <c r="O4" s="21">
        <v>0</v>
      </c>
      <c r="P4" s="21">
        <v>0</v>
      </c>
      <c r="Q4" s="21">
        <v>0</v>
      </c>
      <c r="R4" s="21">
        <v>0</v>
      </c>
      <c r="S4" s="21">
        <v>0</v>
      </c>
      <c r="T4" s="21">
        <v>0</v>
      </c>
      <c r="U4" s="21">
        <v>0</v>
      </c>
      <c r="V4" s="21">
        <v>0</v>
      </c>
      <c r="W4" s="21">
        <v>0</v>
      </c>
      <c r="X4" s="21">
        <v>0</v>
      </c>
      <c r="Y4" s="21">
        <v>0</v>
      </c>
      <c r="Z4" s="21">
        <v>0</v>
      </c>
      <c r="AA4" s="21">
        <v>0</v>
      </c>
      <c r="AB4" s="21">
        <v>0</v>
      </c>
      <c r="AC4" s="21">
        <v>0</v>
      </c>
      <c r="AD4" s="21">
        <v>0</v>
      </c>
      <c r="AE4" s="21">
        <v>0</v>
      </c>
      <c r="AF4" s="21">
        <v>0</v>
      </c>
      <c r="AG4" s="21">
        <v>0</v>
      </c>
      <c r="AH4" s="21">
        <v>0</v>
      </c>
      <c r="AI4" s="21">
        <v>0</v>
      </c>
      <c r="AJ4" s="21">
        <v>0</v>
      </c>
      <c r="AK4" s="21">
        <v>0</v>
      </c>
      <c r="AL4" s="21">
        <v>0</v>
      </c>
      <c r="AM4" s="21">
        <v>0</v>
      </c>
      <c r="AN4" s="21">
        <v>0</v>
      </c>
      <c r="AO4" s="21">
        <v>1</v>
      </c>
      <c r="AP4" s="21">
        <v>0</v>
      </c>
      <c r="AQ4" s="21">
        <v>0</v>
      </c>
      <c r="AR4" s="21">
        <v>0</v>
      </c>
      <c r="AS4" s="21">
        <v>0</v>
      </c>
      <c r="AT4" s="21">
        <v>0</v>
      </c>
      <c r="AU4" s="21">
        <v>0</v>
      </c>
      <c r="AV4" s="21">
        <v>0</v>
      </c>
      <c r="AW4" s="21">
        <v>0</v>
      </c>
      <c r="AX4" s="21">
        <v>1</v>
      </c>
      <c r="AY4" s="21">
        <v>0</v>
      </c>
      <c r="AZ4" s="21">
        <v>0</v>
      </c>
      <c r="BA4" s="21">
        <v>0</v>
      </c>
      <c r="BB4" s="21">
        <v>0</v>
      </c>
      <c r="BC4" s="21">
        <v>0</v>
      </c>
      <c r="BD4" s="21">
        <v>0</v>
      </c>
      <c r="BE4" s="21">
        <v>0</v>
      </c>
      <c r="BF4" s="21">
        <v>0</v>
      </c>
      <c r="BG4" s="21">
        <v>0</v>
      </c>
      <c r="BI4" s="3"/>
      <c r="BJ4" s="3"/>
      <c r="BK4" s="3"/>
      <c r="BL4" s="3"/>
      <c r="BM4" s="3"/>
      <c r="BN4" s="3"/>
      <c r="BO4" s="3"/>
    </row>
    <row r="5" spans="1:1022" ht="12.75" x14ac:dyDescent="0.2">
      <c r="A5" s="15" t="s">
        <v>210</v>
      </c>
      <c r="B5" s="21">
        <v>0</v>
      </c>
      <c r="C5" s="21">
        <v>0</v>
      </c>
      <c r="D5" s="21">
        <v>0</v>
      </c>
      <c r="E5" s="21">
        <v>32</v>
      </c>
      <c r="F5" s="21">
        <v>0</v>
      </c>
      <c r="G5" s="21">
        <v>0</v>
      </c>
      <c r="H5" s="21">
        <v>0</v>
      </c>
      <c r="I5" s="21">
        <v>2</v>
      </c>
      <c r="J5" s="21">
        <v>0</v>
      </c>
      <c r="K5" s="21">
        <v>0</v>
      </c>
      <c r="L5" s="21">
        <v>0</v>
      </c>
      <c r="M5" s="21">
        <v>0</v>
      </c>
      <c r="N5" s="21">
        <v>0</v>
      </c>
      <c r="O5" s="21">
        <v>0</v>
      </c>
      <c r="P5" s="21">
        <v>0</v>
      </c>
      <c r="Q5" s="21">
        <v>0</v>
      </c>
      <c r="R5" s="21">
        <v>0</v>
      </c>
      <c r="S5" s="21">
        <v>2</v>
      </c>
      <c r="T5" s="21">
        <v>0</v>
      </c>
      <c r="U5" s="21">
        <v>0</v>
      </c>
      <c r="V5" s="21">
        <v>0</v>
      </c>
      <c r="W5" s="21">
        <v>0</v>
      </c>
      <c r="X5" s="21">
        <v>0</v>
      </c>
      <c r="Y5" s="21">
        <v>0</v>
      </c>
      <c r="Z5" s="21">
        <v>0</v>
      </c>
      <c r="AA5" s="21">
        <v>0</v>
      </c>
      <c r="AB5" s="21">
        <v>0</v>
      </c>
      <c r="AC5" s="21">
        <v>0</v>
      </c>
      <c r="AD5" s="21">
        <v>0</v>
      </c>
      <c r="AE5" s="21">
        <v>0</v>
      </c>
      <c r="AF5" s="21">
        <v>0</v>
      </c>
      <c r="AG5" s="21">
        <v>0</v>
      </c>
      <c r="AH5" s="21">
        <v>0</v>
      </c>
      <c r="AI5" s="21">
        <v>0</v>
      </c>
      <c r="AJ5" s="21">
        <v>0</v>
      </c>
      <c r="AK5" s="21">
        <v>0</v>
      </c>
      <c r="AL5" s="21">
        <v>0</v>
      </c>
      <c r="AM5" s="21">
        <v>0</v>
      </c>
      <c r="AN5" s="21">
        <v>0</v>
      </c>
      <c r="AO5" s="21">
        <v>0</v>
      </c>
      <c r="AP5" s="21">
        <v>0</v>
      </c>
      <c r="AQ5" s="21">
        <v>0</v>
      </c>
      <c r="AR5" s="21">
        <v>0</v>
      </c>
      <c r="AS5" s="21">
        <v>0</v>
      </c>
      <c r="AT5" s="21">
        <v>0</v>
      </c>
      <c r="AU5" s="21">
        <v>0</v>
      </c>
      <c r="AV5" s="21">
        <v>6</v>
      </c>
      <c r="AW5" s="21">
        <v>0</v>
      </c>
      <c r="AX5" s="21">
        <v>0</v>
      </c>
      <c r="AY5" s="21">
        <v>0</v>
      </c>
      <c r="AZ5" s="21">
        <v>0</v>
      </c>
      <c r="BA5" s="21">
        <v>0</v>
      </c>
      <c r="BB5" s="21">
        <v>0</v>
      </c>
      <c r="BC5" s="21">
        <v>0</v>
      </c>
      <c r="BD5" s="21">
        <v>0</v>
      </c>
      <c r="BE5" s="21">
        <v>0</v>
      </c>
      <c r="BF5" s="21">
        <v>0</v>
      </c>
      <c r="BG5" s="21">
        <v>0</v>
      </c>
      <c r="BI5" s="3"/>
      <c r="BJ5" s="3"/>
      <c r="BK5" s="3"/>
      <c r="BL5" s="3"/>
      <c r="BM5" s="3"/>
      <c r="BN5" s="3"/>
      <c r="BO5" s="3"/>
    </row>
    <row r="6" spans="1:1022" ht="12.75" x14ac:dyDescent="0.2">
      <c r="A6" s="15" t="s">
        <v>211</v>
      </c>
      <c r="B6" s="21">
        <v>0</v>
      </c>
      <c r="C6" s="21">
        <v>0</v>
      </c>
      <c r="D6" s="21">
        <v>0</v>
      </c>
      <c r="E6" s="21">
        <v>32</v>
      </c>
      <c r="F6" s="21">
        <v>0</v>
      </c>
      <c r="G6" s="21">
        <v>0</v>
      </c>
      <c r="H6" s="21">
        <v>0</v>
      </c>
      <c r="I6" s="21">
        <v>0</v>
      </c>
      <c r="J6" s="21">
        <v>0</v>
      </c>
      <c r="K6" s="21">
        <v>0</v>
      </c>
      <c r="L6" s="21">
        <v>0</v>
      </c>
      <c r="M6" s="21">
        <v>0</v>
      </c>
      <c r="N6" s="21">
        <v>0</v>
      </c>
      <c r="O6" s="21">
        <v>0</v>
      </c>
      <c r="P6" s="21">
        <v>0</v>
      </c>
      <c r="Q6" s="21">
        <v>0</v>
      </c>
      <c r="R6" s="21">
        <v>0</v>
      </c>
      <c r="S6" s="21">
        <v>0</v>
      </c>
      <c r="T6" s="21">
        <v>0</v>
      </c>
      <c r="U6" s="21">
        <v>0</v>
      </c>
      <c r="V6" s="21">
        <v>0</v>
      </c>
      <c r="W6" s="21">
        <v>0</v>
      </c>
      <c r="X6" s="21">
        <v>0</v>
      </c>
      <c r="Y6" s="21">
        <v>0</v>
      </c>
      <c r="Z6" s="21">
        <v>0</v>
      </c>
      <c r="AA6" s="21">
        <v>0</v>
      </c>
      <c r="AB6" s="21">
        <v>0</v>
      </c>
      <c r="AC6" s="21">
        <v>0</v>
      </c>
      <c r="AD6" s="21">
        <v>0</v>
      </c>
      <c r="AE6" s="21">
        <v>0</v>
      </c>
      <c r="AF6" s="21">
        <v>0</v>
      </c>
      <c r="AG6" s="21">
        <v>0</v>
      </c>
      <c r="AH6" s="21">
        <v>0</v>
      </c>
      <c r="AI6" s="21">
        <v>0</v>
      </c>
      <c r="AJ6" s="21">
        <v>0</v>
      </c>
      <c r="AK6" s="21">
        <v>0</v>
      </c>
      <c r="AL6" s="21">
        <v>0</v>
      </c>
      <c r="AM6" s="21">
        <v>0</v>
      </c>
      <c r="AN6" s="21">
        <v>0</v>
      </c>
      <c r="AO6" s="21">
        <v>0</v>
      </c>
      <c r="AP6" s="21">
        <v>0</v>
      </c>
      <c r="AQ6" s="21">
        <v>0</v>
      </c>
      <c r="AR6" s="21">
        <v>0</v>
      </c>
      <c r="AS6" s="21">
        <v>0</v>
      </c>
      <c r="AT6" s="21">
        <v>0</v>
      </c>
      <c r="AU6" s="21">
        <v>0</v>
      </c>
      <c r="AV6" s="21">
        <v>0</v>
      </c>
      <c r="AW6" s="21">
        <v>0</v>
      </c>
      <c r="AX6" s="21">
        <v>0</v>
      </c>
      <c r="AY6" s="21">
        <v>0</v>
      </c>
      <c r="AZ6" s="21">
        <v>0</v>
      </c>
      <c r="BA6" s="21">
        <v>0</v>
      </c>
      <c r="BB6" s="21">
        <v>0</v>
      </c>
      <c r="BC6" s="21">
        <v>0</v>
      </c>
      <c r="BD6" s="21">
        <v>0</v>
      </c>
      <c r="BE6" s="21">
        <v>0</v>
      </c>
      <c r="BF6" s="21">
        <v>0</v>
      </c>
      <c r="BG6" s="21">
        <v>0</v>
      </c>
      <c r="BI6" s="3"/>
      <c r="BJ6" s="3"/>
      <c r="BK6" s="3"/>
      <c r="BL6" s="3"/>
      <c r="BM6" s="3"/>
      <c r="BN6" s="3"/>
      <c r="BO6" s="3"/>
    </row>
    <row r="7" spans="1:1022" ht="12.75" x14ac:dyDescent="0.2">
      <c r="A7" s="15" t="s">
        <v>212</v>
      </c>
      <c r="B7" s="21">
        <v>1</v>
      </c>
      <c r="C7" s="21">
        <v>0</v>
      </c>
      <c r="D7" s="21">
        <v>0</v>
      </c>
      <c r="E7" s="21">
        <v>64</v>
      </c>
      <c r="F7" s="21">
        <v>0</v>
      </c>
      <c r="G7" s="21">
        <v>0</v>
      </c>
      <c r="H7" s="21">
        <v>0</v>
      </c>
      <c r="I7" s="21">
        <v>1</v>
      </c>
      <c r="J7" s="21">
        <v>0</v>
      </c>
      <c r="K7" s="21">
        <v>0</v>
      </c>
      <c r="L7" s="21">
        <v>0</v>
      </c>
      <c r="M7" s="21">
        <v>0</v>
      </c>
      <c r="N7" s="21">
        <v>0</v>
      </c>
      <c r="O7" s="21">
        <v>0</v>
      </c>
      <c r="P7" s="21">
        <v>0</v>
      </c>
      <c r="Q7" s="21">
        <v>0</v>
      </c>
      <c r="R7" s="21">
        <v>0</v>
      </c>
      <c r="S7" s="21">
        <v>0</v>
      </c>
      <c r="T7" s="21">
        <v>0</v>
      </c>
      <c r="U7" s="21">
        <v>0</v>
      </c>
      <c r="V7" s="21">
        <v>0</v>
      </c>
      <c r="W7" s="21">
        <v>0</v>
      </c>
      <c r="X7" s="21">
        <v>0</v>
      </c>
      <c r="Y7" s="21">
        <v>0</v>
      </c>
      <c r="Z7" s="21">
        <v>0</v>
      </c>
      <c r="AA7" s="21">
        <v>0</v>
      </c>
      <c r="AB7" s="21">
        <v>0</v>
      </c>
      <c r="AC7" s="21">
        <v>0</v>
      </c>
      <c r="AD7" s="21">
        <v>0</v>
      </c>
      <c r="AE7" s="21">
        <v>0</v>
      </c>
      <c r="AF7" s="21">
        <v>0</v>
      </c>
      <c r="AG7" s="21">
        <v>0</v>
      </c>
      <c r="AH7" s="21">
        <v>0</v>
      </c>
      <c r="AI7" s="21">
        <v>0</v>
      </c>
      <c r="AJ7" s="21">
        <v>0</v>
      </c>
      <c r="AK7" s="21">
        <v>0</v>
      </c>
      <c r="AL7" s="21">
        <v>0</v>
      </c>
      <c r="AM7" s="21">
        <v>0</v>
      </c>
      <c r="AN7" s="21">
        <v>0</v>
      </c>
      <c r="AO7" s="21">
        <v>0</v>
      </c>
      <c r="AP7" s="21">
        <v>0</v>
      </c>
      <c r="AQ7" s="21">
        <v>0</v>
      </c>
      <c r="AR7" s="21">
        <v>0</v>
      </c>
      <c r="AS7" s="21">
        <v>0</v>
      </c>
      <c r="AT7" s="21">
        <v>0</v>
      </c>
      <c r="AU7" s="21">
        <v>0</v>
      </c>
      <c r="AV7" s="21">
        <v>1</v>
      </c>
      <c r="AW7" s="21">
        <v>0</v>
      </c>
      <c r="AX7" s="21">
        <v>0</v>
      </c>
      <c r="AY7" s="21">
        <v>0</v>
      </c>
      <c r="AZ7" s="21">
        <v>0</v>
      </c>
      <c r="BA7" s="21">
        <v>0</v>
      </c>
      <c r="BB7" s="21">
        <v>0</v>
      </c>
      <c r="BC7" s="21">
        <v>0</v>
      </c>
      <c r="BD7" s="21">
        <v>0</v>
      </c>
      <c r="BE7" s="21">
        <v>0</v>
      </c>
      <c r="BF7" s="21">
        <v>0</v>
      </c>
      <c r="BG7" s="21">
        <v>0</v>
      </c>
      <c r="BI7" s="3"/>
      <c r="BJ7" s="3"/>
      <c r="BK7" s="3"/>
      <c r="BL7" s="3"/>
      <c r="BM7" s="3"/>
      <c r="BN7" s="3"/>
      <c r="BO7" s="3"/>
    </row>
    <row r="8" spans="1:1022" ht="12.75" x14ac:dyDescent="0.2">
      <c r="A8" s="15" t="s">
        <v>213</v>
      </c>
      <c r="B8" s="21">
        <v>0</v>
      </c>
      <c r="C8" s="21">
        <v>0</v>
      </c>
      <c r="D8" s="21">
        <v>0</v>
      </c>
      <c r="E8" s="21">
        <v>77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>
        <v>0</v>
      </c>
      <c r="O8" s="21">
        <v>0</v>
      </c>
      <c r="P8" s="21">
        <v>0</v>
      </c>
      <c r="Q8" s="21">
        <v>0</v>
      </c>
      <c r="R8" s="21">
        <v>0</v>
      </c>
      <c r="S8" s="21">
        <v>0</v>
      </c>
      <c r="T8" s="21">
        <v>0</v>
      </c>
      <c r="U8" s="21">
        <v>0</v>
      </c>
      <c r="V8" s="21">
        <v>0</v>
      </c>
      <c r="W8" s="21">
        <v>0</v>
      </c>
      <c r="X8" s="21">
        <v>0</v>
      </c>
      <c r="Y8" s="21">
        <v>0</v>
      </c>
      <c r="Z8" s="21">
        <v>0</v>
      </c>
      <c r="AA8" s="21">
        <v>0</v>
      </c>
      <c r="AB8" s="21">
        <v>0</v>
      </c>
      <c r="AC8" s="21">
        <v>0</v>
      </c>
      <c r="AD8" s="21">
        <v>0</v>
      </c>
      <c r="AE8" s="21">
        <v>0</v>
      </c>
      <c r="AF8" s="21">
        <v>0</v>
      </c>
      <c r="AG8" s="21">
        <v>0</v>
      </c>
      <c r="AH8" s="21">
        <v>0</v>
      </c>
      <c r="AI8" s="21">
        <v>0</v>
      </c>
      <c r="AJ8" s="21">
        <v>0</v>
      </c>
      <c r="AK8" s="21">
        <v>0</v>
      </c>
      <c r="AL8" s="21">
        <v>0</v>
      </c>
      <c r="AM8" s="21">
        <v>0</v>
      </c>
      <c r="AN8" s="21">
        <v>0</v>
      </c>
      <c r="AO8" s="21">
        <v>0</v>
      </c>
      <c r="AP8" s="21">
        <v>0</v>
      </c>
      <c r="AQ8" s="21">
        <v>0</v>
      </c>
      <c r="AR8" s="21">
        <v>0</v>
      </c>
      <c r="AS8" s="21">
        <v>0</v>
      </c>
      <c r="AT8" s="21">
        <v>0</v>
      </c>
      <c r="AU8" s="21">
        <v>0</v>
      </c>
      <c r="AV8" s="21">
        <v>3</v>
      </c>
      <c r="AW8" s="21">
        <v>0</v>
      </c>
      <c r="AX8" s="21">
        <v>0</v>
      </c>
      <c r="AY8" s="21">
        <v>0</v>
      </c>
      <c r="AZ8" s="21">
        <v>0</v>
      </c>
      <c r="BA8" s="21">
        <v>0</v>
      </c>
      <c r="BB8" s="21">
        <v>0</v>
      </c>
      <c r="BC8" s="21">
        <v>0</v>
      </c>
      <c r="BD8" s="21">
        <v>0</v>
      </c>
      <c r="BE8" s="21">
        <v>0</v>
      </c>
      <c r="BF8" s="21">
        <v>0</v>
      </c>
      <c r="BG8" s="21">
        <v>0</v>
      </c>
      <c r="BI8" s="3"/>
      <c r="BJ8" s="3"/>
      <c r="BK8" s="3"/>
      <c r="BL8" s="3"/>
      <c r="BM8" s="3"/>
      <c r="BN8" s="3"/>
      <c r="BO8" s="3"/>
    </row>
    <row r="9" spans="1:1022" ht="12.75" x14ac:dyDescent="0.2">
      <c r="A9" s="15" t="s">
        <v>214</v>
      </c>
      <c r="B9" s="21">
        <v>0</v>
      </c>
      <c r="C9" s="21">
        <v>0</v>
      </c>
      <c r="D9" s="21">
        <v>0</v>
      </c>
      <c r="E9" s="21">
        <v>59</v>
      </c>
      <c r="F9" s="21">
        <v>0</v>
      </c>
      <c r="G9" s="21">
        <v>0</v>
      </c>
      <c r="H9" s="21">
        <v>0</v>
      </c>
      <c r="I9" s="21">
        <v>2</v>
      </c>
      <c r="J9" s="21">
        <v>0</v>
      </c>
      <c r="K9" s="21">
        <v>0</v>
      </c>
      <c r="L9" s="21">
        <v>0</v>
      </c>
      <c r="M9" s="21">
        <v>0</v>
      </c>
      <c r="N9" s="21">
        <v>0</v>
      </c>
      <c r="O9" s="21">
        <v>0</v>
      </c>
      <c r="P9" s="21">
        <v>0</v>
      </c>
      <c r="Q9" s="21">
        <v>0</v>
      </c>
      <c r="R9" s="21">
        <v>0</v>
      </c>
      <c r="S9" s="21">
        <v>0</v>
      </c>
      <c r="T9" s="21">
        <v>0</v>
      </c>
      <c r="U9" s="21">
        <v>0</v>
      </c>
      <c r="V9" s="21">
        <v>0</v>
      </c>
      <c r="W9" s="21">
        <v>0</v>
      </c>
      <c r="X9" s="21">
        <v>0</v>
      </c>
      <c r="Y9" s="21">
        <v>0</v>
      </c>
      <c r="Z9" s="21">
        <v>0</v>
      </c>
      <c r="AA9" s="21">
        <v>0</v>
      </c>
      <c r="AB9" s="21">
        <v>0</v>
      </c>
      <c r="AC9" s="21">
        <v>0</v>
      </c>
      <c r="AD9" s="21">
        <v>0</v>
      </c>
      <c r="AE9" s="21">
        <v>0</v>
      </c>
      <c r="AF9" s="21">
        <v>0</v>
      </c>
      <c r="AG9" s="21">
        <v>0</v>
      </c>
      <c r="AH9" s="21">
        <v>0</v>
      </c>
      <c r="AI9" s="21">
        <v>0</v>
      </c>
      <c r="AJ9" s="21">
        <v>0</v>
      </c>
      <c r="AK9" s="21">
        <v>0</v>
      </c>
      <c r="AL9" s="21">
        <v>0</v>
      </c>
      <c r="AM9" s="21">
        <v>0</v>
      </c>
      <c r="AN9" s="21">
        <v>0</v>
      </c>
      <c r="AO9" s="21">
        <v>0</v>
      </c>
      <c r="AP9" s="21">
        <v>0</v>
      </c>
      <c r="AQ9" s="21">
        <v>0</v>
      </c>
      <c r="AR9" s="21">
        <v>0</v>
      </c>
      <c r="AS9" s="21">
        <v>0</v>
      </c>
      <c r="AT9" s="21">
        <v>0</v>
      </c>
      <c r="AU9" s="21">
        <v>0</v>
      </c>
      <c r="AV9" s="21">
        <v>1</v>
      </c>
      <c r="AW9" s="21">
        <v>0</v>
      </c>
      <c r="AX9" s="21">
        <v>0</v>
      </c>
      <c r="AY9" s="21">
        <v>0</v>
      </c>
      <c r="AZ9" s="21">
        <v>0</v>
      </c>
      <c r="BA9" s="21">
        <v>0</v>
      </c>
      <c r="BB9" s="21">
        <v>0</v>
      </c>
      <c r="BC9" s="21">
        <v>0</v>
      </c>
      <c r="BD9" s="21">
        <v>0</v>
      </c>
      <c r="BE9" s="21">
        <v>0</v>
      </c>
      <c r="BF9" s="21">
        <v>0</v>
      </c>
      <c r="BG9" s="21">
        <v>0</v>
      </c>
      <c r="BI9" s="3"/>
      <c r="BJ9" s="3"/>
      <c r="BK9" s="3"/>
      <c r="BL9" s="3"/>
      <c r="BM9" s="3"/>
      <c r="BN9" s="3"/>
      <c r="BO9" s="3"/>
    </row>
    <row r="10" spans="1:1022" ht="12.75" x14ac:dyDescent="0.2">
      <c r="A10" s="15" t="s">
        <v>215</v>
      </c>
      <c r="B10" s="21">
        <v>0</v>
      </c>
      <c r="C10" s="21">
        <v>0</v>
      </c>
      <c r="D10" s="21">
        <v>0</v>
      </c>
      <c r="E10" s="21">
        <v>44</v>
      </c>
      <c r="F10" s="21">
        <v>0</v>
      </c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1">
        <v>0</v>
      </c>
      <c r="M10" s="21">
        <v>0</v>
      </c>
      <c r="N10" s="21">
        <v>0</v>
      </c>
      <c r="O10" s="21">
        <v>0</v>
      </c>
      <c r="P10" s="21">
        <v>0</v>
      </c>
      <c r="Q10" s="21">
        <v>0</v>
      </c>
      <c r="R10" s="21">
        <v>0</v>
      </c>
      <c r="S10" s="21">
        <v>0</v>
      </c>
      <c r="T10" s="21">
        <v>0</v>
      </c>
      <c r="U10" s="21">
        <v>0</v>
      </c>
      <c r="V10" s="21">
        <v>0</v>
      </c>
      <c r="W10" s="21">
        <v>0</v>
      </c>
      <c r="X10" s="21">
        <v>0</v>
      </c>
      <c r="Y10" s="21">
        <v>0</v>
      </c>
      <c r="Z10" s="21">
        <v>0</v>
      </c>
      <c r="AA10" s="21">
        <v>0</v>
      </c>
      <c r="AB10" s="21">
        <v>0</v>
      </c>
      <c r="AC10" s="21">
        <v>0</v>
      </c>
      <c r="AD10" s="21">
        <v>0</v>
      </c>
      <c r="AE10" s="21">
        <v>0</v>
      </c>
      <c r="AF10" s="21">
        <v>0</v>
      </c>
      <c r="AG10" s="21">
        <v>0</v>
      </c>
      <c r="AH10" s="21">
        <v>0</v>
      </c>
      <c r="AI10" s="21">
        <v>0</v>
      </c>
      <c r="AJ10" s="21">
        <v>0</v>
      </c>
      <c r="AK10" s="21">
        <v>0</v>
      </c>
      <c r="AL10" s="21">
        <v>0</v>
      </c>
      <c r="AM10" s="21">
        <v>0</v>
      </c>
      <c r="AN10" s="21">
        <v>0</v>
      </c>
      <c r="AO10" s="21">
        <v>0</v>
      </c>
      <c r="AP10" s="21">
        <v>0</v>
      </c>
      <c r="AQ10" s="21">
        <v>0</v>
      </c>
      <c r="AR10" s="21">
        <v>0</v>
      </c>
      <c r="AS10" s="21">
        <v>0</v>
      </c>
      <c r="AT10" s="21">
        <v>0</v>
      </c>
      <c r="AU10" s="21">
        <v>0</v>
      </c>
      <c r="AV10" s="21">
        <v>2</v>
      </c>
      <c r="AW10" s="21">
        <v>0</v>
      </c>
      <c r="AX10" s="21">
        <v>1</v>
      </c>
      <c r="AY10" s="21">
        <v>0</v>
      </c>
      <c r="AZ10" s="21">
        <v>1</v>
      </c>
      <c r="BA10" s="21">
        <v>0</v>
      </c>
      <c r="BB10" s="21">
        <v>0</v>
      </c>
      <c r="BC10" s="21">
        <v>0</v>
      </c>
      <c r="BD10" s="21">
        <v>0</v>
      </c>
      <c r="BE10" s="21">
        <v>0</v>
      </c>
      <c r="BF10" s="21">
        <v>0</v>
      </c>
      <c r="BG10" s="21">
        <v>0</v>
      </c>
      <c r="BI10" s="3"/>
      <c r="BJ10" s="3"/>
      <c r="BK10" s="3"/>
      <c r="BL10" s="3"/>
      <c r="BM10" s="3"/>
      <c r="BN10" s="3"/>
      <c r="BO10" s="3"/>
    </row>
    <row r="11" spans="1:1022" ht="12.75" x14ac:dyDescent="0.2">
      <c r="A11" s="15" t="s">
        <v>216</v>
      </c>
      <c r="B11" s="21">
        <v>0</v>
      </c>
      <c r="C11" s="21">
        <v>0</v>
      </c>
      <c r="D11" s="21">
        <v>0</v>
      </c>
      <c r="E11" s="21">
        <v>43</v>
      </c>
      <c r="F11" s="21">
        <v>0</v>
      </c>
      <c r="G11" s="21">
        <v>0</v>
      </c>
      <c r="H11" s="21">
        <v>0</v>
      </c>
      <c r="I11" s="21">
        <v>0</v>
      </c>
      <c r="J11" s="21">
        <v>0</v>
      </c>
      <c r="K11" s="21">
        <v>0</v>
      </c>
      <c r="L11" s="21">
        <v>0</v>
      </c>
      <c r="M11" s="21">
        <v>0</v>
      </c>
      <c r="N11" s="21">
        <v>0</v>
      </c>
      <c r="O11" s="21">
        <v>0</v>
      </c>
      <c r="P11" s="21">
        <v>0</v>
      </c>
      <c r="Q11" s="21">
        <v>0</v>
      </c>
      <c r="R11" s="21">
        <v>0</v>
      </c>
      <c r="S11" s="21">
        <v>1</v>
      </c>
      <c r="T11" s="21">
        <v>0</v>
      </c>
      <c r="U11" s="21">
        <v>0</v>
      </c>
      <c r="V11" s="21">
        <v>0</v>
      </c>
      <c r="W11" s="21">
        <v>0</v>
      </c>
      <c r="X11" s="21">
        <v>0</v>
      </c>
      <c r="Y11" s="21">
        <v>0</v>
      </c>
      <c r="Z11" s="21">
        <v>0</v>
      </c>
      <c r="AA11" s="21">
        <v>0</v>
      </c>
      <c r="AB11" s="21">
        <v>0</v>
      </c>
      <c r="AC11" s="21">
        <v>0</v>
      </c>
      <c r="AD11" s="21">
        <v>0</v>
      </c>
      <c r="AE11" s="21">
        <v>0</v>
      </c>
      <c r="AF11" s="21">
        <v>1</v>
      </c>
      <c r="AG11" s="21">
        <v>0</v>
      </c>
      <c r="AH11" s="21">
        <v>0</v>
      </c>
      <c r="AI11" s="21">
        <v>0</v>
      </c>
      <c r="AJ11" s="21">
        <v>0</v>
      </c>
      <c r="AK11" s="21">
        <v>0</v>
      </c>
      <c r="AL11" s="21">
        <v>0</v>
      </c>
      <c r="AM11" s="21">
        <v>0</v>
      </c>
      <c r="AN11" s="21">
        <v>0</v>
      </c>
      <c r="AO11" s="21">
        <v>0</v>
      </c>
      <c r="AP11" s="21">
        <v>0</v>
      </c>
      <c r="AQ11" s="21">
        <v>0</v>
      </c>
      <c r="AR11" s="21">
        <v>0</v>
      </c>
      <c r="AS11" s="21">
        <v>0</v>
      </c>
      <c r="AT11" s="21">
        <v>0</v>
      </c>
      <c r="AU11" s="21">
        <v>0</v>
      </c>
      <c r="AV11" s="21">
        <v>4</v>
      </c>
      <c r="AW11" s="21">
        <v>0</v>
      </c>
      <c r="AX11" s="21">
        <v>0</v>
      </c>
      <c r="AY11" s="21">
        <v>0</v>
      </c>
      <c r="AZ11" s="21">
        <v>1</v>
      </c>
      <c r="BA11" s="21">
        <v>0</v>
      </c>
      <c r="BB11" s="21">
        <v>0</v>
      </c>
      <c r="BC11" s="21">
        <v>0</v>
      </c>
      <c r="BD11" s="21">
        <v>0</v>
      </c>
      <c r="BE11" s="21">
        <v>0</v>
      </c>
      <c r="BF11" s="21">
        <v>0</v>
      </c>
      <c r="BG11" s="21">
        <v>0</v>
      </c>
      <c r="BI11" s="3"/>
      <c r="BJ11" s="3"/>
      <c r="BK11" s="3"/>
      <c r="BL11" s="3"/>
      <c r="BM11" s="3"/>
      <c r="BN11" s="3"/>
      <c r="BO11" s="3"/>
    </row>
    <row r="12" spans="1:1022" ht="12.75" x14ac:dyDescent="0.2">
      <c r="A12" s="15" t="s">
        <v>217</v>
      </c>
      <c r="B12" s="21">
        <v>1</v>
      </c>
      <c r="C12" s="21">
        <v>0</v>
      </c>
      <c r="D12" s="21">
        <v>0</v>
      </c>
      <c r="E12" s="21">
        <v>69</v>
      </c>
      <c r="F12" s="21">
        <v>0</v>
      </c>
      <c r="G12" s="21">
        <v>0</v>
      </c>
      <c r="H12" s="21">
        <v>1</v>
      </c>
      <c r="I12" s="21">
        <v>76</v>
      </c>
      <c r="J12" s="21">
        <v>0</v>
      </c>
      <c r="K12" s="21">
        <v>0</v>
      </c>
      <c r="L12" s="21">
        <v>0</v>
      </c>
      <c r="M12" s="21">
        <v>0</v>
      </c>
      <c r="N12" s="21">
        <v>0</v>
      </c>
      <c r="O12" s="21">
        <v>0</v>
      </c>
      <c r="P12" s="21">
        <v>1</v>
      </c>
      <c r="Q12" s="21">
        <v>1</v>
      </c>
      <c r="R12" s="21">
        <v>0</v>
      </c>
      <c r="S12" s="21">
        <v>0</v>
      </c>
      <c r="T12" s="21">
        <v>0</v>
      </c>
      <c r="U12" s="21">
        <v>0</v>
      </c>
      <c r="V12" s="21">
        <v>0</v>
      </c>
      <c r="W12" s="21">
        <v>0</v>
      </c>
      <c r="X12" s="21">
        <v>1</v>
      </c>
      <c r="Y12" s="21">
        <v>1</v>
      </c>
      <c r="Z12" s="21">
        <v>0</v>
      </c>
      <c r="AA12" s="21">
        <v>4</v>
      </c>
      <c r="AB12" s="21">
        <v>0</v>
      </c>
      <c r="AC12" s="21">
        <v>0</v>
      </c>
      <c r="AD12" s="21">
        <v>0</v>
      </c>
      <c r="AE12" s="21">
        <v>0</v>
      </c>
      <c r="AF12" s="21">
        <v>0</v>
      </c>
      <c r="AG12" s="21">
        <v>0</v>
      </c>
      <c r="AH12" s="21">
        <v>0</v>
      </c>
      <c r="AI12" s="21">
        <v>0</v>
      </c>
      <c r="AJ12" s="21">
        <v>0</v>
      </c>
      <c r="AK12" s="21">
        <v>0</v>
      </c>
      <c r="AL12" s="21">
        <v>3</v>
      </c>
      <c r="AM12" s="21">
        <v>2</v>
      </c>
      <c r="AN12" s="21">
        <v>0</v>
      </c>
      <c r="AO12" s="21">
        <v>0</v>
      </c>
      <c r="AP12" s="21">
        <v>0</v>
      </c>
      <c r="AQ12" s="21">
        <v>0</v>
      </c>
      <c r="AR12" s="21">
        <v>0</v>
      </c>
      <c r="AS12" s="21">
        <v>0</v>
      </c>
      <c r="AT12" s="21">
        <v>0</v>
      </c>
      <c r="AU12" s="21">
        <v>1</v>
      </c>
      <c r="AV12" s="21">
        <v>15</v>
      </c>
      <c r="AW12" s="21">
        <v>0</v>
      </c>
      <c r="AX12" s="21">
        <v>9</v>
      </c>
      <c r="AY12" s="21">
        <v>0</v>
      </c>
      <c r="AZ12" s="21">
        <v>0</v>
      </c>
      <c r="BA12" s="21">
        <v>0</v>
      </c>
      <c r="BB12" s="21">
        <v>1</v>
      </c>
      <c r="BC12" s="21">
        <v>0</v>
      </c>
      <c r="BD12" s="21">
        <v>0</v>
      </c>
      <c r="BE12" s="21">
        <v>0</v>
      </c>
      <c r="BF12" s="21">
        <v>0</v>
      </c>
      <c r="BG12" s="21">
        <v>0</v>
      </c>
      <c r="BI12" s="3"/>
      <c r="BJ12" s="3"/>
      <c r="BK12" s="3"/>
      <c r="BL12" s="3"/>
      <c r="BM12" s="3"/>
      <c r="BN12" s="3"/>
      <c r="BO12" s="3"/>
    </row>
    <row r="13" spans="1:1022" ht="12.75" x14ac:dyDescent="0.2">
      <c r="A13" s="15" t="s">
        <v>218</v>
      </c>
      <c r="B13" s="21">
        <v>6</v>
      </c>
      <c r="C13" s="21">
        <v>0</v>
      </c>
      <c r="D13" s="21">
        <v>0</v>
      </c>
      <c r="E13" s="21">
        <v>50</v>
      </c>
      <c r="F13" s="21">
        <v>0</v>
      </c>
      <c r="G13" s="21">
        <v>0</v>
      </c>
      <c r="H13" s="21">
        <v>0</v>
      </c>
      <c r="I13" s="21">
        <v>77</v>
      </c>
      <c r="J13" s="21">
        <v>0</v>
      </c>
      <c r="K13" s="21">
        <v>0</v>
      </c>
      <c r="L13" s="21">
        <v>0</v>
      </c>
      <c r="M13" s="21">
        <v>0</v>
      </c>
      <c r="N13" s="21">
        <v>0</v>
      </c>
      <c r="O13" s="21">
        <v>0</v>
      </c>
      <c r="P13" s="21">
        <v>0</v>
      </c>
      <c r="Q13" s="21">
        <v>0</v>
      </c>
      <c r="R13" s="21">
        <v>0</v>
      </c>
      <c r="S13" s="21">
        <v>8</v>
      </c>
      <c r="T13" s="21">
        <v>0</v>
      </c>
      <c r="U13" s="21">
        <v>4</v>
      </c>
      <c r="V13" s="21">
        <v>0</v>
      </c>
      <c r="W13" s="21">
        <v>0</v>
      </c>
      <c r="X13" s="21">
        <v>0</v>
      </c>
      <c r="Y13" s="21">
        <v>0</v>
      </c>
      <c r="Z13" s="21">
        <v>2</v>
      </c>
      <c r="AA13" s="21">
        <v>2</v>
      </c>
      <c r="AB13" s="21">
        <v>0</v>
      </c>
      <c r="AC13" s="21">
        <v>0</v>
      </c>
      <c r="AD13" s="21">
        <v>0</v>
      </c>
      <c r="AE13" s="21">
        <v>1</v>
      </c>
      <c r="AF13" s="21">
        <v>0</v>
      </c>
      <c r="AG13" s="21">
        <v>0</v>
      </c>
      <c r="AH13" s="21">
        <v>0</v>
      </c>
      <c r="AI13" s="21">
        <v>0</v>
      </c>
      <c r="AJ13" s="21">
        <v>2</v>
      </c>
      <c r="AK13" s="21">
        <v>0</v>
      </c>
      <c r="AL13" s="21">
        <v>1</v>
      </c>
      <c r="AM13" s="21">
        <v>0</v>
      </c>
      <c r="AN13" s="21">
        <v>0</v>
      </c>
      <c r="AO13" s="21">
        <v>0</v>
      </c>
      <c r="AP13" s="21">
        <v>0</v>
      </c>
      <c r="AQ13" s="21">
        <v>0</v>
      </c>
      <c r="AR13" s="21">
        <v>0</v>
      </c>
      <c r="AS13" s="21">
        <v>0</v>
      </c>
      <c r="AT13" s="21">
        <v>0</v>
      </c>
      <c r="AU13" s="21">
        <v>0</v>
      </c>
      <c r="AV13" s="21">
        <v>60</v>
      </c>
      <c r="AW13" s="21">
        <v>0</v>
      </c>
      <c r="AX13" s="21">
        <v>4</v>
      </c>
      <c r="AY13" s="21">
        <v>0</v>
      </c>
      <c r="AZ13" s="21">
        <v>0</v>
      </c>
      <c r="BA13" s="21">
        <v>0</v>
      </c>
      <c r="BB13" s="21">
        <v>0</v>
      </c>
      <c r="BC13" s="21">
        <v>0</v>
      </c>
      <c r="BD13" s="21">
        <v>0</v>
      </c>
      <c r="BE13" s="21">
        <v>0</v>
      </c>
      <c r="BF13" s="21">
        <v>0</v>
      </c>
      <c r="BG13" s="21">
        <v>0</v>
      </c>
      <c r="BI13" s="3"/>
      <c r="BJ13" s="3"/>
      <c r="BK13" s="3"/>
      <c r="BL13" s="3"/>
      <c r="BM13" s="3"/>
      <c r="BN13" s="3"/>
      <c r="BO13" s="3"/>
    </row>
    <row r="14" spans="1:1022" ht="12.75" x14ac:dyDescent="0.2">
      <c r="A14" s="15" t="s">
        <v>219</v>
      </c>
      <c r="B14" s="21">
        <v>1</v>
      </c>
      <c r="C14" s="21">
        <v>0</v>
      </c>
      <c r="D14" s="21">
        <v>0</v>
      </c>
      <c r="E14" s="21">
        <v>51</v>
      </c>
      <c r="F14" s="21">
        <v>0</v>
      </c>
      <c r="G14" s="21">
        <v>0</v>
      </c>
      <c r="H14" s="21">
        <v>0</v>
      </c>
      <c r="I14" s="21">
        <v>3</v>
      </c>
      <c r="J14" s="21">
        <v>0</v>
      </c>
      <c r="K14" s="21">
        <v>0</v>
      </c>
      <c r="L14" s="21">
        <v>0</v>
      </c>
      <c r="M14" s="21">
        <v>0</v>
      </c>
      <c r="N14" s="21">
        <v>0</v>
      </c>
      <c r="O14" s="21">
        <v>0</v>
      </c>
      <c r="P14" s="21">
        <v>0</v>
      </c>
      <c r="Q14" s="21">
        <v>0</v>
      </c>
      <c r="R14" s="21">
        <v>0</v>
      </c>
      <c r="S14" s="21">
        <v>2</v>
      </c>
      <c r="T14" s="21">
        <v>0</v>
      </c>
      <c r="U14" s="21">
        <v>1</v>
      </c>
      <c r="V14" s="21">
        <v>1</v>
      </c>
      <c r="W14" s="21">
        <v>0</v>
      </c>
      <c r="X14" s="21">
        <v>0</v>
      </c>
      <c r="Y14" s="21">
        <v>0</v>
      </c>
      <c r="Z14" s="21">
        <v>0</v>
      </c>
      <c r="AA14" s="21">
        <v>4</v>
      </c>
      <c r="AB14" s="21">
        <v>1</v>
      </c>
      <c r="AC14" s="21">
        <v>0</v>
      </c>
      <c r="AD14" s="21">
        <v>2</v>
      </c>
      <c r="AE14" s="21">
        <v>1</v>
      </c>
      <c r="AF14" s="21">
        <v>0</v>
      </c>
      <c r="AG14" s="21">
        <v>0</v>
      </c>
      <c r="AH14" s="21">
        <v>0</v>
      </c>
      <c r="AI14" s="21">
        <v>0</v>
      </c>
      <c r="AJ14" s="21">
        <v>0</v>
      </c>
      <c r="AK14" s="21">
        <v>0</v>
      </c>
      <c r="AL14" s="21">
        <v>0</v>
      </c>
      <c r="AM14" s="21">
        <v>0</v>
      </c>
      <c r="AN14" s="21">
        <v>0</v>
      </c>
      <c r="AO14" s="21">
        <v>0</v>
      </c>
      <c r="AP14" s="21">
        <v>1</v>
      </c>
      <c r="AQ14" s="21">
        <v>0</v>
      </c>
      <c r="AR14" s="21">
        <v>0</v>
      </c>
      <c r="AS14" s="21">
        <v>0</v>
      </c>
      <c r="AT14" s="21">
        <v>0</v>
      </c>
      <c r="AU14" s="21">
        <v>0</v>
      </c>
      <c r="AV14" s="21">
        <v>15</v>
      </c>
      <c r="AW14" s="21">
        <v>0</v>
      </c>
      <c r="AX14" s="21">
        <v>1</v>
      </c>
      <c r="AY14" s="21">
        <v>0</v>
      </c>
      <c r="AZ14" s="21">
        <v>0</v>
      </c>
      <c r="BA14" s="21">
        <v>0</v>
      </c>
      <c r="BB14" s="21">
        <v>0</v>
      </c>
      <c r="BC14" s="21">
        <v>0</v>
      </c>
      <c r="BD14" s="21">
        <v>0</v>
      </c>
      <c r="BE14" s="21">
        <v>0</v>
      </c>
      <c r="BF14" s="21">
        <v>0</v>
      </c>
      <c r="BG14" s="21">
        <v>0</v>
      </c>
      <c r="BI14" s="3"/>
      <c r="BJ14" s="3"/>
      <c r="BK14" s="3"/>
      <c r="BL14" s="3"/>
      <c r="BM14" s="3"/>
      <c r="BN14" s="3"/>
      <c r="BO14" s="3"/>
    </row>
    <row r="15" spans="1:1022" ht="12.75" x14ac:dyDescent="0.2">
      <c r="A15" s="15" t="s">
        <v>220</v>
      </c>
      <c r="B15" s="21">
        <v>0</v>
      </c>
      <c r="C15" s="21">
        <v>0</v>
      </c>
      <c r="D15" s="21">
        <v>0</v>
      </c>
      <c r="E15" s="21">
        <v>35</v>
      </c>
      <c r="F15" s="21">
        <v>0</v>
      </c>
      <c r="G15" s="21">
        <v>0</v>
      </c>
      <c r="H15" s="21">
        <v>0</v>
      </c>
      <c r="I15" s="21">
        <v>1</v>
      </c>
      <c r="J15" s="21">
        <v>0</v>
      </c>
      <c r="K15" s="21">
        <v>0</v>
      </c>
      <c r="L15" s="21">
        <v>0</v>
      </c>
      <c r="M15" s="21">
        <v>0</v>
      </c>
      <c r="N15" s="21">
        <v>0</v>
      </c>
      <c r="O15" s="21">
        <v>0</v>
      </c>
      <c r="P15" s="21">
        <v>0</v>
      </c>
      <c r="Q15" s="21">
        <v>0</v>
      </c>
      <c r="R15" s="21">
        <v>0</v>
      </c>
      <c r="S15" s="21">
        <v>0</v>
      </c>
      <c r="T15" s="21">
        <v>0</v>
      </c>
      <c r="U15" s="21">
        <v>1</v>
      </c>
      <c r="V15" s="21">
        <v>0</v>
      </c>
      <c r="W15" s="21">
        <v>0</v>
      </c>
      <c r="X15" s="21">
        <v>0</v>
      </c>
      <c r="Y15" s="21">
        <v>0</v>
      </c>
      <c r="Z15" s="21">
        <v>1</v>
      </c>
      <c r="AA15" s="21">
        <v>0</v>
      </c>
      <c r="AB15" s="21">
        <v>0</v>
      </c>
      <c r="AC15" s="21">
        <v>0</v>
      </c>
      <c r="AD15" s="21">
        <v>0</v>
      </c>
      <c r="AE15" s="21">
        <v>0</v>
      </c>
      <c r="AF15" s="21">
        <v>0</v>
      </c>
      <c r="AG15" s="21">
        <v>0</v>
      </c>
      <c r="AH15" s="21">
        <v>0</v>
      </c>
      <c r="AI15" s="21">
        <v>0</v>
      </c>
      <c r="AJ15" s="21">
        <v>1</v>
      </c>
      <c r="AK15" s="21">
        <v>0</v>
      </c>
      <c r="AL15" s="21">
        <v>0</v>
      </c>
      <c r="AM15" s="21">
        <v>0</v>
      </c>
      <c r="AN15" s="21">
        <v>0</v>
      </c>
      <c r="AO15" s="21">
        <v>0</v>
      </c>
      <c r="AP15" s="21">
        <v>0</v>
      </c>
      <c r="AQ15" s="21">
        <v>0</v>
      </c>
      <c r="AR15" s="21">
        <v>0</v>
      </c>
      <c r="AS15" s="21">
        <v>0</v>
      </c>
      <c r="AT15" s="21">
        <v>0</v>
      </c>
      <c r="AU15" s="21">
        <v>0</v>
      </c>
      <c r="AV15" s="21">
        <v>3</v>
      </c>
      <c r="AW15" s="21">
        <v>0</v>
      </c>
      <c r="AX15" s="21">
        <v>0</v>
      </c>
      <c r="AY15" s="21">
        <v>1</v>
      </c>
      <c r="AZ15" s="21">
        <v>0</v>
      </c>
      <c r="BA15" s="21">
        <v>0</v>
      </c>
      <c r="BB15" s="21">
        <v>0</v>
      </c>
      <c r="BC15" s="21">
        <v>0</v>
      </c>
      <c r="BD15" s="21">
        <v>0</v>
      </c>
      <c r="BE15" s="21">
        <v>0</v>
      </c>
      <c r="BF15" s="21">
        <v>0</v>
      </c>
      <c r="BG15" s="21">
        <v>0</v>
      </c>
      <c r="BI15" s="3"/>
      <c r="BJ15" s="3"/>
      <c r="BK15" s="3"/>
      <c r="BL15" s="3"/>
      <c r="BM15" s="3"/>
      <c r="BN15" s="3"/>
      <c r="BO15" s="3"/>
    </row>
    <row r="16" spans="1:1022" ht="12.75" x14ac:dyDescent="0.2">
      <c r="A16" s="15" t="s">
        <v>221</v>
      </c>
      <c r="B16" s="21">
        <v>0</v>
      </c>
      <c r="C16" s="21">
        <v>0</v>
      </c>
      <c r="D16" s="21">
        <v>0</v>
      </c>
      <c r="E16" s="21">
        <v>104</v>
      </c>
      <c r="F16" s="21">
        <v>0</v>
      </c>
      <c r="G16" s="21">
        <v>0</v>
      </c>
      <c r="H16" s="21">
        <v>0</v>
      </c>
      <c r="I16" s="21">
        <v>0</v>
      </c>
      <c r="J16" s="21">
        <v>0</v>
      </c>
      <c r="K16" s="21">
        <v>0</v>
      </c>
      <c r="L16" s="21">
        <v>0</v>
      </c>
      <c r="M16" s="21">
        <v>0</v>
      </c>
      <c r="N16" s="21">
        <v>0</v>
      </c>
      <c r="O16" s="21">
        <v>0</v>
      </c>
      <c r="P16" s="21">
        <v>0</v>
      </c>
      <c r="Q16" s="21">
        <v>0</v>
      </c>
      <c r="R16" s="21">
        <v>0</v>
      </c>
      <c r="S16" s="21">
        <v>3</v>
      </c>
      <c r="T16" s="21">
        <v>1</v>
      </c>
      <c r="U16" s="21">
        <v>0</v>
      </c>
      <c r="V16" s="21">
        <v>0</v>
      </c>
      <c r="W16" s="21">
        <v>0</v>
      </c>
      <c r="X16" s="21">
        <v>0</v>
      </c>
      <c r="Y16" s="21">
        <v>0</v>
      </c>
      <c r="Z16" s="21">
        <v>2</v>
      </c>
      <c r="AA16" s="21">
        <v>0</v>
      </c>
      <c r="AB16" s="21">
        <v>0</v>
      </c>
      <c r="AC16" s="21">
        <v>0</v>
      </c>
      <c r="AD16" s="21">
        <v>0</v>
      </c>
      <c r="AE16" s="21">
        <v>0</v>
      </c>
      <c r="AF16" s="21">
        <v>0</v>
      </c>
      <c r="AG16" s="21">
        <v>0</v>
      </c>
      <c r="AH16" s="21">
        <v>0</v>
      </c>
      <c r="AI16" s="21">
        <v>0</v>
      </c>
      <c r="AJ16" s="21">
        <v>2</v>
      </c>
      <c r="AK16" s="21">
        <v>0</v>
      </c>
      <c r="AL16" s="21">
        <v>0</v>
      </c>
      <c r="AM16" s="21">
        <v>0</v>
      </c>
      <c r="AN16" s="21">
        <v>0</v>
      </c>
      <c r="AO16" s="21">
        <v>0</v>
      </c>
      <c r="AP16" s="21">
        <v>0</v>
      </c>
      <c r="AQ16" s="21">
        <v>0</v>
      </c>
      <c r="AR16" s="21">
        <v>0</v>
      </c>
      <c r="AS16" s="21">
        <v>0</v>
      </c>
      <c r="AT16" s="21">
        <v>0</v>
      </c>
      <c r="AU16" s="21">
        <v>0</v>
      </c>
      <c r="AV16" s="21">
        <v>2</v>
      </c>
      <c r="AW16" s="21">
        <v>0</v>
      </c>
      <c r="AX16" s="21">
        <v>0</v>
      </c>
      <c r="AY16" s="21">
        <v>0</v>
      </c>
      <c r="AZ16" s="21">
        <v>5</v>
      </c>
      <c r="BA16" s="21">
        <v>0</v>
      </c>
      <c r="BB16" s="21">
        <v>0</v>
      </c>
      <c r="BC16" s="21">
        <v>0</v>
      </c>
      <c r="BD16" s="21">
        <v>0</v>
      </c>
      <c r="BE16" s="21">
        <v>0</v>
      </c>
      <c r="BF16" s="21">
        <v>0</v>
      </c>
      <c r="BG16" s="21">
        <v>0</v>
      </c>
      <c r="BI16" s="3"/>
      <c r="BJ16" s="3"/>
      <c r="BK16" s="3"/>
      <c r="BL16" s="3"/>
      <c r="BM16" s="3"/>
      <c r="BN16" s="3"/>
      <c r="BO16" s="3"/>
    </row>
    <row r="17" spans="1:67" ht="12.75" x14ac:dyDescent="0.2">
      <c r="A17" s="15" t="s">
        <v>222</v>
      </c>
      <c r="B17" s="21">
        <v>0</v>
      </c>
      <c r="C17" s="21">
        <v>0</v>
      </c>
      <c r="D17" s="21">
        <v>0</v>
      </c>
      <c r="E17" s="21">
        <v>84</v>
      </c>
      <c r="F17" s="21">
        <v>0</v>
      </c>
      <c r="G17" s="21">
        <v>0</v>
      </c>
      <c r="H17" s="21">
        <v>2</v>
      </c>
      <c r="I17" s="21">
        <v>0</v>
      </c>
      <c r="J17" s="21">
        <v>1</v>
      </c>
      <c r="K17" s="21">
        <v>0</v>
      </c>
      <c r="L17" s="21">
        <v>0</v>
      </c>
      <c r="M17" s="21">
        <v>0</v>
      </c>
      <c r="N17" s="21">
        <v>0</v>
      </c>
      <c r="O17" s="21">
        <v>0</v>
      </c>
      <c r="P17" s="21">
        <v>0</v>
      </c>
      <c r="Q17" s="21">
        <v>0</v>
      </c>
      <c r="R17" s="21">
        <v>0</v>
      </c>
      <c r="S17" s="21">
        <v>4</v>
      </c>
      <c r="T17" s="21">
        <v>1</v>
      </c>
      <c r="U17" s="21">
        <v>0</v>
      </c>
      <c r="V17" s="21">
        <v>0</v>
      </c>
      <c r="W17" s="21">
        <v>0</v>
      </c>
      <c r="X17" s="21">
        <v>0</v>
      </c>
      <c r="Y17" s="21">
        <v>1</v>
      </c>
      <c r="Z17" s="21">
        <v>0</v>
      </c>
      <c r="AA17" s="21">
        <v>0</v>
      </c>
      <c r="AB17" s="21">
        <v>0</v>
      </c>
      <c r="AC17" s="21">
        <v>0</v>
      </c>
      <c r="AD17" s="21">
        <v>0</v>
      </c>
      <c r="AE17" s="21">
        <v>0</v>
      </c>
      <c r="AF17" s="21">
        <v>0</v>
      </c>
      <c r="AG17" s="21">
        <v>0</v>
      </c>
      <c r="AH17" s="21">
        <v>0</v>
      </c>
      <c r="AI17" s="21">
        <v>0</v>
      </c>
      <c r="AJ17" s="21">
        <v>0</v>
      </c>
      <c r="AK17" s="21">
        <v>1</v>
      </c>
      <c r="AL17" s="21">
        <v>0</v>
      </c>
      <c r="AM17" s="21">
        <v>0</v>
      </c>
      <c r="AN17" s="21">
        <v>0</v>
      </c>
      <c r="AO17" s="21">
        <v>0</v>
      </c>
      <c r="AP17" s="21">
        <v>0</v>
      </c>
      <c r="AQ17" s="21">
        <v>0</v>
      </c>
      <c r="AR17" s="21">
        <v>0</v>
      </c>
      <c r="AS17" s="21">
        <v>0</v>
      </c>
      <c r="AT17" s="21">
        <v>0</v>
      </c>
      <c r="AU17" s="21">
        <v>0</v>
      </c>
      <c r="AV17" s="21">
        <v>4</v>
      </c>
      <c r="AW17" s="21">
        <v>0</v>
      </c>
      <c r="AX17" s="21">
        <v>0</v>
      </c>
      <c r="AY17" s="21">
        <v>0</v>
      </c>
      <c r="AZ17" s="21">
        <v>0</v>
      </c>
      <c r="BA17" s="21">
        <v>0</v>
      </c>
      <c r="BB17" s="21">
        <v>0</v>
      </c>
      <c r="BC17" s="21">
        <v>0</v>
      </c>
      <c r="BD17" s="21">
        <v>1</v>
      </c>
      <c r="BE17" s="21">
        <v>0</v>
      </c>
      <c r="BF17" s="21">
        <v>0</v>
      </c>
      <c r="BG17" s="21">
        <v>0</v>
      </c>
      <c r="BI17" s="3"/>
      <c r="BJ17" s="3"/>
      <c r="BK17" s="3"/>
      <c r="BL17" s="3"/>
      <c r="BM17" s="3"/>
      <c r="BN17" s="3"/>
      <c r="BO17" s="3"/>
    </row>
    <row r="18" spans="1:67" ht="12.75" x14ac:dyDescent="0.2">
      <c r="A18" s="15" t="s">
        <v>223</v>
      </c>
      <c r="B18" s="21">
        <v>1</v>
      </c>
      <c r="C18" s="21">
        <v>0</v>
      </c>
      <c r="D18" s="21">
        <v>0</v>
      </c>
      <c r="E18" s="21">
        <v>59</v>
      </c>
      <c r="F18" s="21">
        <v>2</v>
      </c>
      <c r="G18" s="21">
        <v>0</v>
      </c>
      <c r="H18" s="21">
        <v>1</v>
      </c>
      <c r="I18" s="21">
        <v>1</v>
      </c>
      <c r="J18" s="21">
        <v>0</v>
      </c>
      <c r="K18" s="21">
        <v>0</v>
      </c>
      <c r="L18" s="21">
        <v>0</v>
      </c>
      <c r="M18" s="21">
        <v>0</v>
      </c>
      <c r="N18" s="21">
        <v>0</v>
      </c>
      <c r="O18" s="21">
        <v>0</v>
      </c>
      <c r="P18" s="21">
        <v>0</v>
      </c>
      <c r="Q18" s="21">
        <v>0</v>
      </c>
      <c r="R18" s="21">
        <v>1</v>
      </c>
      <c r="S18" s="21">
        <v>8</v>
      </c>
      <c r="T18" s="21">
        <v>1</v>
      </c>
      <c r="U18" s="21">
        <v>0</v>
      </c>
      <c r="V18" s="21">
        <v>0</v>
      </c>
      <c r="W18" s="21">
        <v>0</v>
      </c>
      <c r="X18" s="21">
        <v>0</v>
      </c>
      <c r="Y18" s="21">
        <v>0</v>
      </c>
      <c r="Z18" s="21">
        <v>1</v>
      </c>
      <c r="AA18" s="21">
        <v>1</v>
      </c>
      <c r="AB18" s="21">
        <v>0</v>
      </c>
      <c r="AC18" s="21">
        <v>0</v>
      </c>
      <c r="AD18" s="21">
        <v>0</v>
      </c>
      <c r="AE18" s="21">
        <v>0</v>
      </c>
      <c r="AF18" s="21">
        <v>0</v>
      </c>
      <c r="AG18" s="21">
        <v>0</v>
      </c>
      <c r="AH18" s="21">
        <v>0</v>
      </c>
      <c r="AI18" s="21">
        <v>0</v>
      </c>
      <c r="AJ18" s="21">
        <v>7</v>
      </c>
      <c r="AK18" s="21">
        <v>0</v>
      </c>
      <c r="AL18" s="21">
        <v>0</v>
      </c>
      <c r="AM18" s="21">
        <v>0</v>
      </c>
      <c r="AN18" s="21">
        <v>1</v>
      </c>
      <c r="AO18" s="21">
        <v>0</v>
      </c>
      <c r="AP18" s="21">
        <v>0</v>
      </c>
      <c r="AQ18" s="21">
        <v>0</v>
      </c>
      <c r="AR18" s="21">
        <v>0</v>
      </c>
      <c r="AS18" s="21">
        <v>0</v>
      </c>
      <c r="AT18" s="21">
        <v>0</v>
      </c>
      <c r="AU18" s="21">
        <v>0</v>
      </c>
      <c r="AV18" s="21">
        <v>21</v>
      </c>
      <c r="AW18" s="21">
        <v>0</v>
      </c>
      <c r="AX18" s="21">
        <v>0</v>
      </c>
      <c r="AY18" s="21">
        <v>2</v>
      </c>
      <c r="AZ18" s="21">
        <v>0</v>
      </c>
      <c r="BA18" s="21">
        <v>0</v>
      </c>
      <c r="BB18" s="21">
        <v>0</v>
      </c>
      <c r="BC18" s="21">
        <v>0</v>
      </c>
      <c r="BD18" s="21">
        <v>2</v>
      </c>
      <c r="BE18" s="21">
        <v>0</v>
      </c>
      <c r="BF18" s="21">
        <v>0</v>
      </c>
      <c r="BG18" s="21">
        <v>1</v>
      </c>
      <c r="BI18" s="22"/>
      <c r="BJ18" s="22"/>
      <c r="BK18" s="22"/>
      <c r="BL18" s="22"/>
      <c r="BM18" s="22"/>
      <c r="BN18" s="22"/>
      <c r="BO18" s="22"/>
    </row>
    <row r="19" spans="1:67" ht="12.75" x14ac:dyDescent="0.2">
      <c r="A19" s="15" t="s">
        <v>224</v>
      </c>
      <c r="B19" s="21">
        <v>1</v>
      </c>
      <c r="C19" s="21">
        <v>0</v>
      </c>
      <c r="D19" s="21">
        <v>0</v>
      </c>
      <c r="E19" s="21">
        <v>25</v>
      </c>
      <c r="F19" s="21">
        <v>0</v>
      </c>
      <c r="G19" s="21">
        <v>2</v>
      </c>
      <c r="H19" s="21">
        <v>3</v>
      </c>
      <c r="I19" s="21">
        <v>0</v>
      </c>
      <c r="J19" s="21">
        <v>0</v>
      </c>
      <c r="K19" s="21">
        <v>0</v>
      </c>
      <c r="L19" s="21">
        <v>0</v>
      </c>
      <c r="M19" s="21">
        <v>0</v>
      </c>
      <c r="N19" s="21">
        <v>0</v>
      </c>
      <c r="O19" s="21">
        <v>0</v>
      </c>
      <c r="P19" s="21">
        <v>0</v>
      </c>
      <c r="Q19" s="21">
        <v>0</v>
      </c>
      <c r="R19" s="21">
        <v>0</v>
      </c>
      <c r="S19" s="21">
        <v>13</v>
      </c>
      <c r="T19" s="21">
        <v>0</v>
      </c>
      <c r="U19" s="21">
        <v>7</v>
      </c>
      <c r="V19" s="21">
        <v>0</v>
      </c>
      <c r="W19" s="21">
        <v>1</v>
      </c>
      <c r="X19" s="21">
        <v>0</v>
      </c>
      <c r="Y19" s="21">
        <v>1</v>
      </c>
      <c r="Z19" s="21">
        <v>0</v>
      </c>
      <c r="AA19" s="21">
        <v>1</v>
      </c>
      <c r="AB19" s="21">
        <v>0</v>
      </c>
      <c r="AC19" s="21">
        <v>0</v>
      </c>
      <c r="AD19" s="21">
        <v>0</v>
      </c>
      <c r="AE19" s="21">
        <v>0</v>
      </c>
      <c r="AF19" s="21">
        <v>0</v>
      </c>
      <c r="AG19" s="21">
        <v>0</v>
      </c>
      <c r="AH19" s="21">
        <v>0</v>
      </c>
      <c r="AI19" s="21">
        <v>0</v>
      </c>
      <c r="AJ19" s="21">
        <v>2</v>
      </c>
      <c r="AK19" s="21">
        <v>0</v>
      </c>
      <c r="AL19" s="21">
        <v>0</v>
      </c>
      <c r="AM19" s="21">
        <v>0</v>
      </c>
      <c r="AN19" s="21">
        <v>0</v>
      </c>
      <c r="AO19" s="21">
        <v>1</v>
      </c>
      <c r="AP19" s="21">
        <v>0</v>
      </c>
      <c r="AQ19" s="21">
        <v>0</v>
      </c>
      <c r="AR19" s="21">
        <v>0</v>
      </c>
      <c r="AS19" s="21">
        <v>0</v>
      </c>
      <c r="AT19" s="21">
        <v>1</v>
      </c>
      <c r="AU19" s="21">
        <v>0</v>
      </c>
      <c r="AV19" s="21">
        <v>1</v>
      </c>
      <c r="AW19" s="21">
        <v>0</v>
      </c>
      <c r="AX19" s="21">
        <v>0</v>
      </c>
      <c r="AY19" s="21">
        <v>3</v>
      </c>
      <c r="AZ19" s="21">
        <v>0</v>
      </c>
      <c r="BA19" s="21">
        <v>0</v>
      </c>
      <c r="BB19" s="21">
        <v>0</v>
      </c>
      <c r="BC19" s="21">
        <v>0</v>
      </c>
      <c r="BD19" s="21">
        <v>1</v>
      </c>
      <c r="BE19" s="21">
        <v>0</v>
      </c>
      <c r="BF19" s="21">
        <v>0</v>
      </c>
      <c r="BG19" s="21">
        <v>1</v>
      </c>
      <c r="BI19" s="3"/>
      <c r="BJ19" s="3"/>
      <c r="BK19" s="3"/>
      <c r="BL19" s="3"/>
      <c r="BM19" s="3"/>
      <c r="BN19" s="3"/>
      <c r="BO19" s="3"/>
    </row>
    <row r="20" spans="1:67" ht="12.75" x14ac:dyDescent="0.2">
      <c r="A20" s="15" t="s">
        <v>225</v>
      </c>
      <c r="B20" s="21">
        <v>2</v>
      </c>
      <c r="C20" s="21">
        <v>0</v>
      </c>
      <c r="D20" s="21">
        <v>0</v>
      </c>
      <c r="E20" s="21">
        <v>106</v>
      </c>
      <c r="F20" s="21">
        <v>1</v>
      </c>
      <c r="G20" s="21">
        <v>0</v>
      </c>
      <c r="H20" s="21">
        <v>1</v>
      </c>
      <c r="I20" s="21">
        <v>0</v>
      </c>
      <c r="J20" s="21">
        <v>1</v>
      </c>
      <c r="K20" s="21">
        <v>0</v>
      </c>
      <c r="L20" s="21">
        <v>0</v>
      </c>
      <c r="M20" s="21">
        <v>0</v>
      </c>
      <c r="N20" s="21">
        <v>0</v>
      </c>
      <c r="O20" s="21">
        <v>0</v>
      </c>
      <c r="P20" s="21">
        <v>0</v>
      </c>
      <c r="Q20" s="21">
        <v>0</v>
      </c>
      <c r="R20" s="21">
        <v>0</v>
      </c>
      <c r="S20" s="21">
        <v>18</v>
      </c>
      <c r="T20" s="21">
        <v>1</v>
      </c>
      <c r="U20" s="21">
        <v>0</v>
      </c>
      <c r="V20" s="21">
        <v>0</v>
      </c>
      <c r="W20" s="21">
        <v>0</v>
      </c>
      <c r="X20" s="21">
        <v>0</v>
      </c>
      <c r="Y20" s="21">
        <v>0</v>
      </c>
      <c r="Z20" s="21">
        <v>1</v>
      </c>
      <c r="AA20" s="21">
        <v>1</v>
      </c>
      <c r="AB20" s="21">
        <v>0</v>
      </c>
      <c r="AC20" s="21">
        <v>0</v>
      </c>
      <c r="AD20" s="21">
        <v>0</v>
      </c>
      <c r="AE20" s="21">
        <v>0</v>
      </c>
      <c r="AF20" s="21">
        <v>0</v>
      </c>
      <c r="AG20" s="21">
        <v>0</v>
      </c>
      <c r="AH20" s="21">
        <v>0</v>
      </c>
      <c r="AI20" s="21">
        <v>0</v>
      </c>
      <c r="AJ20" s="21">
        <v>3</v>
      </c>
      <c r="AK20" s="21">
        <v>1</v>
      </c>
      <c r="AL20" s="21">
        <v>0</v>
      </c>
      <c r="AM20" s="21">
        <v>0</v>
      </c>
      <c r="AN20" s="21">
        <v>1</v>
      </c>
      <c r="AO20" s="21">
        <v>1</v>
      </c>
      <c r="AP20" s="21">
        <v>0</v>
      </c>
      <c r="AQ20" s="21">
        <v>0</v>
      </c>
      <c r="AR20" s="21">
        <v>0</v>
      </c>
      <c r="AS20" s="21">
        <v>0</v>
      </c>
      <c r="AT20" s="21">
        <v>0</v>
      </c>
      <c r="AU20" s="21">
        <v>0</v>
      </c>
      <c r="AV20" s="21">
        <v>15</v>
      </c>
      <c r="AW20" s="21">
        <v>0</v>
      </c>
      <c r="AX20" s="21">
        <v>0</v>
      </c>
      <c r="AY20" s="21">
        <v>0</v>
      </c>
      <c r="AZ20" s="21">
        <v>0</v>
      </c>
      <c r="BA20" s="21">
        <v>0</v>
      </c>
      <c r="BB20" s="21">
        <v>0</v>
      </c>
      <c r="BC20" s="21">
        <v>0</v>
      </c>
      <c r="BD20" s="21">
        <v>0</v>
      </c>
      <c r="BE20" s="21">
        <v>0</v>
      </c>
      <c r="BF20" s="21">
        <v>0</v>
      </c>
      <c r="BG20" s="21">
        <v>0</v>
      </c>
      <c r="BI20" s="3"/>
      <c r="BJ20" s="3"/>
      <c r="BK20" s="3"/>
      <c r="BL20" s="3"/>
      <c r="BM20" s="3"/>
      <c r="BN20" s="3"/>
      <c r="BO20" s="3"/>
    </row>
    <row r="21" spans="1:67" ht="15.75" customHeight="1" x14ac:dyDescent="0.2">
      <c r="A21" s="15" t="s">
        <v>226</v>
      </c>
      <c r="B21" s="21">
        <v>0</v>
      </c>
      <c r="C21" s="21">
        <v>0</v>
      </c>
      <c r="D21" s="21">
        <v>0</v>
      </c>
      <c r="E21" s="21">
        <v>0</v>
      </c>
      <c r="F21" s="21">
        <v>0</v>
      </c>
      <c r="G21" s="21">
        <v>0</v>
      </c>
      <c r="H21" s="21">
        <v>0</v>
      </c>
      <c r="I21" s="21">
        <v>0</v>
      </c>
      <c r="J21" s="21">
        <v>0</v>
      </c>
      <c r="K21" s="21">
        <v>0</v>
      </c>
      <c r="L21" s="21">
        <v>0</v>
      </c>
      <c r="M21" s="21">
        <v>0</v>
      </c>
      <c r="N21" s="21">
        <v>0</v>
      </c>
      <c r="O21" s="21">
        <v>0</v>
      </c>
      <c r="P21" s="21">
        <v>0</v>
      </c>
      <c r="Q21" s="21">
        <v>0</v>
      </c>
      <c r="R21" s="21">
        <v>0</v>
      </c>
      <c r="S21" s="21">
        <v>0</v>
      </c>
      <c r="T21" s="21">
        <v>0</v>
      </c>
      <c r="U21" s="21">
        <v>0</v>
      </c>
      <c r="V21" s="21">
        <v>0</v>
      </c>
      <c r="W21" s="21">
        <v>0</v>
      </c>
      <c r="X21" s="21">
        <v>0</v>
      </c>
      <c r="Y21" s="21">
        <v>0</v>
      </c>
      <c r="Z21" s="21">
        <v>0</v>
      </c>
      <c r="AA21" s="21">
        <v>0</v>
      </c>
      <c r="AB21" s="21">
        <v>0</v>
      </c>
      <c r="AC21" s="21">
        <v>0</v>
      </c>
      <c r="AD21" s="21">
        <v>0</v>
      </c>
      <c r="AE21" s="21">
        <v>0</v>
      </c>
      <c r="AF21" s="21">
        <v>0</v>
      </c>
      <c r="AG21" s="21">
        <v>0</v>
      </c>
      <c r="AH21" s="21">
        <v>0</v>
      </c>
      <c r="AI21" s="21">
        <v>0</v>
      </c>
      <c r="AJ21" s="21">
        <v>0</v>
      </c>
      <c r="AK21" s="21">
        <v>0</v>
      </c>
      <c r="AL21" s="21">
        <v>0</v>
      </c>
      <c r="AM21" s="21">
        <v>0</v>
      </c>
      <c r="AN21" s="21">
        <v>0</v>
      </c>
      <c r="AO21" s="21">
        <v>0</v>
      </c>
      <c r="AP21" s="21">
        <v>0</v>
      </c>
      <c r="AQ21" s="21">
        <v>0</v>
      </c>
      <c r="AR21" s="21">
        <v>0</v>
      </c>
      <c r="AS21" s="21">
        <v>0</v>
      </c>
      <c r="AT21" s="21">
        <v>0</v>
      </c>
      <c r="AU21" s="21">
        <v>0</v>
      </c>
      <c r="AV21" s="21">
        <v>0</v>
      </c>
      <c r="AW21" s="21">
        <v>0</v>
      </c>
      <c r="AX21" s="21">
        <v>0</v>
      </c>
      <c r="AY21" s="21">
        <v>0</v>
      </c>
      <c r="AZ21" s="21">
        <v>0</v>
      </c>
      <c r="BA21" s="21">
        <v>0</v>
      </c>
      <c r="BB21" s="21">
        <v>0</v>
      </c>
      <c r="BC21" s="21">
        <v>0</v>
      </c>
      <c r="BD21" s="21">
        <v>0</v>
      </c>
      <c r="BE21" s="21">
        <v>0</v>
      </c>
      <c r="BF21" s="21">
        <v>0</v>
      </c>
      <c r="BG21" s="21">
        <v>0</v>
      </c>
      <c r="BI21" s="3"/>
      <c r="BJ21" s="3"/>
      <c r="BK21" s="3"/>
      <c r="BL21" s="3"/>
      <c r="BM21" s="3"/>
      <c r="BN21" s="3"/>
      <c r="BO21" s="3"/>
    </row>
    <row r="22" spans="1:67" ht="15.75" customHeight="1" x14ac:dyDescent="0.2">
      <c r="A22" s="15" t="s">
        <v>227</v>
      </c>
      <c r="B22" s="21">
        <v>0</v>
      </c>
      <c r="C22" s="21">
        <v>0</v>
      </c>
      <c r="D22" s="21">
        <v>0</v>
      </c>
      <c r="E22" s="21">
        <v>0</v>
      </c>
      <c r="F22" s="21">
        <v>0</v>
      </c>
      <c r="G22" s="21">
        <v>0</v>
      </c>
      <c r="H22" s="21">
        <v>0</v>
      </c>
      <c r="I22" s="21">
        <v>0</v>
      </c>
      <c r="J22" s="21">
        <v>0</v>
      </c>
      <c r="K22" s="21">
        <v>0</v>
      </c>
      <c r="L22" s="21">
        <v>0</v>
      </c>
      <c r="M22" s="21">
        <v>0</v>
      </c>
      <c r="N22" s="21">
        <v>0</v>
      </c>
      <c r="O22" s="21">
        <v>0</v>
      </c>
      <c r="P22" s="21">
        <v>0</v>
      </c>
      <c r="Q22" s="21">
        <v>0</v>
      </c>
      <c r="R22" s="21">
        <v>0</v>
      </c>
      <c r="S22" s="21">
        <v>0</v>
      </c>
      <c r="T22" s="21">
        <v>0</v>
      </c>
      <c r="U22" s="21">
        <v>0</v>
      </c>
      <c r="V22" s="21">
        <v>0</v>
      </c>
      <c r="W22" s="21">
        <v>0</v>
      </c>
      <c r="X22" s="21">
        <v>0</v>
      </c>
      <c r="Y22" s="21">
        <v>0</v>
      </c>
      <c r="Z22" s="21">
        <v>0</v>
      </c>
      <c r="AA22" s="21">
        <v>0</v>
      </c>
      <c r="AB22" s="21">
        <v>0</v>
      </c>
      <c r="AC22" s="21">
        <v>0</v>
      </c>
      <c r="AD22" s="21">
        <v>0</v>
      </c>
      <c r="AE22" s="21">
        <v>0</v>
      </c>
      <c r="AF22" s="21">
        <v>0</v>
      </c>
      <c r="AG22" s="21">
        <v>0</v>
      </c>
      <c r="AH22" s="21">
        <v>0</v>
      </c>
      <c r="AI22" s="21">
        <v>0</v>
      </c>
      <c r="AJ22" s="21">
        <v>0</v>
      </c>
      <c r="AK22" s="21">
        <v>0</v>
      </c>
      <c r="AL22" s="21">
        <v>0</v>
      </c>
      <c r="AM22" s="21">
        <v>0</v>
      </c>
      <c r="AN22" s="21">
        <v>0</v>
      </c>
      <c r="AO22" s="21">
        <v>0</v>
      </c>
      <c r="AP22" s="21">
        <v>0</v>
      </c>
      <c r="AQ22" s="21">
        <v>0</v>
      </c>
      <c r="AR22" s="21">
        <v>0</v>
      </c>
      <c r="AS22" s="21">
        <v>0</v>
      </c>
      <c r="AT22" s="21">
        <v>0</v>
      </c>
      <c r="AU22" s="21">
        <v>0</v>
      </c>
      <c r="AV22" s="21">
        <v>0</v>
      </c>
      <c r="AW22" s="21">
        <v>0</v>
      </c>
      <c r="AX22" s="21">
        <v>0</v>
      </c>
      <c r="AY22" s="21">
        <v>0</v>
      </c>
      <c r="AZ22" s="21">
        <v>0</v>
      </c>
      <c r="BA22" s="21">
        <v>0</v>
      </c>
      <c r="BB22" s="21">
        <v>0</v>
      </c>
      <c r="BC22" s="21">
        <v>0</v>
      </c>
      <c r="BD22" s="21">
        <v>0</v>
      </c>
      <c r="BE22" s="21">
        <v>0</v>
      </c>
      <c r="BF22" s="21">
        <v>0</v>
      </c>
      <c r="BG22" s="21">
        <v>0</v>
      </c>
      <c r="BI22" s="3"/>
      <c r="BJ22" s="3"/>
      <c r="BK22" s="3"/>
      <c r="BL22" s="3"/>
      <c r="BM22" s="3"/>
      <c r="BN22" s="3"/>
      <c r="BO22" s="3"/>
    </row>
    <row r="23" spans="1:67" ht="15.75" customHeight="1" x14ac:dyDescent="0.2">
      <c r="A23" s="15" t="s">
        <v>228</v>
      </c>
      <c r="B23" s="21">
        <v>0</v>
      </c>
      <c r="C23" s="21">
        <v>0</v>
      </c>
      <c r="D23" s="21">
        <v>0</v>
      </c>
      <c r="E23" s="21">
        <v>0</v>
      </c>
      <c r="F23" s="21">
        <v>0</v>
      </c>
      <c r="G23" s="21">
        <v>0</v>
      </c>
      <c r="H23" s="21">
        <v>0</v>
      </c>
      <c r="I23" s="21">
        <v>0</v>
      </c>
      <c r="J23" s="21">
        <v>0</v>
      </c>
      <c r="K23" s="21">
        <v>0</v>
      </c>
      <c r="L23" s="21">
        <v>0</v>
      </c>
      <c r="M23" s="21">
        <v>0</v>
      </c>
      <c r="N23" s="21">
        <v>0</v>
      </c>
      <c r="O23" s="21">
        <v>0</v>
      </c>
      <c r="P23" s="21">
        <v>0</v>
      </c>
      <c r="Q23" s="21">
        <v>0</v>
      </c>
      <c r="R23" s="21">
        <v>0</v>
      </c>
      <c r="S23" s="21">
        <v>0</v>
      </c>
      <c r="T23" s="21">
        <v>0</v>
      </c>
      <c r="U23" s="21">
        <v>0</v>
      </c>
      <c r="V23" s="21">
        <v>0</v>
      </c>
      <c r="W23" s="21">
        <v>0</v>
      </c>
      <c r="X23" s="21">
        <v>0</v>
      </c>
      <c r="Y23" s="21">
        <v>0</v>
      </c>
      <c r="Z23" s="21">
        <v>0</v>
      </c>
      <c r="AA23" s="21">
        <v>0</v>
      </c>
      <c r="AB23" s="21">
        <v>0</v>
      </c>
      <c r="AC23" s="21">
        <v>0</v>
      </c>
      <c r="AD23" s="21">
        <v>0</v>
      </c>
      <c r="AE23" s="21">
        <v>0</v>
      </c>
      <c r="AF23" s="21">
        <v>0</v>
      </c>
      <c r="AG23" s="21">
        <v>0</v>
      </c>
      <c r="AH23" s="21">
        <v>0</v>
      </c>
      <c r="AI23" s="21">
        <v>0</v>
      </c>
      <c r="AJ23" s="21">
        <v>0</v>
      </c>
      <c r="AK23" s="21">
        <v>0</v>
      </c>
      <c r="AL23" s="21">
        <v>0</v>
      </c>
      <c r="AM23" s="21">
        <v>0</v>
      </c>
      <c r="AN23" s="21">
        <v>0</v>
      </c>
      <c r="AO23" s="21">
        <v>0</v>
      </c>
      <c r="AP23" s="21">
        <v>0</v>
      </c>
      <c r="AQ23" s="21">
        <v>0</v>
      </c>
      <c r="AR23" s="21">
        <v>0</v>
      </c>
      <c r="AS23" s="21">
        <v>0</v>
      </c>
      <c r="AT23" s="21">
        <v>0</v>
      </c>
      <c r="AU23" s="21">
        <v>0</v>
      </c>
      <c r="AV23" s="21">
        <v>0</v>
      </c>
      <c r="AW23" s="21">
        <v>0</v>
      </c>
      <c r="AX23" s="21">
        <v>0</v>
      </c>
      <c r="AY23" s="21">
        <v>0</v>
      </c>
      <c r="AZ23" s="21">
        <v>0</v>
      </c>
      <c r="BA23" s="21">
        <v>0</v>
      </c>
      <c r="BB23" s="21">
        <v>0</v>
      </c>
      <c r="BC23" s="21">
        <v>0</v>
      </c>
      <c r="BD23" s="21">
        <v>0</v>
      </c>
      <c r="BE23" s="21">
        <v>0</v>
      </c>
      <c r="BF23" s="21">
        <v>0</v>
      </c>
      <c r="BG23" s="21">
        <v>0</v>
      </c>
      <c r="BI23" s="3"/>
      <c r="BJ23" s="3"/>
      <c r="BK23" s="3"/>
      <c r="BL23" s="3"/>
      <c r="BM23" s="3"/>
      <c r="BN23" s="3"/>
      <c r="BO23" s="3"/>
    </row>
    <row r="24" spans="1:67" ht="15.75" customHeight="1" x14ac:dyDescent="0.2">
      <c r="A24" s="15" t="s">
        <v>229</v>
      </c>
      <c r="B24" s="21">
        <v>1</v>
      </c>
      <c r="C24" s="21">
        <v>0</v>
      </c>
      <c r="D24" s="21">
        <v>0</v>
      </c>
      <c r="E24" s="15">
        <v>25</v>
      </c>
      <c r="F24" s="21">
        <v>0</v>
      </c>
      <c r="G24" s="21">
        <v>0</v>
      </c>
      <c r="H24" s="21">
        <v>0</v>
      </c>
      <c r="I24" s="15">
        <v>2</v>
      </c>
      <c r="J24" s="21">
        <v>0</v>
      </c>
      <c r="K24" s="21">
        <v>0</v>
      </c>
      <c r="L24" s="21">
        <v>0</v>
      </c>
      <c r="M24" s="21">
        <v>0</v>
      </c>
      <c r="N24" s="21">
        <v>0</v>
      </c>
      <c r="O24" s="21">
        <v>0</v>
      </c>
      <c r="P24" s="21">
        <v>0</v>
      </c>
      <c r="Q24" s="21">
        <v>0</v>
      </c>
      <c r="R24" s="21">
        <v>0</v>
      </c>
      <c r="S24" s="15">
        <v>1</v>
      </c>
      <c r="T24" s="21">
        <v>0</v>
      </c>
      <c r="U24" s="15">
        <v>1</v>
      </c>
      <c r="V24" s="21">
        <v>0</v>
      </c>
      <c r="W24" s="21">
        <v>0</v>
      </c>
      <c r="X24" s="21">
        <v>0</v>
      </c>
      <c r="Y24" s="21">
        <v>0</v>
      </c>
      <c r="Z24" s="21">
        <v>0</v>
      </c>
      <c r="AA24" s="21">
        <v>0</v>
      </c>
      <c r="AB24" s="21">
        <v>0</v>
      </c>
      <c r="AC24" s="21">
        <v>2</v>
      </c>
      <c r="AD24" s="21">
        <v>1</v>
      </c>
      <c r="AE24" s="21">
        <v>0</v>
      </c>
      <c r="AF24" s="21">
        <v>0</v>
      </c>
      <c r="AG24" s="21">
        <v>0</v>
      </c>
      <c r="AH24" s="21">
        <v>1</v>
      </c>
      <c r="AI24" s="21">
        <v>0</v>
      </c>
      <c r="AJ24" s="21">
        <v>0</v>
      </c>
      <c r="AK24" s="21">
        <v>0</v>
      </c>
      <c r="AL24" s="21">
        <v>0</v>
      </c>
      <c r="AM24" s="21">
        <v>0</v>
      </c>
      <c r="AN24" s="21">
        <v>0</v>
      </c>
      <c r="AO24" s="21">
        <v>0</v>
      </c>
      <c r="AP24" s="21">
        <v>0</v>
      </c>
      <c r="AQ24" s="21">
        <v>0</v>
      </c>
      <c r="AR24" s="21">
        <v>0</v>
      </c>
      <c r="AS24" s="21">
        <v>0</v>
      </c>
      <c r="AT24" s="21">
        <v>0</v>
      </c>
      <c r="AU24" s="21">
        <v>0</v>
      </c>
      <c r="AV24" s="21">
        <v>12</v>
      </c>
      <c r="AW24" s="21">
        <v>0</v>
      </c>
      <c r="AX24" s="21">
        <v>0</v>
      </c>
      <c r="AY24" s="21">
        <v>0</v>
      </c>
      <c r="AZ24" s="21">
        <v>0</v>
      </c>
      <c r="BA24" s="21">
        <v>0</v>
      </c>
      <c r="BB24" s="21">
        <v>0</v>
      </c>
      <c r="BC24" s="21">
        <v>0</v>
      </c>
      <c r="BD24" s="21">
        <v>0</v>
      </c>
      <c r="BE24" s="21">
        <v>0</v>
      </c>
      <c r="BF24" s="21">
        <v>0</v>
      </c>
      <c r="BG24" s="21">
        <v>0</v>
      </c>
      <c r="BI24" s="3"/>
      <c r="BJ24" s="3"/>
      <c r="BK24" s="3"/>
      <c r="BL24" s="3"/>
      <c r="BM24" s="3"/>
      <c r="BN24" s="3"/>
      <c r="BO24" s="3"/>
    </row>
    <row r="25" spans="1:67" ht="15.75" customHeight="1" x14ac:dyDescent="0.2">
      <c r="A25" s="15" t="s">
        <v>230</v>
      </c>
      <c r="B25" s="21">
        <v>1</v>
      </c>
      <c r="C25" s="21">
        <v>0</v>
      </c>
      <c r="D25" s="21">
        <v>0</v>
      </c>
      <c r="E25" s="21">
        <v>19</v>
      </c>
      <c r="F25" s="21">
        <v>0</v>
      </c>
      <c r="G25" s="21">
        <v>0</v>
      </c>
      <c r="H25" s="21">
        <v>0</v>
      </c>
      <c r="I25" s="21">
        <v>7</v>
      </c>
      <c r="J25" s="21">
        <v>0</v>
      </c>
      <c r="K25" s="21">
        <v>0</v>
      </c>
      <c r="L25" s="21">
        <v>0</v>
      </c>
      <c r="M25" s="21">
        <v>0</v>
      </c>
      <c r="N25" s="21">
        <v>0</v>
      </c>
      <c r="O25" s="21">
        <v>0</v>
      </c>
      <c r="P25" s="21">
        <v>0</v>
      </c>
      <c r="Q25" s="21">
        <v>0</v>
      </c>
      <c r="R25" s="21">
        <v>0</v>
      </c>
      <c r="S25" s="21">
        <v>3</v>
      </c>
      <c r="T25" s="21">
        <v>0</v>
      </c>
      <c r="U25" s="21">
        <v>0</v>
      </c>
      <c r="V25" s="21">
        <v>0</v>
      </c>
      <c r="W25" s="21">
        <v>0</v>
      </c>
      <c r="X25" s="21">
        <v>0</v>
      </c>
      <c r="Y25" s="21">
        <v>0</v>
      </c>
      <c r="Z25" s="21">
        <v>0</v>
      </c>
      <c r="AA25" s="15">
        <v>3</v>
      </c>
      <c r="AB25" s="21">
        <v>0</v>
      </c>
      <c r="AC25" s="21">
        <v>0</v>
      </c>
      <c r="AD25" s="21">
        <v>0</v>
      </c>
      <c r="AE25" s="21">
        <v>0</v>
      </c>
      <c r="AF25" s="21">
        <v>0</v>
      </c>
      <c r="AG25" s="21">
        <v>0</v>
      </c>
      <c r="AH25" s="21">
        <v>0</v>
      </c>
      <c r="AI25" s="21">
        <v>0</v>
      </c>
      <c r="AJ25" s="15">
        <v>1</v>
      </c>
      <c r="AK25" s="21">
        <v>0</v>
      </c>
      <c r="AL25" s="21">
        <v>0</v>
      </c>
      <c r="AM25" s="21">
        <v>0</v>
      </c>
      <c r="AN25" s="21">
        <v>0</v>
      </c>
      <c r="AO25" s="21">
        <v>0</v>
      </c>
      <c r="AP25" s="21">
        <v>0</v>
      </c>
      <c r="AQ25" s="21">
        <v>0</v>
      </c>
      <c r="AR25" s="21">
        <v>0</v>
      </c>
      <c r="AS25" s="21">
        <v>0</v>
      </c>
      <c r="AT25" s="21">
        <v>0</v>
      </c>
      <c r="AU25" s="21">
        <v>0</v>
      </c>
      <c r="AV25" s="21">
        <v>3</v>
      </c>
      <c r="AW25" s="21">
        <v>0</v>
      </c>
      <c r="AX25" s="21">
        <v>0</v>
      </c>
      <c r="AY25" s="21">
        <v>0</v>
      </c>
      <c r="AZ25" s="21">
        <v>0</v>
      </c>
      <c r="BA25" s="21">
        <v>0</v>
      </c>
      <c r="BB25" s="21">
        <v>0</v>
      </c>
      <c r="BC25" s="21">
        <v>0</v>
      </c>
      <c r="BD25" s="21">
        <v>0</v>
      </c>
      <c r="BE25" s="21">
        <v>0</v>
      </c>
      <c r="BF25" s="21">
        <v>0</v>
      </c>
      <c r="BG25" s="21">
        <v>0</v>
      </c>
      <c r="BI25" s="3"/>
      <c r="BJ25" s="3"/>
      <c r="BK25" s="3"/>
      <c r="BL25" s="3"/>
      <c r="BM25" s="3"/>
      <c r="BN25" s="3"/>
      <c r="BO25" s="3"/>
    </row>
    <row r="26" spans="1:67" ht="15.75" customHeight="1" x14ac:dyDescent="0.2">
      <c r="A26" s="15" t="s">
        <v>231</v>
      </c>
      <c r="B26" s="21">
        <v>2</v>
      </c>
      <c r="C26" s="21">
        <v>0</v>
      </c>
      <c r="D26" s="21">
        <v>0</v>
      </c>
      <c r="E26" s="15">
        <v>23</v>
      </c>
      <c r="F26" s="21">
        <v>0</v>
      </c>
      <c r="G26" s="21">
        <v>0</v>
      </c>
      <c r="H26" s="21">
        <v>0</v>
      </c>
      <c r="I26" s="15">
        <v>1</v>
      </c>
      <c r="J26" s="21">
        <v>0</v>
      </c>
      <c r="K26" s="21">
        <v>0</v>
      </c>
      <c r="L26" s="21">
        <v>0</v>
      </c>
      <c r="M26" s="21">
        <v>0</v>
      </c>
      <c r="N26" s="21">
        <v>0</v>
      </c>
      <c r="O26" s="21">
        <v>0</v>
      </c>
      <c r="P26" s="21">
        <v>0</v>
      </c>
      <c r="Q26" s="21">
        <v>0</v>
      </c>
      <c r="R26" s="21">
        <v>0</v>
      </c>
      <c r="S26" s="21">
        <v>4</v>
      </c>
      <c r="T26" s="21">
        <v>2</v>
      </c>
      <c r="U26" s="21">
        <v>0</v>
      </c>
      <c r="V26" s="21">
        <v>0</v>
      </c>
      <c r="W26" s="21">
        <v>0</v>
      </c>
      <c r="X26" s="21">
        <v>1</v>
      </c>
      <c r="Y26" s="21">
        <v>0</v>
      </c>
      <c r="Z26" s="15">
        <v>1</v>
      </c>
      <c r="AA26" s="21">
        <v>0</v>
      </c>
      <c r="AB26" s="21">
        <v>0</v>
      </c>
      <c r="AC26" s="21">
        <v>0</v>
      </c>
      <c r="AD26" s="21">
        <v>0</v>
      </c>
      <c r="AE26" s="21">
        <v>0</v>
      </c>
      <c r="AF26" s="21">
        <v>0</v>
      </c>
      <c r="AG26" s="21">
        <v>0</v>
      </c>
      <c r="AH26" s="21">
        <v>0</v>
      </c>
      <c r="AI26" s="21">
        <v>1</v>
      </c>
      <c r="AJ26" s="21">
        <v>0</v>
      </c>
      <c r="AK26" s="21">
        <v>0</v>
      </c>
      <c r="AL26" s="21">
        <v>1</v>
      </c>
      <c r="AM26" s="21">
        <v>0</v>
      </c>
      <c r="AN26" s="21">
        <v>0</v>
      </c>
      <c r="AO26" s="21">
        <v>0</v>
      </c>
      <c r="AP26" s="21">
        <v>0</v>
      </c>
      <c r="AQ26" s="21">
        <v>0</v>
      </c>
      <c r="AR26" s="21">
        <v>0</v>
      </c>
      <c r="AS26" s="21">
        <v>0</v>
      </c>
      <c r="AT26" s="21">
        <v>0</v>
      </c>
      <c r="AU26" s="21">
        <v>0</v>
      </c>
      <c r="AV26" s="21">
        <v>4</v>
      </c>
      <c r="AW26" s="21">
        <v>0</v>
      </c>
      <c r="AX26" s="21">
        <v>1</v>
      </c>
      <c r="AY26" s="21">
        <v>0</v>
      </c>
      <c r="AZ26" s="21">
        <v>0</v>
      </c>
      <c r="BA26" s="21">
        <v>0</v>
      </c>
      <c r="BB26" s="21">
        <v>0</v>
      </c>
      <c r="BC26" s="21">
        <v>0</v>
      </c>
      <c r="BD26" s="21">
        <v>0</v>
      </c>
      <c r="BE26" s="21">
        <v>0</v>
      </c>
      <c r="BF26" s="21">
        <v>0</v>
      </c>
      <c r="BG26" s="21">
        <v>0</v>
      </c>
      <c r="BI26" s="3"/>
      <c r="BJ26" s="3"/>
      <c r="BK26" s="3"/>
      <c r="BL26" s="3"/>
      <c r="BM26" s="3"/>
      <c r="BN26" s="3"/>
      <c r="BO26" s="3"/>
    </row>
    <row r="27" spans="1:67" ht="15.75" customHeight="1" x14ac:dyDescent="0.2">
      <c r="A27" s="15" t="s">
        <v>232</v>
      </c>
      <c r="B27" s="21">
        <v>0</v>
      </c>
      <c r="C27" s="21">
        <v>0</v>
      </c>
      <c r="D27" s="21">
        <v>0</v>
      </c>
      <c r="E27" s="15">
        <v>7</v>
      </c>
      <c r="F27" s="21">
        <v>0</v>
      </c>
      <c r="G27" s="21">
        <v>0</v>
      </c>
      <c r="H27" s="21">
        <v>0</v>
      </c>
      <c r="I27" s="21">
        <v>0</v>
      </c>
      <c r="J27" s="21">
        <v>0</v>
      </c>
      <c r="K27" s="21">
        <v>0</v>
      </c>
      <c r="L27" s="21">
        <v>0</v>
      </c>
      <c r="M27" s="21">
        <v>0</v>
      </c>
      <c r="N27" s="21">
        <v>0</v>
      </c>
      <c r="O27" s="21">
        <v>0</v>
      </c>
      <c r="P27" s="21">
        <v>0</v>
      </c>
      <c r="Q27" s="21">
        <v>0</v>
      </c>
      <c r="R27" s="21">
        <v>0</v>
      </c>
      <c r="S27" s="21">
        <v>1</v>
      </c>
      <c r="T27" s="21">
        <v>0</v>
      </c>
      <c r="U27" s="21">
        <v>0</v>
      </c>
      <c r="V27" s="21">
        <v>0</v>
      </c>
      <c r="W27" s="21">
        <v>0</v>
      </c>
      <c r="X27" s="21">
        <v>0</v>
      </c>
      <c r="Y27" s="21">
        <v>0</v>
      </c>
      <c r="Z27" s="21">
        <v>0</v>
      </c>
      <c r="AA27" s="21">
        <v>0</v>
      </c>
      <c r="AB27" s="21">
        <v>0</v>
      </c>
      <c r="AC27" s="21">
        <v>0</v>
      </c>
      <c r="AD27" s="21">
        <v>0</v>
      </c>
      <c r="AE27" s="21">
        <v>0</v>
      </c>
      <c r="AF27" s="21">
        <v>0</v>
      </c>
      <c r="AG27" s="21">
        <v>0</v>
      </c>
      <c r="AH27" s="21">
        <v>0</v>
      </c>
      <c r="AI27" s="21">
        <v>0</v>
      </c>
      <c r="AJ27" s="21">
        <v>0</v>
      </c>
      <c r="AK27" s="21">
        <v>0</v>
      </c>
      <c r="AL27" s="21">
        <v>0</v>
      </c>
      <c r="AM27" s="21">
        <v>0</v>
      </c>
      <c r="AN27" s="21">
        <v>0</v>
      </c>
      <c r="AO27" s="21">
        <v>0</v>
      </c>
      <c r="AP27" s="21">
        <v>0</v>
      </c>
      <c r="AQ27" s="21">
        <v>0</v>
      </c>
      <c r="AR27" s="21">
        <v>0</v>
      </c>
      <c r="AS27" s="21">
        <v>0</v>
      </c>
      <c r="AT27" s="21">
        <v>0</v>
      </c>
      <c r="AU27" s="21">
        <v>0</v>
      </c>
      <c r="AV27" s="21">
        <v>0</v>
      </c>
      <c r="AW27" s="21">
        <v>0</v>
      </c>
      <c r="AX27" s="21">
        <v>0</v>
      </c>
      <c r="AY27" s="21">
        <v>0</v>
      </c>
      <c r="AZ27" s="21">
        <v>0</v>
      </c>
      <c r="BA27" s="21">
        <v>0</v>
      </c>
      <c r="BB27" s="21">
        <v>0</v>
      </c>
      <c r="BC27" s="21">
        <v>0</v>
      </c>
      <c r="BD27" s="21">
        <v>0</v>
      </c>
      <c r="BE27" s="21">
        <v>0</v>
      </c>
      <c r="BF27" s="21">
        <v>0</v>
      </c>
      <c r="BG27" s="21">
        <v>0</v>
      </c>
      <c r="BI27" s="3"/>
      <c r="BJ27" s="3"/>
      <c r="BK27" s="3"/>
      <c r="BL27" s="3"/>
      <c r="BM27" s="3"/>
      <c r="BN27" s="3"/>
      <c r="BO27" s="3"/>
    </row>
    <row r="28" spans="1:67" ht="15.75" customHeight="1" x14ac:dyDescent="0.2">
      <c r="A28" s="15" t="s">
        <v>233</v>
      </c>
      <c r="B28" s="21">
        <v>0</v>
      </c>
      <c r="C28" s="21">
        <v>0</v>
      </c>
      <c r="D28" s="21">
        <v>0</v>
      </c>
      <c r="E28" s="15">
        <v>12</v>
      </c>
      <c r="F28" s="21">
        <v>0</v>
      </c>
      <c r="G28" s="21">
        <v>0</v>
      </c>
      <c r="H28" s="21">
        <v>0</v>
      </c>
      <c r="I28" s="21">
        <v>0</v>
      </c>
      <c r="J28" s="21">
        <v>0</v>
      </c>
      <c r="K28" s="21">
        <v>0</v>
      </c>
      <c r="L28" s="21">
        <v>0</v>
      </c>
      <c r="M28" s="21">
        <v>0</v>
      </c>
      <c r="N28" s="21">
        <v>0</v>
      </c>
      <c r="O28" s="21">
        <v>0</v>
      </c>
      <c r="P28" s="21">
        <v>0</v>
      </c>
      <c r="Q28" s="21">
        <v>0</v>
      </c>
      <c r="R28" s="21">
        <v>0</v>
      </c>
      <c r="S28" s="21">
        <v>0</v>
      </c>
      <c r="T28" s="21">
        <v>0</v>
      </c>
      <c r="U28" s="21">
        <v>0</v>
      </c>
      <c r="V28" s="21">
        <v>0</v>
      </c>
      <c r="W28" s="21">
        <v>0</v>
      </c>
      <c r="X28" s="21">
        <v>0</v>
      </c>
      <c r="Y28" s="21">
        <v>0</v>
      </c>
      <c r="Z28" s="21">
        <v>0</v>
      </c>
      <c r="AA28" s="21">
        <v>0</v>
      </c>
      <c r="AB28" s="21">
        <v>0</v>
      </c>
      <c r="AC28" s="21">
        <v>0</v>
      </c>
      <c r="AD28" s="21">
        <v>0</v>
      </c>
      <c r="AE28" s="21">
        <v>0</v>
      </c>
      <c r="AF28" s="21">
        <v>0</v>
      </c>
      <c r="AG28" s="21">
        <v>0</v>
      </c>
      <c r="AH28" s="21">
        <v>0</v>
      </c>
      <c r="AI28" s="21">
        <v>0</v>
      </c>
      <c r="AJ28" s="21">
        <v>0</v>
      </c>
      <c r="AK28" s="21">
        <v>0</v>
      </c>
      <c r="AL28" s="21">
        <v>0</v>
      </c>
      <c r="AM28" s="21">
        <v>0</v>
      </c>
      <c r="AN28" s="21">
        <v>0</v>
      </c>
      <c r="AO28" s="21">
        <v>0</v>
      </c>
      <c r="AP28" s="21">
        <v>0</v>
      </c>
      <c r="AQ28" s="21">
        <v>0</v>
      </c>
      <c r="AR28" s="21">
        <v>0</v>
      </c>
      <c r="AS28" s="21">
        <v>0</v>
      </c>
      <c r="AT28" s="21">
        <v>0</v>
      </c>
      <c r="AU28" s="21">
        <v>0</v>
      </c>
      <c r="AV28" s="21">
        <v>0</v>
      </c>
      <c r="AW28" s="21">
        <v>0</v>
      </c>
      <c r="AX28" s="21">
        <v>0</v>
      </c>
      <c r="AY28" s="21">
        <v>0</v>
      </c>
      <c r="AZ28" s="21">
        <v>0</v>
      </c>
      <c r="BA28" s="21">
        <v>0</v>
      </c>
      <c r="BB28" s="21">
        <v>0</v>
      </c>
      <c r="BC28" s="21">
        <v>0</v>
      </c>
      <c r="BD28" s="21">
        <v>0</v>
      </c>
      <c r="BE28" s="21">
        <v>0</v>
      </c>
      <c r="BF28" s="21">
        <v>0</v>
      </c>
      <c r="BG28" s="21">
        <v>0</v>
      </c>
      <c r="BI28" s="3"/>
      <c r="BJ28" s="3"/>
      <c r="BK28" s="3"/>
      <c r="BL28" s="3"/>
      <c r="BM28" s="3"/>
      <c r="BN28" s="3"/>
      <c r="BO28" s="3"/>
    </row>
    <row r="29" spans="1:67" ht="15.75" customHeight="1" x14ac:dyDescent="0.2">
      <c r="A29" s="15" t="s">
        <v>234</v>
      </c>
      <c r="B29" s="21">
        <v>0</v>
      </c>
      <c r="C29" s="21">
        <v>0</v>
      </c>
      <c r="D29" s="21">
        <v>0</v>
      </c>
      <c r="E29" s="15">
        <v>36</v>
      </c>
      <c r="F29" s="21">
        <v>0</v>
      </c>
      <c r="G29" s="21">
        <v>0</v>
      </c>
      <c r="H29" s="21">
        <v>0</v>
      </c>
      <c r="I29" s="21">
        <v>0</v>
      </c>
      <c r="J29" s="21">
        <v>0</v>
      </c>
      <c r="K29" s="21">
        <v>0</v>
      </c>
      <c r="L29" s="21">
        <v>0</v>
      </c>
      <c r="M29" s="21">
        <v>0</v>
      </c>
      <c r="N29" s="21">
        <v>0</v>
      </c>
      <c r="O29" s="21">
        <v>0</v>
      </c>
      <c r="P29" s="21">
        <v>0</v>
      </c>
      <c r="Q29" s="21">
        <v>0</v>
      </c>
      <c r="R29" s="21">
        <v>0</v>
      </c>
      <c r="S29" s="21">
        <v>1</v>
      </c>
      <c r="T29" s="21">
        <v>0</v>
      </c>
      <c r="U29" s="21">
        <v>0</v>
      </c>
      <c r="V29" s="21">
        <v>0</v>
      </c>
      <c r="W29" s="21">
        <v>0</v>
      </c>
      <c r="X29" s="21">
        <v>0</v>
      </c>
      <c r="Y29" s="21">
        <v>0</v>
      </c>
      <c r="Z29" s="21">
        <v>0</v>
      </c>
      <c r="AA29" s="21">
        <v>0</v>
      </c>
      <c r="AB29" s="21">
        <v>0</v>
      </c>
      <c r="AC29" s="21">
        <v>0</v>
      </c>
      <c r="AD29" s="21">
        <v>0</v>
      </c>
      <c r="AE29" s="21">
        <v>0</v>
      </c>
      <c r="AF29" s="21">
        <v>0</v>
      </c>
      <c r="AG29" s="21">
        <v>0</v>
      </c>
      <c r="AH29" s="21">
        <v>0</v>
      </c>
      <c r="AI29" s="21">
        <v>0</v>
      </c>
      <c r="AJ29" s="21">
        <v>0</v>
      </c>
      <c r="AK29" s="21">
        <v>0</v>
      </c>
      <c r="AL29" s="21">
        <v>0</v>
      </c>
      <c r="AM29" s="21">
        <v>0</v>
      </c>
      <c r="AN29" s="21">
        <v>0</v>
      </c>
      <c r="AO29" s="21">
        <v>0</v>
      </c>
      <c r="AP29" s="21">
        <v>0</v>
      </c>
      <c r="AQ29" s="21">
        <v>0</v>
      </c>
      <c r="AR29" s="21">
        <v>0</v>
      </c>
      <c r="AS29" s="21">
        <v>0</v>
      </c>
      <c r="AT29" s="21">
        <v>0</v>
      </c>
      <c r="AU29" s="21">
        <v>0</v>
      </c>
      <c r="AV29" s="21">
        <v>3</v>
      </c>
      <c r="AW29" s="21">
        <v>0</v>
      </c>
      <c r="AX29" s="21">
        <v>0</v>
      </c>
      <c r="AY29" s="21">
        <v>0</v>
      </c>
      <c r="AZ29" s="21">
        <v>0</v>
      </c>
      <c r="BA29" s="21">
        <v>0</v>
      </c>
      <c r="BB29" s="21">
        <v>0</v>
      </c>
      <c r="BC29" s="21">
        <v>0</v>
      </c>
      <c r="BD29" s="21">
        <v>0</v>
      </c>
      <c r="BE29" s="21">
        <v>0</v>
      </c>
      <c r="BF29" s="21">
        <v>0</v>
      </c>
      <c r="BG29" s="21">
        <v>0</v>
      </c>
      <c r="BI29" s="3"/>
      <c r="BJ29" s="3"/>
      <c r="BK29" s="3"/>
      <c r="BL29" s="3"/>
      <c r="BM29" s="3"/>
      <c r="BN29" s="3"/>
      <c r="BO29" s="3"/>
    </row>
    <row r="30" spans="1:67" ht="15.75" customHeight="1" x14ac:dyDescent="0.2">
      <c r="A30" s="15" t="s">
        <v>235</v>
      </c>
      <c r="B30" s="21">
        <v>0</v>
      </c>
      <c r="C30" s="21">
        <v>0</v>
      </c>
      <c r="D30" s="21">
        <v>0</v>
      </c>
      <c r="E30" s="15">
        <v>13</v>
      </c>
      <c r="F30" s="21">
        <v>0</v>
      </c>
      <c r="G30" s="21">
        <v>0</v>
      </c>
      <c r="H30" s="21">
        <v>0</v>
      </c>
      <c r="I30" s="21">
        <v>0</v>
      </c>
      <c r="J30" s="21">
        <v>0</v>
      </c>
      <c r="K30" s="21">
        <v>0</v>
      </c>
      <c r="L30" s="21">
        <v>0</v>
      </c>
      <c r="M30" s="21">
        <v>0</v>
      </c>
      <c r="N30" s="21">
        <v>0</v>
      </c>
      <c r="O30" s="21">
        <v>0</v>
      </c>
      <c r="P30" s="21">
        <v>0</v>
      </c>
      <c r="Q30" s="21">
        <v>0</v>
      </c>
      <c r="R30" s="21">
        <v>0</v>
      </c>
      <c r="S30" s="21">
        <v>1</v>
      </c>
      <c r="T30" s="21">
        <v>0</v>
      </c>
      <c r="U30" s="21">
        <v>0</v>
      </c>
      <c r="V30" s="21">
        <v>0</v>
      </c>
      <c r="W30" s="21">
        <v>0</v>
      </c>
      <c r="X30" s="21">
        <v>0</v>
      </c>
      <c r="Y30" s="21">
        <v>0</v>
      </c>
      <c r="Z30" s="21">
        <v>0</v>
      </c>
      <c r="AA30" s="21">
        <v>1</v>
      </c>
      <c r="AB30" s="21">
        <v>0</v>
      </c>
      <c r="AC30" s="21">
        <v>0</v>
      </c>
      <c r="AD30" s="21">
        <v>0</v>
      </c>
      <c r="AE30" s="21">
        <v>0</v>
      </c>
      <c r="AF30" s="21">
        <v>0</v>
      </c>
      <c r="AG30" s="21">
        <v>0</v>
      </c>
      <c r="AH30" s="21">
        <v>0</v>
      </c>
      <c r="AI30" s="21">
        <v>0</v>
      </c>
      <c r="AJ30" s="21">
        <v>1</v>
      </c>
      <c r="AK30" s="21">
        <v>0</v>
      </c>
      <c r="AL30" s="21">
        <v>0</v>
      </c>
      <c r="AM30" s="21">
        <v>0</v>
      </c>
      <c r="AN30" s="21">
        <v>0</v>
      </c>
      <c r="AO30" s="21">
        <v>0</v>
      </c>
      <c r="AP30" s="21">
        <v>0</v>
      </c>
      <c r="AQ30" s="21">
        <v>0</v>
      </c>
      <c r="AR30" s="21">
        <v>0</v>
      </c>
      <c r="AS30" s="21">
        <v>0</v>
      </c>
      <c r="AT30" s="21">
        <v>0</v>
      </c>
      <c r="AU30" s="21">
        <v>0</v>
      </c>
      <c r="AV30" s="21">
        <v>0</v>
      </c>
      <c r="AW30" s="21">
        <v>0</v>
      </c>
      <c r="AX30" s="21">
        <v>0</v>
      </c>
      <c r="AY30" s="21">
        <v>0</v>
      </c>
      <c r="AZ30" s="21">
        <v>0</v>
      </c>
      <c r="BA30" s="21">
        <v>0</v>
      </c>
      <c r="BB30" s="21">
        <v>0</v>
      </c>
      <c r="BC30" s="21">
        <v>0</v>
      </c>
      <c r="BD30" s="21">
        <v>0</v>
      </c>
      <c r="BE30" s="21">
        <v>0</v>
      </c>
      <c r="BF30" s="21">
        <v>0</v>
      </c>
      <c r="BG30" s="21">
        <v>0</v>
      </c>
      <c r="BI30" s="3"/>
      <c r="BJ30" s="3"/>
      <c r="BK30" s="3"/>
      <c r="BL30" s="3"/>
      <c r="BM30" s="3"/>
      <c r="BN30" s="3"/>
      <c r="BO30" s="3"/>
    </row>
    <row r="31" spans="1:67" ht="15.75" customHeight="1" x14ac:dyDescent="0.2">
      <c r="A31" s="15" t="s">
        <v>236</v>
      </c>
      <c r="B31" s="21">
        <v>0</v>
      </c>
      <c r="C31" s="21">
        <v>0</v>
      </c>
      <c r="D31" s="21">
        <v>0</v>
      </c>
      <c r="E31" s="15">
        <v>27</v>
      </c>
      <c r="F31" s="21">
        <v>0</v>
      </c>
      <c r="G31" s="21">
        <v>0</v>
      </c>
      <c r="H31" s="21">
        <v>0</v>
      </c>
      <c r="I31" s="21">
        <v>1</v>
      </c>
      <c r="J31" s="21">
        <v>0</v>
      </c>
      <c r="K31" s="21">
        <v>0</v>
      </c>
      <c r="L31" s="21">
        <v>0</v>
      </c>
      <c r="M31" s="21">
        <v>0</v>
      </c>
      <c r="N31" s="21">
        <v>0</v>
      </c>
      <c r="O31" s="21">
        <v>0</v>
      </c>
      <c r="P31" s="21">
        <v>0</v>
      </c>
      <c r="Q31" s="21">
        <v>0</v>
      </c>
      <c r="R31" s="21">
        <v>0</v>
      </c>
      <c r="S31" s="21">
        <v>0</v>
      </c>
      <c r="T31" s="21">
        <v>0</v>
      </c>
      <c r="U31" s="21">
        <v>0</v>
      </c>
      <c r="V31" s="21">
        <v>0</v>
      </c>
      <c r="W31" s="21">
        <v>0</v>
      </c>
      <c r="X31" s="21">
        <v>0</v>
      </c>
      <c r="Y31" s="21">
        <v>0</v>
      </c>
      <c r="Z31" s="21">
        <v>0</v>
      </c>
      <c r="AA31" s="21">
        <v>0</v>
      </c>
      <c r="AB31" s="21">
        <v>0</v>
      </c>
      <c r="AC31" s="21">
        <v>0</v>
      </c>
      <c r="AD31" s="21">
        <v>0</v>
      </c>
      <c r="AE31" s="21">
        <v>0</v>
      </c>
      <c r="AF31" s="21">
        <v>0</v>
      </c>
      <c r="AG31" s="21">
        <v>0</v>
      </c>
      <c r="AH31" s="21">
        <v>0</v>
      </c>
      <c r="AI31" s="21">
        <v>0</v>
      </c>
      <c r="AJ31" s="21">
        <v>0</v>
      </c>
      <c r="AK31" s="21">
        <v>0</v>
      </c>
      <c r="AL31" s="21">
        <v>0</v>
      </c>
      <c r="AM31" s="21">
        <v>0</v>
      </c>
      <c r="AN31" s="21">
        <v>0</v>
      </c>
      <c r="AO31" s="21">
        <v>0</v>
      </c>
      <c r="AP31" s="21">
        <v>0</v>
      </c>
      <c r="AQ31" s="21">
        <v>0</v>
      </c>
      <c r="AR31" s="21">
        <v>0</v>
      </c>
      <c r="AS31" s="21">
        <v>0</v>
      </c>
      <c r="AT31" s="21">
        <v>0</v>
      </c>
      <c r="AU31" s="21">
        <v>0</v>
      </c>
      <c r="AV31" s="21">
        <v>2</v>
      </c>
      <c r="AW31" s="21">
        <v>0</v>
      </c>
      <c r="AX31" s="21">
        <v>0</v>
      </c>
      <c r="AY31" s="21">
        <v>0</v>
      </c>
      <c r="AZ31" s="21">
        <v>0</v>
      </c>
      <c r="BA31" s="21">
        <v>0</v>
      </c>
      <c r="BB31" s="21">
        <v>0</v>
      </c>
      <c r="BC31" s="21">
        <v>0</v>
      </c>
      <c r="BD31" s="21">
        <v>0</v>
      </c>
      <c r="BE31" s="21">
        <v>0</v>
      </c>
      <c r="BF31" s="21">
        <v>0</v>
      </c>
      <c r="BG31" s="21">
        <v>0</v>
      </c>
      <c r="BI31" s="3"/>
      <c r="BJ31" s="3"/>
      <c r="BK31" s="3"/>
      <c r="BL31" s="3"/>
      <c r="BM31" s="3"/>
      <c r="BN31" s="3"/>
      <c r="BO31" s="3"/>
    </row>
    <row r="32" spans="1:67" ht="15.75" customHeight="1" x14ac:dyDescent="0.2">
      <c r="A32" s="15" t="s">
        <v>237</v>
      </c>
      <c r="B32" s="21">
        <v>0</v>
      </c>
      <c r="C32" s="21">
        <v>0</v>
      </c>
      <c r="D32" s="21">
        <v>0</v>
      </c>
      <c r="E32" s="15">
        <v>50</v>
      </c>
      <c r="F32" s="21">
        <v>0</v>
      </c>
      <c r="G32" s="21">
        <v>0</v>
      </c>
      <c r="H32" s="21">
        <v>0</v>
      </c>
      <c r="I32" s="21">
        <v>1</v>
      </c>
      <c r="J32" s="21">
        <v>0</v>
      </c>
      <c r="K32" s="21">
        <v>0</v>
      </c>
      <c r="L32" s="21">
        <v>0</v>
      </c>
      <c r="M32" s="21">
        <v>0</v>
      </c>
      <c r="N32" s="21">
        <v>0</v>
      </c>
      <c r="O32" s="21">
        <v>0</v>
      </c>
      <c r="P32" s="21">
        <v>0</v>
      </c>
      <c r="Q32" s="21">
        <v>0</v>
      </c>
      <c r="R32" s="21">
        <v>0</v>
      </c>
      <c r="S32" s="21">
        <v>0</v>
      </c>
      <c r="T32" s="21">
        <v>0</v>
      </c>
      <c r="U32" s="21">
        <v>0</v>
      </c>
      <c r="V32" s="21">
        <v>0</v>
      </c>
      <c r="W32" s="21">
        <v>0</v>
      </c>
      <c r="X32" s="21">
        <v>0</v>
      </c>
      <c r="Y32" s="21">
        <v>0</v>
      </c>
      <c r="Z32" s="21">
        <v>1</v>
      </c>
      <c r="AA32" s="21">
        <v>0</v>
      </c>
      <c r="AB32" s="21">
        <v>0</v>
      </c>
      <c r="AC32" s="21">
        <v>0</v>
      </c>
      <c r="AD32" s="21">
        <v>0</v>
      </c>
      <c r="AE32" s="21">
        <v>0</v>
      </c>
      <c r="AF32" s="21">
        <v>0</v>
      </c>
      <c r="AG32" s="21">
        <v>0</v>
      </c>
      <c r="AH32" s="21">
        <v>0</v>
      </c>
      <c r="AI32" s="21">
        <v>0</v>
      </c>
      <c r="AJ32" s="21">
        <v>0</v>
      </c>
      <c r="AK32" s="21">
        <v>0</v>
      </c>
      <c r="AL32" s="21">
        <v>0</v>
      </c>
      <c r="AM32" s="21">
        <v>0</v>
      </c>
      <c r="AN32" s="21">
        <v>0</v>
      </c>
      <c r="AO32" s="21">
        <v>0</v>
      </c>
      <c r="AP32" s="21">
        <v>0</v>
      </c>
      <c r="AQ32" s="21">
        <v>0</v>
      </c>
      <c r="AR32" s="21">
        <v>0</v>
      </c>
      <c r="AS32" s="21">
        <v>0</v>
      </c>
      <c r="AT32" s="21">
        <v>0</v>
      </c>
      <c r="AU32" s="21">
        <v>0</v>
      </c>
      <c r="AV32" s="21">
        <v>8</v>
      </c>
      <c r="AW32" s="21">
        <v>0</v>
      </c>
      <c r="AX32" s="21">
        <v>0</v>
      </c>
      <c r="AY32" s="21">
        <v>0</v>
      </c>
      <c r="AZ32" s="21">
        <v>0</v>
      </c>
      <c r="BA32" s="21">
        <v>0</v>
      </c>
      <c r="BB32" s="21">
        <v>0</v>
      </c>
      <c r="BC32" s="21">
        <v>0</v>
      </c>
      <c r="BD32" s="21">
        <v>0</v>
      </c>
      <c r="BE32" s="21">
        <v>0</v>
      </c>
      <c r="BF32" s="21">
        <v>0</v>
      </c>
      <c r="BG32" s="21">
        <v>0</v>
      </c>
      <c r="BI32" s="3"/>
      <c r="BJ32" s="3"/>
      <c r="BK32" s="3"/>
      <c r="BL32" s="3"/>
      <c r="BM32" s="3"/>
      <c r="BN32" s="3"/>
      <c r="BO32" s="3"/>
    </row>
    <row r="33" spans="1:67" ht="15.75" customHeight="1" x14ac:dyDescent="0.2">
      <c r="A33" s="15" t="s">
        <v>238</v>
      </c>
      <c r="B33" s="21">
        <v>0</v>
      </c>
      <c r="C33" s="21">
        <v>0</v>
      </c>
      <c r="D33" s="21">
        <v>0</v>
      </c>
      <c r="E33" s="21">
        <v>16</v>
      </c>
      <c r="F33" s="21">
        <v>0</v>
      </c>
      <c r="G33" s="21">
        <v>0</v>
      </c>
      <c r="H33" s="21">
        <v>0</v>
      </c>
      <c r="I33" s="15">
        <v>0</v>
      </c>
      <c r="J33" s="21">
        <v>0</v>
      </c>
      <c r="K33" s="21">
        <v>0</v>
      </c>
      <c r="L33" s="21">
        <v>0</v>
      </c>
      <c r="M33" s="21">
        <v>0</v>
      </c>
      <c r="N33" s="21">
        <v>0</v>
      </c>
      <c r="O33" s="21">
        <v>0</v>
      </c>
      <c r="P33" s="21">
        <v>0</v>
      </c>
      <c r="Q33" s="21">
        <v>0</v>
      </c>
      <c r="R33" s="21">
        <v>0</v>
      </c>
      <c r="S33" s="21">
        <v>0</v>
      </c>
      <c r="T33" s="21">
        <v>0</v>
      </c>
      <c r="U33" s="21">
        <v>0</v>
      </c>
      <c r="V33" s="21">
        <v>0</v>
      </c>
      <c r="W33" s="21">
        <v>0</v>
      </c>
      <c r="X33" s="21">
        <v>0</v>
      </c>
      <c r="Y33" s="21">
        <v>0</v>
      </c>
      <c r="Z33" s="21">
        <v>0</v>
      </c>
      <c r="AA33" s="21">
        <v>0</v>
      </c>
      <c r="AB33" s="21">
        <v>0</v>
      </c>
      <c r="AC33" s="21">
        <v>0</v>
      </c>
      <c r="AD33" s="21">
        <v>0</v>
      </c>
      <c r="AE33" s="21">
        <v>0</v>
      </c>
      <c r="AF33" s="21">
        <v>0</v>
      </c>
      <c r="AG33" s="21">
        <v>0</v>
      </c>
      <c r="AH33" s="21">
        <v>0</v>
      </c>
      <c r="AI33" s="21">
        <v>0</v>
      </c>
      <c r="AJ33" s="21">
        <v>0</v>
      </c>
      <c r="AK33" s="21">
        <v>0</v>
      </c>
      <c r="AL33" s="21">
        <v>0</v>
      </c>
      <c r="AM33" s="21">
        <v>0</v>
      </c>
      <c r="AN33" s="21">
        <v>0</v>
      </c>
      <c r="AO33" s="21">
        <v>0</v>
      </c>
      <c r="AP33" s="21">
        <v>0</v>
      </c>
      <c r="AQ33" s="21">
        <v>0</v>
      </c>
      <c r="AR33" s="21">
        <v>0</v>
      </c>
      <c r="AS33" s="21">
        <v>0</v>
      </c>
      <c r="AT33" s="21">
        <v>0</v>
      </c>
      <c r="AU33" s="21">
        <v>0</v>
      </c>
      <c r="AV33" s="21">
        <v>2</v>
      </c>
      <c r="AW33" s="21">
        <v>0</v>
      </c>
      <c r="AX33" s="21">
        <v>0</v>
      </c>
      <c r="AY33" s="21">
        <v>0</v>
      </c>
      <c r="AZ33" s="21">
        <v>0</v>
      </c>
      <c r="BA33" s="21">
        <v>0</v>
      </c>
      <c r="BB33" s="21">
        <v>0</v>
      </c>
      <c r="BC33" s="21">
        <v>0</v>
      </c>
      <c r="BD33" s="21">
        <v>0</v>
      </c>
      <c r="BE33" s="21">
        <v>0</v>
      </c>
      <c r="BF33" s="21">
        <v>0</v>
      </c>
      <c r="BG33" s="21">
        <v>0</v>
      </c>
      <c r="BI33" s="3"/>
      <c r="BJ33" s="3"/>
      <c r="BK33" s="3"/>
      <c r="BL33" s="3"/>
      <c r="BM33" s="3"/>
      <c r="BN33" s="3"/>
      <c r="BO33" s="3"/>
    </row>
    <row r="34" spans="1:67" ht="15.75" customHeight="1" x14ac:dyDescent="0.2">
      <c r="A34" s="15" t="s">
        <v>239</v>
      </c>
      <c r="B34" s="21">
        <v>0</v>
      </c>
      <c r="C34" s="21">
        <v>0</v>
      </c>
      <c r="D34" s="21">
        <v>0</v>
      </c>
      <c r="E34" s="21">
        <v>22</v>
      </c>
      <c r="F34" s="21">
        <v>0</v>
      </c>
      <c r="G34" s="21">
        <v>0</v>
      </c>
      <c r="H34" s="21">
        <v>0</v>
      </c>
      <c r="I34" s="21">
        <v>4</v>
      </c>
      <c r="J34" s="21">
        <v>0</v>
      </c>
      <c r="K34" s="21">
        <v>0</v>
      </c>
      <c r="L34" s="21">
        <v>0</v>
      </c>
      <c r="M34" s="21">
        <v>0</v>
      </c>
      <c r="N34" s="21">
        <v>0</v>
      </c>
      <c r="O34" s="21">
        <v>0</v>
      </c>
      <c r="P34" s="21">
        <v>0</v>
      </c>
      <c r="Q34" s="21">
        <v>0</v>
      </c>
      <c r="R34" s="21">
        <v>0</v>
      </c>
      <c r="S34" s="21">
        <v>0</v>
      </c>
      <c r="T34" s="21">
        <v>0</v>
      </c>
      <c r="U34" s="21">
        <v>0</v>
      </c>
      <c r="V34" s="21">
        <v>0</v>
      </c>
      <c r="W34" s="21">
        <v>0</v>
      </c>
      <c r="X34" s="21">
        <v>0</v>
      </c>
      <c r="Y34" s="21">
        <v>0</v>
      </c>
      <c r="Z34" s="21">
        <v>0</v>
      </c>
      <c r="AA34" s="21">
        <v>0</v>
      </c>
      <c r="AB34" s="21">
        <v>0</v>
      </c>
      <c r="AC34" s="21">
        <v>0</v>
      </c>
      <c r="AD34" s="21">
        <v>0</v>
      </c>
      <c r="AE34" s="21">
        <v>0</v>
      </c>
      <c r="AF34" s="21">
        <v>0</v>
      </c>
      <c r="AG34" s="21">
        <v>0</v>
      </c>
      <c r="AH34" s="21">
        <v>0</v>
      </c>
      <c r="AI34" s="21">
        <v>0</v>
      </c>
      <c r="AJ34" s="21">
        <v>0</v>
      </c>
      <c r="AK34" s="21">
        <v>0</v>
      </c>
      <c r="AL34" s="21">
        <v>0</v>
      </c>
      <c r="AM34" s="21">
        <v>0</v>
      </c>
      <c r="AN34" s="21">
        <v>0</v>
      </c>
      <c r="AO34" s="21">
        <v>0</v>
      </c>
      <c r="AP34" s="21">
        <v>0</v>
      </c>
      <c r="AQ34" s="21">
        <v>1</v>
      </c>
      <c r="AR34" s="21">
        <v>0</v>
      </c>
      <c r="AS34" s="21">
        <v>0</v>
      </c>
      <c r="AT34" s="21">
        <v>0</v>
      </c>
      <c r="AU34" s="21">
        <v>0</v>
      </c>
      <c r="AV34" s="21">
        <v>6</v>
      </c>
      <c r="AW34" s="21">
        <v>0</v>
      </c>
      <c r="AX34" s="21">
        <v>0</v>
      </c>
      <c r="AY34" s="21">
        <v>0</v>
      </c>
      <c r="AZ34" s="21">
        <v>0</v>
      </c>
      <c r="BA34" s="21">
        <v>0</v>
      </c>
      <c r="BB34" s="21">
        <v>0</v>
      </c>
      <c r="BC34" s="21">
        <v>0</v>
      </c>
      <c r="BD34" s="21">
        <v>0</v>
      </c>
      <c r="BE34" s="21">
        <v>0</v>
      </c>
      <c r="BF34" s="21">
        <v>0</v>
      </c>
      <c r="BG34" s="21">
        <v>0</v>
      </c>
      <c r="BI34" s="3"/>
      <c r="BJ34" s="3"/>
      <c r="BK34" s="3"/>
      <c r="BL34" s="3"/>
      <c r="BM34" s="3"/>
      <c r="BN34" s="3"/>
      <c r="BO34" s="3"/>
    </row>
    <row r="35" spans="1:67" ht="15.75" customHeight="1" x14ac:dyDescent="0.2">
      <c r="A35" s="15" t="s">
        <v>240</v>
      </c>
      <c r="B35" s="21">
        <v>0</v>
      </c>
      <c r="C35" s="21">
        <v>0</v>
      </c>
      <c r="D35" s="21">
        <v>0</v>
      </c>
      <c r="E35" s="21">
        <v>17</v>
      </c>
      <c r="F35" s="21">
        <v>0</v>
      </c>
      <c r="G35" s="21">
        <v>0</v>
      </c>
      <c r="H35" s="21">
        <v>0</v>
      </c>
      <c r="I35" s="21">
        <v>16</v>
      </c>
      <c r="J35" s="21">
        <v>0</v>
      </c>
      <c r="K35" s="21">
        <v>0</v>
      </c>
      <c r="L35" s="21">
        <v>0</v>
      </c>
      <c r="M35" s="21">
        <v>0</v>
      </c>
      <c r="N35" s="21">
        <v>0</v>
      </c>
      <c r="O35" s="21">
        <v>0</v>
      </c>
      <c r="P35" s="21">
        <v>0</v>
      </c>
      <c r="Q35" s="21">
        <v>0</v>
      </c>
      <c r="R35" s="21">
        <v>0</v>
      </c>
      <c r="S35" s="21">
        <v>0</v>
      </c>
      <c r="T35" s="21">
        <v>0</v>
      </c>
      <c r="U35" s="21">
        <v>0</v>
      </c>
      <c r="V35" s="21">
        <v>0</v>
      </c>
      <c r="W35" s="21">
        <v>0</v>
      </c>
      <c r="X35" s="21">
        <v>0</v>
      </c>
      <c r="Y35" s="21">
        <v>0</v>
      </c>
      <c r="Z35" s="21">
        <v>0</v>
      </c>
      <c r="AA35" s="21">
        <v>0</v>
      </c>
      <c r="AB35" s="21">
        <v>0</v>
      </c>
      <c r="AC35" s="21">
        <v>0</v>
      </c>
      <c r="AD35" s="21">
        <v>0</v>
      </c>
      <c r="AE35" s="21">
        <v>0</v>
      </c>
      <c r="AF35" s="21">
        <v>0</v>
      </c>
      <c r="AG35" s="21">
        <v>0</v>
      </c>
      <c r="AH35" s="21">
        <v>0</v>
      </c>
      <c r="AI35" s="21">
        <v>0</v>
      </c>
      <c r="AJ35" s="21">
        <v>1</v>
      </c>
      <c r="AK35" s="21">
        <v>0</v>
      </c>
      <c r="AL35" s="21">
        <v>0</v>
      </c>
      <c r="AM35" s="21">
        <v>0</v>
      </c>
      <c r="AN35" s="21">
        <v>0</v>
      </c>
      <c r="AO35" s="21">
        <v>0</v>
      </c>
      <c r="AP35" s="21">
        <v>0</v>
      </c>
      <c r="AQ35" s="21">
        <v>0</v>
      </c>
      <c r="AR35" s="21">
        <v>0</v>
      </c>
      <c r="AS35" s="21">
        <v>0</v>
      </c>
      <c r="AT35" s="21">
        <v>0</v>
      </c>
      <c r="AU35" s="21">
        <v>0</v>
      </c>
      <c r="AV35" s="21">
        <v>9</v>
      </c>
      <c r="AW35" s="21">
        <v>0</v>
      </c>
      <c r="AX35" s="21">
        <v>4</v>
      </c>
      <c r="AY35" s="21">
        <v>0</v>
      </c>
      <c r="AZ35" s="21">
        <v>0</v>
      </c>
      <c r="BA35" s="21">
        <v>0</v>
      </c>
      <c r="BB35" s="21">
        <v>0</v>
      </c>
      <c r="BC35" s="21">
        <v>0</v>
      </c>
      <c r="BD35" s="21">
        <v>0</v>
      </c>
      <c r="BE35" s="21">
        <v>0</v>
      </c>
      <c r="BF35" s="21">
        <v>0</v>
      </c>
      <c r="BG35" s="21">
        <v>0</v>
      </c>
      <c r="BI35" s="3"/>
      <c r="BJ35" s="3"/>
      <c r="BK35" s="3"/>
      <c r="BL35" s="3"/>
      <c r="BM35" s="3"/>
      <c r="BN35" s="3"/>
      <c r="BO35" s="3"/>
    </row>
    <row r="36" spans="1:67" ht="15.75" customHeight="1" x14ac:dyDescent="0.2">
      <c r="A36" s="15" t="s">
        <v>241</v>
      </c>
      <c r="B36" s="21">
        <v>1</v>
      </c>
      <c r="C36" s="21">
        <v>0</v>
      </c>
      <c r="D36" s="21">
        <v>0</v>
      </c>
      <c r="E36" s="21">
        <v>54</v>
      </c>
      <c r="F36" s="21">
        <v>0</v>
      </c>
      <c r="G36" s="21">
        <v>0</v>
      </c>
      <c r="H36" s="21">
        <v>0</v>
      </c>
      <c r="I36" s="21">
        <v>132</v>
      </c>
      <c r="J36" s="21">
        <v>0</v>
      </c>
      <c r="K36" s="21">
        <v>0</v>
      </c>
      <c r="L36" s="21">
        <v>0</v>
      </c>
      <c r="M36" s="21">
        <v>1</v>
      </c>
      <c r="N36" s="21">
        <v>2</v>
      </c>
      <c r="O36" s="21">
        <v>0</v>
      </c>
      <c r="P36" s="21">
        <v>0</v>
      </c>
      <c r="Q36" s="21">
        <v>0</v>
      </c>
      <c r="R36" s="21">
        <v>0</v>
      </c>
      <c r="S36" s="21">
        <v>2</v>
      </c>
      <c r="T36" s="21">
        <v>1</v>
      </c>
      <c r="U36" s="21">
        <v>1</v>
      </c>
      <c r="V36" s="21">
        <v>1</v>
      </c>
      <c r="W36" s="21">
        <v>0</v>
      </c>
      <c r="X36" s="21">
        <v>0</v>
      </c>
      <c r="Y36" s="21">
        <v>1</v>
      </c>
      <c r="Z36" s="21">
        <v>0</v>
      </c>
      <c r="AA36" s="21">
        <v>0</v>
      </c>
      <c r="AB36" s="21">
        <v>1</v>
      </c>
      <c r="AC36" s="21">
        <v>1</v>
      </c>
      <c r="AD36" s="21">
        <v>1</v>
      </c>
      <c r="AE36" s="21">
        <v>0</v>
      </c>
      <c r="AF36" s="21">
        <v>0</v>
      </c>
      <c r="AG36" s="21">
        <v>0</v>
      </c>
      <c r="AH36" s="21">
        <v>0</v>
      </c>
      <c r="AI36" s="21">
        <v>0</v>
      </c>
      <c r="AJ36" s="21">
        <v>0</v>
      </c>
      <c r="AK36" s="21">
        <v>0</v>
      </c>
      <c r="AL36" s="21">
        <v>0</v>
      </c>
      <c r="AM36" s="21">
        <v>0</v>
      </c>
      <c r="AN36" s="21">
        <v>0</v>
      </c>
      <c r="AO36" s="21">
        <v>0</v>
      </c>
      <c r="AP36" s="21">
        <v>0</v>
      </c>
      <c r="AQ36" s="21">
        <v>0</v>
      </c>
      <c r="AR36" s="21">
        <v>0</v>
      </c>
      <c r="AS36" s="21">
        <v>0</v>
      </c>
      <c r="AT36" s="21">
        <v>0</v>
      </c>
      <c r="AU36" s="21">
        <v>0</v>
      </c>
      <c r="AV36" s="21">
        <v>817</v>
      </c>
      <c r="AW36" s="21">
        <v>28</v>
      </c>
      <c r="AX36" s="21">
        <v>4</v>
      </c>
      <c r="AY36" s="21">
        <v>0</v>
      </c>
      <c r="AZ36" s="21">
        <v>0</v>
      </c>
      <c r="BA36" s="21">
        <v>34</v>
      </c>
      <c r="BB36" s="21">
        <v>0</v>
      </c>
      <c r="BC36" s="21">
        <v>141</v>
      </c>
      <c r="BD36" s="21">
        <v>9</v>
      </c>
      <c r="BE36" s="21">
        <v>2</v>
      </c>
      <c r="BF36" s="21">
        <v>0</v>
      </c>
      <c r="BG36" s="21">
        <v>0</v>
      </c>
      <c r="BI36" s="3"/>
      <c r="BJ36" s="3"/>
      <c r="BK36" s="3"/>
      <c r="BL36" s="3"/>
      <c r="BM36" s="3"/>
      <c r="BN36" s="3"/>
      <c r="BO36" s="3"/>
    </row>
    <row r="37" spans="1:67" ht="15.75" customHeight="1" x14ac:dyDescent="0.2">
      <c r="A37" s="15" t="s">
        <v>242</v>
      </c>
      <c r="B37" s="21">
        <v>2</v>
      </c>
      <c r="C37" s="21">
        <v>0</v>
      </c>
      <c r="D37" s="21">
        <v>3</v>
      </c>
      <c r="E37" s="21">
        <v>9</v>
      </c>
      <c r="F37" s="21">
        <v>0</v>
      </c>
      <c r="G37" s="21">
        <v>4</v>
      </c>
      <c r="H37" s="21">
        <v>0</v>
      </c>
      <c r="I37" s="21">
        <v>19</v>
      </c>
      <c r="J37" s="21">
        <v>0</v>
      </c>
      <c r="K37" s="21">
        <v>1</v>
      </c>
      <c r="L37" s="21">
        <v>33</v>
      </c>
      <c r="M37" s="21">
        <v>17</v>
      </c>
      <c r="N37" s="21">
        <v>0</v>
      </c>
      <c r="O37" s="21">
        <v>0</v>
      </c>
      <c r="P37" s="21">
        <v>0</v>
      </c>
      <c r="Q37" s="21">
        <v>0</v>
      </c>
      <c r="R37" s="21">
        <v>0</v>
      </c>
      <c r="S37" s="21">
        <v>6</v>
      </c>
      <c r="T37" s="21">
        <v>2</v>
      </c>
      <c r="U37" s="21">
        <v>0</v>
      </c>
      <c r="V37" s="21">
        <v>3</v>
      </c>
      <c r="W37" s="21">
        <v>0</v>
      </c>
      <c r="X37" s="21">
        <v>0</v>
      </c>
      <c r="Y37" s="21">
        <v>0</v>
      </c>
      <c r="Z37" s="21">
        <v>0</v>
      </c>
      <c r="AA37" s="21">
        <v>1</v>
      </c>
      <c r="AB37" s="21">
        <v>0</v>
      </c>
      <c r="AC37" s="21">
        <v>0</v>
      </c>
      <c r="AD37" s="21">
        <v>0</v>
      </c>
      <c r="AE37" s="21">
        <v>0</v>
      </c>
      <c r="AF37" s="21">
        <v>0</v>
      </c>
      <c r="AG37" s="21">
        <v>0</v>
      </c>
      <c r="AH37" s="21">
        <v>0</v>
      </c>
      <c r="AI37" s="21">
        <v>0</v>
      </c>
      <c r="AJ37" s="21">
        <v>0</v>
      </c>
      <c r="AK37" s="21">
        <v>0</v>
      </c>
      <c r="AL37" s="21">
        <v>0</v>
      </c>
      <c r="AM37" s="21">
        <v>3</v>
      </c>
      <c r="AN37" s="21">
        <v>2</v>
      </c>
      <c r="AO37" s="21">
        <v>4</v>
      </c>
      <c r="AP37" s="21">
        <v>2</v>
      </c>
      <c r="AQ37" s="21">
        <v>4</v>
      </c>
      <c r="AR37" s="21">
        <v>0</v>
      </c>
      <c r="AS37" s="21">
        <v>0</v>
      </c>
      <c r="AT37" s="21">
        <v>0</v>
      </c>
      <c r="AU37" s="21">
        <v>0</v>
      </c>
      <c r="AV37" s="21">
        <v>91</v>
      </c>
      <c r="AW37" s="21">
        <v>8</v>
      </c>
      <c r="AX37" s="21">
        <v>7</v>
      </c>
      <c r="AY37" s="21">
        <v>0</v>
      </c>
      <c r="AZ37" s="21">
        <v>0</v>
      </c>
      <c r="BA37" s="21">
        <v>2</v>
      </c>
      <c r="BB37" s="21">
        <v>0</v>
      </c>
      <c r="BC37" s="21">
        <v>2</v>
      </c>
      <c r="BD37" s="21">
        <v>1</v>
      </c>
      <c r="BE37" s="21">
        <v>1</v>
      </c>
      <c r="BF37" s="21">
        <v>0</v>
      </c>
      <c r="BG37" s="21">
        <v>0</v>
      </c>
      <c r="BI37" s="3"/>
      <c r="BJ37" s="3"/>
      <c r="BK37" s="3"/>
      <c r="BL37" s="3"/>
      <c r="BM37" s="3"/>
      <c r="BN37" s="3"/>
      <c r="BO37" s="3"/>
    </row>
    <row r="38" spans="1:67" ht="15.75" customHeight="1" x14ac:dyDescent="0.2">
      <c r="A38" s="15" t="s">
        <v>243</v>
      </c>
      <c r="B38" s="21">
        <v>0</v>
      </c>
      <c r="C38" s="21">
        <v>0</v>
      </c>
      <c r="D38" s="21">
        <v>0</v>
      </c>
      <c r="E38" s="21">
        <v>16</v>
      </c>
      <c r="F38" s="21">
        <v>0</v>
      </c>
      <c r="G38" s="21">
        <v>0</v>
      </c>
      <c r="H38" s="21">
        <v>0</v>
      </c>
      <c r="I38" s="21">
        <v>16</v>
      </c>
      <c r="J38" s="21">
        <v>0</v>
      </c>
      <c r="K38" s="21">
        <v>0</v>
      </c>
      <c r="L38" s="21">
        <v>0</v>
      </c>
      <c r="M38" s="21">
        <v>0</v>
      </c>
      <c r="N38" s="21">
        <v>0</v>
      </c>
      <c r="O38" s="21">
        <v>0</v>
      </c>
      <c r="P38" s="21">
        <v>0</v>
      </c>
      <c r="Q38" s="21">
        <v>0</v>
      </c>
      <c r="R38" s="21">
        <v>0</v>
      </c>
      <c r="S38" s="21">
        <v>0</v>
      </c>
      <c r="T38" s="21">
        <v>0</v>
      </c>
      <c r="U38" s="21">
        <v>0</v>
      </c>
      <c r="V38" s="21">
        <v>0</v>
      </c>
      <c r="W38" s="21">
        <v>0</v>
      </c>
      <c r="X38" s="21">
        <v>0</v>
      </c>
      <c r="Y38" s="21">
        <v>2</v>
      </c>
      <c r="Z38" s="21">
        <v>0</v>
      </c>
      <c r="AA38" s="21">
        <v>2</v>
      </c>
      <c r="AB38" s="21">
        <v>0</v>
      </c>
      <c r="AC38" s="21">
        <v>0</v>
      </c>
      <c r="AD38" s="21">
        <v>0</v>
      </c>
      <c r="AE38" s="21">
        <v>0</v>
      </c>
      <c r="AF38" s="21">
        <v>0</v>
      </c>
      <c r="AG38" s="21">
        <v>0</v>
      </c>
      <c r="AH38" s="21">
        <v>0</v>
      </c>
      <c r="AI38" s="21">
        <v>0</v>
      </c>
      <c r="AJ38" s="21">
        <v>0</v>
      </c>
      <c r="AK38" s="21">
        <v>0</v>
      </c>
      <c r="AL38" s="21">
        <v>0</v>
      </c>
      <c r="AM38" s="21">
        <v>0</v>
      </c>
      <c r="AN38" s="21">
        <v>0</v>
      </c>
      <c r="AO38" s="21">
        <v>0</v>
      </c>
      <c r="AP38" s="21">
        <v>0</v>
      </c>
      <c r="AQ38" s="21">
        <v>2</v>
      </c>
      <c r="AR38" s="21">
        <v>0</v>
      </c>
      <c r="AS38" s="21">
        <v>0</v>
      </c>
      <c r="AT38" s="21">
        <v>0</v>
      </c>
      <c r="AU38" s="21">
        <v>0</v>
      </c>
      <c r="AV38" s="21">
        <v>45</v>
      </c>
      <c r="AW38" s="21">
        <v>12</v>
      </c>
      <c r="AX38" s="21">
        <v>0</v>
      </c>
      <c r="AY38" s="21">
        <v>0</v>
      </c>
      <c r="AZ38" s="21">
        <v>0</v>
      </c>
      <c r="BA38" s="21">
        <v>0</v>
      </c>
      <c r="BB38" s="21">
        <v>0</v>
      </c>
      <c r="BC38" s="21">
        <v>2</v>
      </c>
      <c r="BD38" s="21">
        <v>1</v>
      </c>
      <c r="BE38" s="21">
        <v>0</v>
      </c>
      <c r="BF38" s="21">
        <v>1</v>
      </c>
      <c r="BG38" s="21">
        <v>0</v>
      </c>
      <c r="BI38" s="3"/>
      <c r="BJ38" s="3"/>
      <c r="BK38" s="3"/>
      <c r="BL38" s="3"/>
      <c r="BM38" s="3"/>
      <c r="BN38" s="3"/>
      <c r="BO38" s="3"/>
    </row>
    <row r="39" spans="1:67" ht="15.75" customHeight="1" x14ac:dyDescent="0.2">
      <c r="A39" s="15" t="s">
        <v>244</v>
      </c>
      <c r="B39" s="21">
        <v>0</v>
      </c>
      <c r="C39" s="21">
        <v>0</v>
      </c>
      <c r="D39" s="21">
        <v>0</v>
      </c>
      <c r="E39" s="15">
        <v>28</v>
      </c>
      <c r="F39" s="21">
        <v>0</v>
      </c>
      <c r="G39" s="21">
        <v>0</v>
      </c>
      <c r="H39" s="21">
        <v>0</v>
      </c>
      <c r="I39" s="21">
        <v>55</v>
      </c>
      <c r="J39" s="21">
        <v>0</v>
      </c>
      <c r="K39" s="21">
        <v>0</v>
      </c>
      <c r="L39" s="21">
        <v>0</v>
      </c>
      <c r="M39" s="21">
        <v>0</v>
      </c>
      <c r="N39" s="21">
        <v>0</v>
      </c>
      <c r="O39" s="21">
        <v>0</v>
      </c>
      <c r="P39" s="21">
        <v>0</v>
      </c>
      <c r="Q39" s="21">
        <v>2</v>
      </c>
      <c r="R39" s="21">
        <v>0</v>
      </c>
      <c r="S39" s="21">
        <v>0</v>
      </c>
      <c r="T39" s="21">
        <v>0</v>
      </c>
      <c r="U39" s="21">
        <v>0</v>
      </c>
      <c r="V39" s="21">
        <v>0</v>
      </c>
      <c r="W39" s="21">
        <v>0</v>
      </c>
      <c r="X39" s="21">
        <v>0</v>
      </c>
      <c r="Y39" s="21">
        <v>1</v>
      </c>
      <c r="Z39" s="21">
        <v>0</v>
      </c>
      <c r="AA39" s="21">
        <v>0</v>
      </c>
      <c r="AB39" s="21">
        <v>0</v>
      </c>
      <c r="AC39" s="21">
        <v>0</v>
      </c>
      <c r="AD39" s="21">
        <v>1</v>
      </c>
      <c r="AE39" s="21">
        <v>0</v>
      </c>
      <c r="AF39" s="21">
        <v>0</v>
      </c>
      <c r="AG39" s="21">
        <v>1</v>
      </c>
      <c r="AH39" s="21">
        <v>0</v>
      </c>
      <c r="AI39" s="21">
        <v>0</v>
      </c>
      <c r="AJ39" s="21">
        <v>0</v>
      </c>
      <c r="AK39" s="21">
        <v>0</v>
      </c>
      <c r="AL39" s="21">
        <v>0</v>
      </c>
      <c r="AM39" s="21">
        <v>0</v>
      </c>
      <c r="AN39" s="21">
        <v>0</v>
      </c>
      <c r="AO39" s="21">
        <v>0</v>
      </c>
      <c r="AP39" s="21">
        <v>0</v>
      </c>
      <c r="AQ39" s="21">
        <v>1</v>
      </c>
      <c r="AR39" s="21">
        <v>0</v>
      </c>
      <c r="AS39" s="21">
        <v>0</v>
      </c>
      <c r="AT39" s="21">
        <v>0</v>
      </c>
      <c r="AU39" s="21">
        <v>0</v>
      </c>
      <c r="AV39" s="21">
        <v>15</v>
      </c>
      <c r="AW39" s="21">
        <v>1</v>
      </c>
      <c r="AX39" s="21">
        <v>0</v>
      </c>
      <c r="AY39" s="21">
        <v>0</v>
      </c>
      <c r="AZ39" s="21">
        <v>0</v>
      </c>
      <c r="BA39" s="21">
        <v>0</v>
      </c>
      <c r="BB39" s="21">
        <v>0</v>
      </c>
      <c r="BC39" s="21">
        <v>0</v>
      </c>
      <c r="BD39" s="21">
        <v>0</v>
      </c>
      <c r="BE39" s="21">
        <v>0</v>
      </c>
      <c r="BF39" s="21">
        <v>0</v>
      </c>
      <c r="BG39" s="21">
        <v>0</v>
      </c>
      <c r="BI39" s="3"/>
      <c r="BJ39" s="3"/>
      <c r="BK39" s="3"/>
      <c r="BL39" s="3"/>
      <c r="BM39" s="3"/>
      <c r="BN39" s="3"/>
      <c r="BO39" s="3"/>
    </row>
    <row r="40" spans="1:67" ht="15.75" customHeight="1" x14ac:dyDescent="0.2">
      <c r="A40" s="15" t="s">
        <v>245</v>
      </c>
      <c r="B40" s="15">
        <v>2</v>
      </c>
      <c r="C40" s="21">
        <v>0</v>
      </c>
      <c r="D40" s="21">
        <v>0</v>
      </c>
      <c r="E40" s="15">
        <v>39</v>
      </c>
      <c r="F40" s="21">
        <v>0</v>
      </c>
      <c r="G40" s="21">
        <v>0</v>
      </c>
      <c r="H40" s="21">
        <v>0</v>
      </c>
      <c r="I40" s="21">
        <v>72</v>
      </c>
      <c r="J40" s="21">
        <v>0</v>
      </c>
      <c r="K40" s="15">
        <v>1</v>
      </c>
      <c r="L40" s="21">
        <v>0</v>
      </c>
      <c r="M40" s="21">
        <v>0</v>
      </c>
      <c r="N40" s="21">
        <v>0</v>
      </c>
      <c r="O40" s="21">
        <v>0</v>
      </c>
      <c r="P40" s="21">
        <v>0</v>
      </c>
      <c r="Q40" s="21">
        <v>0</v>
      </c>
      <c r="R40" s="21">
        <v>0</v>
      </c>
      <c r="S40" s="21">
        <v>1</v>
      </c>
      <c r="T40" s="21">
        <v>0</v>
      </c>
      <c r="U40" s="21">
        <v>0</v>
      </c>
      <c r="V40" s="21">
        <v>0</v>
      </c>
      <c r="W40" s="21">
        <v>0</v>
      </c>
      <c r="X40" s="21">
        <v>0</v>
      </c>
      <c r="Y40" s="21">
        <v>0</v>
      </c>
      <c r="Z40" s="21">
        <v>0</v>
      </c>
      <c r="AA40" s="21">
        <v>0</v>
      </c>
      <c r="AB40" s="21">
        <v>0</v>
      </c>
      <c r="AC40" s="21">
        <v>0</v>
      </c>
      <c r="AD40" s="21">
        <v>0</v>
      </c>
      <c r="AE40" s="21">
        <v>0</v>
      </c>
      <c r="AF40" s="21">
        <v>0</v>
      </c>
      <c r="AG40" s="21">
        <v>0</v>
      </c>
      <c r="AH40" s="21">
        <v>0</v>
      </c>
      <c r="AI40" s="21">
        <v>0</v>
      </c>
      <c r="AJ40" s="21">
        <v>0</v>
      </c>
      <c r="AK40" s="21">
        <v>0</v>
      </c>
      <c r="AL40" s="21">
        <v>0</v>
      </c>
      <c r="AM40" s="21">
        <v>0</v>
      </c>
      <c r="AN40" s="21">
        <v>0</v>
      </c>
      <c r="AO40" s="21">
        <v>3</v>
      </c>
      <c r="AP40" s="21">
        <v>0</v>
      </c>
      <c r="AQ40" s="21">
        <v>0</v>
      </c>
      <c r="AR40" s="21">
        <v>0</v>
      </c>
      <c r="AS40" s="21">
        <v>0</v>
      </c>
      <c r="AT40" s="21">
        <v>0</v>
      </c>
      <c r="AU40" s="21">
        <v>0</v>
      </c>
      <c r="AV40" s="15">
        <v>42</v>
      </c>
      <c r="AW40" s="15">
        <v>20</v>
      </c>
      <c r="AX40" s="15">
        <v>26</v>
      </c>
      <c r="AY40" s="21">
        <v>0</v>
      </c>
      <c r="AZ40" s="21">
        <v>0</v>
      </c>
      <c r="BA40" s="21">
        <v>0</v>
      </c>
      <c r="BB40" s="21">
        <v>0</v>
      </c>
      <c r="BC40" s="21">
        <v>0</v>
      </c>
      <c r="BD40" s="21">
        <v>0</v>
      </c>
      <c r="BE40" s="21">
        <v>0</v>
      </c>
      <c r="BF40" s="21">
        <v>1</v>
      </c>
      <c r="BG40" s="21">
        <v>0</v>
      </c>
      <c r="BI40" s="3"/>
      <c r="BJ40" s="3"/>
      <c r="BK40" s="3"/>
      <c r="BL40" s="3"/>
      <c r="BM40" s="3"/>
      <c r="BN40" s="3"/>
      <c r="BO40" s="3"/>
    </row>
    <row r="41" spans="1:67" ht="15.75" customHeight="1" x14ac:dyDescent="0.2">
      <c r="A41" s="15" t="s">
        <v>246</v>
      </c>
      <c r="B41" s="21">
        <v>1</v>
      </c>
      <c r="C41" s="21">
        <v>0</v>
      </c>
      <c r="D41" s="21">
        <v>0</v>
      </c>
      <c r="E41" s="15">
        <v>50</v>
      </c>
      <c r="F41" s="21">
        <v>0</v>
      </c>
      <c r="G41" s="21">
        <v>0</v>
      </c>
      <c r="H41" s="21">
        <v>0</v>
      </c>
      <c r="I41" s="21">
        <v>70</v>
      </c>
      <c r="J41" s="21">
        <v>0</v>
      </c>
      <c r="K41" s="21">
        <v>0</v>
      </c>
      <c r="L41" s="21">
        <v>0</v>
      </c>
      <c r="M41" s="21">
        <v>0</v>
      </c>
      <c r="N41" s="21">
        <v>0</v>
      </c>
      <c r="O41" s="21">
        <v>1</v>
      </c>
      <c r="P41" s="21">
        <v>1</v>
      </c>
      <c r="Q41" s="21">
        <v>1</v>
      </c>
      <c r="R41" s="21">
        <v>0</v>
      </c>
      <c r="S41" s="21">
        <v>0</v>
      </c>
      <c r="T41" s="21">
        <v>0</v>
      </c>
      <c r="U41" s="21">
        <v>0</v>
      </c>
      <c r="V41" s="21">
        <v>0</v>
      </c>
      <c r="W41" s="21">
        <v>0</v>
      </c>
      <c r="X41" s="21">
        <v>0</v>
      </c>
      <c r="Y41" s="21">
        <v>0</v>
      </c>
      <c r="Z41" s="21">
        <v>0</v>
      </c>
      <c r="AA41" s="21">
        <v>0</v>
      </c>
      <c r="AB41" s="21">
        <v>0</v>
      </c>
      <c r="AC41" s="21">
        <v>0</v>
      </c>
      <c r="AD41" s="21">
        <v>0</v>
      </c>
      <c r="AE41" s="21">
        <v>0</v>
      </c>
      <c r="AF41" s="21">
        <v>0</v>
      </c>
      <c r="AG41" s="21">
        <v>0</v>
      </c>
      <c r="AH41" s="21">
        <v>0</v>
      </c>
      <c r="AI41" s="21">
        <v>0</v>
      </c>
      <c r="AJ41" s="21">
        <v>0</v>
      </c>
      <c r="AK41" s="21">
        <v>0</v>
      </c>
      <c r="AL41" s="21">
        <v>0</v>
      </c>
      <c r="AM41" s="21">
        <v>2</v>
      </c>
      <c r="AN41" s="21">
        <v>0</v>
      </c>
      <c r="AO41" s="21">
        <v>0</v>
      </c>
      <c r="AP41" s="21">
        <v>0</v>
      </c>
      <c r="AQ41" s="21">
        <v>0</v>
      </c>
      <c r="AR41" s="21">
        <v>4</v>
      </c>
      <c r="AS41" s="21">
        <v>1</v>
      </c>
      <c r="AT41" s="21">
        <v>1</v>
      </c>
      <c r="AU41" s="21">
        <v>0</v>
      </c>
      <c r="AV41" s="21">
        <v>28</v>
      </c>
      <c r="AW41" s="21">
        <v>14</v>
      </c>
      <c r="AX41" s="21">
        <v>4</v>
      </c>
      <c r="AY41" s="21">
        <v>0</v>
      </c>
      <c r="AZ41" s="21">
        <v>0</v>
      </c>
      <c r="BA41" s="21">
        <v>0</v>
      </c>
      <c r="BB41" s="21">
        <v>0</v>
      </c>
      <c r="BC41" s="21">
        <v>0</v>
      </c>
      <c r="BD41" s="21">
        <v>0</v>
      </c>
      <c r="BE41" s="21">
        <v>0</v>
      </c>
      <c r="BF41" s="21">
        <v>0</v>
      </c>
      <c r="BG41" s="21">
        <v>0</v>
      </c>
      <c r="BI41" s="3"/>
      <c r="BJ41" s="3"/>
      <c r="BK41" s="3"/>
      <c r="BL41" s="3"/>
      <c r="BM41" s="3"/>
      <c r="BN41" s="3"/>
      <c r="BO41" s="3"/>
    </row>
    <row r="42" spans="1:67" ht="15.75" customHeight="1" x14ac:dyDescent="0.2">
      <c r="A42" s="15" t="s">
        <v>247</v>
      </c>
      <c r="B42" s="21">
        <v>1</v>
      </c>
      <c r="C42" s="21">
        <v>0</v>
      </c>
      <c r="D42" s="21">
        <v>0</v>
      </c>
      <c r="E42" s="15">
        <v>22</v>
      </c>
      <c r="F42" s="21">
        <v>0</v>
      </c>
      <c r="G42" s="21">
        <v>0</v>
      </c>
      <c r="H42" s="21">
        <v>0</v>
      </c>
      <c r="I42" s="21">
        <v>4</v>
      </c>
      <c r="J42" s="21">
        <v>0</v>
      </c>
      <c r="K42" s="21">
        <v>0</v>
      </c>
      <c r="L42" s="21">
        <v>0</v>
      </c>
      <c r="M42" s="21">
        <v>0</v>
      </c>
      <c r="N42" s="21">
        <v>0</v>
      </c>
      <c r="O42" s="21">
        <v>0</v>
      </c>
      <c r="P42" s="21">
        <v>0</v>
      </c>
      <c r="Q42" s="21">
        <v>0</v>
      </c>
      <c r="R42" s="21">
        <v>0</v>
      </c>
      <c r="S42" s="21">
        <v>0</v>
      </c>
      <c r="T42" s="21">
        <v>0</v>
      </c>
      <c r="U42" s="21">
        <v>0</v>
      </c>
      <c r="V42" s="21">
        <v>0</v>
      </c>
      <c r="W42" s="21">
        <v>0</v>
      </c>
      <c r="X42" s="21">
        <v>0</v>
      </c>
      <c r="Y42" s="21">
        <v>0</v>
      </c>
      <c r="Z42" s="21">
        <v>0</v>
      </c>
      <c r="AA42" s="21">
        <v>0</v>
      </c>
      <c r="AB42" s="21">
        <v>0</v>
      </c>
      <c r="AC42" s="21">
        <v>0</v>
      </c>
      <c r="AD42" s="21">
        <v>0</v>
      </c>
      <c r="AE42" s="21">
        <v>0</v>
      </c>
      <c r="AF42" s="21">
        <v>0</v>
      </c>
      <c r="AG42" s="21">
        <v>0</v>
      </c>
      <c r="AH42" s="21">
        <v>0</v>
      </c>
      <c r="AI42" s="21">
        <v>0</v>
      </c>
      <c r="AJ42" s="21">
        <v>0</v>
      </c>
      <c r="AK42" s="21">
        <v>0</v>
      </c>
      <c r="AL42" s="21">
        <v>0</v>
      </c>
      <c r="AM42" s="21">
        <v>0</v>
      </c>
      <c r="AN42" s="21">
        <v>0</v>
      </c>
      <c r="AO42" s="21">
        <v>0</v>
      </c>
      <c r="AP42" s="21">
        <v>0</v>
      </c>
      <c r="AQ42" s="21">
        <v>0</v>
      </c>
      <c r="AR42" s="21">
        <v>0</v>
      </c>
      <c r="AS42" s="21">
        <v>0</v>
      </c>
      <c r="AT42" s="21">
        <v>0</v>
      </c>
      <c r="AU42" s="21">
        <v>0</v>
      </c>
      <c r="AV42" s="21">
        <v>6</v>
      </c>
      <c r="AW42" s="21">
        <v>0</v>
      </c>
      <c r="AX42" s="21">
        <v>2</v>
      </c>
      <c r="AY42" s="21">
        <v>0</v>
      </c>
      <c r="AZ42" s="21">
        <v>0</v>
      </c>
      <c r="BA42" s="21">
        <v>0</v>
      </c>
      <c r="BB42" s="21">
        <v>0</v>
      </c>
      <c r="BC42" s="21">
        <v>0</v>
      </c>
      <c r="BD42" s="21">
        <v>0</v>
      </c>
      <c r="BE42" s="21">
        <v>0</v>
      </c>
      <c r="BF42" s="21">
        <v>0</v>
      </c>
      <c r="BG42" s="21">
        <v>0</v>
      </c>
      <c r="BI42" s="3"/>
      <c r="BJ42" s="3"/>
      <c r="BK42" s="3"/>
      <c r="BL42" s="3"/>
      <c r="BM42" s="3"/>
      <c r="BN42" s="3"/>
      <c r="BO42" s="3"/>
    </row>
    <row r="43" spans="1:67" ht="15.75" customHeight="1" x14ac:dyDescent="0.2">
      <c r="A43" s="15" t="s">
        <v>248</v>
      </c>
      <c r="B43" s="21">
        <v>0</v>
      </c>
      <c r="C43" s="21">
        <v>0</v>
      </c>
      <c r="D43" s="21">
        <v>0</v>
      </c>
      <c r="E43" s="15">
        <v>13</v>
      </c>
      <c r="F43" s="21">
        <v>0</v>
      </c>
      <c r="G43" s="21">
        <v>0</v>
      </c>
      <c r="H43" s="21">
        <v>0</v>
      </c>
      <c r="I43" s="21">
        <v>15</v>
      </c>
      <c r="J43" s="21">
        <v>0</v>
      </c>
      <c r="K43" s="21">
        <v>0</v>
      </c>
      <c r="L43" s="21">
        <v>0</v>
      </c>
      <c r="M43" s="21">
        <v>0</v>
      </c>
      <c r="N43" s="21">
        <v>0</v>
      </c>
      <c r="O43" s="21">
        <v>0</v>
      </c>
      <c r="P43" s="21">
        <v>0</v>
      </c>
      <c r="Q43" s="21">
        <v>1</v>
      </c>
      <c r="R43" s="21">
        <v>0</v>
      </c>
      <c r="S43" s="21">
        <v>0</v>
      </c>
      <c r="T43" s="21">
        <v>0</v>
      </c>
      <c r="U43" s="21">
        <v>0</v>
      </c>
      <c r="V43" s="21">
        <v>0</v>
      </c>
      <c r="W43" s="21">
        <v>0</v>
      </c>
      <c r="X43" s="21">
        <v>0</v>
      </c>
      <c r="Y43" s="21">
        <v>3</v>
      </c>
      <c r="Z43" s="21">
        <v>0</v>
      </c>
      <c r="AA43" s="21">
        <v>0</v>
      </c>
      <c r="AB43" s="21">
        <v>0</v>
      </c>
      <c r="AC43" s="21">
        <v>0</v>
      </c>
      <c r="AD43" s="21">
        <v>0</v>
      </c>
      <c r="AE43" s="21">
        <v>0</v>
      </c>
      <c r="AF43" s="21">
        <v>0</v>
      </c>
      <c r="AG43" s="21">
        <v>0</v>
      </c>
      <c r="AH43" s="21">
        <v>0</v>
      </c>
      <c r="AI43" s="21">
        <v>0</v>
      </c>
      <c r="AJ43" s="21">
        <v>0</v>
      </c>
      <c r="AK43" s="21">
        <v>0</v>
      </c>
      <c r="AL43" s="21">
        <v>0</v>
      </c>
      <c r="AM43" s="21">
        <v>0</v>
      </c>
      <c r="AN43" s="21">
        <v>0</v>
      </c>
      <c r="AO43" s="21">
        <v>0</v>
      </c>
      <c r="AP43" s="21">
        <v>0</v>
      </c>
      <c r="AQ43" s="21">
        <v>0</v>
      </c>
      <c r="AR43" s="21">
        <v>0</v>
      </c>
      <c r="AS43" s="21">
        <v>0</v>
      </c>
      <c r="AT43" s="21">
        <v>0</v>
      </c>
      <c r="AU43" s="21">
        <v>0</v>
      </c>
      <c r="AV43" s="21">
        <v>5</v>
      </c>
      <c r="AW43" s="21">
        <v>0</v>
      </c>
      <c r="AX43" s="21">
        <v>0</v>
      </c>
      <c r="AY43" s="21">
        <v>0</v>
      </c>
      <c r="AZ43" s="21">
        <v>0</v>
      </c>
      <c r="BA43" s="21">
        <v>0</v>
      </c>
      <c r="BB43" s="21">
        <v>0</v>
      </c>
      <c r="BC43" s="21">
        <v>0</v>
      </c>
      <c r="BD43" s="21">
        <v>0</v>
      </c>
      <c r="BE43" s="21">
        <v>0</v>
      </c>
      <c r="BF43" s="21">
        <v>0</v>
      </c>
      <c r="BG43" s="21">
        <v>0</v>
      </c>
      <c r="BI43" s="3"/>
      <c r="BJ43" s="3"/>
      <c r="BK43" s="3"/>
      <c r="BL43" s="3"/>
      <c r="BM43" s="3"/>
      <c r="BN43" s="3"/>
      <c r="BO43" s="3"/>
    </row>
    <row r="44" spans="1:67" ht="15.75" customHeight="1" x14ac:dyDescent="0.2">
      <c r="A44" s="15" t="s">
        <v>249</v>
      </c>
      <c r="B44" s="21">
        <v>2</v>
      </c>
      <c r="C44" s="21">
        <v>0</v>
      </c>
      <c r="D44" s="21">
        <v>0</v>
      </c>
      <c r="E44" s="15">
        <v>12</v>
      </c>
      <c r="F44" s="21">
        <v>0</v>
      </c>
      <c r="G44" s="21">
        <v>3</v>
      </c>
      <c r="H44" s="21">
        <v>0</v>
      </c>
      <c r="I44" s="21">
        <v>4</v>
      </c>
      <c r="J44" s="21">
        <v>0</v>
      </c>
      <c r="K44" s="21">
        <v>0</v>
      </c>
      <c r="L44" s="21">
        <v>0</v>
      </c>
      <c r="M44" s="21">
        <v>0</v>
      </c>
      <c r="N44" s="21">
        <v>0</v>
      </c>
      <c r="O44" s="21">
        <v>0</v>
      </c>
      <c r="P44" s="21">
        <v>0</v>
      </c>
      <c r="Q44" s="21">
        <v>0</v>
      </c>
      <c r="R44" s="21">
        <v>0</v>
      </c>
      <c r="S44" s="21">
        <v>0</v>
      </c>
      <c r="T44" s="21">
        <v>0</v>
      </c>
      <c r="U44" s="21">
        <v>0</v>
      </c>
      <c r="V44" s="21">
        <v>2</v>
      </c>
      <c r="W44" s="21">
        <v>0</v>
      </c>
      <c r="X44" s="21">
        <v>0</v>
      </c>
      <c r="Y44" s="21">
        <v>0</v>
      </c>
      <c r="Z44" s="21">
        <v>0</v>
      </c>
      <c r="AA44" s="21">
        <v>0</v>
      </c>
      <c r="AB44" s="21">
        <v>0</v>
      </c>
      <c r="AC44" s="21">
        <v>0</v>
      </c>
      <c r="AD44" s="21">
        <v>0</v>
      </c>
      <c r="AE44" s="21">
        <v>0</v>
      </c>
      <c r="AF44" s="21">
        <v>0</v>
      </c>
      <c r="AG44" s="21">
        <v>0</v>
      </c>
      <c r="AH44" s="21">
        <v>0</v>
      </c>
      <c r="AI44" s="21">
        <v>0</v>
      </c>
      <c r="AJ44" s="21">
        <v>0</v>
      </c>
      <c r="AK44" s="21">
        <v>0</v>
      </c>
      <c r="AL44" s="21">
        <v>0</v>
      </c>
      <c r="AM44" s="21">
        <v>0</v>
      </c>
      <c r="AN44" s="21">
        <v>0</v>
      </c>
      <c r="AO44" s="21">
        <v>0</v>
      </c>
      <c r="AP44" s="21">
        <v>0</v>
      </c>
      <c r="AQ44" s="21">
        <v>0</v>
      </c>
      <c r="AR44" s="21">
        <v>0</v>
      </c>
      <c r="AS44" s="21">
        <v>0</v>
      </c>
      <c r="AT44" s="21">
        <v>0</v>
      </c>
      <c r="AU44" s="21">
        <v>0</v>
      </c>
      <c r="AV44" s="21">
        <v>2</v>
      </c>
      <c r="AW44" s="21">
        <v>0</v>
      </c>
      <c r="AX44" s="21">
        <v>1</v>
      </c>
      <c r="AY44" s="21">
        <v>0</v>
      </c>
      <c r="AZ44" s="21">
        <v>0</v>
      </c>
      <c r="BA44" s="21">
        <v>0</v>
      </c>
      <c r="BB44" s="21">
        <v>0</v>
      </c>
      <c r="BC44" s="21">
        <v>0</v>
      </c>
      <c r="BD44" s="21">
        <v>0</v>
      </c>
      <c r="BE44" s="21">
        <v>0</v>
      </c>
      <c r="BF44" s="21">
        <v>0</v>
      </c>
      <c r="BG44" s="21">
        <v>0</v>
      </c>
      <c r="BI44" s="3"/>
      <c r="BJ44" s="3"/>
      <c r="BK44" s="3"/>
      <c r="BL44" s="3"/>
      <c r="BM44" s="3"/>
      <c r="BN44" s="3"/>
      <c r="BO44" s="3"/>
    </row>
    <row r="45" spans="1:67" ht="15.75" customHeight="1" x14ac:dyDescent="0.2">
      <c r="A45" s="15" t="s">
        <v>250</v>
      </c>
      <c r="B45" s="21">
        <v>0</v>
      </c>
      <c r="C45" s="21">
        <v>0</v>
      </c>
      <c r="D45" s="21">
        <v>0</v>
      </c>
      <c r="E45" s="15">
        <v>15</v>
      </c>
      <c r="F45" s="21">
        <v>0</v>
      </c>
      <c r="G45" s="21">
        <v>1</v>
      </c>
      <c r="H45" s="21">
        <v>0</v>
      </c>
      <c r="I45" s="21">
        <v>0</v>
      </c>
      <c r="J45" s="21">
        <v>0</v>
      </c>
      <c r="K45" s="21">
        <v>0</v>
      </c>
      <c r="L45" s="21">
        <v>0</v>
      </c>
      <c r="M45" s="21">
        <v>0</v>
      </c>
      <c r="N45" s="21">
        <v>0</v>
      </c>
      <c r="O45" s="21">
        <v>0</v>
      </c>
      <c r="P45" s="21">
        <v>0</v>
      </c>
      <c r="Q45" s="21">
        <v>0</v>
      </c>
      <c r="R45" s="21">
        <v>0</v>
      </c>
      <c r="S45" s="21">
        <v>0</v>
      </c>
      <c r="T45" s="21">
        <v>0</v>
      </c>
      <c r="U45" s="21">
        <v>0</v>
      </c>
      <c r="V45" s="21">
        <v>0</v>
      </c>
      <c r="W45" s="21">
        <v>0</v>
      </c>
      <c r="X45" s="21">
        <v>0</v>
      </c>
      <c r="Y45" s="21">
        <v>0</v>
      </c>
      <c r="Z45" s="21">
        <v>0</v>
      </c>
      <c r="AA45" s="21">
        <v>0</v>
      </c>
      <c r="AB45" s="21">
        <v>0</v>
      </c>
      <c r="AC45" s="21">
        <v>0</v>
      </c>
      <c r="AD45" s="21">
        <v>0</v>
      </c>
      <c r="AE45" s="21">
        <v>0</v>
      </c>
      <c r="AF45" s="21">
        <v>0</v>
      </c>
      <c r="AG45" s="21">
        <v>0</v>
      </c>
      <c r="AH45" s="21">
        <v>0</v>
      </c>
      <c r="AI45" s="21">
        <v>0</v>
      </c>
      <c r="AJ45" s="21">
        <v>0</v>
      </c>
      <c r="AK45" s="21">
        <v>0</v>
      </c>
      <c r="AL45" s="21">
        <v>0</v>
      </c>
      <c r="AM45" s="21">
        <v>0</v>
      </c>
      <c r="AN45" s="21">
        <v>0</v>
      </c>
      <c r="AO45" s="21">
        <v>0</v>
      </c>
      <c r="AP45" s="21">
        <v>0</v>
      </c>
      <c r="AQ45" s="21">
        <v>0</v>
      </c>
      <c r="AR45" s="21">
        <v>0</v>
      </c>
      <c r="AS45" s="21">
        <v>0</v>
      </c>
      <c r="AT45" s="21">
        <v>0</v>
      </c>
      <c r="AU45" s="21">
        <v>0</v>
      </c>
      <c r="AV45" s="21">
        <v>1</v>
      </c>
      <c r="AW45" s="21">
        <v>0</v>
      </c>
      <c r="AX45" s="21">
        <v>0</v>
      </c>
      <c r="AY45" s="21">
        <v>0</v>
      </c>
      <c r="AZ45" s="21">
        <v>0</v>
      </c>
      <c r="BA45" s="21">
        <v>0</v>
      </c>
      <c r="BB45" s="21">
        <v>0</v>
      </c>
      <c r="BC45" s="21">
        <v>0</v>
      </c>
      <c r="BD45" s="21">
        <v>0</v>
      </c>
      <c r="BE45" s="21">
        <v>0</v>
      </c>
      <c r="BF45" s="21">
        <v>0</v>
      </c>
      <c r="BG45" s="21">
        <v>0</v>
      </c>
      <c r="BI45" s="3"/>
      <c r="BJ45" s="3"/>
      <c r="BK45" s="3"/>
      <c r="BL45" s="3"/>
      <c r="BM45" s="3"/>
      <c r="BN45" s="3"/>
      <c r="BO45" s="3"/>
    </row>
    <row r="46" spans="1:67" ht="15.75" customHeight="1" x14ac:dyDescent="0.2">
      <c r="A46" s="15" t="s">
        <v>251</v>
      </c>
      <c r="B46" s="21">
        <v>0</v>
      </c>
      <c r="C46" s="21">
        <v>2</v>
      </c>
      <c r="D46" s="21">
        <v>0</v>
      </c>
      <c r="E46" s="15">
        <v>62</v>
      </c>
      <c r="F46" s="21">
        <v>0</v>
      </c>
      <c r="G46" s="21">
        <v>0</v>
      </c>
      <c r="H46" s="21">
        <v>0</v>
      </c>
      <c r="I46" s="21">
        <v>1</v>
      </c>
      <c r="J46" s="21">
        <v>0</v>
      </c>
      <c r="K46" s="21">
        <v>0</v>
      </c>
      <c r="L46" s="21">
        <v>0</v>
      </c>
      <c r="M46" s="21">
        <v>0</v>
      </c>
      <c r="N46" s="21">
        <v>0</v>
      </c>
      <c r="O46" s="21">
        <v>0</v>
      </c>
      <c r="P46" s="21">
        <v>0</v>
      </c>
      <c r="Q46" s="21">
        <v>0</v>
      </c>
      <c r="R46" s="21">
        <v>0</v>
      </c>
      <c r="S46" s="21">
        <v>0</v>
      </c>
      <c r="T46" s="21">
        <v>0</v>
      </c>
      <c r="U46" s="21">
        <v>0</v>
      </c>
      <c r="V46" s="21">
        <v>0</v>
      </c>
      <c r="W46" s="21">
        <v>0</v>
      </c>
      <c r="X46" s="21">
        <v>0</v>
      </c>
      <c r="Y46" s="21">
        <v>0</v>
      </c>
      <c r="Z46" s="21">
        <v>0</v>
      </c>
      <c r="AA46" s="21">
        <v>0</v>
      </c>
      <c r="AB46" s="21">
        <v>0</v>
      </c>
      <c r="AC46" s="21">
        <v>0</v>
      </c>
      <c r="AD46" s="21">
        <v>0</v>
      </c>
      <c r="AE46" s="21">
        <v>0</v>
      </c>
      <c r="AF46" s="21">
        <v>0</v>
      </c>
      <c r="AG46" s="21">
        <v>0</v>
      </c>
      <c r="AH46" s="21">
        <v>0</v>
      </c>
      <c r="AI46" s="21">
        <v>0</v>
      </c>
      <c r="AJ46" s="21">
        <v>0</v>
      </c>
      <c r="AK46" s="21">
        <v>0</v>
      </c>
      <c r="AL46" s="21">
        <v>0</v>
      </c>
      <c r="AM46" s="21">
        <v>0</v>
      </c>
      <c r="AN46" s="21">
        <v>0</v>
      </c>
      <c r="AO46" s="21">
        <v>0</v>
      </c>
      <c r="AP46" s="21">
        <v>0</v>
      </c>
      <c r="AQ46" s="21">
        <v>0</v>
      </c>
      <c r="AR46" s="21">
        <v>0</v>
      </c>
      <c r="AS46" s="21">
        <v>0</v>
      </c>
      <c r="AT46" s="21">
        <v>0</v>
      </c>
      <c r="AU46" s="21">
        <v>0</v>
      </c>
      <c r="AV46" s="21">
        <v>0</v>
      </c>
      <c r="AW46" s="21">
        <v>0</v>
      </c>
      <c r="AX46" s="21">
        <v>0</v>
      </c>
      <c r="AY46" s="21">
        <v>0</v>
      </c>
      <c r="AZ46" s="21">
        <v>0</v>
      </c>
      <c r="BA46" s="21">
        <v>0</v>
      </c>
      <c r="BB46" s="21">
        <v>0</v>
      </c>
      <c r="BC46" s="21">
        <v>0</v>
      </c>
      <c r="BD46" s="21">
        <v>0</v>
      </c>
      <c r="BE46" s="21">
        <v>0</v>
      </c>
      <c r="BF46" s="21">
        <v>0</v>
      </c>
      <c r="BG46" s="21">
        <v>0</v>
      </c>
      <c r="BI46" s="3"/>
      <c r="BJ46" s="3"/>
      <c r="BK46" s="3"/>
      <c r="BL46" s="3"/>
      <c r="BM46" s="3"/>
      <c r="BN46" s="3"/>
      <c r="BO46" s="3"/>
    </row>
    <row r="47" spans="1:67" ht="15.75" customHeight="1" x14ac:dyDescent="0.2">
      <c r="A47" s="15" t="s">
        <v>252</v>
      </c>
      <c r="B47" s="21">
        <v>0</v>
      </c>
      <c r="C47" s="21">
        <v>0</v>
      </c>
      <c r="D47" s="21">
        <v>0</v>
      </c>
      <c r="E47" s="15">
        <v>75</v>
      </c>
      <c r="F47" s="21">
        <v>0</v>
      </c>
      <c r="G47" s="21">
        <v>0</v>
      </c>
      <c r="H47" s="21">
        <v>0</v>
      </c>
      <c r="I47" s="21">
        <v>2</v>
      </c>
      <c r="J47" s="21">
        <v>0</v>
      </c>
      <c r="K47" s="21">
        <v>0</v>
      </c>
      <c r="L47" s="21">
        <v>0</v>
      </c>
      <c r="M47" s="21">
        <v>0</v>
      </c>
      <c r="N47" s="21">
        <v>0</v>
      </c>
      <c r="O47" s="21">
        <v>0</v>
      </c>
      <c r="P47" s="21">
        <v>0</v>
      </c>
      <c r="Q47" s="21">
        <v>1</v>
      </c>
      <c r="R47" s="21">
        <v>0</v>
      </c>
      <c r="S47" s="21">
        <v>0</v>
      </c>
      <c r="T47" s="21">
        <v>0</v>
      </c>
      <c r="U47" s="21">
        <v>0</v>
      </c>
      <c r="V47" s="21">
        <v>0</v>
      </c>
      <c r="W47" s="21">
        <v>0</v>
      </c>
      <c r="X47" s="21">
        <v>0</v>
      </c>
      <c r="Y47" s="21">
        <v>0</v>
      </c>
      <c r="Z47" s="21">
        <v>0</v>
      </c>
      <c r="AA47" s="21">
        <v>0</v>
      </c>
      <c r="AB47" s="21">
        <v>0</v>
      </c>
      <c r="AC47" s="21">
        <v>0</v>
      </c>
      <c r="AD47" s="21">
        <v>0</v>
      </c>
      <c r="AE47" s="21">
        <v>0</v>
      </c>
      <c r="AF47" s="21">
        <v>0</v>
      </c>
      <c r="AG47" s="21">
        <v>0</v>
      </c>
      <c r="AH47" s="21">
        <v>0</v>
      </c>
      <c r="AI47" s="21">
        <v>0</v>
      </c>
      <c r="AJ47" s="21">
        <v>0</v>
      </c>
      <c r="AK47" s="21">
        <v>0</v>
      </c>
      <c r="AL47" s="21">
        <v>0</v>
      </c>
      <c r="AM47" s="21">
        <v>0</v>
      </c>
      <c r="AN47" s="21">
        <v>0</v>
      </c>
      <c r="AO47" s="21">
        <v>0</v>
      </c>
      <c r="AP47" s="21">
        <v>0</v>
      </c>
      <c r="AQ47" s="21">
        <v>0</v>
      </c>
      <c r="AR47" s="21">
        <v>0</v>
      </c>
      <c r="AS47" s="21">
        <v>0</v>
      </c>
      <c r="AT47" s="21">
        <v>0</v>
      </c>
      <c r="AU47" s="21">
        <v>0</v>
      </c>
      <c r="AV47" s="21">
        <v>0</v>
      </c>
      <c r="AW47" s="21">
        <v>0</v>
      </c>
      <c r="AX47" s="21">
        <v>0</v>
      </c>
      <c r="AY47" s="21">
        <v>0</v>
      </c>
      <c r="AZ47" s="21">
        <v>0</v>
      </c>
      <c r="BA47" s="21">
        <v>0</v>
      </c>
      <c r="BB47" s="21">
        <v>0</v>
      </c>
      <c r="BC47" s="21">
        <v>0</v>
      </c>
      <c r="BD47" s="21">
        <v>0</v>
      </c>
      <c r="BE47" s="21">
        <v>0</v>
      </c>
      <c r="BF47" s="21">
        <v>0</v>
      </c>
      <c r="BG47" s="21">
        <v>0</v>
      </c>
      <c r="BI47" s="3"/>
      <c r="BJ47" s="3"/>
      <c r="BK47" s="3"/>
      <c r="BL47" s="3"/>
      <c r="BM47" s="3"/>
      <c r="BN47" s="3"/>
      <c r="BO47" s="3"/>
    </row>
    <row r="48" spans="1:67" ht="15.75" customHeight="1" x14ac:dyDescent="0.2">
      <c r="A48" s="15" t="s">
        <v>253</v>
      </c>
      <c r="B48" s="21">
        <v>0</v>
      </c>
      <c r="C48" s="21">
        <v>0</v>
      </c>
      <c r="D48" s="21">
        <v>0</v>
      </c>
      <c r="E48" s="21">
        <v>103</v>
      </c>
      <c r="F48" s="21">
        <v>0</v>
      </c>
      <c r="G48" s="21">
        <v>0</v>
      </c>
      <c r="H48" s="21">
        <v>0</v>
      </c>
      <c r="I48" s="21">
        <v>0</v>
      </c>
      <c r="J48" s="21">
        <v>0</v>
      </c>
      <c r="K48" s="21">
        <v>0</v>
      </c>
      <c r="L48" s="21">
        <v>0</v>
      </c>
      <c r="M48" s="21">
        <v>0</v>
      </c>
      <c r="N48" s="21">
        <v>0</v>
      </c>
      <c r="O48" s="21">
        <v>0</v>
      </c>
      <c r="P48" s="21">
        <v>0</v>
      </c>
      <c r="Q48" s="21">
        <v>1</v>
      </c>
      <c r="R48" s="21">
        <v>0</v>
      </c>
      <c r="S48" s="21">
        <v>0</v>
      </c>
      <c r="T48" s="21">
        <v>0</v>
      </c>
      <c r="U48" s="21">
        <v>0</v>
      </c>
      <c r="V48" s="21">
        <v>0</v>
      </c>
      <c r="W48" s="21">
        <v>0</v>
      </c>
      <c r="X48" s="21">
        <v>0</v>
      </c>
      <c r="Y48" s="21">
        <v>0</v>
      </c>
      <c r="Z48" s="21">
        <v>0</v>
      </c>
      <c r="AA48" s="21">
        <v>1</v>
      </c>
      <c r="AB48" s="21">
        <v>0</v>
      </c>
      <c r="AC48" s="21">
        <v>0</v>
      </c>
      <c r="AD48" s="21">
        <v>0</v>
      </c>
      <c r="AE48" s="21">
        <v>0</v>
      </c>
      <c r="AF48" s="21">
        <v>0</v>
      </c>
      <c r="AG48" s="21">
        <v>0</v>
      </c>
      <c r="AH48" s="21">
        <v>0</v>
      </c>
      <c r="AI48" s="21">
        <v>0</v>
      </c>
      <c r="AJ48" s="21">
        <v>0</v>
      </c>
      <c r="AK48" s="21">
        <v>0</v>
      </c>
      <c r="AL48" s="21">
        <v>0</v>
      </c>
      <c r="AM48" s="21">
        <v>0</v>
      </c>
      <c r="AN48" s="21">
        <v>0</v>
      </c>
      <c r="AO48" s="21">
        <v>0</v>
      </c>
      <c r="AP48" s="21">
        <v>0</v>
      </c>
      <c r="AQ48" s="21">
        <v>2</v>
      </c>
      <c r="AR48" s="21">
        <v>0</v>
      </c>
      <c r="AS48" s="21">
        <v>0</v>
      </c>
      <c r="AT48" s="21">
        <v>0</v>
      </c>
      <c r="AU48" s="21">
        <v>0</v>
      </c>
      <c r="AV48" s="21">
        <v>0</v>
      </c>
      <c r="AW48" s="21">
        <v>0</v>
      </c>
      <c r="AX48" s="21">
        <v>0</v>
      </c>
      <c r="AY48" s="21">
        <v>0</v>
      </c>
      <c r="AZ48" s="21">
        <v>0</v>
      </c>
      <c r="BA48" s="21">
        <v>0</v>
      </c>
      <c r="BB48" s="21">
        <v>0</v>
      </c>
      <c r="BC48" s="21">
        <v>0</v>
      </c>
      <c r="BD48" s="21">
        <v>0</v>
      </c>
      <c r="BE48" s="21">
        <v>0</v>
      </c>
      <c r="BF48" s="21">
        <v>0</v>
      </c>
      <c r="BG48" s="21">
        <v>0</v>
      </c>
      <c r="BI48" s="3"/>
      <c r="BJ48" s="3"/>
      <c r="BK48" s="3"/>
      <c r="BL48" s="3"/>
      <c r="BM48" s="3"/>
      <c r="BN48" s="3"/>
      <c r="BO48" s="3"/>
    </row>
    <row r="49" spans="1:100" ht="15.75" customHeight="1" x14ac:dyDescent="0.2">
      <c r="A49" s="15" t="s">
        <v>254</v>
      </c>
      <c r="B49" s="21">
        <v>0</v>
      </c>
      <c r="C49" s="21">
        <v>0</v>
      </c>
      <c r="D49" s="21">
        <v>0</v>
      </c>
      <c r="E49" s="21">
        <v>32</v>
      </c>
      <c r="F49" s="21">
        <v>0</v>
      </c>
      <c r="G49" s="21">
        <v>0</v>
      </c>
      <c r="H49" s="21">
        <v>0</v>
      </c>
      <c r="I49" s="21">
        <v>1</v>
      </c>
      <c r="J49" s="21">
        <v>0</v>
      </c>
      <c r="K49" s="21">
        <v>0</v>
      </c>
      <c r="L49" s="21">
        <v>0</v>
      </c>
      <c r="M49" s="21">
        <v>0</v>
      </c>
      <c r="N49" s="21">
        <v>0</v>
      </c>
      <c r="O49" s="21">
        <v>0</v>
      </c>
      <c r="P49" s="21">
        <v>0</v>
      </c>
      <c r="Q49" s="21">
        <v>1</v>
      </c>
      <c r="R49" s="21">
        <v>0</v>
      </c>
      <c r="S49" s="21">
        <v>0</v>
      </c>
      <c r="T49" s="21">
        <v>0</v>
      </c>
      <c r="U49" s="21">
        <v>0</v>
      </c>
      <c r="V49" s="21">
        <v>0</v>
      </c>
      <c r="W49" s="21">
        <v>0</v>
      </c>
      <c r="X49" s="21">
        <v>0</v>
      </c>
      <c r="Y49" s="21">
        <v>0</v>
      </c>
      <c r="Z49" s="21">
        <v>2</v>
      </c>
      <c r="AA49" s="21">
        <v>0</v>
      </c>
      <c r="AB49" s="21">
        <v>0</v>
      </c>
      <c r="AC49" s="21">
        <v>0</v>
      </c>
      <c r="AD49" s="21">
        <v>0</v>
      </c>
      <c r="AE49" s="21">
        <v>0</v>
      </c>
      <c r="AF49" s="21">
        <v>0</v>
      </c>
      <c r="AG49" s="21">
        <v>0</v>
      </c>
      <c r="AH49" s="21">
        <v>0</v>
      </c>
      <c r="AI49" s="21">
        <v>0</v>
      </c>
      <c r="AJ49" s="21">
        <v>0</v>
      </c>
      <c r="AK49" s="21">
        <v>0</v>
      </c>
      <c r="AL49" s="21">
        <v>0</v>
      </c>
      <c r="AM49" s="21">
        <v>0</v>
      </c>
      <c r="AN49" s="21">
        <v>0</v>
      </c>
      <c r="AO49" s="21">
        <v>0</v>
      </c>
      <c r="AP49" s="21">
        <v>0</v>
      </c>
      <c r="AQ49" s="21">
        <v>0</v>
      </c>
      <c r="AR49" s="21">
        <v>0</v>
      </c>
      <c r="AS49" s="21">
        <v>0</v>
      </c>
      <c r="AT49" s="21">
        <v>0</v>
      </c>
      <c r="AU49" s="21">
        <v>0</v>
      </c>
      <c r="AV49" s="21">
        <v>1</v>
      </c>
      <c r="AW49" s="21">
        <v>1</v>
      </c>
      <c r="AX49" s="21">
        <v>0</v>
      </c>
      <c r="AY49" s="21">
        <v>0</v>
      </c>
      <c r="AZ49" s="21">
        <v>0</v>
      </c>
      <c r="BA49" s="21">
        <v>0</v>
      </c>
      <c r="BB49" s="21">
        <v>0</v>
      </c>
      <c r="BC49" s="21">
        <v>0</v>
      </c>
      <c r="BD49" s="21">
        <v>0</v>
      </c>
      <c r="BE49" s="21">
        <v>0</v>
      </c>
      <c r="BF49" s="21">
        <v>0</v>
      </c>
      <c r="BG49" s="21">
        <v>0</v>
      </c>
      <c r="BI49" s="3"/>
      <c r="BJ49" s="3"/>
      <c r="BK49" s="3"/>
      <c r="BL49" s="3"/>
      <c r="BM49" s="3"/>
      <c r="BN49" s="3"/>
      <c r="BO49" s="3"/>
    </row>
    <row r="50" spans="1:100" ht="15.75" customHeight="1" x14ac:dyDescent="0.2">
      <c r="A50" s="15" t="s">
        <v>255</v>
      </c>
      <c r="B50" s="21">
        <v>0</v>
      </c>
      <c r="C50" s="21">
        <v>2</v>
      </c>
      <c r="D50" s="21">
        <v>0</v>
      </c>
      <c r="E50" s="21">
        <v>38</v>
      </c>
      <c r="F50" s="21">
        <v>0</v>
      </c>
      <c r="G50" s="21">
        <v>0</v>
      </c>
      <c r="H50" s="21">
        <v>0</v>
      </c>
      <c r="I50" s="21">
        <v>5</v>
      </c>
      <c r="J50" s="21">
        <v>0</v>
      </c>
      <c r="K50" s="21">
        <v>0</v>
      </c>
      <c r="L50" s="21">
        <v>0</v>
      </c>
      <c r="M50" s="21">
        <v>0</v>
      </c>
      <c r="N50" s="21">
        <v>0</v>
      </c>
      <c r="O50" s="21">
        <v>0</v>
      </c>
      <c r="P50" s="21">
        <v>0</v>
      </c>
      <c r="Q50" s="21">
        <v>0</v>
      </c>
      <c r="R50" s="21">
        <v>0</v>
      </c>
      <c r="S50" s="21">
        <v>0</v>
      </c>
      <c r="T50" s="21">
        <v>0</v>
      </c>
      <c r="U50" s="21">
        <v>0</v>
      </c>
      <c r="V50" s="21">
        <v>0</v>
      </c>
      <c r="W50" s="21">
        <v>0</v>
      </c>
      <c r="X50" s="21">
        <v>0</v>
      </c>
      <c r="Y50" s="21">
        <v>0</v>
      </c>
      <c r="Z50" s="21">
        <v>0</v>
      </c>
      <c r="AA50" s="21">
        <v>0</v>
      </c>
      <c r="AB50" s="21">
        <v>0</v>
      </c>
      <c r="AC50" s="21">
        <v>0</v>
      </c>
      <c r="AD50" s="21">
        <v>0</v>
      </c>
      <c r="AE50" s="21">
        <v>0</v>
      </c>
      <c r="AF50" s="21">
        <v>0</v>
      </c>
      <c r="AG50" s="21">
        <v>0</v>
      </c>
      <c r="AH50" s="21">
        <v>0</v>
      </c>
      <c r="AI50" s="21">
        <v>0</v>
      </c>
      <c r="AJ50" s="21">
        <v>0</v>
      </c>
      <c r="AK50" s="21">
        <v>0</v>
      </c>
      <c r="AL50" s="21">
        <v>0</v>
      </c>
      <c r="AM50" s="21">
        <v>0</v>
      </c>
      <c r="AN50" s="21">
        <v>0</v>
      </c>
      <c r="AO50" s="21">
        <v>0</v>
      </c>
      <c r="AP50" s="21">
        <v>0</v>
      </c>
      <c r="AQ50" s="21">
        <v>0</v>
      </c>
      <c r="AR50" s="21">
        <v>0</v>
      </c>
      <c r="AS50" s="21">
        <v>0</v>
      </c>
      <c r="AT50" s="21">
        <v>0</v>
      </c>
      <c r="AU50" s="21">
        <v>0</v>
      </c>
      <c r="AV50" s="21">
        <v>2</v>
      </c>
      <c r="AW50" s="21">
        <v>0</v>
      </c>
      <c r="AX50" s="21">
        <v>1</v>
      </c>
      <c r="AY50" s="21">
        <v>2</v>
      </c>
      <c r="AZ50" s="21">
        <v>0</v>
      </c>
      <c r="BA50" s="21">
        <v>0</v>
      </c>
      <c r="BB50" s="21">
        <v>0</v>
      </c>
      <c r="BC50" s="21">
        <v>0</v>
      </c>
      <c r="BD50" s="21">
        <v>0</v>
      </c>
      <c r="BE50" s="21">
        <v>0</v>
      </c>
      <c r="BF50" s="21">
        <v>0</v>
      </c>
      <c r="BG50" s="21">
        <v>0</v>
      </c>
      <c r="BI50" s="3"/>
      <c r="BJ50" s="3"/>
      <c r="BK50" s="3"/>
      <c r="BL50" s="3"/>
      <c r="BM50" s="3"/>
      <c r="BN50" s="3"/>
      <c r="BO50" s="3"/>
    </row>
    <row r="51" spans="1:100" ht="15.75" customHeight="1" x14ac:dyDescent="0.2">
      <c r="A51" s="15" t="s">
        <v>256</v>
      </c>
      <c r="B51" s="21">
        <v>1</v>
      </c>
      <c r="C51" s="4">
        <v>0</v>
      </c>
      <c r="D51" s="4">
        <v>0</v>
      </c>
      <c r="E51" s="21">
        <v>75</v>
      </c>
      <c r="F51" s="4">
        <v>0</v>
      </c>
      <c r="G51" s="4">
        <v>0</v>
      </c>
      <c r="H51" s="4">
        <v>0</v>
      </c>
      <c r="I51" s="21">
        <v>24</v>
      </c>
      <c r="J51" s="4">
        <v>0</v>
      </c>
      <c r="K51" s="4">
        <v>0</v>
      </c>
      <c r="L51" s="4">
        <v>0</v>
      </c>
      <c r="M51" s="4">
        <v>0</v>
      </c>
      <c r="N51" s="4">
        <v>0</v>
      </c>
      <c r="O51" s="4">
        <v>0</v>
      </c>
      <c r="P51" s="4">
        <v>0</v>
      </c>
      <c r="Q51" s="4">
        <v>0</v>
      </c>
      <c r="R51" s="4">
        <v>0</v>
      </c>
      <c r="S51" s="4">
        <v>0</v>
      </c>
      <c r="T51" s="4">
        <v>0</v>
      </c>
      <c r="U51" s="4">
        <v>0</v>
      </c>
      <c r="V51" s="4">
        <v>0</v>
      </c>
      <c r="W51" s="4">
        <v>0</v>
      </c>
      <c r="X51" s="4">
        <v>0</v>
      </c>
      <c r="Y51" s="4">
        <v>0</v>
      </c>
      <c r="Z51" s="4">
        <v>0</v>
      </c>
      <c r="AA51" s="4">
        <v>0</v>
      </c>
      <c r="AB51" s="4">
        <v>0</v>
      </c>
      <c r="AC51" s="4">
        <v>0</v>
      </c>
      <c r="AD51" s="4">
        <v>0</v>
      </c>
      <c r="AE51" s="4">
        <v>0</v>
      </c>
      <c r="AF51" s="4">
        <v>0</v>
      </c>
      <c r="AG51" s="4">
        <v>0</v>
      </c>
      <c r="AH51" s="4">
        <v>0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">
        <v>0</v>
      </c>
      <c r="AO51" s="4">
        <v>0</v>
      </c>
      <c r="AP51" s="4">
        <v>0</v>
      </c>
      <c r="AQ51" s="4">
        <v>0</v>
      </c>
      <c r="AR51" s="4">
        <v>0</v>
      </c>
      <c r="AS51" s="4">
        <v>0</v>
      </c>
      <c r="AT51" s="4">
        <v>0</v>
      </c>
      <c r="AU51" s="4">
        <v>0</v>
      </c>
      <c r="AV51" s="4">
        <v>0</v>
      </c>
      <c r="AW51" s="4">
        <v>0</v>
      </c>
      <c r="AX51" s="21">
        <v>2</v>
      </c>
      <c r="AY51" s="4">
        <v>0</v>
      </c>
      <c r="AZ51" s="4">
        <v>0</v>
      </c>
      <c r="BA51" s="4">
        <v>0</v>
      </c>
      <c r="BB51" s="4">
        <v>0</v>
      </c>
      <c r="BC51" s="4">
        <v>0</v>
      </c>
      <c r="BD51" s="4">
        <v>0</v>
      </c>
      <c r="BE51" s="4">
        <v>0</v>
      </c>
      <c r="BF51" s="4">
        <v>0</v>
      </c>
      <c r="BG51" s="4">
        <v>0</v>
      </c>
      <c r="BH51" s="23"/>
      <c r="BI51" s="4"/>
      <c r="BJ51" s="4"/>
      <c r="BK51" s="4"/>
      <c r="BL51" s="4"/>
      <c r="BM51" s="4"/>
      <c r="BN51" s="4"/>
      <c r="BO51" s="4"/>
      <c r="BP51" s="23"/>
      <c r="BQ51" s="23"/>
      <c r="BR51" s="23"/>
      <c r="BS51" s="23"/>
      <c r="BT51" s="23"/>
      <c r="BU51" s="23"/>
      <c r="BV51" s="23"/>
      <c r="BW51" s="23"/>
      <c r="BX51" s="23"/>
      <c r="BY51" s="23"/>
      <c r="BZ51" s="23"/>
      <c r="CA51" s="23"/>
      <c r="CB51" s="23"/>
      <c r="CC51" s="23"/>
      <c r="CD51" s="23"/>
      <c r="CE51" s="23"/>
      <c r="CF51" s="23"/>
      <c r="CG51" s="23"/>
      <c r="CH51" s="23"/>
      <c r="CI51" s="23"/>
      <c r="CJ51" s="23"/>
      <c r="CK51" s="23"/>
      <c r="CL51" s="23"/>
      <c r="CM51" s="23"/>
      <c r="CN51" s="23"/>
      <c r="CO51" s="23"/>
      <c r="CP51" s="23"/>
      <c r="CQ51" s="23"/>
      <c r="CR51" s="23"/>
      <c r="CS51" s="23"/>
      <c r="CT51" s="23"/>
      <c r="CU51" s="23"/>
      <c r="CV51" s="23"/>
    </row>
    <row r="52" spans="1:100" ht="15.75" customHeight="1" x14ac:dyDescent="0.2">
      <c r="A52" s="15" t="s">
        <v>257</v>
      </c>
      <c r="B52" s="4">
        <v>0</v>
      </c>
      <c r="C52" s="4">
        <v>0</v>
      </c>
      <c r="D52" s="4">
        <v>0</v>
      </c>
      <c r="E52" s="21">
        <v>65</v>
      </c>
      <c r="F52" s="4">
        <v>0</v>
      </c>
      <c r="G52" s="4">
        <v>0</v>
      </c>
      <c r="H52" s="4">
        <v>0</v>
      </c>
      <c r="I52" s="21">
        <v>8</v>
      </c>
      <c r="J52" s="4">
        <v>0</v>
      </c>
      <c r="K52" s="4">
        <v>0</v>
      </c>
      <c r="L52" s="4">
        <v>0</v>
      </c>
      <c r="M52" s="4">
        <v>0</v>
      </c>
      <c r="N52" s="4">
        <v>0</v>
      </c>
      <c r="O52" s="4">
        <v>0</v>
      </c>
      <c r="P52" s="4">
        <v>0</v>
      </c>
      <c r="Q52" s="4">
        <v>0</v>
      </c>
      <c r="R52" s="4">
        <v>0</v>
      </c>
      <c r="S52" s="4">
        <v>0</v>
      </c>
      <c r="T52" s="4">
        <v>0</v>
      </c>
      <c r="U52" s="4">
        <v>0</v>
      </c>
      <c r="V52" s="4">
        <v>0</v>
      </c>
      <c r="W52" s="4">
        <v>0</v>
      </c>
      <c r="X52" s="4">
        <v>0</v>
      </c>
      <c r="Y52" s="4">
        <v>0</v>
      </c>
      <c r="Z52" s="4">
        <v>0</v>
      </c>
      <c r="AA52" s="4">
        <v>0</v>
      </c>
      <c r="AB52" s="4">
        <v>0</v>
      </c>
      <c r="AC52" s="4">
        <v>0</v>
      </c>
      <c r="AD52" s="4">
        <v>0</v>
      </c>
      <c r="AE52" s="4">
        <v>0</v>
      </c>
      <c r="AF52" s="4">
        <v>0</v>
      </c>
      <c r="AG52" s="4">
        <v>0</v>
      </c>
      <c r="AH52" s="4">
        <v>0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">
        <v>0</v>
      </c>
      <c r="AO52" s="4">
        <v>0</v>
      </c>
      <c r="AP52" s="4">
        <v>0</v>
      </c>
      <c r="AQ52" s="4">
        <v>0</v>
      </c>
      <c r="AR52" s="4">
        <v>0</v>
      </c>
      <c r="AS52" s="4">
        <v>0</v>
      </c>
      <c r="AT52" s="4">
        <v>0</v>
      </c>
      <c r="AU52" s="4">
        <v>0</v>
      </c>
      <c r="AV52" s="21">
        <v>7</v>
      </c>
      <c r="AW52" s="4">
        <v>0</v>
      </c>
      <c r="AX52" s="4">
        <v>0</v>
      </c>
      <c r="AY52" s="4">
        <v>0</v>
      </c>
      <c r="AZ52" s="4">
        <v>0</v>
      </c>
      <c r="BA52" s="4">
        <v>0</v>
      </c>
      <c r="BB52" s="4">
        <v>0</v>
      </c>
      <c r="BC52" s="4">
        <v>0</v>
      </c>
      <c r="BD52" s="4">
        <v>0</v>
      </c>
      <c r="BE52" s="4">
        <v>0</v>
      </c>
      <c r="BF52" s="4">
        <v>0</v>
      </c>
      <c r="BG52" s="4">
        <v>0</v>
      </c>
      <c r="BH52" s="23"/>
      <c r="BI52" s="4"/>
      <c r="BJ52" s="4"/>
      <c r="BK52" s="4"/>
      <c r="BL52" s="4"/>
      <c r="BM52" s="4"/>
      <c r="BN52" s="4"/>
      <c r="BO52" s="4"/>
      <c r="BP52" s="23"/>
      <c r="BQ52" s="23"/>
      <c r="BR52" s="23"/>
      <c r="BS52" s="23"/>
      <c r="BT52" s="23"/>
      <c r="BU52" s="23"/>
      <c r="BV52" s="23"/>
      <c r="BW52" s="23"/>
      <c r="BX52" s="23"/>
      <c r="BY52" s="23"/>
      <c r="BZ52" s="23"/>
      <c r="CA52" s="23"/>
      <c r="CB52" s="23"/>
      <c r="CC52" s="23"/>
      <c r="CD52" s="23"/>
      <c r="CE52" s="23"/>
      <c r="CF52" s="23"/>
      <c r="CG52" s="23"/>
      <c r="CH52" s="23"/>
      <c r="CI52" s="23"/>
      <c r="CJ52" s="23"/>
      <c r="CK52" s="23"/>
      <c r="CL52" s="23"/>
      <c r="CM52" s="23"/>
      <c r="CN52" s="23"/>
      <c r="CO52" s="23"/>
      <c r="CP52" s="23"/>
      <c r="CQ52" s="23"/>
      <c r="CR52" s="23"/>
      <c r="CS52" s="23"/>
      <c r="CT52" s="23"/>
      <c r="CU52" s="23"/>
      <c r="CV52" s="23"/>
    </row>
    <row r="53" spans="1:100" ht="15.75" customHeight="1" x14ac:dyDescent="0.2">
      <c r="A53" s="15" t="s">
        <v>258</v>
      </c>
      <c r="B53" s="4">
        <v>0</v>
      </c>
      <c r="C53" s="4">
        <v>0</v>
      </c>
      <c r="D53" s="4">
        <v>0</v>
      </c>
      <c r="E53" s="21">
        <v>110</v>
      </c>
      <c r="F53" s="4">
        <v>0</v>
      </c>
      <c r="G53" s="4">
        <v>0</v>
      </c>
      <c r="H53" s="4">
        <v>0</v>
      </c>
      <c r="I53" s="21">
        <v>50</v>
      </c>
      <c r="J53" s="4">
        <v>0</v>
      </c>
      <c r="K53" s="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0</v>
      </c>
      <c r="T53" s="4">
        <v>0</v>
      </c>
      <c r="U53" s="4">
        <v>0</v>
      </c>
      <c r="V53" s="4">
        <v>0</v>
      </c>
      <c r="W53" s="4">
        <v>0</v>
      </c>
      <c r="X53" s="4">
        <v>0</v>
      </c>
      <c r="Y53" s="4">
        <v>0</v>
      </c>
      <c r="Z53" s="4">
        <v>0</v>
      </c>
      <c r="AA53" s="4">
        <v>0</v>
      </c>
      <c r="AB53" s="4">
        <v>0</v>
      </c>
      <c r="AC53" s="4">
        <v>0</v>
      </c>
      <c r="AD53" s="4">
        <v>0</v>
      </c>
      <c r="AE53" s="4">
        <v>0</v>
      </c>
      <c r="AF53" s="4">
        <v>0</v>
      </c>
      <c r="AG53" s="4">
        <v>0</v>
      </c>
      <c r="AH53" s="4">
        <v>0</v>
      </c>
      <c r="AI53" s="4">
        <v>0</v>
      </c>
      <c r="AJ53" s="4">
        <v>0</v>
      </c>
      <c r="AK53" s="4">
        <v>0</v>
      </c>
      <c r="AL53" s="21">
        <v>2</v>
      </c>
      <c r="AM53" s="4">
        <v>0</v>
      </c>
      <c r="AN53" s="4">
        <v>0</v>
      </c>
      <c r="AO53" s="4">
        <v>0</v>
      </c>
      <c r="AP53" s="4">
        <v>0</v>
      </c>
      <c r="AQ53" s="4">
        <v>0</v>
      </c>
      <c r="AR53" s="4">
        <v>0</v>
      </c>
      <c r="AS53" s="4">
        <v>0</v>
      </c>
      <c r="AT53" s="4">
        <v>0</v>
      </c>
      <c r="AU53" s="4">
        <v>0</v>
      </c>
      <c r="AV53" s="21">
        <v>18</v>
      </c>
      <c r="AW53" s="4">
        <v>0</v>
      </c>
      <c r="AX53" s="4">
        <v>0</v>
      </c>
      <c r="AY53" s="4">
        <v>0</v>
      </c>
      <c r="AZ53" s="4">
        <v>0</v>
      </c>
      <c r="BA53" s="4">
        <v>0</v>
      </c>
      <c r="BB53" s="4">
        <v>0</v>
      </c>
      <c r="BC53" s="4">
        <v>0</v>
      </c>
      <c r="BD53" s="4">
        <v>0</v>
      </c>
      <c r="BE53" s="4">
        <v>0</v>
      </c>
      <c r="BF53" s="4">
        <v>0</v>
      </c>
      <c r="BG53" s="4">
        <v>0</v>
      </c>
      <c r="BH53" s="23"/>
      <c r="BI53" s="4"/>
      <c r="BJ53" s="4"/>
      <c r="BK53" s="4"/>
      <c r="BL53" s="4"/>
      <c r="BM53" s="4"/>
      <c r="BN53" s="4"/>
      <c r="BO53" s="4"/>
      <c r="BP53" s="23"/>
      <c r="BQ53" s="23"/>
      <c r="BR53" s="23"/>
      <c r="BS53" s="23"/>
      <c r="BT53" s="23"/>
      <c r="BU53" s="23"/>
      <c r="BV53" s="23"/>
      <c r="BW53" s="23"/>
      <c r="BX53" s="23"/>
      <c r="BY53" s="23"/>
      <c r="BZ53" s="23"/>
      <c r="CA53" s="23"/>
      <c r="CB53" s="23"/>
      <c r="CC53" s="23"/>
      <c r="CD53" s="23"/>
      <c r="CE53" s="23"/>
      <c r="CF53" s="23"/>
      <c r="CG53" s="23"/>
      <c r="CH53" s="23"/>
      <c r="CI53" s="23"/>
      <c r="CJ53" s="23"/>
      <c r="CK53" s="23"/>
      <c r="CL53" s="23"/>
      <c r="CM53" s="23"/>
      <c r="CN53" s="23"/>
      <c r="CO53" s="23"/>
      <c r="CP53" s="23"/>
      <c r="CQ53" s="23"/>
      <c r="CR53" s="23"/>
      <c r="CS53" s="23"/>
      <c r="CT53" s="23"/>
      <c r="CU53" s="23"/>
      <c r="CV53" s="23"/>
    </row>
    <row r="54" spans="1:100" ht="15.75" customHeight="1" x14ac:dyDescent="0.2">
      <c r="A54" s="15" t="s">
        <v>259</v>
      </c>
      <c r="B54" s="21">
        <v>3</v>
      </c>
      <c r="C54" s="4">
        <v>0</v>
      </c>
      <c r="D54" s="4">
        <v>0</v>
      </c>
      <c r="E54" s="21">
        <v>67</v>
      </c>
      <c r="F54" s="4">
        <v>0</v>
      </c>
      <c r="G54" s="4">
        <v>0</v>
      </c>
      <c r="H54" s="4">
        <v>0</v>
      </c>
      <c r="I54" s="21">
        <v>2</v>
      </c>
      <c r="J54" s="4">
        <v>0</v>
      </c>
      <c r="K54" s="4">
        <v>0</v>
      </c>
      <c r="L54" s="4">
        <v>0</v>
      </c>
      <c r="M54" s="4">
        <v>0</v>
      </c>
      <c r="N54" s="4">
        <v>0</v>
      </c>
      <c r="O54" s="4">
        <v>0</v>
      </c>
      <c r="P54" s="4">
        <v>0</v>
      </c>
      <c r="Q54" s="4">
        <v>0</v>
      </c>
      <c r="R54" s="4">
        <v>0</v>
      </c>
      <c r="S54" s="4">
        <v>0</v>
      </c>
      <c r="T54" s="4">
        <v>0</v>
      </c>
      <c r="U54" s="4">
        <v>0</v>
      </c>
      <c r="V54" s="4">
        <v>0</v>
      </c>
      <c r="W54" s="4">
        <v>0</v>
      </c>
      <c r="X54" s="4">
        <v>0</v>
      </c>
      <c r="Y54" s="21">
        <v>1</v>
      </c>
      <c r="Z54" s="4">
        <v>0</v>
      </c>
      <c r="AA54" s="4">
        <v>0</v>
      </c>
      <c r="AB54" s="4">
        <v>0</v>
      </c>
      <c r="AC54" s="4">
        <v>0</v>
      </c>
      <c r="AD54" s="4">
        <v>0</v>
      </c>
      <c r="AE54" s="4">
        <v>0</v>
      </c>
      <c r="AF54" s="4">
        <v>0</v>
      </c>
      <c r="AG54" s="4">
        <v>0</v>
      </c>
      <c r="AH54" s="4">
        <v>0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 s="4">
        <v>0</v>
      </c>
      <c r="AP54" s="4">
        <v>0</v>
      </c>
      <c r="AQ54" s="4">
        <v>0</v>
      </c>
      <c r="AR54" s="4">
        <v>0</v>
      </c>
      <c r="AS54" s="4">
        <v>0</v>
      </c>
      <c r="AT54" s="4">
        <v>0</v>
      </c>
      <c r="AU54" s="4">
        <v>0</v>
      </c>
      <c r="AV54" s="21">
        <v>8</v>
      </c>
      <c r="AW54" s="4">
        <v>0</v>
      </c>
      <c r="AX54" s="21">
        <v>1</v>
      </c>
      <c r="AY54" s="4">
        <v>0</v>
      </c>
      <c r="AZ54" s="4">
        <v>0</v>
      </c>
      <c r="BA54" s="4">
        <v>0</v>
      </c>
      <c r="BB54" s="4">
        <v>0</v>
      </c>
      <c r="BC54" s="4">
        <v>0</v>
      </c>
      <c r="BD54" s="4">
        <v>0</v>
      </c>
      <c r="BE54" s="4">
        <v>0</v>
      </c>
      <c r="BF54" s="4">
        <v>0</v>
      </c>
      <c r="BG54" s="4">
        <v>0</v>
      </c>
      <c r="BH54" s="23"/>
      <c r="BI54" s="4"/>
      <c r="BJ54" s="4"/>
      <c r="BK54" s="4"/>
      <c r="BL54" s="4"/>
      <c r="BM54" s="4"/>
      <c r="BN54" s="4"/>
      <c r="BO54" s="4"/>
      <c r="BP54" s="23"/>
      <c r="BQ54" s="23"/>
      <c r="BR54" s="23"/>
      <c r="BS54" s="23"/>
      <c r="BT54" s="23"/>
      <c r="BU54" s="23"/>
      <c r="BV54" s="23"/>
      <c r="BW54" s="23"/>
      <c r="BX54" s="23"/>
      <c r="BY54" s="23"/>
      <c r="BZ54" s="23"/>
      <c r="CA54" s="23"/>
      <c r="CB54" s="23"/>
      <c r="CC54" s="23"/>
      <c r="CD54" s="23"/>
      <c r="CE54" s="23"/>
      <c r="CF54" s="23"/>
      <c r="CG54" s="23"/>
      <c r="CH54" s="23"/>
      <c r="CI54" s="23"/>
      <c r="CJ54" s="23"/>
      <c r="CK54" s="23"/>
      <c r="CL54" s="23"/>
      <c r="CM54" s="23"/>
      <c r="CN54" s="23"/>
      <c r="CO54" s="23"/>
      <c r="CP54" s="23"/>
      <c r="CQ54" s="23"/>
      <c r="CR54" s="23"/>
      <c r="CS54" s="23"/>
      <c r="CT54" s="23"/>
      <c r="CU54" s="23"/>
      <c r="CV54" s="23"/>
    </row>
    <row r="55" spans="1:100" ht="15.75" customHeight="1" x14ac:dyDescent="0.2">
      <c r="A55" s="15" t="s">
        <v>260</v>
      </c>
      <c r="B55" s="21">
        <v>1</v>
      </c>
      <c r="C55" s="4">
        <v>0</v>
      </c>
      <c r="D55" s="4">
        <v>0</v>
      </c>
      <c r="E55" s="21">
        <v>65</v>
      </c>
      <c r="F55" s="4">
        <v>0</v>
      </c>
      <c r="G55" s="4">
        <v>0</v>
      </c>
      <c r="H55" s="4">
        <v>0</v>
      </c>
      <c r="I55" s="21">
        <v>5</v>
      </c>
      <c r="J55" s="4">
        <v>0</v>
      </c>
      <c r="K55" s="4">
        <v>0</v>
      </c>
      <c r="L55" s="4">
        <v>0</v>
      </c>
      <c r="M55" s="4">
        <v>0</v>
      </c>
      <c r="N55" s="4">
        <v>0</v>
      </c>
      <c r="O55" s="4">
        <v>0</v>
      </c>
      <c r="P55" s="4">
        <v>0</v>
      </c>
      <c r="Q55" s="4">
        <v>0</v>
      </c>
      <c r="R55" s="4">
        <v>0</v>
      </c>
      <c r="S55" s="4">
        <v>0</v>
      </c>
      <c r="T55" s="4">
        <v>0</v>
      </c>
      <c r="U55" s="4">
        <v>0</v>
      </c>
      <c r="V55" s="4">
        <v>0</v>
      </c>
      <c r="W55" s="4">
        <v>0</v>
      </c>
      <c r="X55" s="4">
        <v>0</v>
      </c>
      <c r="Y55" s="4">
        <v>0</v>
      </c>
      <c r="Z55" s="4">
        <v>0</v>
      </c>
      <c r="AA55" s="4">
        <v>0</v>
      </c>
      <c r="AB55" s="4">
        <v>0</v>
      </c>
      <c r="AC55" s="4">
        <v>0</v>
      </c>
      <c r="AD55" s="4">
        <v>0</v>
      </c>
      <c r="AE55" s="4">
        <v>0</v>
      </c>
      <c r="AF55" s="4">
        <v>0</v>
      </c>
      <c r="AG55" s="4">
        <v>0</v>
      </c>
      <c r="AH55" s="4">
        <v>0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 s="4">
        <v>0</v>
      </c>
      <c r="AP55" s="4">
        <v>0</v>
      </c>
      <c r="AQ55" s="4">
        <v>0</v>
      </c>
      <c r="AR55" s="4">
        <v>0</v>
      </c>
      <c r="AS55" s="4">
        <v>0</v>
      </c>
      <c r="AT55" s="4">
        <v>0</v>
      </c>
      <c r="AU55" s="4">
        <v>0</v>
      </c>
      <c r="AV55" s="21">
        <v>1</v>
      </c>
      <c r="AW55" s="4">
        <v>0</v>
      </c>
      <c r="AX55" s="4">
        <v>0</v>
      </c>
      <c r="AY55" s="4">
        <v>0</v>
      </c>
      <c r="AZ55" s="4">
        <v>0</v>
      </c>
      <c r="BA55" s="4">
        <v>0</v>
      </c>
      <c r="BB55" s="4">
        <v>0</v>
      </c>
      <c r="BC55" s="4">
        <v>0</v>
      </c>
      <c r="BD55" s="4">
        <v>0</v>
      </c>
      <c r="BE55" s="4">
        <v>0</v>
      </c>
      <c r="BF55" s="4">
        <v>0</v>
      </c>
      <c r="BG55" s="4">
        <v>0</v>
      </c>
      <c r="BH55" s="23"/>
      <c r="BI55" s="4"/>
      <c r="BJ55" s="4"/>
      <c r="BK55" s="4"/>
      <c r="BL55" s="4"/>
      <c r="BM55" s="4"/>
      <c r="BN55" s="4"/>
      <c r="BO55" s="4"/>
      <c r="BP55" s="23"/>
      <c r="BQ55" s="23"/>
      <c r="BR55" s="23"/>
      <c r="BS55" s="23"/>
      <c r="BT55" s="23"/>
      <c r="BU55" s="23"/>
      <c r="BV55" s="23"/>
      <c r="BW55" s="23"/>
      <c r="BX55" s="23"/>
      <c r="BY55" s="23"/>
      <c r="BZ55" s="23"/>
      <c r="CA55" s="23"/>
      <c r="CB55" s="23"/>
      <c r="CC55" s="23"/>
      <c r="CD55" s="23"/>
      <c r="CE55" s="23"/>
      <c r="CF55" s="23"/>
      <c r="CG55" s="23"/>
      <c r="CH55" s="23"/>
      <c r="CI55" s="23"/>
      <c r="CJ55" s="23"/>
      <c r="CK55" s="23"/>
      <c r="CL55" s="23"/>
      <c r="CM55" s="23"/>
      <c r="CN55" s="23"/>
      <c r="CO55" s="23"/>
      <c r="CP55" s="23"/>
      <c r="CQ55" s="23"/>
      <c r="CR55" s="23"/>
      <c r="CS55" s="23"/>
      <c r="CT55" s="23"/>
      <c r="CU55" s="23"/>
      <c r="CV55" s="23"/>
    </row>
    <row r="56" spans="1:100" ht="15.75" customHeight="1" x14ac:dyDescent="0.2">
      <c r="A56" s="15" t="s">
        <v>261</v>
      </c>
      <c r="B56" s="4">
        <v>0</v>
      </c>
      <c r="C56" s="4">
        <v>0</v>
      </c>
      <c r="D56" s="4">
        <v>0</v>
      </c>
      <c r="E56" s="21">
        <v>67</v>
      </c>
      <c r="F56" s="4">
        <v>0</v>
      </c>
      <c r="G56" s="4">
        <v>0</v>
      </c>
      <c r="H56" s="4">
        <v>0</v>
      </c>
      <c r="I56" s="21">
        <v>2</v>
      </c>
      <c r="J56" s="4">
        <v>0</v>
      </c>
      <c r="K56" s="4">
        <v>0</v>
      </c>
      <c r="L56" s="4">
        <v>0</v>
      </c>
      <c r="M56" s="4">
        <v>0</v>
      </c>
      <c r="N56" s="4">
        <v>0</v>
      </c>
      <c r="O56" s="4">
        <v>0</v>
      </c>
      <c r="P56" s="4">
        <v>0</v>
      </c>
      <c r="Q56" s="4">
        <v>0</v>
      </c>
      <c r="R56" s="4">
        <v>0</v>
      </c>
      <c r="S56" s="4">
        <v>0</v>
      </c>
      <c r="T56" s="4">
        <v>0</v>
      </c>
      <c r="U56" s="4">
        <v>0</v>
      </c>
      <c r="V56" s="4">
        <v>0</v>
      </c>
      <c r="W56" s="4">
        <v>0</v>
      </c>
      <c r="X56" s="4">
        <v>0</v>
      </c>
      <c r="Y56" s="21">
        <v>1</v>
      </c>
      <c r="Z56" s="4">
        <v>0</v>
      </c>
      <c r="AA56" s="4">
        <v>0</v>
      </c>
      <c r="AB56" s="4">
        <v>0</v>
      </c>
      <c r="AC56" s="4">
        <v>0</v>
      </c>
      <c r="AD56" s="4">
        <v>0</v>
      </c>
      <c r="AE56" s="4">
        <v>0</v>
      </c>
      <c r="AF56" s="4">
        <v>0</v>
      </c>
      <c r="AG56" s="4">
        <v>0</v>
      </c>
      <c r="AH56" s="4"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 s="4">
        <v>0</v>
      </c>
      <c r="AP56" s="4">
        <v>0</v>
      </c>
      <c r="AQ56" s="4">
        <v>0</v>
      </c>
      <c r="AR56" s="4">
        <v>0</v>
      </c>
      <c r="AS56" s="4">
        <v>0</v>
      </c>
      <c r="AT56" s="4">
        <v>0</v>
      </c>
      <c r="AU56" s="4">
        <v>0</v>
      </c>
      <c r="AV56" s="4">
        <v>0</v>
      </c>
      <c r="AW56" s="4">
        <v>0</v>
      </c>
      <c r="AX56" s="4">
        <v>0</v>
      </c>
      <c r="AY56" s="4">
        <v>0</v>
      </c>
      <c r="AZ56" s="4">
        <v>0</v>
      </c>
      <c r="BA56" s="4">
        <v>0</v>
      </c>
      <c r="BB56" s="4">
        <v>0</v>
      </c>
      <c r="BC56" s="4">
        <v>0</v>
      </c>
      <c r="BD56" s="21">
        <v>1</v>
      </c>
      <c r="BE56" s="4">
        <v>0</v>
      </c>
      <c r="BF56" s="4">
        <v>0</v>
      </c>
      <c r="BG56" s="4">
        <v>0</v>
      </c>
      <c r="BH56" s="23"/>
      <c r="BI56" s="4"/>
      <c r="BJ56" s="4"/>
      <c r="BK56" s="4"/>
      <c r="BL56" s="4"/>
      <c r="BM56" s="4"/>
      <c r="BN56" s="4"/>
      <c r="BO56" s="4"/>
      <c r="BP56" s="23"/>
      <c r="BQ56" s="23"/>
      <c r="BR56" s="23"/>
      <c r="BS56" s="23"/>
      <c r="BT56" s="23"/>
      <c r="BU56" s="23"/>
      <c r="BV56" s="23"/>
      <c r="BW56" s="23"/>
      <c r="BX56" s="23"/>
      <c r="BY56" s="23"/>
      <c r="BZ56" s="23"/>
      <c r="CA56" s="23"/>
      <c r="CB56" s="23"/>
      <c r="CC56" s="23"/>
      <c r="CD56" s="23"/>
      <c r="CE56" s="23"/>
      <c r="CF56" s="23"/>
      <c r="CG56" s="23"/>
      <c r="CH56" s="23"/>
      <c r="CI56" s="23"/>
      <c r="CJ56" s="23"/>
      <c r="CK56" s="23"/>
      <c r="CL56" s="23"/>
      <c r="CM56" s="23"/>
      <c r="CN56" s="23"/>
      <c r="CO56" s="23"/>
      <c r="CP56" s="23"/>
      <c r="CQ56" s="23"/>
      <c r="CR56" s="23"/>
      <c r="CS56" s="23"/>
      <c r="CT56" s="23"/>
      <c r="CU56" s="23"/>
      <c r="CV56" s="23"/>
    </row>
    <row r="57" spans="1:100" ht="15.75" customHeight="1" x14ac:dyDescent="0.2">
      <c r="A57" s="15" t="s">
        <v>262</v>
      </c>
      <c r="B57" s="21">
        <v>1</v>
      </c>
      <c r="C57" s="4">
        <v>0</v>
      </c>
      <c r="D57" s="4">
        <v>0</v>
      </c>
      <c r="E57" s="21">
        <v>105</v>
      </c>
      <c r="F57" s="4">
        <v>0</v>
      </c>
      <c r="G57" s="4">
        <v>0</v>
      </c>
      <c r="H57" s="4">
        <v>0</v>
      </c>
      <c r="I57" s="21">
        <v>6</v>
      </c>
      <c r="J57" s="4">
        <v>0</v>
      </c>
      <c r="K57" s="4">
        <v>0</v>
      </c>
      <c r="L57" s="4">
        <v>0</v>
      </c>
      <c r="M57" s="4">
        <v>0</v>
      </c>
      <c r="N57" s="4">
        <v>0</v>
      </c>
      <c r="O57" s="4">
        <v>0</v>
      </c>
      <c r="P57" s="4">
        <v>0</v>
      </c>
      <c r="Q57" s="4">
        <v>0</v>
      </c>
      <c r="R57" s="4">
        <v>0</v>
      </c>
      <c r="S57" s="4">
        <v>0</v>
      </c>
      <c r="T57" s="4">
        <v>0</v>
      </c>
      <c r="U57" s="4">
        <v>0</v>
      </c>
      <c r="V57" s="4">
        <v>0</v>
      </c>
      <c r="W57" s="4">
        <v>0</v>
      </c>
      <c r="X57" s="4">
        <v>0</v>
      </c>
      <c r="Y57" s="4">
        <v>0</v>
      </c>
      <c r="Z57" s="4">
        <v>0</v>
      </c>
      <c r="AA57" s="4">
        <v>0</v>
      </c>
      <c r="AB57" s="4">
        <v>0</v>
      </c>
      <c r="AC57" s="4">
        <v>0</v>
      </c>
      <c r="AD57" s="4">
        <v>0</v>
      </c>
      <c r="AE57" s="4">
        <v>0</v>
      </c>
      <c r="AF57" s="4">
        <v>0</v>
      </c>
      <c r="AG57" s="4">
        <v>0</v>
      </c>
      <c r="AH57" s="4">
        <v>0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 s="4">
        <v>0</v>
      </c>
      <c r="AP57" s="4">
        <v>0</v>
      </c>
      <c r="AQ57" s="4">
        <v>0</v>
      </c>
      <c r="AR57" s="4">
        <v>0</v>
      </c>
      <c r="AS57" s="4">
        <v>0</v>
      </c>
      <c r="AT57" s="4">
        <v>0</v>
      </c>
      <c r="AU57" s="4">
        <v>0</v>
      </c>
      <c r="AV57" s="21">
        <v>7</v>
      </c>
      <c r="AW57" s="4">
        <v>0</v>
      </c>
      <c r="AX57" s="4">
        <v>0</v>
      </c>
      <c r="AY57" s="4">
        <v>0</v>
      </c>
      <c r="AZ57" s="4">
        <v>0</v>
      </c>
      <c r="BA57" s="4">
        <v>0</v>
      </c>
      <c r="BB57" s="4">
        <v>0</v>
      </c>
      <c r="BC57" s="4">
        <v>0</v>
      </c>
      <c r="BD57" s="4">
        <v>0</v>
      </c>
      <c r="BE57" s="4">
        <v>0</v>
      </c>
      <c r="BF57" s="4">
        <v>0</v>
      </c>
      <c r="BG57" s="4">
        <v>0</v>
      </c>
      <c r="BH57" s="23"/>
      <c r="BI57" s="4"/>
      <c r="BJ57" s="4"/>
      <c r="BK57" s="4"/>
      <c r="BL57" s="4"/>
      <c r="BM57" s="4"/>
      <c r="BN57" s="4"/>
      <c r="BO57" s="4"/>
      <c r="BP57" s="23"/>
      <c r="BQ57" s="23"/>
      <c r="BR57" s="23"/>
      <c r="BS57" s="23"/>
      <c r="BT57" s="23"/>
      <c r="BU57" s="23"/>
      <c r="BV57" s="23"/>
      <c r="BW57" s="23"/>
      <c r="BX57" s="23"/>
      <c r="BY57" s="23"/>
      <c r="BZ57" s="23"/>
      <c r="CA57" s="23"/>
      <c r="CB57" s="23"/>
      <c r="CC57" s="23"/>
      <c r="CD57" s="23"/>
      <c r="CE57" s="23"/>
      <c r="CF57" s="23"/>
      <c r="CG57" s="23"/>
      <c r="CH57" s="23"/>
      <c r="CI57" s="23"/>
      <c r="CJ57" s="23"/>
      <c r="CK57" s="23"/>
      <c r="CL57" s="23"/>
      <c r="CM57" s="23"/>
      <c r="CN57" s="23"/>
      <c r="CO57" s="23"/>
      <c r="CP57" s="23"/>
      <c r="CQ57" s="23"/>
      <c r="CR57" s="23"/>
      <c r="CS57" s="23"/>
      <c r="CT57" s="23"/>
      <c r="CU57" s="23"/>
      <c r="CV57" s="23"/>
    </row>
    <row r="58" spans="1:100" ht="15.75" customHeight="1" x14ac:dyDescent="0.2">
      <c r="A58" s="15" t="s">
        <v>263</v>
      </c>
      <c r="B58" s="21">
        <v>1</v>
      </c>
      <c r="C58" s="4">
        <v>0</v>
      </c>
      <c r="D58" s="4">
        <v>0</v>
      </c>
      <c r="E58" s="21">
        <v>57</v>
      </c>
      <c r="F58" s="4">
        <v>0</v>
      </c>
      <c r="G58" s="4">
        <v>0</v>
      </c>
      <c r="H58" s="4">
        <v>0</v>
      </c>
      <c r="I58" s="21">
        <v>5</v>
      </c>
      <c r="J58" s="4">
        <v>0</v>
      </c>
      <c r="K58" s="4">
        <v>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0</v>
      </c>
      <c r="T58" s="4">
        <v>0</v>
      </c>
      <c r="U58" s="4">
        <v>0</v>
      </c>
      <c r="V58" s="4">
        <v>0</v>
      </c>
      <c r="W58" s="4">
        <v>0</v>
      </c>
      <c r="X58" s="4">
        <v>0</v>
      </c>
      <c r="Y58" s="4">
        <v>0</v>
      </c>
      <c r="Z58" s="4">
        <v>0</v>
      </c>
      <c r="AA58" s="4">
        <v>0</v>
      </c>
      <c r="AB58" s="4">
        <v>0</v>
      </c>
      <c r="AC58" s="4">
        <v>0</v>
      </c>
      <c r="AD58" s="4">
        <v>0</v>
      </c>
      <c r="AE58" s="4">
        <v>0</v>
      </c>
      <c r="AF58" s="4">
        <v>0</v>
      </c>
      <c r="AG58" s="4">
        <v>0</v>
      </c>
      <c r="AH58" s="4"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 s="4">
        <v>0</v>
      </c>
      <c r="AP58" s="4">
        <v>0</v>
      </c>
      <c r="AQ58" s="4">
        <v>0</v>
      </c>
      <c r="AR58" s="4">
        <v>0</v>
      </c>
      <c r="AS58" s="4">
        <v>0</v>
      </c>
      <c r="AT58" s="4">
        <v>0</v>
      </c>
      <c r="AU58" s="4">
        <v>0</v>
      </c>
      <c r="AV58" s="21">
        <v>6</v>
      </c>
      <c r="AW58" s="4">
        <v>0</v>
      </c>
      <c r="AX58" s="4">
        <v>0</v>
      </c>
      <c r="AY58" s="4">
        <v>0</v>
      </c>
      <c r="AZ58" s="4">
        <v>0</v>
      </c>
      <c r="BA58" s="4">
        <v>0</v>
      </c>
      <c r="BB58" s="4">
        <v>0</v>
      </c>
      <c r="BC58" s="4">
        <v>0</v>
      </c>
      <c r="BD58" s="4">
        <v>0</v>
      </c>
      <c r="BE58" s="4">
        <v>0</v>
      </c>
      <c r="BF58" s="4">
        <v>0</v>
      </c>
      <c r="BG58" s="4">
        <v>0</v>
      </c>
      <c r="BH58" s="23"/>
      <c r="BI58" s="4"/>
      <c r="BJ58" s="4"/>
      <c r="BK58" s="4"/>
      <c r="BL58" s="4"/>
      <c r="BM58" s="4"/>
      <c r="BN58" s="4"/>
      <c r="BO58" s="4"/>
      <c r="BP58" s="23"/>
      <c r="BQ58" s="23"/>
      <c r="BR58" s="23"/>
      <c r="BS58" s="23"/>
      <c r="BT58" s="23"/>
      <c r="BU58" s="23"/>
      <c r="BV58" s="23"/>
      <c r="BW58" s="23"/>
      <c r="BX58" s="23"/>
      <c r="BY58" s="23"/>
      <c r="BZ58" s="23"/>
      <c r="CA58" s="23"/>
      <c r="CB58" s="23"/>
      <c r="CC58" s="23"/>
      <c r="CD58" s="23"/>
      <c r="CE58" s="23"/>
      <c r="CF58" s="23"/>
      <c r="CG58" s="23"/>
      <c r="CH58" s="23"/>
      <c r="CI58" s="23"/>
      <c r="CJ58" s="23"/>
      <c r="CK58" s="23"/>
      <c r="CL58" s="23"/>
      <c r="CM58" s="23"/>
      <c r="CN58" s="23"/>
      <c r="CO58" s="23"/>
      <c r="CP58" s="23"/>
      <c r="CQ58" s="23"/>
      <c r="CR58" s="23"/>
      <c r="CS58" s="23"/>
      <c r="CT58" s="23"/>
      <c r="CU58" s="23"/>
      <c r="CV58" s="23"/>
    </row>
    <row r="59" spans="1:100" ht="15.75" customHeight="1" x14ac:dyDescent="0.2">
      <c r="A59" s="15" t="s">
        <v>264</v>
      </c>
      <c r="B59" s="4">
        <v>0</v>
      </c>
      <c r="C59" s="4">
        <v>0</v>
      </c>
      <c r="D59" s="4">
        <v>0</v>
      </c>
      <c r="E59" s="21">
        <v>67</v>
      </c>
      <c r="F59" s="4">
        <v>0</v>
      </c>
      <c r="G59" s="4">
        <v>0</v>
      </c>
      <c r="H59" s="4">
        <v>0</v>
      </c>
      <c r="I59" s="21">
        <v>3</v>
      </c>
      <c r="J59" s="4">
        <v>0</v>
      </c>
      <c r="K59" s="4">
        <v>0</v>
      </c>
      <c r="L59" s="4">
        <v>0</v>
      </c>
      <c r="M59" s="4">
        <v>0</v>
      </c>
      <c r="N59" s="4">
        <v>0</v>
      </c>
      <c r="O59" s="4">
        <v>0</v>
      </c>
      <c r="P59" s="4">
        <v>0</v>
      </c>
      <c r="Q59" s="4">
        <v>0</v>
      </c>
      <c r="R59" s="4">
        <v>0</v>
      </c>
      <c r="S59" s="4">
        <v>0</v>
      </c>
      <c r="T59" s="4">
        <v>0</v>
      </c>
      <c r="U59" s="4">
        <v>0</v>
      </c>
      <c r="V59" s="4">
        <v>0</v>
      </c>
      <c r="W59" s="4">
        <v>0</v>
      </c>
      <c r="X59" s="4">
        <v>0</v>
      </c>
      <c r="Y59" s="4">
        <v>0</v>
      </c>
      <c r="Z59" s="4">
        <v>0</v>
      </c>
      <c r="AA59" s="4">
        <v>0</v>
      </c>
      <c r="AB59" s="4">
        <v>0</v>
      </c>
      <c r="AC59" s="4">
        <v>0</v>
      </c>
      <c r="AD59" s="4">
        <v>0</v>
      </c>
      <c r="AE59" s="4">
        <v>0</v>
      </c>
      <c r="AF59" s="4">
        <v>0</v>
      </c>
      <c r="AG59" s="4">
        <v>0</v>
      </c>
      <c r="AH59" s="4"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 s="4">
        <v>0</v>
      </c>
      <c r="AP59" s="4">
        <v>0</v>
      </c>
      <c r="AQ59" s="4">
        <v>0</v>
      </c>
      <c r="AR59" s="4">
        <v>0</v>
      </c>
      <c r="AS59" s="4">
        <v>0</v>
      </c>
      <c r="AT59" s="4">
        <v>0</v>
      </c>
      <c r="AU59" s="4">
        <v>0</v>
      </c>
      <c r="AV59" s="21">
        <v>7</v>
      </c>
      <c r="AW59" s="4">
        <v>0</v>
      </c>
      <c r="AX59" s="4">
        <v>0</v>
      </c>
      <c r="AY59" s="4">
        <v>0</v>
      </c>
      <c r="AZ59" s="4">
        <v>0</v>
      </c>
      <c r="BA59" s="4">
        <v>0</v>
      </c>
      <c r="BB59" s="4">
        <v>0</v>
      </c>
      <c r="BC59" s="4">
        <v>0</v>
      </c>
      <c r="BD59" s="4">
        <v>0</v>
      </c>
      <c r="BE59" s="4">
        <v>0</v>
      </c>
      <c r="BF59" s="4">
        <v>0</v>
      </c>
      <c r="BG59" s="4">
        <v>0</v>
      </c>
      <c r="BH59" s="23"/>
      <c r="BI59" s="4"/>
      <c r="BJ59" s="4"/>
      <c r="BK59" s="4"/>
      <c r="BL59" s="4"/>
      <c r="BM59" s="4"/>
      <c r="BN59" s="4"/>
      <c r="BO59" s="4"/>
      <c r="BP59" s="23"/>
      <c r="BQ59" s="23"/>
      <c r="BR59" s="23"/>
      <c r="BS59" s="23"/>
      <c r="BT59" s="23"/>
      <c r="BU59" s="23"/>
      <c r="BV59" s="23"/>
      <c r="BW59" s="23"/>
      <c r="BX59" s="23"/>
      <c r="BY59" s="23"/>
      <c r="BZ59" s="23"/>
      <c r="CA59" s="23"/>
      <c r="CB59" s="23"/>
      <c r="CC59" s="23"/>
      <c r="CD59" s="23"/>
      <c r="CE59" s="23"/>
      <c r="CF59" s="23"/>
      <c r="CG59" s="23"/>
      <c r="CH59" s="23"/>
      <c r="CI59" s="23"/>
      <c r="CJ59" s="23"/>
      <c r="CK59" s="23"/>
      <c r="CL59" s="23"/>
      <c r="CM59" s="23"/>
      <c r="CN59" s="23"/>
      <c r="CO59" s="23"/>
      <c r="CP59" s="23"/>
      <c r="CQ59" s="23"/>
      <c r="CR59" s="23"/>
      <c r="CS59" s="23"/>
      <c r="CT59" s="23"/>
      <c r="CU59" s="23"/>
      <c r="CV59" s="23"/>
    </row>
    <row r="60" spans="1:100" ht="15.75" customHeight="1" x14ac:dyDescent="0.25">
      <c r="A60" s="15" t="s">
        <v>265</v>
      </c>
      <c r="B60" s="4">
        <v>634</v>
      </c>
      <c r="C60" s="4">
        <v>127</v>
      </c>
      <c r="D60" s="4">
        <v>47</v>
      </c>
      <c r="E60" s="23">
        <v>187</v>
      </c>
      <c r="F60" s="4">
        <v>0</v>
      </c>
      <c r="G60" s="4">
        <v>0</v>
      </c>
      <c r="H60" s="4">
        <v>0</v>
      </c>
      <c r="I60" s="24">
        <v>1410</v>
      </c>
      <c r="J60" s="4">
        <v>343</v>
      </c>
      <c r="K60" s="4">
        <v>0</v>
      </c>
      <c r="L60" s="4">
        <v>10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6</v>
      </c>
      <c r="T60" s="4">
        <v>1</v>
      </c>
      <c r="U60" s="4">
        <v>0</v>
      </c>
      <c r="V60" s="4">
        <v>1</v>
      </c>
      <c r="W60" s="4">
        <v>0</v>
      </c>
      <c r="X60" s="4">
        <v>0</v>
      </c>
      <c r="Y60" s="4">
        <v>52</v>
      </c>
      <c r="Z60" s="4">
        <v>1</v>
      </c>
      <c r="AA60" s="4">
        <v>1</v>
      </c>
      <c r="AB60" s="4">
        <v>0</v>
      </c>
      <c r="AC60" s="4">
        <v>0</v>
      </c>
      <c r="AD60" s="4">
        <v>0</v>
      </c>
      <c r="AE60" s="4">
        <v>0</v>
      </c>
      <c r="AF60" s="4">
        <v>0</v>
      </c>
      <c r="AG60" s="4">
        <v>0</v>
      </c>
      <c r="AH60" s="4">
        <v>0</v>
      </c>
      <c r="AI60" s="4">
        <v>0</v>
      </c>
      <c r="AJ60" s="4">
        <v>1</v>
      </c>
      <c r="AK60" s="4">
        <v>3</v>
      </c>
      <c r="AL60" s="4">
        <v>62</v>
      </c>
      <c r="AM60" s="4">
        <v>20</v>
      </c>
      <c r="AN60" s="4">
        <v>25</v>
      </c>
      <c r="AO60" s="4">
        <v>2</v>
      </c>
      <c r="AP60" s="4">
        <v>30</v>
      </c>
      <c r="AQ60" s="4">
        <v>12</v>
      </c>
      <c r="AR60" s="4">
        <v>1</v>
      </c>
      <c r="AS60" s="4">
        <v>0</v>
      </c>
      <c r="AT60" s="4">
        <v>0</v>
      </c>
      <c r="AU60" s="4">
        <v>0</v>
      </c>
      <c r="AV60" s="4">
        <v>249</v>
      </c>
      <c r="AW60" s="4">
        <v>0</v>
      </c>
      <c r="AX60" s="4">
        <v>110</v>
      </c>
      <c r="AY60" s="4">
        <v>0</v>
      </c>
      <c r="AZ60" s="4">
        <v>0</v>
      </c>
      <c r="BA60" s="4">
        <v>1</v>
      </c>
      <c r="BB60" s="4">
        <v>0</v>
      </c>
      <c r="BC60" s="4">
        <v>1</v>
      </c>
      <c r="BD60" s="4">
        <v>0</v>
      </c>
      <c r="BE60" s="4">
        <v>0</v>
      </c>
      <c r="BF60" s="4">
        <v>0</v>
      </c>
      <c r="BG60" s="4">
        <v>0</v>
      </c>
      <c r="BH60" s="4"/>
      <c r="BI60" s="4"/>
      <c r="BJ60" s="4"/>
      <c r="BK60" s="4"/>
      <c r="BL60" s="4"/>
      <c r="BM60" s="4"/>
      <c r="BN60" s="4"/>
      <c r="BO60" s="4"/>
      <c r="BP60" s="23"/>
      <c r="BQ60" s="23"/>
      <c r="BR60" s="23"/>
      <c r="BS60" s="23"/>
      <c r="BT60" s="23"/>
      <c r="BU60" s="23"/>
      <c r="BV60" s="23"/>
      <c r="BW60" s="23"/>
      <c r="BX60" s="23"/>
      <c r="BY60" s="23"/>
      <c r="BZ60" s="23"/>
      <c r="CA60" s="23"/>
      <c r="CB60" s="23"/>
      <c r="CC60" s="23"/>
      <c r="CD60" s="23"/>
      <c r="CE60" s="23"/>
      <c r="CF60" s="23"/>
      <c r="CG60" s="23"/>
      <c r="CH60" s="23"/>
      <c r="CI60" s="23"/>
      <c r="CJ60" s="23"/>
      <c r="CK60" s="23"/>
      <c r="CL60" s="23"/>
      <c r="CM60" s="23"/>
      <c r="CN60" s="23"/>
      <c r="CO60" s="23"/>
      <c r="CP60" s="23"/>
      <c r="CQ60" s="23"/>
      <c r="CR60" s="23"/>
      <c r="CS60" s="23"/>
      <c r="CT60" s="23"/>
      <c r="CU60" s="23"/>
      <c r="CV60" s="23"/>
    </row>
    <row r="61" spans="1:100" ht="15.75" customHeight="1" x14ac:dyDescent="0.2">
      <c r="A61" s="15" t="s">
        <v>266</v>
      </c>
      <c r="B61" s="4">
        <v>158</v>
      </c>
      <c r="C61" s="4">
        <v>31</v>
      </c>
      <c r="D61" s="4">
        <v>10</v>
      </c>
      <c r="E61" s="23">
        <v>197</v>
      </c>
      <c r="F61" s="4">
        <v>1</v>
      </c>
      <c r="G61" s="4">
        <v>0</v>
      </c>
      <c r="H61" s="4">
        <v>0</v>
      </c>
      <c r="I61" s="4">
        <v>407</v>
      </c>
      <c r="J61" s="4">
        <v>136</v>
      </c>
      <c r="K61" s="4">
        <v>0</v>
      </c>
      <c r="L61" s="4">
        <v>3</v>
      </c>
      <c r="M61" s="4">
        <v>0</v>
      </c>
      <c r="N61" s="4">
        <v>0</v>
      </c>
      <c r="O61" s="4">
        <v>0</v>
      </c>
      <c r="P61" s="4">
        <v>0</v>
      </c>
      <c r="Q61" s="4">
        <v>0</v>
      </c>
      <c r="R61" s="4">
        <v>0</v>
      </c>
      <c r="S61" s="4">
        <v>1</v>
      </c>
      <c r="T61" s="4">
        <v>1</v>
      </c>
      <c r="U61" s="4">
        <v>0</v>
      </c>
      <c r="V61" s="4">
        <v>0</v>
      </c>
      <c r="W61" s="4">
        <v>0</v>
      </c>
      <c r="X61" s="4">
        <v>0</v>
      </c>
      <c r="Y61" s="4">
        <v>20</v>
      </c>
      <c r="Z61" s="4">
        <v>1</v>
      </c>
      <c r="AA61" s="4">
        <v>1</v>
      </c>
      <c r="AB61" s="4">
        <v>0</v>
      </c>
      <c r="AC61" s="4">
        <v>0</v>
      </c>
      <c r="AD61" s="4">
        <v>0</v>
      </c>
      <c r="AE61" s="4">
        <v>0</v>
      </c>
      <c r="AF61" s="4">
        <v>0</v>
      </c>
      <c r="AG61" s="4">
        <v>0</v>
      </c>
      <c r="AH61" s="4">
        <v>0</v>
      </c>
      <c r="AI61" s="4">
        <v>0</v>
      </c>
      <c r="AJ61" s="4">
        <v>4</v>
      </c>
      <c r="AK61" s="4">
        <v>0</v>
      </c>
      <c r="AL61" s="4">
        <v>24</v>
      </c>
      <c r="AM61" s="4">
        <v>3</v>
      </c>
      <c r="AN61" s="25">
        <v>0</v>
      </c>
      <c r="AO61" s="4">
        <v>1</v>
      </c>
      <c r="AP61" s="4">
        <v>4</v>
      </c>
      <c r="AQ61" s="25">
        <v>0</v>
      </c>
      <c r="AR61" s="4">
        <v>3</v>
      </c>
      <c r="AS61" s="4">
        <v>0</v>
      </c>
      <c r="AT61" s="4">
        <v>0</v>
      </c>
      <c r="AU61" s="4">
        <v>0</v>
      </c>
      <c r="AV61" s="4">
        <v>218</v>
      </c>
      <c r="AW61" s="4">
        <v>0</v>
      </c>
      <c r="AX61" s="4">
        <v>2</v>
      </c>
      <c r="AY61" s="4">
        <v>0</v>
      </c>
      <c r="AZ61" s="4">
        <v>0</v>
      </c>
      <c r="BA61" s="4">
        <v>0</v>
      </c>
      <c r="BB61" s="4">
        <v>0</v>
      </c>
      <c r="BC61" s="4">
        <v>0</v>
      </c>
      <c r="BD61" s="4">
        <v>0</v>
      </c>
      <c r="BE61" s="4">
        <v>0</v>
      </c>
      <c r="BF61" s="4">
        <v>0</v>
      </c>
      <c r="BG61" s="4">
        <v>0</v>
      </c>
      <c r="BH61" s="4"/>
      <c r="BI61" s="4"/>
      <c r="BJ61" s="4"/>
      <c r="BK61" s="4"/>
      <c r="BL61" s="4"/>
      <c r="BM61" s="4"/>
      <c r="BN61" s="4"/>
      <c r="BO61" s="4"/>
      <c r="BP61" s="23"/>
      <c r="BQ61" s="23"/>
      <c r="BR61" s="23"/>
      <c r="BS61" s="23"/>
      <c r="BT61" s="23"/>
      <c r="BU61" s="23"/>
      <c r="BV61" s="23"/>
      <c r="BW61" s="23"/>
      <c r="BX61" s="23"/>
      <c r="BY61" s="23"/>
      <c r="BZ61" s="23"/>
      <c r="CA61" s="23"/>
      <c r="CB61" s="23"/>
      <c r="CC61" s="23"/>
      <c r="CD61" s="23"/>
      <c r="CE61" s="23"/>
      <c r="CF61" s="23"/>
      <c r="CG61" s="23"/>
      <c r="CH61" s="23"/>
      <c r="CI61" s="23"/>
      <c r="CJ61" s="23"/>
      <c r="CK61" s="23"/>
      <c r="CL61" s="23"/>
      <c r="CM61" s="23"/>
      <c r="CN61" s="23"/>
      <c r="CO61" s="23"/>
      <c r="CP61" s="23"/>
      <c r="CQ61" s="23"/>
      <c r="CR61" s="23"/>
      <c r="CS61" s="23"/>
      <c r="CT61" s="23"/>
      <c r="CU61" s="23"/>
      <c r="CV61" s="23"/>
    </row>
    <row r="62" spans="1:100" ht="15.75" customHeight="1" x14ac:dyDescent="0.2">
      <c r="A62" s="15" t="s">
        <v>267</v>
      </c>
      <c r="B62" s="4">
        <v>1</v>
      </c>
      <c r="C62" s="4">
        <v>0</v>
      </c>
      <c r="D62" s="4">
        <v>0</v>
      </c>
      <c r="E62" s="23">
        <v>126</v>
      </c>
      <c r="F62" s="4">
        <v>0</v>
      </c>
      <c r="G62" s="4">
        <v>0</v>
      </c>
      <c r="H62" s="4">
        <v>0</v>
      </c>
      <c r="I62" s="4">
        <v>5</v>
      </c>
      <c r="J62" s="4">
        <v>0</v>
      </c>
      <c r="K62" s="4">
        <v>0</v>
      </c>
      <c r="L62" s="4">
        <v>1</v>
      </c>
      <c r="M62" s="4">
        <v>0</v>
      </c>
      <c r="N62" s="4">
        <v>0</v>
      </c>
      <c r="O62" s="4">
        <v>0</v>
      </c>
      <c r="P62" s="4">
        <v>0</v>
      </c>
      <c r="Q62" s="4">
        <v>1</v>
      </c>
      <c r="R62" s="4">
        <v>0</v>
      </c>
      <c r="S62" s="4">
        <v>0</v>
      </c>
      <c r="T62" s="4">
        <v>2</v>
      </c>
      <c r="U62" s="4">
        <v>0</v>
      </c>
      <c r="V62" s="4">
        <v>0</v>
      </c>
      <c r="W62" s="4">
        <v>0</v>
      </c>
      <c r="X62" s="4">
        <v>0</v>
      </c>
      <c r="Y62" s="4">
        <v>2</v>
      </c>
      <c r="Z62" s="4">
        <v>0</v>
      </c>
      <c r="AA62" s="4">
        <v>0</v>
      </c>
      <c r="AB62" s="4">
        <v>0</v>
      </c>
      <c r="AC62" s="4">
        <v>0</v>
      </c>
      <c r="AD62" s="4">
        <v>0</v>
      </c>
      <c r="AE62" s="4">
        <v>0</v>
      </c>
      <c r="AF62" s="4">
        <v>0</v>
      </c>
      <c r="AG62" s="4">
        <v>0</v>
      </c>
      <c r="AH62" s="4">
        <v>0</v>
      </c>
      <c r="AI62" s="4">
        <v>0</v>
      </c>
      <c r="AJ62" s="4">
        <v>0</v>
      </c>
      <c r="AK62" s="4">
        <v>0</v>
      </c>
      <c r="AL62" s="4">
        <v>1</v>
      </c>
      <c r="AM62" s="4">
        <v>0</v>
      </c>
      <c r="AN62" s="4">
        <v>0</v>
      </c>
      <c r="AO62" s="4">
        <v>0</v>
      </c>
      <c r="AP62" s="4">
        <v>0</v>
      </c>
      <c r="AQ62" s="4">
        <v>0</v>
      </c>
      <c r="AR62" s="4">
        <v>0</v>
      </c>
      <c r="AS62" s="4">
        <v>0</v>
      </c>
      <c r="AT62" s="4">
        <v>0</v>
      </c>
      <c r="AU62" s="4">
        <v>0</v>
      </c>
      <c r="AV62" s="4">
        <v>8</v>
      </c>
      <c r="AW62" s="4">
        <v>0</v>
      </c>
      <c r="AX62" s="4">
        <v>0</v>
      </c>
      <c r="AY62" s="4">
        <v>0</v>
      </c>
      <c r="AZ62" s="4">
        <v>0</v>
      </c>
      <c r="BA62" s="4">
        <v>0</v>
      </c>
      <c r="BB62" s="4">
        <v>0</v>
      </c>
      <c r="BC62" s="4">
        <v>0</v>
      </c>
      <c r="BD62" s="4">
        <v>0</v>
      </c>
      <c r="BE62" s="4">
        <v>0</v>
      </c>
      <c r="BF62" s="4">
        <v>0</v>
      </c>
      <c r="BG62" s="4">
        <v>0</v>
      </c>
      <c r="BH62" s="4"/>
      <c r="BI62" s="4"/>
      <c r="BJ62" s="4"/>
      <c r="BK62" s="4"/>
      <c r="BL62" s="4"/>
      <c r="BM62" s="4"/>
      <c r="BN62" s="4"/>
      <c r="BO62" s="4"/>
      <c r="BP62" s="23"/>
      <c r="BQ62" s="23"/>
      <c r="BR62" s="23"/>
      <c r="BS62" s="23"/>
      <c r="BT62" s="23"/>
      <c r="BU62" s="23"/>
      <c r="BV62" s="23"/>
      <c r="BW62" s="23"/>
      <c r="BX62" s="23"/>
      <c r="BY62" s="23"/>
      <c r="BZ62" s="23"/>
      <c r="CA62" s="23"/>
      <c r="CB62" s="23"/>
      <c r="CC62" s="23"/>
      <c r="CD62" s="23"/>
      <c r="CE62" s="23"/>
      <c r="CF62" s="23"/>
      <c r="CG62" s="23"/>
      <c r="CH62" s="23"/>
      <c r="CI62" s="23"/>
      <c r="CJ62" s="23"/>
      <c r="CK62" s="23"/>
      <c r="CL62" s="23"/>
      <c r="CM62" s="23"/>
      <c r="CN62" s="23"/>
      <c r="CO62" s="23"/>
      <c r="CP62" s="23"/>
      <c r="CQ62" s="23"/>
      <c r="CR62" s="23"/>
      <c r="CS62" s="23"/>
      <c r="CT62" s="23"/>
      <c r="CU62" s="23"/>
      <c r="CV62" s="23"/>
    </row>
    <row r="63" spans="1:100" ht="15.75" customHeight="1" x14ac:dyDescent="0.2">
      <c r="A63" s="15" t="s">
        <v>268</v>
      </c>
      <c r="B63" s="4">
        <v>0</v>
      </c>
      <c r="C63" s="4">
        <v>0</v>
      </c>
      <c r="D63" s="4">
        <v>0</v>
      </c>
      <c r="E63" s="23">
        <v>74</v>
      </c>
      <c r="F63" s="4">
        <v>0</v>
      </c>
      <c r="G63" s="4">
        <v>0</v>
      </c>
      <c r="H63" s="4">
        <v>0</v>
      </c>
      <c r="I63" s="4">
        <v>0</v>
      </c>
      <c r="J63" s="4">
        <v>0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0</v>
      </c>
      <c r="T63" s="4">
        <v>0</v>
      </c>
      <c r="U63" s="4">
        <v>0</v>
      </c>
      <c r="V63" s="4">
        <v>0</v>
      </c>
      <c r="W63" s="4">
        <v>0</v>
      </c>
      <c r="X63" s="4">
        <v>0</v>
      </c>
      <c r="Y63" s="4">
        <v>0</v>
      </c>
      <c r="Z63" s="4">
        <v>0</v>
      </c>
      <c r="AA63" s="4">
        <v>0</v>
      </c>
      <c r="AB63" s="4">
        <v>0</v>
      </c>
      <c r="AC63" s="4">
        <v>0</v>
      </c>
      <c r="AD63" s="4">
        <v>0</v>
      </c>
      <c r="AE63" s="4">
        <v>0</v>
      </c>
      <c r="AF63" s="4">
        <v>0</v>
      </c>
      <c r="AG63" s="4">
        <v>0</v>
      </c>
      <c r="AH63" s="4"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 s="4">
        <v>0</v>
      </c>
      <c r="AP63" s="4">
        <v>0</v>
      </c>
      <c r="AQ63" s="4">
        <v>0</v>
      </c>
      <c r="AR63" s="4">
        <v>0</v>
      </c>
      <c r="AS63" s="4">
        <v>0</v>
      </c>
      <c r="AT63" s="4">
        <v>0</v>
      </c>
      <c r="AU63" s="4">
        <v>0</v>
      </c>
      <c r="AV63" s="4">
        <v>0</v>
      </c>
      <c r="AW63" s="4">
        <v>0</v>
      </c>
      <c r="AX63" s="4">
        <v>0</v>
      </c>
      <c r="AY63" s="4">
        <v>1</v>
      </c>
      <c r="AZ63" s="4">
        <v>0</v>
      </c>
      <c r="BA63" s="4">
        <v>0</v>
      </c>
      <c r="BB63" s="4">
        <v>0</v>
      </c>
      <c r="BC63" s="4">
        <v>0</v>
      </c>
      <c r="BD63" s="4">
        <v>1</v>
      </c>
      <c r="BE63" s="4">
        <v>0</v>
      </c>
      <c r="BF63" s="4">
        <v>0</v>
      </c>
      <c r="BG63" s="4">
        <v>0</v>
      </c>
      <c r="BH63" s="4"/>
      <c r="BI63" s="4"/>
      <c r="BJ63" s="4"/>
      <c r="BK63" s="4"/>
      <c r="BL63" s="4"/>
      <c r="BM63" s="4"/>
      <c r="BN63" s="4"/>
      <c r="BO63" s="4"/>
      <c r="BP63" s="23"/>
      <c r="BQ63" s="23"/>
      <c r="BR63" s="23"/>
      <c r="BS63" s="23"/>
      <c r="BT63" s="23"/>
      <c r="BU63" s="23"/>
      <c r="BV63" s="23"/>
      <c r="BW63" s="23"/>
      <c r="BX63" s="23"/>
      <c r="BY63" s="23"/>
      <c r="BZ63" s="23"/>
      <c r="CA63" s="23"/>
      <c r="CB63" s="23"/>
      <c r="CC63" s="23"/>
      <c r="CD63" s="23"/>
      <c r="CE63" s="23"/>
      <c r="CF63" s="23"/>
      <c r="CG63" s="23"/>
      <c r="CH63" s="23"/>
      <c r="CI63" s="23"/>
      <c r="CJ63" s="23"/>
      <c r="CK63" s="23"/>
      <c r="CL63" s="23"/>
      <c r="CM63" s="23"/>
      <c r="CN63" s="23"/>
      <c r="CO63" s="23"/>
      <c r="CP63" s="23"/>
      <c r="CQ63" s="23"/>
      <c r="CR63" s="23"/>
      <c r="CS63" s="23"/>
      <c r="CT63" s="23"/>
      <c r="CU63" s="23"/>
      <c r="CV63" s="23"/>
    </row>
    <row r="64" spans="1:100" ht="15.75" customHeight="1" x14ac:dyDescent="0.2">
      <c r="A64" s="15" t="s">
        <v>269</v>
      </c>
      <c r="B64" s="4">
        <v>1</v>
      </c>
      <c r="C64" s="4">
        <v>0</v>
      </c>
      <c r="D64" s="4">
        <v>0</v>
      </c>
      <c r="E64" s="23">
        <v>78</v>
      </c>
      <c r="F64" s="4">
        <v>0</v>
      </c>
      <c r="G64" s="4">
        <v>0</v>
      </c>
      <c r="H64" s="4">
        <v>0</v>
      </c>
      <c r="I64" s="4">
        <v>0</v>
      </c>
      <c r="J64" s="4">
        <v>0</v>
      </c>
      <c r="K64" s="4">
        <v>0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2</v>
      </c>
      <c r="T64" s="4">
        <v>0</v>
      </c>
      <c r="U64" s="4">
        <v>0</v>
      </c>
      <c r="V64" s="4">
        <v>0</v>
      </c>
      <c r="W64" s="4">
        <v>0</v>
      </c>
      <c r="X64" s="4">
        <v>0</v>
      </c>
      <c r="Y64" s="4">
        <v>1</v>
      </c>
      <c r="Z64" s="4">
        <v>0</v>
      </c>
      <c r="AA64" s="4">
        <v>0</v>
      </c>
      <c r="AB64" s="4">
        <v>0</v>
      </c>
      <c r="AC64" s="4">
        <v>0</v>
      </c>
      <c r="AD64" s="4">
        <v>0</v>
      </c>
      <c r="AE64" s="4">
        <v>0</v>
      </c>
      <c r="AF64" s="4">
        <v>0</v>
      </c>
      <c r="AG64" s="4">
        <v>0</v>
      </c>
      <c r="AH64" s="4"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 s="4">
        <v>0</v>
      </c>
      <c r="AP64" s="4">
        <v>0</v>
      </c>
      <c r="AQ64" s="4">
        <v>0</v>
      </c>
      <c r="AR64" s="4">
        <v>0</v>
      </c>
      <c r="AS64" s="4">
        <v>0</v>
      </c>
      <c r="AT64" s="4">
        <v>0</v>
      </c>
      <c r="AU64" s="4">
        <v>0</v>
      </c>
      <c r="AV64" s="4">
        <v>0</v>
      </c>
      <c r="AW64" s="4">
        <v>0</v>
      </c>
      <c r="AX64" s="4">
        <v>0</v>
      </c>
      <c r="AY64" s="4">
        <v>1</v>
      </c>
      <c r="AZ64" s="4">
        <v>0</v>
      </c>
      <c r="BA64" s="4">
        <v>0</v>
      </c>
      <c r="BB64" s="4">
        <v>0</v>
      </c>
      <c r="BC64" s="4">
        <v>0</v>
      </c>
      <c r="BD64" s="4">
        <v>0</v>
      </c>
      <c r="BE64" s="4">
        <v>0</v>
      </c>
      <c r="BF64" s="4">
        <v>0</v>
      </c>
      <c r="BG64" s="4">
        <v>0</v>
      </c>
      <c r="BH64" s="4"/>
      <c r="BI64" s="4"/>
      <c r="BJ64" s="4"/>
      <c r="BK64" s="4"/>
      <c r="BL64" s="4"/>
      <c r="BM64" s="4"/>
      <c r="BN64" s="4"/>
      <c r="BO64" s="4"/>
      <c r="BP64" s="23"/>
      <c r="BQ64" s="23"/>
      <c r="BR64" s="23"/>
      <c r="BS64" s="23"/>
      <c r="BT64" s="23"/>
      <c r="BU64" s="23"/>
      <c r="BV64" s="23"/>
      <c r="BW64" s="23"/>
      <c r="BX64" s="23"/>
      <c r="BY64" s="23"/>
      <c r="BZ64" s="23"/>
      <c r="CA64" s="23"/>
      <c r="CB64" s="23"/>
      <c r="CC64" s="23"/>
      <c r="CD64" s="23"/>
      <c r="CE64" s="23"/>
      <c r="CF64" s="23"/>
      <c r="CG64" s="23"/>
      <c r="CH64" s="23"/>
      <c r="CI64" s="23"/>
      <c r="CJ64" s="23"/>
      <c r="CK64" s="23"/>
      <c r="CL64" s="23"/>
      <c r="CM64" s="23"/>
      <c r="CN64" s="23"/>
      <c r="CO64" s="23"/>
      <c r="CP64" s="23"/>
      <c r="CQ64" s="23"/>
      <c r="CR64" s="23"/>
      <c r="CS64" s="23"/>
      <c r="CT64" s="23"/>
      <c r="CU64" s="23"/>
      <c r="CV64" s="23"/>
    </row>
    <row r="65" spans="1:100" ht="15.75" customHeight="1" x14ac:dyDescent="0.2">
      <c r="A65" s="15" t="s">
        <v>270</v>
      </c>
      <c r="B65" s="4">
        <v>1</v>
      </c>
      <c r="C65" s="4">
        <v>2</v>
      </c>
      <c r="D65" s="4">
        <v>0</v>
      </c>
      <c r="E65" s="23">
        <v>149</v>
      </c>
      <c r="F65" s="4">
        <v>0</v>
      </c>
      <c r="G65" s="4">
        <v>0</v>
      </c>
      <c r="H65" s="4">
        <v>0</v>
      </c>
      <c r="I65" s="4">
        <v>0</v>
      </c>
      <c r="J65" s="4">
        <v>0</v>
      </c>
      <c r="K65" s="4">
        <v>0</v>
      </c>
      <c r="L65" s="4">
        <v>0</v>
      </c>
      <c r="M65" s="4">
        <v>0</v>
      </c>
      <c r="N65" s="4">
        <v>0</v>
      </c>
      <c r="O65" s="4">
        <v>0</v>
      </c>
      <c r="P65" s="4">
        <v>0</v>
      </c>
      <c r="Q65" s="4">
        <v>0</v>
      </c>
      <c r="R65" s="4">
        <v>0</v>
      </c>
      <c r="S65" s="4">
        <v>0</v>
      </c>
      <c r="T65" s="4">
        <v>0</v>
      </c>
      <c r="U65" s="4">
        <v>0</v>
      </c>
      <c r="V65" s="4">
        <v>0</v>
      </c>
      <c r="W65" s="4">
        <v>0</v>
      </c>
      <c r="X65" s="4">
        <v>0</v>
      </c>
      <c r="Y65" s="4">
        <v>0</v>
      </c>
      <c r="Z65" s="4">
        <v>0</v>
      </c>
      <c r="AA65" s="4">
        <v>0</v>
      </c>
      <c r="AB65" s="4">
        <v>0</v>
      </c>
      <c r="AC65" s="4">
        <v>0</v>
      </c>
      <c r="AD65" s="4">
        <v>0</v>
      </c>
      <c r="AE65" s="4">
        <v>0</v>
      </c>
      <c r="AF65" s="4">
        <v>0</v>
      </c>
      <c r="AG65" s="4">
        <v>0</v>
      </c>
      <c r="AH65" s="4"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 s="4">
        <v>0</v>
      </c>
      <c r="AP65" s="4">
        <v>0</v>
      </c>
      <c r="AQ65" s="4">
        <v>0</v>
      </c>
      <c r="AR65" s="4">
        <v>0</v>
      </c>
      <c r="AS65" s="4">
        <v>0</v>
      </c>
      <c r="AT65" s="4">
        <v>0</v>
      </c>
      <c r="AU65" s="4">
        <v>0</v>
      </c>
      <c r="AV65" s="4">
        <v>5</v>
      </c>
      <c r="AW65" s="4">
        <v>0</v>
      </c>
      <c r="AX65" s="4">
        <v>0</v>
      </c>
      <c r="AY65" s="4">
        <v>1</v>
      </c>
      <c r="AZ65" s="4">
        <v>0</v>
      </c>
      <c r="BA65" s="4">
        <v>0</v>
      </c>
      <c r="BB65" s="4">
        <v>0</v>
      </c>
      <c r="BC65" s="4">
        <v>0</v>
      </c>
      <c r="BD65" s="4">
        <v>0</v>
      </c>
      <c r="BE65" s="4">
        <v>0</v>
      </c>
      <c r="BF65" s="4">
        <v>0</v>
      </c>
      <c r="BG65" s="4">
        <v>0</v>
      </c>
      <c r="BH65" s="4"/>
      <c r="BI65" s="4"/>
      <c r="BJ65" s="4"/>
      <c r="BK65" s="4"/>
      <c r="BL65" s="4"/>
      <c r="BM65" s="4"/>
      <c r="BN65" s="4"/>
      <c r="BO65" s="4"/>
      <c r="BP65" s="23"/>
      <c r="BQ65" s="23"/>
      <c r="BR65" s="23"/>
      <c r="BS65" s="23"/>
      <c r="BT65" s="23"/>
      <c r="BU65" s="23"/>
      <c r="BV65" s="23"/>
      <c r="BW65" s="23"/>
      <c r="BX65" s="23"/>
      <c r="BY65" s="23"/>
      <c r="BZ65" s="23"/>
      <c r="CA65" s="23"/>
      <c r="CB65" s="23"/>
      <c r="CC65" s="23"/>
      <c r="CD65" s="23"/>
      <c r="CE65" s="23"/>
      <c r="CF65" s="23"/>
      <c r="CG65" s="23"/>
      <c r="CH65" s="23"/>
      <c r="CI65" s="23"/>
      <c r="CJ65" s="23"/>
      <c r="CK65" s="23"/>
      <c r="CL65" s="23"/>
      <c r="CM65" s="23"/>
      <c r="CN65" s="23"/>
      <c r="CO65" s="23"/>
      <c r="CP65" s="23"/>
      <c r="CQ65" s="23"/>
      <c r="CR65" s="23"/>
      <c r="CS65" s="23"/>
      <c r="CT65" s="23"/>
      <c r="CU65" s="23"/>
      <c r="CV65" s="23"/>
    </row>
    <row r="66" spans="1:100" ht="15.75" customHeight="1" x14ac:dyDescent="0.2">
      <c r="A66" s="15" t="s">
        <v>271</v>
      </c>
      <c r="B66" s="4">
        <v>7</v>
      </c>
      <c r="C66" s="4">
        <v>0</v>
      </c>
      <c r="D66" s="4">
        <v>0</v>
      </c>
      <c r="E66" s="23">
        <v>105</v>
      </c>
      <c r="F66" s="4">
        <v>0</v>
      </c>
      <c r="G66" s="4">
        <v>0</v>
      </c>
      <c r="H66" s="4">
        <v>0</v>
      </c>
      <c r="I66" s="4">
        <v>2</v>
      </c>
      <c r="J66" s="4">
        <v>1</v>
      </c>
      <c r="K66" s="4">
        <v>0</v>
      </c>
      <c r="L66" s="4">
        <v>0</v>
      </c>
      <c r="M66" s="4">
        <v>0</v>
      </c>
      <c r="N66" s="4">
        <v>0</v>
      </c>
      <c r="O66" s="4">
        <v>0</v>
      </c>
      <c r="P66" s="4">
        <v>0</v>
      </c>
      <c r="Q66" s="4">
        <v>0</v>
      </c>
      <c r="R66" s="4">
        <v>0</v>
      </c>
      <c r="S66" s="4">
        <v>0</v>
      </c>
      <c r="T66" s="4">
        <v>0</v>
      </c>
      <c r="U66" s="4">
        <v>0</v>
      </c>
      <c r="V66" s="4">
        <v>1</v>
      </c>
      <c r="W66" s="4">
        <v>0</v>
      </c>
      <c r="X66" s="4">
        <v>0</v>
      </c>
      <c r="Y66" s="4">
        <v>0</v>
      </c>
      <c r="Z66" s="4">
        <v>1</v>
      </c>
      <c r="AA66" s="4">
        <v>0</v>
      </c>
      <c r="AB66" s="4">
        <v>0</v>
      </c>
      <c r="AC66" s="4">
        <v>0</v>
      </c>
      <c r="AD66" s="4">
        <v>0</v>
      </c>
      <c r="AE66" s="4">
        <v>0</v>
      </c>
      <c r="AF66" s="4">
        <v>0</v>
      </c>
      <c r="AG66" s="4">
        <v>0</v>
      </c>
      <c r="AH66" s="4"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 s="4">
        <v>0</v>
      </c>
      <c r="AP66" s="4">
        <v>0</v>
      </c>
      <c r="AQ66" s="4">
        <v>0</v>
      </c>
      <c r="AR66" s="4">
        <v>0</v>
      </c>
      <c r="AS66" s="4">
        <v>0</v>
      </c>
      <c r="AT66" s="4">
        <v>0</v>
      </c>
      <c r="AU66" s="4">
        <v>0</v>
      </c>
      <c r="AV66" s="4">
        <v>0</v>
      </c>
      <c r="AW66" s="4">
        <v>0</v>
      </c>
      <c r="AX66" s="4">
        <v>0</v>
      </c>
      <c r="AY66" s="4">
        <v>9</v>
      </c>
      <c r="AZ66" s="4">
        <v>0</v>
      </c>
      <c r="BA66" s="4">
        <v>0</v>
      </c>
      <c r="BB66" s="4">
        <v>0</v>
      </c>
      <c r="BC66" s="4">
        <v>0</v>
      </c>
      <c r="BD66" s="4">
        <v>0</v>
      </c>
      <c r="BE66" s="4">
        <v>0</v>
      </c>
      <c r="BF66" s="4">
        <v>0</v>
      </c>
      <c r="BG66" s="4">
        <v>0</v>
      </c>
      <c r="BH66" s="4"/>
      <c r="BI66" s="4"/>
      <c r="BJ66" s="4"/>
      <c r="BK66" s="4"/>
      <c r="BL66" s="4"/>
      <c r="BM66" s="4"/>
      <c r="BN66" s="4"/>
      <c r="BO66" s="4"/>
      <c r="BP66" s="23"/>
      <c r="BQ66" s="23"/>
      <c r="BR66" s="23"/>
      <c r="BS66" s="23"/>
      <c r="BT66" s="23"/>
      <c r="BU66" s="23"/>
      <c r="BV66" s="23"/>
      <c r="BW66" s="23"/>
      <c r="BX66" s="23"/>
      <c r="BY66" s="23"/>
      <c r="BZ66" s="23"/>
      <c r="CA66" s="23"/>
      <c r="CB66" s="23"/>
      <c r="CC66" s="23"/>
      <c r="CD66" s="23"/>
      <c r="CE66" s="23"/>
      <c r="CF66" s="23"/>
      <c r="CG66" s="23"/>
      <c r="CH66" s="23"/>
      <c r="CI66" s="23"/>
      <c r="CJ66" s="23"/>
      <c r="CK66" s="23"/>
      <c r="CL66" s="23"/>
      <c r="CM66" s="23"/>
      <c r="CN66" s="23"/>
      <c r="CO66" s="23"/>
      <c r="CP66" s="23"/>
      <c r="CQ66" s="23"/>
      <c r="CR66" s="23"/>
      <c r="CS66" s="23"/>
      <c r="CT66" s="23"/>
      <c r="CU66" s="23"/>
      <c r="CV66" s="23"/>
    </row>
    <row r="67" spans="1:100" ht="15.75" customHeight="1" x14ac:dyDescent="0.2">
      <c r="A67" s="15" t="s">
        <v>272</v>
      </c>
      <c r="B67" s="4">
        <v>11</v>
      </c>
      <c r="C67" s="4">
        <v>1</v>
      </c>
      <c r="D67" s="4">
        <v>2</v>
      </c>
      <c r="E67" s="23">
        <v>116</v>
      </c>
      <c r="F67" s="4">
        <v>0</v>
      </c>
      <c r="G67" s="4">
        <v>1</v>
      </c>
      <c r="H67" s="4">
        <v>0</v>
      </c>
      <c r="I67" s="4">
        <v>8</v>
      </c>
      <c r="J67" s="4">
        <v>10</v>
      </c>
      <c r="K67" s="4">
        <v>0</v>
      </c>
      <c r="L67" s="4">
        <v>0</v>
      </c>
      <c r="M67" s="4">
        <v>0</v>
      </c>
      <c r="N67" s="4">
        <v>0</v>
      </c>
      <c r="O67" s="4">
        <v>0</v>
      </c>
      <c r="P67" s="4">
        <v>0</v>
      </c>
      <c r="Q67" s="4">
        <v>5</v>
      </c>
      <c r="R67" s="4">
        <v>0</v>
      </c>
      <c r="S67" s="4">
        <v>0</v>
      </c>
      <c r="T67" s="4">
        <v>0</v>
      </c>
      <c r="U67" s="4">
        <v>1</v>
      </c>
      <c r="V67" s="4">
        <v>3</v>
      </c>
      <c r="W67" s="4">
        <v>0</v>
      </c>
      <c r="X67" s="4">
        <v>0</v>
      </c>
      <c r="Y67" s="4">
        <v>0</v>
      </c>
      <c r="Z67" s="4">
        <v>0</v>
      </c>
      <c r="AA67" s="4">
        <v>0</v>
      </c>
      <c r="AB67" s="4">
        <v>0</v>
      </c>
      <c r="AC67" s="4">
        <v>0</v>
      </c>
      <c r="AD67" s="4">
        <v>0</v>
      </c>
      <c r="AE67" s="4">
        <v>0</v>
      </c>
      <c r="AF67" s="4">
        <v>0</v>
      </c>
      <c r="AG67" s="4">
        <v>0</v>
      </c>
      <c r="AH67" s="4">
        <v>0</v>
      </c>
      <c r="AI67" s="4">
        <v>0</v>
      </c>
      <c r="AJ67" s="4">
        <v>0</v>
      </c>
      <c r="AK67" s="4">
        <v>0</v>
      </c>
      <c r="AL67" s="4">
        <v>1</v>
      </c>
      <c r="AM67" s="4">
        <v>0</v>
      </c>
      <c r="AN67" s="4">
        <v>0</v>
      </c>
      <c r="AO67" s="4">
        <v>0</v>
      </c>
      <c r="AP67" s="4">
        <v>0</v>
      </c>
      <c r="AQ67" s="4">
        <v>0</v>
      </c>
      <c r="AR67" s="4">
        <v>0</v>
      </c>
      <c r="AS67" s="4">
        <v>0</v>
      </c>
      <c r="AT67" s="4">
        <v>0</v>
      </c>
      <c r="AU67" s="4">
        <v>0</v>
      </c>
      <c r="AV67" s="4">
        <v>7</v>
      </c>
      <c r="AW67" s="4">
        <v>0</v>
      </c>
      <c r="AX67" s="4">
        <v>0</v>
      </c>
      <c r="AY67" s="4">
        <v>35</v>
      </c>
      <c r="AZ67" s="4">
        <v>0</v>
      </c>
      <c r="BA67" s="4">
        <v>0</v>
      </c>
      <c r="BB67" s="4">
        <v>0</v>
      </c>
      <c r="BC67" s="4">
        <v>0</v>
      </c>
      <c r="BD67" s="4">
        <v>1</v>
      </c>
      <c r="BE67" s="4">
        <v>0</v>
      </c>
      <c r="BF67" s="4">
        <v>0</v>
      </c>
      <c r="BG67" s="4">
        <v>0</v>
      </c>
      <c r="BH67" s="4"/>
      <c r="BI67" s="4"/>
      <c r="BJ67" s="4"/>
      <c r="BK67" s="4"/>
      <c r="BL67" s="4"/>
      <c r="BM67" s="4"/>
      <c r="BN67" s="4"/>
      <c r="BO67" s="4"/>
      <c r="BP67" s="23"/>
      <c r="BQ67" s="23"/>
      <c r="BR67" s="23"/>
      <c r="BS67" s="23"/>
      <c r="BT67" s="23"/>
      <c r="BU67" s="23"/>
      <c r="BV67" s="23"/>
      <c r="BW67" s="23"/>
      <c r="BX67" s="23"/>
      <c r="BY67" s="23"/>
      <c r="BZ67" s="23"/>
      <c r="CA67" s="23"/>
      <c r="CB67" s="23"/>
      <c r="CC67" s="23"/>
      <c r="CD67" s="23"/>
      <c r="CE67" s="23"/>
      <c r="CF67" s="23"/>
      <c r="CG67" s="23"/>
      <c r="CH67" s="23"/>
      <c r="CI67" s="23"/>
      <c r="CJ67" s="23"/>
      <c r="CK67" s="23"/>
      <c r="CL67" s="23"/>
      <c r="CM67" s="23"/>
      <c r="CN67" s="23"/>
      <c r="CO67" s="23"/>
      <c r="CP67" s="23"/>
      <c r="CQ67" s="23"/>
      <c r="CR67" s="23"/>
      <c r="CS67" s="23"/>
      <c r="CT67" s="23"/>
      <c r="CU67" s="23"/>
      <c r="CV67" s="23"/>
    </row>
    <row r="68" spans="1:100" ht="15.75" customHeight="1" x14ac:dyDescent="0.2">
      <c r="A68" s="15" t="s">
        <v>273</v>
      </c>
      <c r="B68" s="4">
        <v>36</v>
      </c>
      <c r="C68" s="4">
        <v>8</v>
      </c>
      <c r="D68" s="4">
        <v>5</v>
      </c>
      <c r="E68" s="23">
        <v>220</v>
      </c>
      <c r="F68" s="4">
        <v>2</v>
      </c>
      <c r="G68" s="4">
        <v>7</v>
      </c>
      <c r="H68" s="4">
        <v>0</v>
      </c>
      <c r="I68" s="4">
        <v>70</v>
      </c>
      <c r="J68" s="4">
        <v>13</v>
      </c>
      <c r="K68" s="4">
        <v>0</v>
      </c>
      <c r="L68" s="4">
        <v>10</v>
      </c>
      <c r="M68" s="4">
        <v>0</v>
      </c>
      <c r="N68" s="4">
        <v>0</v>
      </c>
      <c r="O68" s="4">
        <v>0</v>
      </c>
      <c r="P68" s="4">
        <v>0</v>
      </c>
      <c r="Q68" s="4">
        <v>10</v>
      </c>
      <c r="R68" s="4">
        <v>0</v>
      </c>
      <c r="S68" s="4">
        <v>0</v>
      </c>
      <c r="T68" s="4">
        <v>0</v>
      </c>
      <c r="U68" s="4">
        <v>0</v>
      </c>
      <c r="V68" s="4">
        <v>0</v>
      </c>
      <c r="W68" s="4">
        <v>0</v>
      </c>
      <c r="X68" s="4">
        <v>0</v>
      </c>
      <c r="Y68" s="4">
        <v>6</v>
      </c>
      <c r="Z68" s="4">
        <v>2</v>
      </c>
      <c r="AA68" s="4">
        <v>2</v>
      </c>
      <c r="AB68" s="4">
        <v>0</v>
      </c>
      <c r="AC68" s="4">
        <v>0</v>
      </c>
      <c r="AD68" s="4">
        <v>0</v>
      </c>
      <c r="AE68" s="4">
        <v>0</v>
      </c>
      <c r="AF68" s="4">
        <v>0</v>
      </c>
      <c r="AG68" s="4">
        <v>0</v>
      </c>
      <c r="AH68" s="4">
        <v>0</v>
      </c>
      <c r="AI68" s="4">
        <v>0</v>
      </c>
      <c r="AJ68" s="4">
        <v>0</v>
      </c>
      <c r="AK68" s="4">
        <v>0</v>
      </c>
      <c r="AL68" s="4">
        <v>4</v>
      </c>
      <c r="AM68" s="4">
        <v>0</v>
      </c>
      <c r="AN68" s="4">
        <v>0</v>
      </c>
      <c r="AO68" s="4">
        <v>0</v>
      </c>
      <c r="AP68" s="4">
        <v>0</v>
      </c>
      <c r="AQ68" s="4">
        <v>0</v>
      </c>
      <c r="AR68" s="4">
        <v>0</v>
      </c>
      <c r="AS68" s="4">
        <v>0</v>
      </c>
      <c r="AT68" s="4">
        <v>0</v>
      </c>
      <c r="AU68" s="4">
        <v>0</v>
      </c>
      <c r="AV68" s="4">
        <v>107</v>
      </c>
      <c r="AW68" s="4">
        <v>0</v>
      </c>
      <c r="AX68" s="4">
        <v>1</v>
      </c>
      <c r="AY68" s="4">
        <v>129</v>
      </c>
      <c r="AZ68" s="4">
        <v>0</v>
      </c>
      <c r="BA68" s="4">
        <v>0</v>
      </c>
      <c r="BB68" s="4">
        <v>0</v>
      </c>
      <c r="BC68" s="4">
        <v>0</v>
      </c>
      <c r="BD68" s="4">
        <v>0</v>
      </c>
      <c r="BE68" s="4">
        <v>0</v>
      </c>
      <c r="BF68" s="4">
        <v>1</v>
      </c>
      <c r="BG68" s="4">
        <v>0</v>
      </c>
      <c r="BH68" s="4"/>
      <c r="BI68" s="4"/>
      <c r="BJ68" s="4"/>
      <c r="BK68" s="4"/>
      <c r="BL68" s="4"/>
      <c r="BM68" s="4"/>
      <c r="BN68" s="4"/>
      <c r="BO68" s="4"/>
      <c r="BP68" s="23"/>
      <c r="BQ68" s="23"/>
      <c r="BR68" s="23"/>
      <c r="BS68" s="23"/>
      <c r="BT68" s="23"/>
      <c r="BU68" s="23"/>
      <c r="BV68" s="23"/>
      <c r="BW68" s="23"/>
      <c r="BX68" s="23"/>
      <c r="BY68" s="23"/>
      <c r="BZ68" s="23"/>
      <c r="CA68" s="23"/>
      <c r="CB68" s="23"/>
      <c r="CC68" s="23"/>
      <c r="CD68" s="23"/>
      <c r="CE68" s="23"/>
      <c r="CF68" s="23"/>
      <c r="CG68" s="23"/>
      <c r="CH68" s="23"/>
      <c r="CI68" s="23"/>
      <c r="CJ68" s="23"/>
      <c r="CK68" s="23"/>
      <c r="CL68" s="23"/>
      <c r="CM68" s="23"/>
      <c r="CN68" s="23"/>
      <c r="CO68" s="23"/>
      <c r="CP68" s="23"/>
      <c r="CQ68" s="23"/>
      <c r="CR68" s="23"/>
      <c r="CS68" s="23"/>
      <c r="CT68" s="23"/>
      <c r="CU68" s="23"/>
      <c r="CV68" s="23"/>
    </row>
    <row r="69" spans="1:100" ht="15.75" customHeight="1" x14ac:dyDescent="0.2">
      <c r="A69" s="15" t="s">
        <v>274</v>
      </c>
      <c r="B69" s="4">
        <v>0</v>
      </c>
      <c r="C69" s="4">
        <v>0</v>
      </c>
      <c r="D69" s="4">
        <v>0</v>
      </c>
      <c r="E69" s="4">
        <v>0</v>
      </c>
      <c r="F69" s="4">
        <v>0</v>
      </c>
      <c r="G69" s="4">
        <v>0</v>
      </c>
      <c r="H69" s="4">
        <v>0</v>
      </c>
      <c r="I69" s="4">
        <v>0</v>
      </c>
      <c r="J69" s="4">
        <v>0</v>
      </c>
      <c r="K69" s="4">
        <v>0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>
        <v>0</v>
      </c>
      <c r="R69" s="4">
        <v>0</v>
      </c>
      <c r="S69" s="4">
        <v>0</v>
      </c>
      <c r="T69" s="4">
        <v>0</v>
      </c>
      <c r="U69" s="4">
        <v>0</v>
      </c>
      <c r="V69" s="4">
        <v>0</v>
      </c>
      <c r="W69" s="4">
        <v>0</v>
      </c>
      <c r="X69" s="4">
        <v>0</v>
      </c>
      <c r="Y69" s="4">
        <v>0</v>
      </c>
      <c r="Z69" s="4">
        <v>0</v>
      </c>
      <c r="AA69" s="4">
        <v>0</v>
      </c>
      <c r="AB69" s="4">
        <v>0</v>
      </c>
      <c r="AC69" s="4">
        <v>0</v>
      </c>
      <c r="AD69" s="4">
        <v>0</v>
      </c>
      <c r="AE69" s="4">
        <v>0</v>
      </c>
      <c r="AF69" s="4">
        <v>0</v>
      </c>
      <c r="AG69" s="4">
        <v>0</v>
      </c>
      <c r="AH69" s="4">
        <v>0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 s="4">
        <v>0</v>
      </c>
      <c r="AP69" s="4">
        <v>0</v>
      </c>
      <c r="AQ69" s="4">
        <v>0</v>
      </c>
      <c r="AR69" s="4">
        <v>0</v>
      </c>
      <c r="AS69" s="4">
        <v>0</v>
      </c>
      <c r="AT69" s="4">
        <v>0</v>
      </c>
      <c r="AU69" s="4">
        <v>0</v>
      </c>
      <c r="AV69" s="4">
        <v>0</v>
      </c>
      <c r="AW69" s="4">
        <v>0</v>
      </c>
      <c r="AX69" s="4">
        <v>0</v>
      </c>
      <c r="AY69" s="4">
        <v>0</v>
      </c>
      <c r="AZ69" s="4">
        <v>0</v>
      </c>
      <c r="BA69" s="4">
        <v>0</v>
      </c>
      <c r="BB69" s="4">
        <v>0</v>
      </c>
      <c r="BC69" s="4">
        <v>0</v>
      </c>
      <c r="BD69" s="4">
        <v>0</v>
      </c>
      <c r="BE69" s="4">
        <v>0</v>
      </c>
      <c r="BF69" s="4">
        <v>0</v>
      </c>
      <c r="BG69" s="4">
        <v>0</v>
      </c>
      <c r="BH69" s="4"/>
      <c r="BI69" s="4"/>
      <c r="BJ69" s="4"/>
      <c r="BK69" s="4"/>
      <c r="BL69" s="4"/>
      <c r="BM69" s="4"/>
      <c r="BN69" s="4"/>
      <c r="BO69" s="4"/>
      <c r="BP69" s="23"/>
      <c r="BQ69" s="23"/>
      <c r="BR69" s="23"/>
      <c r="BS69" s="23"/>
      <c r="BT69" s="23"/>
      <c r="BU69" s="23"/>
      <c r="BV69" s="23"/>
      <c r="BW69" s="23"/>
      <c r="BX69" s="23"/>
      <c r="BY69" s="23"/>
      <c r="BZ69" s="23"/>
      <c r="CA69" s="23"/>
      <c r="CB69" s="23"/>
      <c r="CC69" s="23"/>
      <c r="CD69" s="23"/>
      <c r="CE69" s="23"/>
      <c r="CF69" s="23"/>
      <c r="CG69" s="23"/>
      <c r="CH69" s="23"/>
      <c r="CI69" s="23"/>
      <c r="CJ69" s="23"/>
      <c r="CK69" s="23"/>
      <c r="CL69" s="23"/>
      <c r="CM69" s="23"/>
      <c r="CN69" s="23"/>
      <c r="CO69" s="23"/>
      <c r="CP69" s="23"/>
      <c r="CQ69" s="23"/>
      <c r="CR69" s="23"/>
      <c r="CS69" s="23"/>
      <c r="CT69" s="23"/>
      <c r="CU69" s="23"/>
      <c r="CV69" s="23"/>
    </row>
    <row r="70" spans="1:100" ht="15.75" customHeight="1" x14ac:dyDescent="0.2">
      <c r="A70" s="15" t="s">
        <v>275</v>
      </c>
      <c r="B70" s="4">
        <v>0</v>
      </c>
      <c r="C70" s="4">
        <v>0</v>
      </c>
      <c r="D70" s="4">
        <v>0</v>
      </c>
      <c r="E70" s="4">
        <v>0</v>
      </c>
      <c r="F70" s="4">
        <v>0</v>
      </c>
      <c r="G70" s="4">
        <v>0</v>
      </c>
      <c r="H70" s="4">
        <v>0</v>
      </c>
      <c r="I70" s="4">
        <v>0</v>
      </c>
      <c r="J70" s="4">
        <v>0</v>
      </c>
      <c r="K70" s="4">
        <v>0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0</v>
      </c>
      <c r="T70" s="4">
        <v>0</v>
      </c>
      <c r="U70" s="4">
        <v>0</v>
      </c>
      <c r="V70" s="4">
        <v>0</v>
      </c>
      <c r="W70" s="4">
        <v>0</v>
      </c>
      <c r="X70" s="4">
        <v>0</v>
      </c>
      <c r="Y70" s="4">
        <v>0</v>
      </c>
      <c r="Z70" s="4">
        <v>0</v>
      </c>
      <c r="AA70" s="4">
        <v>0</v>
      </c>
      <c r="AB70" s="4">
        <v>0</v>
      </c>
      <c r="AC70" s="4">
        <v>0</v>
      </c>
      <c r="AD70" s="4">
        <v>0</v>
      </c>
      <c r="AE70" s="4">
        <v>0</v>
      </c>
      <c r="AF70" s="4">
        <v>0</v>
      </c>
      <c r="AG70" s="4">
        <v>0</v>
      </c>
      <c r="AH70" s="4">
        <v>0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 s="4">
        <v>0</v>
      </c>
      <c r="AP70" s="4">
        <v>0</v>
      </c>
      <c r="AQ70" s="4">
        <v>0</v>
      </c>
      <c r="AR70" s="4">
        <v>0</v>
      </c>
      <c r="AS70" s="4">
        <v>0</v>
      </c>
      <c r="AT70" s="4">
        <v>0</v>
      </c>
      <c r="AU70" s="4">
        <v>0</v>
      </c>
      <c r="AV70" s="4">
        <v>0</v>
      </c>
      <c r="AW70" s="4">
        <v>0</v>
      </c>
      <c r="AX70" s="4">
        <v>0</v>
      </c>
      <c r="AY70" s="4">
        <v>0</v>
      </c>
      <c r="AZ70" s="4">
        <v>0</v>
      </c>
      <c r="BA70" s="4">
        <v>0</v>
      </c>
      <c r="BB70" s="4">
        <v>0</v>
      </c>
      <c r="BC70" s="4">
        <v>0</v>
      </c>
      <c r="BD70" s="4">
        <v>0</v>
      </c>
      <c r="BE70" s="4">
        <v>0</v>
      </c>
      <c r="BF70" s="4">
        <v>0</v>
      </c>
      <c r="BG70" s="4">
        <v>0</v>
      </c>
      <c r="BH70" s="4"/>
      <c r="BI70" s="4"/>
      <c r="BJ70" s="4"/>
      <c r="BK70" s="4"/>
      <c r="BL70" s="4"/>
      <c r="BM70" s="4"/>
      <c r="BN70" s="4"/>
      <c r="BO70" s="4"/>
      <c r="BP70" s="23"/>
      <c r="BQ70" s="23"/>
      <c r="BR70" s="23"/>
      <c r="BS70" s="23"/>
      <c r="BT70" s="23"/>
      <c r="BU70" s="23"/>
      <c r="BV70" s="23"/>
      <c r="BW70" s="23"/>
      <c r="BX70" s="23"/>
      <c r="BY70" s="23"/>
      <c r="BZ70" s="23"/>
      <c r="CA70" s="23"/>
      <c r="CB70" s="23"/>
      <c r="CC70" s="23"/>
      <c r="CD70" s="23"/>
      <c r="CE70" s="23"/>
      <c r="CF70" s="23"/>
      <c r="CG70" s="23"/>
      <c r="CH70" s="23"/>
      <c r="CI70" s="23"/>
      <c r="CJ70" s="23"/>
      <c r="CK70" s="23"/>
      <c r="CL70" s="23"/>
      <c r="CM70" s="23"/>
      <c r="CN70" s="23"/>
      <c r="CO70" s="23"/>
      <c r="CP70" s="23"/>
      <c r="CQ70" s="23"/>
      <c r="CR70" s="23"/>
      <c r="CS70" s="23"/>
      <c r="CT70" s="23"/>
      <c r="CU70" s="23"/>
      <c r="CV70" s="23"/>
    </row>
    <row r="71" spans="1:100" ht="15.75" customHeight="1" x14ac:dyDescent="0.2">
      <c r="A71" s="15" t="s">
        <v>276</v>
      </c>
      <c r="B71" s="4">
        <v>0</v>
      </c>
      <c r="C71" s="4">
        <v>0</v>
      </c>
      <c r="D71" s="4">
        <v>0</v>
      </c>
      <c r="E71" s="4">
        <v>0</v>
      </c>
      <c r="F71" s="4">
        <v>0</v>
      </c>
      <c r="G71" s="4">
        <v>0</v>
      </c>
      <c r="H71" s="4">
        <v>0</v>
      </c>
      <c r="I71" s="4">
        <v>0</v>
      </c>
      <c r="J71" s="4">
        <v>0</v>
      </c>
      <c r="K71" s="4">
        <v>0</v>
      </c>
      <c r="L71" s="4">
        <v>0</v>
      </c>
      <c r="M71" s="4">
        <v>0</v>
      </c>
      <c r="N71" s="4">
        <v>0</v>
      </c>
      <c r="O71" s="4">
        <v>0</v>
      </c>
      <c r="P71" s="4">
        <v>0</v>
      </c>
      <c r="Q71" s="4">
        <v>0</v>
      </c>
      <c r="R71" s="4">
        <v>0</v>
      </c>
      <c r="S71" s="4">
        <v>0</v>
      </c>
      <c r="T71" s="4">
        <v>0</v>
      </c>
      <c r="U71" s="4">
        <v>0</v>
      </c>
      <c r="V71" s="4">
        <v>0</v>
      </c>
      <c r="W71" s="4">
        <v>0</v>
      </c>
      <c r="X71" s="4">
        <v>0</v>
      </c>
      <c r="Y71" s="4">
        <v>0</v>
      </c>
      <c r="Z71" s="4">
        <v>0</v>
      </c>
      <c r="AA71" s="4">
        <v>0</v>
      </c>
      <c r="AB71" s="4">
        <v>0</v>
      </c>
      <c r="AC71" s="4">
        <v>0</v>
      </c>
      <c r="AD71" s="4">
        <v>0</v>
      </c>
      <c r="AE71" s="4">
        <v>0</v>
      </c>
      <c r="AF71" s="4">
        <v>0</v>
      </c>
      <c r="AG71" s="4">
        <v>0</v>
      </c>
      <c r="AH71" s="4"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 s="4">
        <v>0</v>
      </c>
      <c r="AP71" s="4">
        <v>0</v>
      </c>
      <c r="AQ71" s="4">
        <v>0</v>
      </c>
      <c r="AR71" s="4">
        <v>0</v>
      </c>
      <c r="AS71" s="4">
        <v>0</v>
      </c>
      <c r="AT71" s="4">
        <v>0</v>
      </c>
      <c r="AU71" s="4">
        <v>0</v>
      </c>
      <c r="AV71" s="4">
        <v>0</v>
      </c>
      <c r="AW71" s="4">
        <v>0</v>
      </c>
      <c r="AX71" s="4">
        <v>0</v>
      </c>
      <c r="AY71" s="4">
        <v>0</v>
      </c>
      <c r="AZ71" s="4">
        <v>0</v>
      </c>
      <c r="BA71" s="4">
        <v>0</v>
      </c>
      <c r="BB71" s="4">
        <v>0</v>
      </c>
      <c r="BC71" s="4">
        <v>0</v>
      </c>
      <c r="BD71" s="4">
        <v>0</v>
      </c>
      <c r="BE71" s="4">
        <v>0</v>
      </c>
      <c r="BF71" s="4">
        <v>0</v>
      </c>
      <c r="BG71" s="4">
        <v>0</v>
      </c>
      <c r="BH71" s="4"/>
      <c r="BI71" s="4"/>
      <c r="BJ71" s="4"/>
      <c r="BK71" s="4"/>
      <c r="BL71" s="4"/>
      <c r="BM71" s="4"/>
      <c r="BN71" s="4"/>
      <c r="BO71" s="4"/>
      <c r="BP71" s="23"/>
      <c r="BQ71" s="23"/>
      <c r="BR71" s="23"/>
      <c r="BS71" s="23"/>
      <c r="BT71" s="23"/>
      <c r="BU71" s="23"/>
      <c r="BV71" s="23"/>
      <c r="BW71" s="23"/>
      <c r="BX71" s="23"/>
      <c r="BY71" s="23"/>
      <c r="BZ71" s="23"/>
      <c r="CA71" s="23"/>
      <c r="CB71" s="23"/>
      <c r="CC71" s="23"/>
      <c r="CD71" s="23"/>
      <c r="CE71" s="23"/>
      <c r="CF71" s="23"/>
      <c r="CG71" s="23"/>
      <c r="CH71" s="23"/>
      <c r="CI71" s="23"/>
      <c r="CJ71" s="23"/>
      <c r="CK71" s="23"/>
      <c r="CL71" s="23"/>
      <c r="CM71" s="23"/>
      <c r="CN71" s="23"/>
      <c r="CO71" s="23"/>
      <c r="CP71" s="23"/>
      <c r="CQ71" s="23"/>
      <c r="CR71" s="23"/>
      <c r="CS71" s="23"/>
      <c r="CT71" s="23"/>
      <c r="CU71" s="23"/>
      <c r="CV71" s="23"/>
    </row>
    <row r="72" spans="1:100" ht="15.75" customHeight="1" x14ac:dyDescent="0.2">
      <c r="A72" s="15" t="s">
        <v>277</v>
      </c>
      <c r="B72" s="4">
        <v>3</v>
      </c>
      <c r="C72" s="4">
        <v>0</v>
      </c>
      <c r="D72" s="4">
        <v>0</v>
      </c>
      <c r="E72" s="23">
        <v>131</v>
      </c>
      <c r="F72" s="4">
        <v>0</v>
      </c>
      <c r="G72" s="4">
        <v>0</v>
      </c>
      <c r="H72" s="4">
        <v>0</v>
      </c>
      <c r="I72" s="4">
        <v>10</v>
      </c>
      <c r="J72" s="4">
        <v>0</v>
      </c>
      <c r="K72" s="4">
        <v>0</v>
      </c>
      <c r="L72" s="4">
        <v>0</v>
      </c>
      <c r="M72" s="4">
        <v>0</v>
      </c>
      <c r="N72" s="4">
        <v>0</v>
      </c>
      <c r="O72" s="4">
        <v>0</v>
      </c>
      <c r="P72" s="4">
        <v>0</v>
      </c>
      <c r="Q72" s="4">
        <v>0</v>
      </c>
      <c r="R72" s="4">
        <v>0</v>
      </c>
      <c r="S72" s="4">
        <v>0</v>
      </c>
      <c r="T72" s="4">
        <v>0</v>
      </c>
      <c r="U72" s="4">
        <v>0</v>
      </c>
      <c r="V72" s="4">
        <v>0</v>
      </c>
      <c r="W72" s="4">
        <v>0</v>
      </c>
      <c r="X72" s="4">
        <v>0</v>
      </c>
      <c r="Y72" s="4">
        <v>0</v>
      </c>
      <c r="Z72" s="4">
        <v>2</v>
      </c>
      <c r="AA72" s="4">
        <v>3</v>
      </c>
      <c r="AB72" s="4">
        <v>0</v>
      </c>
      <c r="AC72" s="4">
        <v>0</v>
      </c>
      <c r="AD72" s="4">
        <v>0</v>
      </c>
      <c r="AE72" s="4">
        <v>0</v>
      </c>
      <c r="AF72" s="4">
        <v>0</v>
      </c>
      <c r="AG72" s="4">
        <v>0</v>
      </c>
      <c r="AH72" s="4"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 s="4">
        <v>0</v>
      </c>
      <c r="AP72" s="4">
        <v>0</v>
      </c>
      <c r="AQ72" s="4">
        <v>0</v>
      </c>
      <c r="AR72" s="4">
        <v>0</v>
      </c>
      <c r="AS72" s="4">
        <v>0</v>
      </c>
      <c r="AT72" s="4">
        <v>0</v>
      </c>
      <c r="AU72" s="4">
        <v>0</v>
      </c>
      <c r="AV72" s="4">
        <v>4</v>
      </c>
      <c r="AW72" s="4">
        <v>0</v>
      </c>
      <c r="AX72" s="4">
        <v>0</v>
      </c>
      <c r="AY72" s="4">
        <v>1</v>
      </c>
      <c r="AZ72" s="4">
        <v>0</v>
      </c>
      <c r="BA72" s="4">
        <v>0</v>
      </c>
      <c r="BB72" s="4">
        <v>0</v>
      </c>
      <c r="BC72" s="4">
        <v>0</v>
      </c>
      <c r="BD72" s="4">
        <v>0</v>
      </c>
      <c r="BE72" s="4">
        <v>0</v>
      </c>
      <c r="BF72" s="4">
        <v>0</v>
      </c>
      <c r="BG72" s="4">
        <v>0</v>
      </c>
      <c r="BH72" s="4"/>
      <c r="BI72" s="4"/>
      <c r="BJ72" s="4"/>
      <c r="BK72" s="4"/>
      <c r="BL72" s="4"/>
      <c r="BM72" s="4"/>
      <c r="BN72" s="4"/>
      <c r="BO72" s="4"/>
      <c r="BP72" s="23"/>
      <c r="BQ72" s="23"/>
      <c r="BR72" s="23"/>
      <c r="BS72" s="23"/>
      <c r="BT72" s="23"/>
      <c r="BU72" s="23"/>
      <c r="BV72" s="23"/>
      <c r="BW72" s="23"/>
      <c r="BX72" s="23"/>
      <c r="BY72" s="23"/>
      <c r="BZ72" s="23"/>
      <c r="CA72" s="23"/>
      <c r="CB72" s="23"/>
      <c r="CC72" s="23"/>
      <c r="CD72" s="23"/>
      <c r="CE72" s="23"/>
      <c r="CF72" s="23"/>
      <c r="CG72" s="23"/>
      <c r="CH72" s="23"/>
      <c r="CI72" s="23"/>
      <c r="CJ72" s="23"/>
      <c r="CK72" s="23"/>
      <c r="CL72" s="23"/>
      <c r="CM72" s="23"/>
      <c r="CN72" s="23"/>
      <c r="CO72" s="23"/>
      <c r="CP72" s="23"/>
      <c r="CQ72" s="23"/>
      <c r="CR72" s="23"/>
      <c r="CS72" s="23"/>
      <c r="CT72" s="23"/>
      <c r="CU72" s="23"/>
      <c r="CV72" s="23"/>
    </row>
    <row r="73" spans="1:100" ht="15.75" customHeight="1" x14ac:dyDescent="0.2">
      <c r="A73" s="15" t="s">
        <v>278</v>
      </c>
      <c r="B73" s="4">
        <v>2</v>
      </c>
      <c r="C73" s="4">
        <v>0</v>
      </c>
      <c r="D73" s="4">
        <v>0</v>
      </c>
      <c r="E73" s="23">
        <v>209</v>
      </c>
      <c r="F73" s="4">
        <v>0</v>
      </c>
      <c r="G73" s="4">
        <v>0</v>
      </c>
      <c r="H73" s="4">
        <v>0</v>
      </c>
      <c r="I73" s="4">
        <v>3</v>
      </c>
      <c r="J73" s="4">
        <v>0</v>
      </c>
      <c r="K73" s="4">
        <v>0</v>
      </c>
      <c r="L73" s="4">
        <v>0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1</v>
      </c>
      <c r="T73" s="4">
        <v>0</v>
      </c>
      <c r="U73" s="4">
        <v>0</v>
      </c>
      <c r="V73" s="4">
        <v>0</v>
      </c>
      <c r="W73" s="4">
        <v>0</v>
      </c>
      <c r="X73" s="4">
        <v>0</v>
      </c>
      <c r="Y73" s="4">
        <v>0</v>
      </c>
      <c r="Z73" s="4">
        <v>1</v>
      </c>
      <c r="AA73" s="4">
        <v>0</v>
      </c>
      <c r="AB73" s="4">
        <v>0</v>
      </c>
      <c r="AC73" s="4">
        <v>0</v>
      </c>
      <c r="AD73" s="4">
        <v>0</v>
      </c>
      <c r="AE73" s="4">
        <v>0</v>
      </c>
      <c r="AF73" s="4">
        <v>0</v>
      </c>
      <c r="AG73" s="4">
        <v>0</v>
      </c>
      <c r="AH73" s="4"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 s="4">
        <v>0</v>
      </c>
      <c r="AP73" s="4">
        <v>0</v>
      </c>
      <c r="AQ73" s="4">
        <v>0</v>
      </c>
      <c r="AR73" s="4">
        <v>0</v>
      </c>
      <c r="AS73" s="4">
        <v>0</v>
      </c>
      <c r="AT73" s="4">
        <v>0</v>
      </c>
      <c r="AU73" s="4">
        <v>0</v>
      </c>
      <c r="AV73" s="4">
        <v>7</v>
      </c>
      <c r="AW73" s="4">
        <v>0</v>
      </c>
      <c r="AX73" s="4">
        <v>0</v>
      </c>
      <c r="AY73" s="4">
        <v>1</v>
      </c>
      <c r="AZ73" s="4">
        <v>0</v>
      </c>
      <c r="BA73" s="4">
        <v>0</v>
      </c>
      <c r="BB73" s="4">
        <v>0</v>
      </c>
      <c r="BC73" s="4">
        <v>0</v>
      </c>
      <c r="BD73" s="4">
        <v>0</v>
      </c>
      <c r="BE73" s="4">
        <v>0</v>
      </c>
      <c r="BF73" s="4">
        <v>0</v>
      </c>
      <c r="BG73" s="4">
        <v>0</v>
      </c>
      <c r="BH73" s="4"/>
      <c r="BI73" s="4"/>
      <c r="BJ73" s="4"/>
      <c r="BK73" s="4"/>
      <c r="BL73" s="4"/>
      <c r="BM73" s="4"/>
      <c r="BN73" s="4"/>
      <c r="BO73" s="4"/>
      <c r="BP73" s="23"/>
      <c r="BQ73" s="23"/>
      <c r="BR73" s="23"/>
      <c r="BS73" s="23"/>
      <c r="BT73" s="23"/>
      <c r="BU73" s="23"/>
      <c r="BV73" s="23"/>
      <c r="BW73" s="23"/>
      <c r="BX73" s="23"/>
      <c r="BY73" s="23"/>
      <c r="BZ73" s="23"/>
      <c r="CA73" s="23"/>
      <c r="CB73" s="23"/>
      <c r="CC73" s="23"/>
      <c r="CD73" s="23"/>
      <c r="CE73" s="23"/>
      <c r="CF73" s="23"/>
      <c r="CG73" s="23"/>
      <c r="CH73" s="23"/>
      <c r="CI73" s="23"/>
      <c r="CJ73" s="23"/>
      <c r="CK73" s="23"/>
      <c r="CL73" s="23"/>
      <c r="CM73" s="23"/>
      <c r="CN73" s="23"/>
      <c r="CO73" s="23"/>
      <c r="CP73" s="23"/>
      <c r="CQ73" s="23"/>
      <c r="CR73" s="23"/>
      <c r="CS73" s="23"/>
      <c r="CT73" s="23"/>
      <c r="CU73" s="23"/>
      <c r="CV73" s="23"/>
    </row>
    <row r="74" spans="1:100" ht="15.75" customHeight="1" x14ac:dyDescent="0.2">
      <c r="A74" s="15" t="s">
        <v>279</v>
      </c>
      <c r="B74" s="4">
        <v>5</v>
      </c>
      <c r="C74" s="4">
        <v>0</v>
      </c>
      <c r="D74" s="4">
        <v>0</v>
      </c>
      <c r="E74" s="23">
        <v>158</v>
      </c>
      <c r="F74" s="4">
        <v>0</v>
      </c>
      <c r="G74" s="4">
        <v>0</v>
      </c>
      <c r="H74" s="4">
        <v>0</v>
      </c>
      <c r="I74" s="4">
        <v>4</v>
      </c>
      <c r="J74" s="4">
        <v>0</v>
      </c>
      <c r="K74" s="4">
        <v>0</v>
      </c>
      <c r="L74" s="4">
        <v>0</v>
      </c>
      <c r="M74" s="4">
        <v>0</v>
      </c>
      <c r="N74" s="4">
        <v>0</v>
      </c>
      <c r="O74" s="4">
        <v>0</v>
      </c>
      <c r="P74" s="4">
        <v>0</v>
      </c>
      <c r="Q74" s="4">
        <v>0</v>
      </c>
      <c r="R74" s="4">
        <v>0</v>
      </c>
      <c r="S74" s="4">
        <v>0</v>
      </c>
      <c r="T74" s="4">
        <v>0</v>
      </c>
      <c r="U74" s="4">
        <v>0</v>
      </c>
      <c r="V74" s="4">
        <v>0</v>
      </c>
      <c r="W74" s="4">
        <v>0</v>
      </c>
      <c r="X74" s="4">
        <v>0</v>
      </c>
      <c r="Y74" s="4">
        <v>0</v>
      </c>
      <c r="Z74" s="4">
        <v>0</v>
      </c>
      <c r="AA74" s="4">
        <v>1</v>
      </c>
      <c r="AB74" s="4">
        <v>0</v>
      </c>
      <c r="AC74" s="4">
        <v>0</v>
      </c>
      <c r="AD74" s="4">
        <v>0</v>
      </c>
      <c r="AE74" s="4">
        <v>0</v>
      </c>
      <c r="AF74" s="4">
        <v>0</v>
      </c>
      <c r="AG74" s="4">
        <v>0</v>
      </c>
      <c r="AH74" s="4"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 s="4">
        <v>0</v>
      </c>
      <c r="AP74" s="4">
        <v>0</v>
      </c>
      <c r="AQ74" s="4">
        <v>0</v>
      </c>
      <c r="AR74" s="4">
        <v>0</v>
      </c>
      <c r="AS74" s="4">
        <v>0</v>
      </c>
      <c r="AT74" s="4">
        <v>0</v>
      </c>
      <c r="AU74" s="4">
        <v>0</v>
      </c>
      <c r="AV74" s="4">
        <v>12</v>
      </c>
      <c r="AW74" s="4">
        <v>0</v>
      </c>
      <c r="AX74" s="4">
        <v>0</v>
      </c>
      <c r="AY74" s="4">
        <v>0</v>
      </c>
      <c r="AZ74" s="4">
        <v>0</v>
      </c>
      <c r="BA74" s="4">
        <v>0</v>
      </c>
      <c r="BB74" s="4">
        <v>0</v>
      </c>
      <c r="BC74" s="4">
        <v>0</v>
      </c>
      <c r="BD74" s="4">
        <v>0</v>
      </c>
      <c r="BE74" s="4">
        <v>0</v>
      </c>
      <c r="BF74" s="4">
        <v>0</v>
      </c>
      <c r="BG74" s="4">
        <v>0</v>
      </c>
      <c r="BH74" s="4"/>
      <c r="BI74" s="4"/>
      <c r="BJ74" s="4"/>
      <c r="BK74" s="4"/>
      <c r="BL74" s="4"/>
      <c r="BM74" s="4"/>
      <c r="BN74" s="4"/>
      <c r="BO74" s="4"/>
      <c r="BP74" s="23"/>
      <c r="BQ74" s="23"/>
      <c r="BR74" s="23"/>
      <c r="BS74" s="23"/>
      <c r="BT74" s="23"/>
      <c r="BU74" s="23"/>
      <c r="BV74" s="23"/>
      <c r="BW74" s="23"/>
      <c r="BX74" s="23"/>
      <c r="BY74" s="23"/>
      <c r="BZ74" s="23"/>
      <c r="CA74" s="23"/>
      <c r="CB74" s="23"/>
      <c r="CC74" s="23"/>
      <c r="CD74" s="23"/>
      <c r="CE74" s="23"/>
      <c r="CF74" s="23"/>
      <c r="CG74" s="23"/>
      <c r="CH74" s="23"/>
      <c r="CI74" s="23"/>
      <c r="CJ74" s="23"/>
      <c r="CK74" s="23"/>
      <c r="CL74" s="23"/>
      <c r="CM74" s="23"/>
      <c r="CN74" s="23"/>
      <c r="CO74" s="23"/>
      <c r="CP74" s="23"/>
      <c r="CQ74" s="23"/>
      <c r="CR74" s="23"/>
      <c r="CS74" s="23"/>
      <c r="CT74" s="23"/>
      <c r="CU74" s="23"/>
      <c r="CV74" s="23"/>
    </row>
    <row r="75" spans="1:100" ht="15.75" customHeight="1" x14ac:dyDescent="0.2">
      <c r="A75" s="15" t="s">
        <v>280</v>
      </c>
      <c r="B75" s="4">
        <v>5</v>
      </c>
      <c r="C75" s="4">
        <v>0</v>
      </c>
      <c r="D75" s="4">
        <v>0</v>
      </c>
      <c r="E75" s="23">
        <v>107</v>
      </c>
      <c r="F75" s="4">
        <v>1</v>
      </c>
      <c r="G75" s="4">
        <v>0</v>
      </c>
      <c r="H75" s="4">
        <v>0</v>
      </c>
      <c r="I75" s="4">
        <v>14</v>
      </c>
      <c r="J75" s="4">
        <v>1</v>
      </c>
      <c r="K75" s="4">
        <v>0</v>
      </c>
      <c r="L75" s="4">
        <v>1</v>
      </c>
      <c r="M75" s="4">
        <v>0</v>
      </c>
      <c r="N75" s="4">
        <v>0</v>
      </c>
      <c r="O75" s="4">
        <v>0</v>
      </c>
      <c r="P75" s="4">
        <v>0</v>
      </c>
      <c r="Q75" s="4">
        <v>0</v>
      </c>
      <c r="R75" s="4">
        <v>0</v>
      </c>
      <c r="S75" s="4">
        <v>0</v>
      </c>
      <c r="T75" s="4">
        <v>1</v>
      </c>
      <c r="U75" s="4">
        <v>0</v>
      </c>
      <c r="V75" s="4">
        <v>0</v>
      </c>
      <c r="W75" s="4">
        <v>0</v>
      </c>
      <c r="X75" s="4">
        <v>0</v>
      </c>
      <c r="Y75" s="4">
        <v>0</v>
      </c>
      <c r="Z75" s="4">
        <v>0</v>
      </c>
      <c r="AA75" s="4">
        <v>1</v>
      </c>
      <c r="AB75" s="4">
        <v>0</v>
      </c>
      <c r="AC75" s="4">
        <v>0</v>
      </c>
      <c r="AD75" s="4">
        <v>0</v>
      </c>
      <c r="AE75" s="4">
        <v>0</v>
      </c>
      <c r="AF75" s="4">
        <v>0</v>
      </c>
      <c r="AG75" s="4">
        <v>0</v>
      </c>
      <c r="AH75" s="4"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 s="4">
        <v>0</v>
      </c>
      <c r="AP75" s="4">
        <v>0</v>
      </c>
      <c r="AQ75" s="4">
        <v>0</v>
      </c>
      <c r="AR75" s="4">
        <v>0</v>
      </c>
      <c r="AS75" s="4">
        <v>0</v>
      </c>
      <c r="AT75" s="4">
        <v>0</v>
      </c>
      <c r="AU75" s="4">
        <v>0</v>
      </c>
      <c r="AV75" s="4">
        <v>5</v>
      </c>
      <c r="AW75" s="4">
        <v>0</v>
      </c>
      <c r="AX75" s="4">
        <v>1</v>
      </c>
      <c r="AY75" s="4">
        <v>0</v>
      </c>
      <c r="AZ75" s="4">
        <v>0</v>
      </c>
      <c r="BA75" s="4">
        <v>0</v>
      </c>
      <c r="BB75" s="4">
        <v>0</v>
      </c>
      <c r="BC75" s="4">
        <v>0</v>
      </c>
      <c r="BD75" s="4">
        <v>0</v>
      </c>
      <c r="BE75" s="4">
        <v>0</v>
      </c>
      <c r="BF75" s="4">
        <v>0</v>
      </c>
      <c r="BG75" s="4">
        <v>0</v>
      </c>
      <c r="BH75" s="4"/>
      <c r="BI75" s="4"/>
      <c r="BJ75" s="4"/>
      <c r="BK75" s="4"/>
      <c r="BL75" s="4"/>
      <c r="BM75" s="4"/>
      <c r="BN75" s="4"/>
      <c r="BO75" s="4"/>
      <c r="BP75" s="23"/>
      <c r="BQ75" s="23"/>
      <c r="BR75" s="23"/>
      <c r="BS75" s="23"/>
      <c r="BT75" s="23"/>
      <c r="BU75" s="23"/>
      <c r="BV75" s="23"/>
      <c r="BW75" s="23"/>
      <c r="BX75" s="23"/>
      <c r="BY75" s="23"/>
      <c r="BZ75" s="23"/>
      <c r="CA75" s="23"/>
      <c r="CB75" s="23"/>
      <c r="CC75" s="23"/>
      <c r="CD75" s="23"/>
      <c r="CE75" s="23"/>
      <c r="CF75" s="23"/>
      <c r="CG75" s="23"/>
      <c r="CH75" s="23"/>
      <c r="CI75" s="23"/>
      <c r="CJ75" s="23"/>
      <c r="CK75" s="23"/>
      <c r="CL75" s="23"/>
      <c r="CM75" s="23"/>
      <c r="CN75" s="23"/>
      <c r="CO75" s="23"/>
      <c r="CP75" s="23"/>
      <c r="CQ75" s="23"/>
      <c r="CR75" s="23"/>
      <c r="CS75" s="23"/>
      <c r="CT75" s="23"/>
      <c r="CU75" s="23"/>
      <c r="CV75" s="23"/>
    </row>
    <row r="76" spans="1:100" ht="15.75" customHeight="1" x14ac:dyDescent="0.2">
      <c r="A76" s="15" t="s">
        <v>281</v>
      </c>
      <c r="B76" s="4">
        <v>4</v>
      </c>
      <c r="C76" s="4">
        <v>0</v>
      </c>
      <c r="D76" s="4">
        <v>0</v>
      </c>
      <c r="E76" s="23">
        <v>105</v>
      </c>
      <c r="F76" s="4">
        <v>0</v>
      </c>
      <c r="G76" s="4">
        <v>0</v>
      </c>
      <c r="H76" s="4">
        <v>0</v>
      </c>
      <c r="I76" s="4">
        <v>11</v>
      </c>
      <c r="J76" s="4">
        <v>0</v>
      </c>
      <c r="K76" s="4">
        <v>0</v>
      </c>
      <c r="L76" s="4">
        <v>1</v>
      </c>
      <c r="M76" s="4">
        <v>0</v>
      </c>
      <c r="N76" s="4">
        <v>0</v>
      </c>
      <c r="O76" s="4">
        <v>0</v>
      </c>
      <c r="P76" s="4">
        <v>0</v>
      </c>
      <c r="Q76" s="4">
        <v>0</v>
      </c>
      <c r="R76" s="4">
        <v>0</v>
      </c>
      <c r="S76" s="4">
        <v>0</v>
      </c>
      <c r="T76" s="4">
        <v>1</v>
      </c>
      <c r="U76" s="4">
        <v>0</v>
      </c>
      <c r="V76" s="4">
        <v>0</v>
      </c>
      <c r="W76" s="4">
        <v>0</v>
      </c>
      <c r="X76" s="4">
        <v>0</v>
      </c>
      <c r="Y76" s="4">
        <v>0</v>
      </c>
      <c r="Z76" s="4">
        <v>1</v>
      </c>
      <c r="AA76" s="4">
        <v>0</v>
      </c>
      <c r="AB76" s="4">
        <v>0</v>
      </c>
      <c r="AC76" s="4">
        <v>0</v>
      </c>
      <c r="AD76" s="4">
        <v>0</v>
      </c>
      <c r="AE76" s="4">
        <v>0</v>
      </c>
      <c r="AF76" s="4">
        <v>0</v>
      </c>
      <c r="AG76" s="4">
        <v>0</v>
      </c>
      <c r="AH76" s="4">
        <v>0</v>
      </c>
      <c r="AI76" s="4">
        <v>0</v>
      </c>
      <c r="AJ76" s="4">
        <v>0</v>
      </c>
      <c r="AK76" s="4">
        <v>0</v>
      </c>
      <c r="AL76" s="4">
        <v>2</v>
      </c>
      <c r="AM76" s="4">
        <v>0</v>
      </c>
      <c r="AN76" s="4">
        <v>0</v>
      </c>
      <c r="AO76" s="4">
        <v>0</v>
      </c>
      <c r="AP76" s="4">
        <v>0</v>
      </c>
      <c r="AQ76" s="4">
        <v>0</v>
      </c>
      <c r="AR76" s="4">
        <v>0</v>
      </c>
      <c r="AS76" s="4">
        <v>0</v>
      </c>
      <c r="AT76" s="4">
        <v>0</v>
      </c>
      <c r="AU76" s="4">
        <v>0</v>
      </c>
      <c r="AV76" s="4">
        <v>16</v>
      </c>
      <c r="AW76" s="4">
        <v>0</v>
      </c>
      <c r="AX76" s="4">
        <v>3</v>
      </c>
      <c r="AY76" s="4">
        <v>0</v>
      </c>
      <c r="AZ76" s="4">
        <v>0</v>
      </c>
      <c r="BA76" s="4">
        <v>0</v>
      </c>
      <c r="BB76" s="4">
        <v>0</v>
      </c>
      <c r="BC76" s="4">
        <v>0</v>
      </c>
      <c r="BD76" s="4">
        <v>0</v>
      </c>
      <c r="BE76" s="4">
        <v>0</v>
      </c>
      <c r="BF76" s="4">
        <v>0</v>
      </c>
      <c r="BG76" s="4">
        <v>0</v>
      </c>
      <c r="BH76" s="4"/>
      <c r="BI76" s="4"/>
      <c r="BJ76" s="4"/>
      <c r="BK76" s="4"/>
      <c r="BL76" s="4"/>
      <c r="BM76" s="4"/>
      <c r="BN76" s="4"/>
      <c r="BO76" s="4"/>
      <c r="BP76" s="23"/>
      <c r="BQ76" s="23"/>
      <c r="BR76" s="23"/>
      <c r="BS76" s="23"/>
      <c r="BT76" s="23"/>
      <c r="BU76" s="23"/>
      <c r="BV76" s="23"/>
      <c r="BW76" s="23"/>
      <c r="BX76" s="23"/>
      <c r="BY76" s="23"/>
      <c r="BZ76" s="23"/>
      <c r="CA76" s="23"/>
      <c r="CB76" s="23"/>
      <c r="CC76" s="23"/>
      <c r="CD76" s="23"/>
      <c r="CE76" s="23"/>
      <c r="CF76" s="23"/>
      <c r="CG76" s="23"/>
      <c r="CH76" s="23"/>
      <c r="CI76" s="23"/>
      <c r="CJ76" s="23"/>
      <c r="CK76" s="23"/>
      <c r="CL76" s="23"/>
      <c r="CM76" s="23"/>
      <c r="CN76" s="23"/>
      <c r="CO76" s="23"/>
      <c r="CP76" s="23"/>
      <c r="CQ76" s="23"/>
      <c r="CR76" s="23"/>
      <c r="CS76" s="23"/>
      <c r="CT76" s="23"/>
      <c r="CU76" s="23"/>
      <c r="CV76" s="23"/>
    </row>
    <row r="77" spans="1:100" ht="15.75" customHeight="1" x14ac:dyDescent="0.2">
      <c r="A77" s="15" t="s">
        <v>282</v>
      </c>
      <c r="B77" s="4">
        <v>3</v>
      </c>
      <c r="C77" s="4">
        <v>2</v>
      </c>
      <c r="D77" s="4">
        <v>0</v>
      </c>
      <c r="E77" s="23">
        <v>157</v>
      </c>
      <c r="F77" s="4">
        <v>0</v>
      </c>
      <c r="G77" s="4">
        <v>0</v>
      </c>
      <c r="H77" s="4">
        <v>0</v>
      </c>
      <c r="I77" s="4">
        <v>13</v>
      </c>
      <c r="J77" s="4">
        <v>0</v>
      </c>
      <c r="K77" s="4">
        <v>0</v>
      </c>
      <c r="L77" s="4">
        <v>0</v>
      </c>
      <c r="M77" s="4">
        <v>0</v>
      </c>
      <c r="N77" s="4">
        <v>0</v>
      </c>
      <c r="O77" s="4">
        <v>0</v>
      </c>
      <c r="P77" s="4">
        <v>0</v>
      </c>
      <c r="Q77" s="4">
        <v>0</v>
      </c>
      <c r="R77" s="4">
        <v>0</v>
      </c>
      <c r="S77" s="4">
        <v>0</v>
      </c>
      <c r="T77" s="4">
        <v>0</v>
      </c>
      <c r="U77" s="4">
        <v>0</v>
      </c>
      <c r="V77" s="4">
        <v>0</v>
      </c>
      <c r="W77" s="4">
        <v>0</v>
      </c>
      <c r="X77" s="4">
        <v>0</v>
      </c>
      <c r="Y77" s="4">
        <v>0</v>
      </c>
      <c r="Z77" s="4">
        <v>0</v>
      </c>
      <c r="AA77" s="4">
        <v>0</v>
      </c>
      <c r="AB77" s="4">
        <v>0</v>
      </c>
      <c r="AC77" s="4">
        <v>0</v>
      </c>
      <c r="AD77" s="4">
        <v>0</v>
      </c>
      <c r="AE77" s="4">
        <v>0</v>
      </c>
      <c r="AF77" s="4">
        <v>0</v>
      </c>
      <c r="AG77" s="4">
        <v>0</v>
      </c>
      <c r="AH77" s="4"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 s="4">
        <v>0</v>
      </c>
      <c r="AP77" s="4">
        <v>0</v>
      </c>
      <c r="AQ77" s="4">
        <v>0</v>
      </c>
      <c r="AR77" s="4">
        <v>0</v>
      </c>
      <c r="AS77" s="4">
        <v>0</v>
      </c>
      <c r="AT77" s="4">
        <v>0</v>
      </c>
      <c r="AU77" s="4">
        <v>0</v>
      </c>
      <c r="AV77" s="4">
        <v>1</v>
      </c>
      <c r="AW77" s="4">
        <v>0</v>
      </c>
      <c r="AX77" s="4">
        <v>0</v>
      </c>
      <c r="AY77" s="4">
        <v>0</v>
      </c>
      <c r="AZ77" s="4">
        <v>0</v>
      </c>
      <c r="BA77" s="4">
        <v>0</v>
      </c>
      <c r="BB77" s="4">
        <v>0</v>
      </c>
      <c r="BC77" s="4">
        <v>0</v>
      </c>
      <c r="BD77" s="4">
        <v>0</v>
      </c>
      <c r="BE77" s="4">
        <v>0</v>
      </c>
      <c r="BF77" s="4">
        <v>0</v>
      </c>
      <c r="BG77" s="4">
        <v>0</v>
      </c>
      <c r="BH77" s="4"/>
      <c r="BI77" s="4"/>
      <c r="BJ77" s="4"/>
      <c r="BK77" s="4"/>
      <c r="BL77" s="4"/>
      <c r="BM77" s="4"/>
      <c r="BN77" s="4"/>
      <c r="BO77" s="4"/>
      <c r="BP77" s="23"/>
      <c r="BQ77" s="23"/>
      <c r="BR77" s="23"/>
      <c r="BS77" s="23"/>
      <c r="BT77" s="23"/>
      <c r="BU77" s="23"/>
      <c r="BV77" s="23"/>
      <c r="BW77" s="23"/>
      <c r="BX77" s="23"/>
      <c r="BY77" s="23"/>
      <c r="BZ77" s="23"/>
      <c r="CA77" s="23"/>
      <c r="CB77" s="23"/>
      <c r="CC77" s="23"/>
      <c r="CD77" s="23"/>
      <c r="CE77" s="23"/>
      <c r="CF77" s="23"/>
      <c r="CG77" s="23"/>
      <c r="CH77" s="23"/>
      <c r="CI77" s="23"/>
      <c r="CJ77" s="23"/>
      <c r="CK77" s="23"/>
      <c r="CL77" s="23"/>
      <c r="CM77" s="23"/>
      <c r="CN77" s="23"/>
      <c r="CO77" s="23"/>
      <c r="CP77" s="23"/>
      <c r="CQ77" s="23"/>
      <c r="CR77" s="23"/>
      <c r="CS77" s="23"/>
      <c r="CT77" s="23"/>
      <c r="CU77" s="23"/>
      <c r="CV77" s="23"/>
    </row>
    <row r="78" spans="1:100" ht="15.75" customHeight="1" x14ac:dyDescent="0.2">
      <c r="A78" s="15" t="s">
        <v>283</v>
      </c>
      <c r="B78" s="4">
        <v>0</v>
      </c>
      <c r="C78" s="4">
        <v>1</v>
      </c>
      <c r="D78" s="4">
        <v>0</v>
      </c>
      <c r="E78" s="23">
        <v>96</v>
      </c>
      <c r="F78" s="4">
        <v>1</v>
      </c>
      <c r="G78" s="4">
        <v>0</v>
      </c>
      <c r="H78" s="4">
        <v>0</v>
      </c>
      <c r="I78" s="4">
        <v>4</v>
      </c>
      <c r="J78" s="4">
        <v>0</v>
      </c>
      <c r="K78" s="4">
        <v>0</v>
      </c>
      <c r="L78" s="4">
        <v>0</v>
      </c>
      <c r="M78" s="4">
        <v>0</v>
      </c>
      <c r="N78" s="4">
        <v>0</v>
      </c>
      <c r="O78" s="4">
        <v>0</v>
      </c>
      <c r="P78" s="4">
        <v>0</v>
      </c>
      <c r="Q78" s="4">
        <v>0</v>
      </c>
      <c r="R78" s="4">
        <v>0</v>
      </c>
      <c r="S78" s="4">
        <v>0</v>
      </c>
      <c r="T78" s="4">
        <v>0</v>
      </c>
      <c r="U78" s="4">
        <v>0</v>
      </c>
      <c r="V78" s="4">
        <v>0</v>
      </c>
      <c r="W78" s="4">
        <v>0</v>
      </c>
      <c r="X78" s="4">
        <v>0</v>
      </c>
      <c r="Y78" s="4">
        <v>0</v>
      </c>
      <c r="Z78" s="4">
        <v>0</v>
      </c>
      <c r="AA78" s="4">
        <v>0</v>
      </c>
      <c r="AB78" s="4">
        <v>0</v>
      </c>
      <c r="AC78" s="4">
        <v>0</v>
      </c>
      <c r="AD78" s="4">
        <v>0</v>
      </c>
      <c r="AE78" s="4">
        <v>0</v>
      </c>
      <c r="AF78" s="4">
        <v>0</v>
      </c>
      <c r="AG78" s="4">
        <v>0</v>
      </c>
      <c r="AH78" s="4"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 s="4">
        <v>0</v>
      </c>
      <c r="AP78" s="4">
        <v>0</v>
      </c>
      <c r="AQ78" s="4">
        <v>0</v>
      </c>
      <c r="AR78" s="4">
        <v>0</v>
      </c>
      <c r="AS78" s="4">
        <v>0</v>
      </c>
      <c r="AT78" s="4">
        <v>0</v>
      </c>
      <c r="AU78" s="4">
        <v>0</v>
      </c>
      <c r="AV78" s="4">
        <v>9</v>
      </c>
      <c r="AW78" s="4">
        <v>0</v>
      </c>
      <c r="AX78" s="4">
        <v>0</v>
      </c>
      <c r="AY78" s="4">
        <v>0</v>
      </c>
      <c r="AZ78" s="4">
        <v>0</v>
      </c>
      <c r="BA78" s="4">
        <v>0</v>
      </c>
      <c r="BB78" s="4">
        <v>0</v>
      </c>
      <c r="BC78" s="4">
        <v>1</v>
      </c>
      <c r="BD78" s="4">
        <v>0</v>
      </c>
      <c r="BE78" s="4">
        <v>0</v>
      </c>
      <c r="BF78" s="4">
        <v>0</v>
      </c>
      <c r="BG78" s="4">
        <v>0</v>
      </c>
      <c r="BH78" s="4"/>
      <c r="BI78" s="4"/>
      <c r="BJ78" s="4"/>
      <c r="BK78" s="4"/>
      <c r="BL78" s="4"/>
      <c r="BM78" s="4"/>
      <c r="BN78" s="4"/>
      <c r="BO78" s="4"/>
      <c r="BP78" s="23"/>
      <c r="BQ78" s="23"/>
      <c r="BR78" s="23"/>
      <c r="BS78" s="23"/>
      <c r="BT78" s="23"/>
      <c r="BU78" s="23"/>
      <c r="BV78" s="23"/>
      <c r="BW78" s="23"/>
      <c r="BX78" s="23"/>
      <c r="BY78" s="23"/>
      <c r="BZ78" s="23"/>
      <c r="CA78" s="23"/>
      <c r="CB78" s="23"/>
      <c r="CC78" s="23"/>
      <c r="CD78" s="23"/>
      <c r="CE78" s="23"/>
      <c r="CF78" s="23"/>
      <c r="CG78" s="23"/>
      <c r="CH78" s="23"/>
      <c r="CI78" s="23"/>
      <c r="CJ78" s="23"/>
      <c r="CK78" s="23"/>
      <c r="CL78" s="23"/>
      <c r="CM78" s="23"/>
      <c r="CN78" s="23"/>
      <c r="CO78" s="23"/>
      <c r="CP78" s="23"/>
      <c r="CQ78" s="23"/>
      <c r="CR78" s="23"/>
      <c r="CS78" s="23"/>
      <c r="CT78" s="23"/>
      <c r="CU78" s="23"/>
      <c r="CV78" s="23"/>
    </row>
    <row r="79" spans="1:100" ht="15.75" customHeight="1" x14ac:dyDescent="0.2">
      <c r="A79" s="15" t="s">
        <v>284</v>
      </c>
      <c r="B79" s="4">
        <v>8</v>
      </c>
      <c r="C79" s="4">
        <v>0</v>
      </c>
      <c r="D79" s="4">
        <v>0</v>
      </c>
      <c r="E79" s="23">
        <v>98</v>
      </c>
      <c r="F79" s="4">
        <v>0</v>
      </c>
      <c r="G79" s="4">
        <v>0</v>
      </c>
      <c r="H79" s="4">
        <v>0</v>
      </c>
      <c r="I79" s="4">
        <v>9</v>
      </c>
      <c r="J79" s="4">
        <v>0</v>
      </c>
      <c r="K79" s="4">
        <v>0</v>
      </c>
      <c r="L79" s="4">
        <v>5</v>
      </c>
      <c r="M79" s="4">
        <v>0</v>
      </c>
      <c r="N79" s="4">
        <v>0</v>
      </c>
      <c r="O79" s="4">
        <v>0</v>
      </c>
      <c r="P79" s="4">
        <v>0</v>
      </c>
      <c r="Q79" s="4">
        <v>0</v>
      </c>
      <c r="R79" s="4">
        <v>0</v>
      </c>
      <c r="S79" s="4">
        <v>0</v>
      </c>
      <c r="T79" s="4">
        <v>2</v>
      </c>
      <c r="U79" s="4">
        <v>0</v>
      </c>
      <c r="V79" s="4">
        <v>0</v>
      </c>
      <c r="W79" s="4">
        <v>0</v>
      </c>
      <c r="X79" s="4">
        <v>0</v>
      </c>
      <c r="Y79" s="4">
        <v>0</v>
      </c>
      <c r="Z79" s="4">
        <v>5</v>
      </c>
      <c r="AA79" s="4">
        <v>0</v>
      </c>
      <c r="AB79" s="4">
        <v>0</v>
      </c>
      <c r="AC79" s="4">
        <v>0</v>
      </c>
      <c r="AD79" s="4">
        <v>0</v>
      </c>
      <c r="AE79" s="4">
        <v>0</v>
      </c>
      <c r="AF79" s="4">
        <v>0</v>
      </c>
      <c r="AG79" s="4">
        <v>0</v>
      </c>
      <c r="AH79" s="4"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 s="4">
        <v>0</v>
      </c>
      <c r="AP79" s="4">
        <v>0</v>
      </c>
      <c r="AQ79" s="4">
        <v>0</v>
      </c>
      <c r="AR79" s="4">
        <v>0</v>
      </c>
      <c r="AS79" s="4">
        <v>0</v>
      </c>
      <c r="AT79" s="4">
        <v>0</v>
      </c>
      <c r="AU79" s="4">
        <v>0</v>
      </c>
      <c r="AV79" s="4">
        <v>6</v>
      </c>
      <c r="AW79" s="4">
        <v>0</v>
      </c>
      <c r="AX79" s="4">
        <v>0</v>
      </c>
      <c r="AY79" s="4">
        <v>0</v>
      </c>
      <c r="AZ79" s="4">
        <v>0</v>
      </c>
      <c r="BA79" s="4">
        <v>0</v>
      </c>
      <c r="BB79" s="4">
        <v>0</v>
      </c>
      <c r="BC79" s="4">
        <v>0</v>
      </c>
      <c r="BD79" s="4">
        <v>0</v>
      </c>
      <c r="BE79" s="4">
        <v>0</v>
      </c>
      <c r="BF79" s="4">
        <v>0</v>
      </c>
      <c r="BG79" s="4">
        <v>0</v>
      </c>
      <c r="BH79" s="4"/>
      <c r="BI79" s="4"/>
      <c r="BJ79" s="4"/>
      <c r="BK79" s="4"/>
      <c r="BL79" s="4"/>
      <c r="BM79" s="4"/>
      <c r="BN79" s="4"/>
      <c r="BO79" s="4"/>
      <c r="BP79" s="23"/>
      <c r="BQ79" s="23"/>
      <c r="BR79" s="23"/>
      <c r="BS79" s="23"/>
      <c r="BT79" s="23"/>
      <c r="BU79" s="23"/>
      <c r="BV79" s="23"/>
      <c r="BW79" s="23"/>
      <c r="BX79" s="23"/>
      <c r="BY79" s="23"/>
      <c r="BZ79" s="23"/>
      <c r="CA79" s="23"/>
      <c r="CB79" s="23"/>
      <c r="CC79" s="23"/>
      <c r="CD79" s="23"/>
      <c r="CE79" s="23"/>
      <c r="CF79" s="23"/>
      <c r="CG79" s="23"/>
      <c r="CH79" s="23"/>
      <c r="CI79" s="23"/>
      <c r="CJ79" s="23"/>
      <c r="CK79" s="23"/>
      <c r="CL79" s="23"/>
      <c r="CM79" s="23"/>
      <c r="CN79" s="23"/>
      <c r="CO79" s="23"/>
      <c r="CP79" s="23"/>
      <c r="CQ79" s="23"/>
      <c r="CR79" s="23"/>
      <c r="CS79" s="23"/>
      <c r="CT79" s="23"/>
      <c r="CU79" s="23"/>
      <c r="CV79" s="23"/>
    </row>
    <row r="80" spans="1:100" ht="15.75" customHeight="1" x14ac:dyDescent="0.2">
      <c r="A80" s="15" t="s">
        <v>285</v>
      </c>
      <c r="B80" s="4">
        <v>2</v>
      </c>
      <c r="C80" s="4">
        <v>0</v>
      </c>
      <c r="D80" s="4">
        <v>0</v>
      </c>
      <c r="E80" s="23">
        <v>68</v>
      </c>
      <c r="F80" s="4">
        <v>0</v>
      </c>
      <c r="G80" s="4">
        <v>0</v>
      </c>
      <c r="H80" s="4">
        <v>0</v>
      </c>
      <c r="I80" s="4">
        <v>2</v>
      </c>
      <c r="J80" s="4">
        <v>0</v>
      </c>
      <c r="K80" s="4">
        <v>0</v>
      </c>
      <c r="L80" s="4">
        <v>2</v>
      </c>
      <c r="M80" s="4">
        <v>0</v>
      </c>
      <c r="N80" s="4">
        <v>0</v>
      </c>
      <c r="O80" s="4">
        <v>0</v>
      </c>
      <c r="P80" s="4">
        <v>0</v>
      </c>
      <c r="Q80" s="4">
        <v>1</v>
      </c>
      <c r="R80" s="4">
        <v>0</v>
      </c>
      <c r="S80" s="4">
        <v>0</v>
      </c>
      <c r="T80" s="4">
        <v>1</v>
      </c>
      <c r="U80" s="4">
        <v>0</v>
      </c>
      <c r="V80" s="4">
        <v>1</v>
      </c>
      <c r="W80" s="4">
        <v>0</v>
      </c>
      <c r="X80" s="4">
        <v>0</v>
      </c>
      <c r="Y80" s="4">
        <v>1</v>
      </c>
      <c r="Z80" s="4">
        <v>0</v>
      </c>
      <c r="AA80" s="4">
        <v>0</v>
      </c>
      <c r="AB80" s="4">
        <v>0</v>
      </c>
      <c r="AC80" s="4">
        <v>0</v>
      </c>
      <c r="AD80" s="4">
        <v>0</v>
      </c>
      <c r="AE80" s="4">
        <v>0</v>
      </c>
      <c r="AF80" s="4">
        <v>0</v>
      </c>
      <c r="AG80" s="4">
        <v>0</v>
      </c>
      <c r="AH80" s="4"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 s="4">
        <v>0</v>
      </c>
      <c r="AP80" s="4">
        <v>0</v>
      </c>
      <c r="AQ80" s="4">
        <v>0</v>
      </c>
      <c r="AR80" s="4">
        <v>0</v>
      </c>
      <c r="AS80" s="4">
        <v>0</v>
      </c>
      <c r="AT80" s="4">
        <v>0</v>
      </c>
      <c r="AU80" s="4">
        <v>0</v>
      </c>
      <c r="AV80" s="4">
        <v>5</v>
      </c>
      <c r="AW80" s="4">
        <v>0</v>
      </c>
      <c r="AX80" s="4">
        <v>0</v>
      </c>
      <c r="AY80" s="4">
        <v>0</v>
      </c>
      <c r="AZ80" s="4">
        <v>0</v>
      </c>
      <c r="BA80" s="4">
        <v>0</v>
      </c>
      <c r="BB80" s="4">
        <v>0</v>
      </c>
      <c r="BC80" s="4">
        <v>0</v>
      </c>
      <c r="BD80" s="4">
        <v>0</v>
      </c>
      <c r="BE80" s="4">
        <v>0</v>
      </c>
      <c r="BF80" s="4">
        <v>0</v>
      </c>
      <c r="BG80" s="4">
        <v>0</v>
      </c>
      <c r="BH80" s="4"/>
      <c r="BI80" s="4"/>
      <c r="BJ80" s="4"/>
      <c r="BK80" s="4"/>
      <c r="BL80" s="4"/>
      <c r="BM80" s="4"/>
      <c r="BN80" s="4"/>
      <c r="BO80" s="4"/>
      <c r="BP80" s="23"/>
      <c r="BQ80" s="23"/>
      <c r="BR80" s="23"/>
      <c r="BS80" s="23"/>
      <c r="BT80" s="23"/>
      <c r="BU80" s="23"/>
      <c r="BV80" s="23"/>
      <c r="BW80" s="23"/>
      <c r="BX80" s="23"/>
      <c r="BY80" s="23"/>
      <c r="BZ80" s="23"/>
      <c r="CA80" s="23"/>
      <c r="CB80" s="23"/>
      <c r="CC80" s="23"/>
      <c r="CD80" s="23"/>
      <c r="CE80" s="23"/>
      <c r="CF80" s="23"/>
      <c r="CG80" s="23"/>
      <c r="CH80" s="23"/>
      <c r="CI80" s="23"/>
      <c r="CJ80" s="23"/>
      <c r="CK80" s="23"/>
      <c r="CL80" s="23"/>
      <c r="CM80" s="23"/>
      <c r="CN80" s="23"/>
      <c r="CO80" s="23"/>
      <c r="CP80" s="23"/>
      <c r="CQ80" s="23"/>
      <c r="CR80" s="23"/>
      <c r="CS80" s="23"/>
      <c r="CT80" s="23"/>
      <c r="CU80" s="23"/>
      <c r="CV80" s="23"/>
    </row>
    <row r="81" spans="1:100" ht="15.75" customHeight="1" x14ac:dyDescent="0.2">
      <c r="A81" s="15" t="s">
        <v>286</v>
      </c>
      <c r="B81" s="4">
        <v>2</v>
      </c>
      <c r="C81" s="4">
        <v>0</v>
      </c>
      <c r="D81" s="4">
        <v>0</v>
      </c>
      <c r="E81" s="23">
        <v>134</v>
      </c>
      <c r="F81" s="4">
        <v>4</v>
      </c>
      <c r="G81" s="4">
        <v>0</v>
      </c>
      <c r="H81" s="4">
        <v>0</v>
      </c>
      <c r="I81" s="4">
        <v>2</v>
      </c>
      <c r="J81" s="4">
        <v>0</v>
      </c>
      <c r="K81" s="4">
        <v>0</v>
      </c>
      <c r="L81" s="4">
        <v>0</v>
      </c>
      <c r="M81" s="4">
        <v>0</v>
      </c>
      <c r="N81" s="4">
        <v>0</v>
      </c>
      <c r="O81" s="4">
        <v>0</v>
      </c>
      <c r="P81" s="4">
        <v>0</v>
      </c>
      <c r="Q81" s="4">
        <v>0</v>
      </c>
      <c r="R81" s="4">
        <v>0</v>
      </c>
      <c r="S81" s="4">
        <v>0</v>
      </c>
      <c r="T81" s="4">
        <v>0</v>
      </c>
      <c r="U81" s="4">
        <v>0</v>
      </c>
      <c r="V81" s="4">
        <v>0</v>
      </c>
      <c r="W81" s="4">
        <v>0</v>
      </c>
      <c r="X81" s="4">
        <v>0</v>
      </c>
      <c r="Y81" s="4">
        <v>0</v>
      </c>
      <c r="Z81" s="4">
        <v>0</v>
      </c>
      <c r="AA81" s="4">
        <v>0</v>
      </c>
      <c r="AB81" s="4">
        <v>0</v>
      </c>
      <c r="AC81" s="4">
        <v>0</v>
      </c>
      <c r="AD81" s="4">
        <v>0</v>
      </c>
      <c r="AE81" s="4">
        <v>0</v>
      </c>
      <c r="AF81" s="4">
        <v>0</v>
      </c>
      <c r="AG81" s="4">
        <v>0</v>
      </c>
      <c r="AH81" s="4"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 s="4">
        <v>0</v>
      </c>
      <c r="AP81" s="4">
        <v>0</v>
      </c>
      <c r="AQ81" s="4">
        <v>0</v>
      </c>
      <c r="AR81" s="4">
        <v>0</v>
      </c>
      <c r="AS81" s="4">
        <v>0</v>
      </c>
      <c r="AT81" s="4">
        <v>0</v>
      </c>
      <c r="AU81" s="4">
        <v>0</v>
      </c>
      <c r="AV81" s="4">
        <v>4</v>
      </c>
      <c r="AW81" s="4">
        <v>0</v>
      </c>
      <c r="AX81" s="4">
        <v>1</v>
      </c>
      <c r="AY81" s="4">
        <v>4</v>
      </c>
      <c r="AZ81" s="4">
        <v>0</v>
      </c>
      <c r="BA81" s="4">
        <v>0</v>
      </c>
      <c r="BB81" s="4">
        <v>0</v>
      </c>
      <c r="BC81" s="4">
        <v>0</v>
      </c>
      <c r="BD81" s="4">
        <v>0</v>
      </c>
      <c r="BE81" s="4">
        <v>1</v>
      </c>
      <c r="BF81" s="4">
        <v>0</v>
      </c>
      <c r="BG81" s="4">
        <v>0</v>
      </c>
      <c r="BH81" s="4"/>
      <c r="BI81" s="4"/>
      <c r="BJ81" s="4"/>
      <c r="BK81" s="4"/>
      <c r="BL81" s="4"/>
      <c r="BM81" s="4"/>
      <c r="BN81" s="4"/>
      <c r="BO81" s="4"/>
      <c r="BP81" s="23"/>
      <c r="BQ81" s="23"/>
      <c r="BR81" s="23"/>
      <c r="BS81" s="23"/>
      <c r="BT81" s="23"/>
      <c r="BU81" s="23"/>
      <c r="BV81" s="23"/>
      <c r="BW81" s="23"/>
      <c r="BX81" s="23"/>
      <c r="BY81" s="23"/>
      <c r="BZ81" s="23"/>
      <c r="CA81" s="23"/>
      <c r="CB81" s="23"/>
      <c r="CC81" s="23"/>
      <c r="CD81" s="23"/>
      <c r="CE81" s="23"/>
      <c r="CF81" s="23"/>
      <c r="CG81" s="23"/>
      <c r="CH81" s="23"/>
      <c r="CI81" s="23"/>
      <c r="CJ81" s="23"/>
      <c r="CK81" s="23"/>
      <c r="CL81" s="23"/>
      <c r="CM81" s="23"/>
      <c r="CN81" s="23"/>
      <c r="CO81" s="23"/>
      <c r="CP81" s="23"/>
      <c r="CQ81" s="23"/>
      <c r="CR81" s="23"/>
      <c r="CS81" s="23"/>
      <c r="CT81" s="23"/>
      <c r="CU81" s="23"/>
      <c r="CV81" s="23"/>
    </row>
    <row r="82" spans="1:100" ht="15.75" customHeight="1" x14ac:dyDescent="0.2">
      <c r="A82" s="15" t="s">
        <v>287</v>
      </c>
      <c r="B82" s="4">
        <v>0</v>
      </c>
      <c r="C82" s="4">
        <v>0</v>
      </c>
      <c r="D82" s="4">
        <v>0</v>
      </c>
      <c r="E82" s="23">
        <v>69</v>
      </c>
      <c r="F82" s="4">
        <v>2</v>
      </c>
      <c r="G82" s="4">
        <v>0</v>
      </c>
      <c r="H82" s="4">
        <v>0</v>
      </c>
      <c r="I82" s="4">
        <v>2</v>
      </c>
      <c r="J82" s="4">
        <v>0</v>
      </c>
      <c r="K82" s="4">
        <v>0</v>
      </c>
      <c r="L82" s="4">
        <v>0</v>
      </c>
      <c r="M82" s="4">
        <v>0</v>
      </c>
      <c r="N82" s="4">
        <v>0</v>
      </c>
      <c r="O82" s="4">
        <v>0</v>
      </c>
      <c r="P82" s="4">
        <v>0</v>
      </c>
      <c r="Q82" s="4">
        <v>0</v>
      </c>
      <c r="R82" s="4">
        <v>0</v>
      </c>
      <c r="S82" s="4">
        <v>0</v>
      </c>
      <c r="T82" s="4">
        <v>0</v>
      </c>
      <c r="U82" s="4">
        <v>0</v>
      </c>
      <c r="V82" s="4">
        <v>1</v>
      </c>
      <c r="W82" s="4">
        <v>0</v>
      </c>
      <c r="X82" s="4">
        <v>0</v>
      </c>
      <c r="Y82" s="4">
        <v>0</v>
      </c>
      <c r="Z82" s="4">
        <v>1</v>
      </c>
      <c r="AA82" s="4">
        <v>0</v>
      </c>
      <c r="AB82" s="4">
        <v>0</v>
      </c>
      <c r="AC82" s="4">
        <v>0</v>
      </c>
      <c r="AD82" s="4">
        <v>0</v>
      </c>
      <c r="AE82" s="4">
        <v>0</v>
      </c>
      <c r="AF82" s="4">
        <v>0</v>
      </c>
      <c r="AG82" s="4">
        <v>0</v>
      </c>
      <c r="AH82" s="4"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 s="4">
        <v>0</v>
      </c>
      <c r="AP82" s="4">
        <v>0</v>
      </c>
      <c r="AQ82" s="4">
        <v>0</v>
      </c>
      <c r="AR82" s="4">
        <v>0</v>
      </c>
      <c r="AS82" s="4">
        <v>0</v>
      </c>
      <c r="AT82" s="4">
        <v>0</v>
      </c>
      <c r="AU82" s="4">
        <v>0</v>
      </c>
      <c r="AV82" s="4">
        <v>2</v>
      </c>
      <c r="AW82" s="4">
        <v>0</v>
      </c>
      <c r="AX82" s="4">
        <v>0</v>
      </c>
      <c r="AY82" s="4">
        <v>1</v>
      </c>
      <c r="AZ82" s="4">
        <v>0</v>
      </c>
      <c r="BA82" s="4">
        <v>0</v>
      </c>
      <c r="BB82" s="4">
        <v>0</v>
      </c>
      <c r="BC82" s="4">
        <v>0</v>
      </c>
      <c r="BD82" s="4">
        <v>2</v>
      </c>
      <c r="BE82" s="4">
        <v>0</v>
      </c>
      <c r="BF82" s="4">
        <v>0</v>
      </c>
      <c r="BG82" s="4">
        <v>0</v>
      </c>
      <c r="BH82" s="4"/>
      <c r="BI82" s="4"/>
      <c r="BJ82" s="4"/>
      <c r="BK82" s="4"/>
      <c r="BL82" s="4"/>
      <c r="BM82" s="4"/>
      <c r="BN82" s="4"/>
      <c r="BO82" s="4"/>
      <c r="BP82" s="23"/>
      <c r="BQ82" s="23"/>
      <c r="BR82" s="23"/>
      <c r="BS82" s="23"/>
      <c r="BT82" s="23"/>
      <c r="BU82" s="23"/>
      <c r="BV82" s="23"/>
      <c r="BW82" s="23"/>
      <c r="BX82" s="23"/>
      <c r="BY82" s="23"/>
      <c r="BZ82" s="23"/>
      <c r="CA82" s="23"/>
      <c r="CB82" s="23"/>
      <c r="CC82" s="23"/>
      <c r="CD82" s="23"/>
      <c r="CE82" s="23"/>
      <c r="CF82" s="23"/>
      <c r="CG82" s="23"/>
      <c r="CH82" s="23"/>
      <c r="CI82" s="23"/>
      <c r="CJ82" s="23"/>
      <c r="CK82" s="23"/>
      <c r="CL82" s="23"/>
      <c r="CM82" s="23"/>
      <c r="CN82" s="23"/>
      <c r="CO82" s="23"/>
      <c r="CP82" s="23"/>
      <c r="CQ82" s="23"/>
      <c r="CR82" s="23"/>
      <c r="CS82" s="23"/>
      <c r="CT82" s="23"/>
      <c r="CU82" s="23"/>
      <c r="CV82" s="23"/>
    </row>
    <row r="83" spans="1:100" ht="15.75" customHeight="1" x14ac:dyDescent="0.2">
      <c r="A83" s="15" t="s">
        <v>288</v>
      </c>
      <c r="B83" s="4">
        <v>2</v>
      </c>
      <c r="C83" s="4">
        <v>0</v>
      </c>
      <c r="D83" s="4">
        <v>0</v>
      </c>
      <c r="E83" s="23">
        <v>78</v>
      </c>
      <c r="F83" s="4">
        <v>0</v>
      </c>
      <c r="G83" s="4">
        <v>0</v>
      </c>
      <c r="H83" s="4">
        <v>0</v>
      </c>
      <c r="I83" s="4">
        <v>2</v>
      </c>
      <c r="J83" s="4">
        <v>0</v>
      </c>
      <c r="K83" s="4">
        <v>0</v>
      </c>
      <c r="L83" s="4">
        <v>0</v>
      </c>
      <c r="M83" s="4">
        <v>0</v>
      </c>
      <c r="N83" s="4">
        <v>0</v>
      </c>
      <c r="O83" s="4">
        <v>0</v>
      </c>
      <c r="P83" s="4">
        <v>0</v>
      </c>
      <c r="Q83" s="4">
        <v>0</v>
      </c>
      <c r="R83" s="4">
        <v>0</v>
      </c>
      <c r="S83" s="4">
        <v>0</v>
      </c>
      <c r="T83" s="4">
        <v>0</v>
      </c>
      <c r="U83" s="4">
        <v>0</v>
      </c>
      <c r="V83" s="4">
        <v>0</v>
      </c>
      <c r="W83" s="4">
        <v>0</v>
      </c>
      <c r="X83" s="4">
        <v>0</v>
      </c>
      <c r="Y83" s="4">
        <v>0</v>
      </c>
      <c r="Z83" s="4">
        <v>0</v>
      </c>
      <c r="AA83" s="4">
        <v>1</v>
      </c>
      <c r="AB83" s="4">
        <v>0</v>
      </c>
      <c r="AC83" s="4">
        <v>0</v>
      </c>
      <c r="AD83" s="4">
        <v>0</v>
      </c>
      <c r="AE83" s="4">
        <v>0</v>
      </c>
      <c r="AF83" s="4">
        <v>0</v>
      </c>
      <c r="AG83" s="4">
        <v>0</v>
      </c>
      <c r="AH83" s="4">
        <v>0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">
        <v>0</v>
      </c>
      <c r="AO83" s="4">
        <v>0</v>
      </c>
      <c r="AP83" s="4">
        <v>0</v>
      </c>
      <c r="AQ83" s="4">
        <v>0</v>
      </c>
      <c r="AR83" s="4">
        <v>0</v>
      </c>
      <c r="AS83" s="4">
        <v>0</v>
      </c>
      <c r="AT83" s="4">
        <v>0</v>
      </c>
      <c r="AU83" s="4">
        <v>0</v>
      </c>
      <c r="AV83" s="4">
        <v>2</v>
      </c>
      <c r="AW83" s="4">
        <v>0</v>
      </c>
      <c r="AX83" s="4">
        <v>0</v>
      </c>
      <c r="AY83" s="4">
        <v>0</v>
      </c>
      <c r="AZ83" s="4">
        <v>0</v>
      </c>
      <c r="BA83" s="4">
        <v>0</v>
      </c>
      <c r="BB83" s="4">
        <v>0</v>
      </c>
      <c r="BC83" s="4">
        <v>0</v>
      </c>
      <c r="BD83" s="4">
        <v>0</v>
      </c>
      <c r="BE83" s="4">
        <v>0</v>
      </c>
      <c r="BF83" s="4">
        <v>0</v>
      </c>
      <c r="BG83" s="4">
        <v>0</v>
      </c>
      <c r="BH83" s="4"/>
      <c r="BI83" s="4"/>
      <c r="BJ83" s="4"/>
      <c r="BK83" s="4"/>
      <c r="BL83" s="4"/>
      <c r="BM83" s="4"/>
      <c r="BN83" s="4"/>
      <c r="BO83" s="4"/>
      <c r="BP83" s="23"/>
      <c r="BQ83" s="23"/>
      <c r="BR83" s="23"/>
      <c r="BS83" s="23"/>
      <c r="BT83" s="23"/>
      <c r="BU83" s="23"/>
      <c r="BV83" s="23"/>
      <c r="BW83" s="23"/>
      <c r="BX83" s="23"/>
      <c r="BY83" s="23"/>
      <c r="BZ83" s="23"/>
      <c r="CA83" s="23"/>
      <c r="CB83" s="23"/>
      <c r="CC83" s="23"/>
      <c r="CD83" s="23"/>
      <c r="CE83" s="23"/>
      <c r="CF83" s="23"/>
      <c r="CG83" s="23"/>
      <c r="CH83" s="23"/>
      <c r="CI83" s="23"/>
      <c r="CJ83" s="23"/>
      <c r="CK83" s="23"/>
      <c r="CL83" s="23"/>
      <c r="CM83" s="23"/>
      <c r="CN83" s="23"/>
      <c r="CO83" s="23"/>
      <c r="CP83" s="23"/>
      <c r="CQ83" s="23"/>
      <c r="CR83" s="23"/>
      <c r="CS83" s="23"/>
      <c r="CT83" s="23"/>
      <c r="CU83" s="23"/>
      <c r="CV83" s="23"/>
    </row>
    <row r="84" spans="1:100" ht="15.75" customHeight="1" x14ac:dyDescent="0.2">
      <c r="A84" s="15" t="s">
        <v>289</v>
      </c>
      <c r="B84" s="4">
        <v>50</v>
      </c>
      <c r="C84" s="4">
        <v>17</v>
      </c>
      <c r="D84" s="4">
        <v>26</v>
      </c>
      <c r="E84" s="23">
        <v>169</v>
      </c>
      <c r="F84" s="4">
        <v>85</v>
      </c>
      <c r="G84" s="4">
        <v>0</v>
      </c>
      <c r="H84" s="4">
        <v>0</v>
      </c>
      <c r="I84" s="4">
        <v>445</v>
      </c>
      <c r="J84" s="4">
        <v>142</v>
      </c>
      <c r="K84" s="4">
        <v>0</v>
      </c>
      <c r="L84" s="4">
        <v>145</v>
      </c>
      <c r="M84" s="4">
        <v>0</v>
      </c>
      <c r="N84" s="4">
        <v>0</v>
      </c>
      <c r="O84" s="4">
        <v>0</v>
      </c>
      <c r="P84" s="4">
        <v>0</v>
      </c>
      <c r="Q84" s="4">
        <v>65</v>
      </c>
      <c r="R84" s="4">
        <v>25</v>
      </c>
      <c r="S84" s="4">
        <v>17</v>
      </c>
      <c r="T84" s="4">
        <v>38</v>
      </c>
      <c r="U84" s="4">
        <v>0</v>
      </c>
      <c r="V84" s="4">
        <v>141</v>
      </c>
      <c r="W84" s="4">
        <v>0</v>
      </c>
      <c r="X84" s="4">
        <v>0</v>
      </c>
      <c r="Y84" s="4">
        <v>13</v>
      </c>
      <c r="Z84" s="4">
        <v>36</v>
      </c>
      <c r="AA84" s="4">
        <v>34</v>
      </c>
      <c r="AB84" s="4">
        <v>0</v>
      </c>
      <c r="AC84" s="4">
        <v>0</v>
      </c>
      <c r="AD84" s="4">
        <v>19</v>
      </c>
      <c r="AE84" s="4">
        <v>0</v>
      </c>
      <c r="AF84" s="4">
        <v>0</v>
      </c>
      <c r="AG84" s="4">
        <v>11</v>
      </c>
      <c r="AH84" s="4">
        <v>0</v>
      </c>
      <c r="AI84" s="4">
        <v>0</v>
      </c>
      <c r="AJ84" s="4">
        <v>0</v>
      </c>
      <c r="AK84" s="4">
        <v>0</v>
      </c>
      <c r="AL84" s="4">
        <v>12</v>
      </c>
      <c r="AM84" s="4">
        <v>0</v>
      </c>
      <c r="AN84" s="4">
        <v>0</v>
      </c>
      <c r="AO84" s="4">
        <v>0</v>
      </c>
      <c r="AP84" s="4">
        <v>41</v>
      </c>
      <c r="AQ84" s="4">
        <v>106</v>
      </c>
      <c r="AR84" s="4">
        <v>4</v>
      </c>
      <c r="AS84" s="4">
        <v>0</v>
      </c>
      <c r="AT84" s="4">
        <v>0</v>
      </c>
      <c r="AU84" s="4">
        <v>0</v>
      </c>
      <c r="AV84" s="4">
        <v>169</v>
      </c>
      <c r="AW84" s="4">
        <v>0</v>
      </c>
      <c r="AX84" s="4">
        <v>14</v>
      </c>
      <c r="AY84" s="4">
        <v>28</v>
      </c>
      <c r="AZ84" s="4">
        <v>0</v>
      </c>
      <c r="BA84" s="4">
        <v>0</v>
      </c>
      <c r="BB84" s="4">
        <v>0</v>
      </c>
      <c r="BC84" s="4">
        <v>0</v>
      </c>
      <c r="BD84" s="4">
        <v>18</v>
      </c>
      <c r="BE84" s="4">
        <v>13</v>
      </c>
      <c r="BF84" s="4">
        <v>0</v>
      </c>
      <c r="BG84" s="4">
        <v>0</v>
      </c>
      <c r="BH84" s="4"/>
      <c r="BI84" s="4"/>
      <c r="BJ84" s="4"/>
      <c r="BK84" s="4"/>
      <c r="BL84" s="4"/>
      <c r="BM84" s="4"/>
      <c r="BN84" s="4"/>
      <c r="BO84" s="4"/>
      <c r="BP84" s="23"/>
      <c r="BQ84" s="23"/>
      <c r="BR84" s="23"/>
      <c r="BS84" s="23"/>
      <c r="BT84" s="23"/>
      <c r="BU84" s="23"/>
      <c r="BV84" s="23"/>
      <c r="BW84" s="23"/>
      <c r="BX84" s="23"/>
      <c r="BY84" s="23"/>
      <c r="BZ84" s="23"/>
      <c r="CA84" s="23"/>
      <c r="CB84" s="23"/>
      <c r="CC84" s="23"/>
      <c r="CD84" s="23"/>
      <c r="CE84" s="23"/>
      <c r="CF84" s="23"/>
      <c r="CG84" s="23"/>
      <c r="CH84" s="23"/>
      <c r="CI84" s="23"/>
      <c r="CJ84" s="23"/>
      <c r="CK84" s="23"/>
      <c r="CL84" s="23"/>
      <c r="CM84" s="23"/>
      <c r="CN84" s="23"/>
      <c r="CO84" s="23"/>
      <c r="CP84" s="23"/>
      <c r="CQ84" s="23"/>
      <c r="CR84" s="23"/>
      <c r="CS84" s="23"/>
      <c r="CT84" s="23"/>
      <c r="CU84" s="23"/>
      <c r="CV84" s="23"/>
    </row>
    <row r="85" spans="1:100" ht="15.75" customHeight="1" x14ac:dyDescent="0.2">
      <c r="A85" s="15" t="s">
        <v>290</v>
      </c>
      <c r="B85" s="4">
        <v>3</v>
      </c>
      <c r="C85" s="4">
        <v>0</v>
      </c>
      <c r="D85" s="4">
        <v>5</v>
      </c>
      <c r="E85" s="23">
        <v>68</v>
      </c>
      <c r="F85" s="4">
        <v>40</v>
      </c>
      <c r="G85" s="4">
        <v>0</v>
      </c>
      <c r="H85" s="4">
        <v>7</v>
      </c>
      <c r="I85" s="4">
        <v>355</v>
      </c>
      <c r="J85" s="4">
        <v>58</v>
      </c>
      <c r="K85" s="4">
        <v>0</v>
      </c>
      <c r="L85" s="4">
        <v>65</v>
      </c>
      <c r="M85" s="4">
        <v>0</v>
      </c>
      <c r="N85" s="4">
        <v>0</v>
      </c>
      <c r="O85" s="4">
        <v>0</v>
      </c>
      <c r="P85" s="4">
        <v>0</v>
      </c>
      <c r="Q85" s="4">
        <v>50</v>
      </c>
      <c r="R85" s="4">
        <v>0</v>
      </c>
      <c r="S85" s="4">
        <v>0</v>
      </c>
      <c r="T85" s="4">
        <v>35</v>
      </c>
      <c r="U85" s="4">
        <v>0</v>
      </c>
      <c r="V85" s="4">
        <v>40</v>
      </c>
      <c r="W85" s="4">
        <v>0</v>
      </c>
      <c r="X85" s="4">
        <v>0</v>
      </c>
      <c r="Y85" s="4">
        <v>4</v>
      </c>
      <c r="Z85" s="4">
        <v>0</v>
      </c>
      <c r="AA85" s="4">
        <v>35</v>
      </c>
      <c r="AB85" s="4">
        <v>0</v>
      </c>
      <c r="AC85" s="4">
        <v>0</v>
      </c>
      <c r="AD85" s="4">
        <v>10</v>
      </c>
      <c r="AE85" s="4">
        <v>0</v>
      </c>
      <c r="AF85" s="4">
        <v>0</v>
      </c>
      <c r="AG85" s="4">
        <v>0</v>
      </c>
      <c r="AH85" s="4">
        <v>0</v>
      </c>
      <c r="AI85" s="4">
        <v>0</v>
      </c>
      <c r="AJ85" s="4">
        <v>0</v>
      </c>
      <c r="AK85" s="4">
        <v>0</v>
      </c>
      <c r="AL85" s="4">
        <v>16</v>
      </c>
      <c r="AM85" s="4">
        <v>0</v>
      </c>
      <c r="AN85" s="4">
        <v>0</v>
      </c>
      <c r="AO85" s="4">
        <v>0</v>
      </c>
      <c r="AP85" s="4">
        <v>81</v>
      </c>
      <c r="AQ85" s="4">
        <v>25</v>
      </c>
      <c r="AR85" s="4">
        <v>4</v>
      </c>
      <c r="AS85" s="4">
        <v>0</v>
      </c>
      <c r="AT85" s="4">
        <v>0</v>
      </c>
      <c r="AU85" s="4">
        <v>0</v>
      </c>
      <c r="AV85" s="4">
        <v>92</v>
      </c>
      <c r="AW85" s="4">
        <v>15</v>
      </c>
      <c r="AX85" s="4">
        <v>5</v>
      </c>
      <c r="AY85" s="4">
        <v>25</v>
      </c>
      <c r="AZ85" s="4">
        <v>0</v>
      </c>
      <c r="BA85" s="4">
        <v>0</v>
      </c>
      <c r="BB85" s="4">
        <v>0</v>
      </c>
      <c r="BC85" s="4">
        <v>0</v>
      </c>
      <c r="BD85" s="4">
        <v>11</v>
      </c>
      <c r="BE85" s="4">
        <v>10</v>
      </c>
      <c r="BF85" s="4">
        <v>0</v>
      </c>
      <c r="BG85" s="4">
        <v>0</v>
      </c>
      <c r="BH85" s="4"/>
      <c r="BI85" s="4"/>
      <c r="BJ85" s="4"/>
      <c r="BK85" s="4"/>
      <c r="BL85" s="4"/>
      <c r="CA85" s="23"/>
      <c r="CB85" s="23"/>
      <c r="CC85" s="23"/>
      <c r="CD85" s="23"/>
      <c r="CE85" s="23"/>
      <c r="CF85" s="23"/>
      <c r="CG85" s="23"/>
      <c r="CH85" s="23"/>
      <c r="CI85" s="23"/>
      <c r="CJ85" s="23"/>
      <c r="CK85" s="23"/>
      <c r="CL85" s="23"/>
      <c r="CM85" s="23"/>
      <c r="CN85" s="23"/>
      <c r="CO85" s="23"/>
      <c r="CP85" s="23"/>
      <c r="CQ85" s="23"/>
      <c r="CR85" s="23"/>
      <c r="CS85" s="23"/>
      <c r="CT85" s="23"/>
      <c r="CU85" s="23"/>
      <c r="CV85" s="23"/>
    </row>
    <row r="86" spans="1:100" ht="15.75" customHeight="1" x14ac:dyDescent="0.2">
      <c r="A86" s="15" t="s">
        <v>291</v>
      </c>
      <c r="B86" s="4">
        <v>42</v>
      </c>
      <c r="C86" s="4">
        <v>16</v>
      </c>
      <c r="D86" s="4">
        <v>0</v>
      </c>
      <c r="E86" s="23">
        <v>44</v>
      </c>
      <c r="F86" s="4">
        <v>61</v>
      </c>
      <c r="G86" s="4">
        <v>0</v>
      </c>
      <c r="H86" s="4">
        <v>1</v>
      </c>
      <c r="I86" s="4">
        <v>381</v>
      </c>
      <c r="J86" s="4">
        <v>78</v>
      </c>
      <c r="K86" s="4">
        <v>0</v>
      </c>
      <c r="L86" s="4">
        <v>77</v>
      </c>
      <c r="M86" s="4">
        <v>0</v>
      </c>
      <c r="N86" s="4">
        <v>0</v>
      </c>
      <c r="O86" s="4">
        <v>0</v>
      </c>
      <c r="P86" s="4">
        <v>0</v>
      </c>
      <c r="Q86" s="4">
        <v>82</v>
      </c>
      <c r="R86" s="4">
        <v>19</v>
      </c>
      <c r="S86" s="4">
        <v>2</v>
      </c>
      <c r="T86" s="4">
        <v>30</v>
      </c>
      <c r="U86" s="4">
        <v>10</v>
      </c>
      <c r="V86" s="4">
        <v>417</v>
      </c>
      <c r="W86" s="4">
        <v>0</v>
      </c>
      <c r="X86" s="4">
        <v>0</v>
      </c>
      <c r="Y86" s="4">
        <v>3</v>
      </c>
      <c r="Z86" s="4">
        <v>19</v>
      </c>
      <c r="AA86" s="4">
        <v>67</v>
      </c>
      <c r="AB86" s="4">
        <v>0</v>
      </c>
      <c r="AC86" s="4">
        <v>0</v>
      </c>
      <c r="AD86" s="4">
        <v>0</v>
      </c>
      <c r="AE86" s="4">
        <v>0</v>
      </c>
      <c r="AF86" s="4">
        <v>0</v>
      </c>
      <c r="AG86" s="4">
        <v>12</v>
      </c>
      <c r="AH86" s="4">
        <v>0</v>
      </c>
      <c r="AI86" s="4">
        <v>0</v>
      </c>
      <c r="AJ86" s="4">
        <v>0</v>
      </c>
      <c r="AK86" s="4">
        <v>0</v>
      </c>
      <c r="AL86" s="4">
        <v>9</v>
      </c>
      <c r="AM86" s="4">
        <v>0</v>
      </c>
      <c r="AN86" s="4">
        <v>0</v>
      </c>
      <c r="AO86" s="4">
        <v>0</v>
      </c>
      <c r="AP86" s="4">
        <v>54</v>
      </c>
      <c r="AQ86" s="4">
        <v>82</v>
      </c>
      <c r="AR86" s="4">
        <v>36</v>
      </c>
      <c r="AS86" s="4">
        <v>0</v>
      </c>
      <c r="AT86" s="4">
        <v>0</v>
      </c>
      <c r="AU86" s="4">
        <v>0</v>
      </c>
      <c r="AV86" s="4">
        <v>99</v>
      </c>
      <c r="AW86" s="4">
        <v>0</v>
      </c>
      <c r="AX86" s="4">
        <v>10</v>
      </c>
      <c r="AY86" s="4">
        <v>128</v>
      </c>
      <c r="AZ86" s="4">
        <v>0</v>
      </c>
      <c r="BA86" s="4">
        <v>0</v>
      </c>
      <c r="BB86" s="4">
        <v>0</v>
      </c>
      <c r="BC86" s="4">
        <v>0</v>
      </c>
      <c r="BD86" s="4">
        <v>8</v>
      </c>
      <c r="BE86" s="4">
        <v>10</v>
      </c>
      <c r="BF86" s="4">
        <v>0</v>
      </c>
      <c r="BG86" s="4">
        <v>0</v>
      </c>
      <c r="BH86" s="4"/>
      <c r="BI86" s="4"/>
      <c r="BJ86" s="4"/>
      <c r="BK86" s="4"/>
      <c r="BL86" s="4"/>
      <c r="CA86" s="23"/>
      <c r="CB86" s="23"/>
      <c r="CC86" s="23"/>
      <c r="CD86" s="23"/>
      <c r="CE86" s="23"/>
      <c r="CF86" s="23"/>
      <c r="CG86" s="23"/>
      <c r="CH86" s="23"/>
      <c r="CI86" s="23"/>
      <c r="CJ86" s="23"/>
      <c r="CK86" s="23"/>
      <c r="CL86" s="23"/>
      <c r="CM86" s="23"/>
      <c r="CN86" s="23"/>
      <c r="CO86" s="23"/>
      <c r="CP86" s="23"/>
      <c r="CQ86" s="23"/>
      <c r="CR86" s="23"/>
      <c r="CS86" s="23"/>
      <c r="CT86" s="23"/>
      <c r="CU86" s="23"/>
      <c r="CV86" s="23"/>
    </row>
    <row r="87" spans="1:100" ht="15.75" customHeight="1" x14ac:dyDescent="0.2">
      <c r="A87" s="15" t="s">
        <v>292</v>
      </c>
      <c r="B87" s="4">
        <v>1</v>
      </c>
      <c r="C87" s="4">
        <v>0</v>
      </c>
      <c r="D87" s="4">
        <v>0</v>
      </c>
      <c r="E87" s="23">
        <v>83</v>
      </c>
      <c r="F87" s="4">
        <v>2</v>
      </c>
      <c r="G87" s="4">
        <v>0</v>
      </c>
      <c r="H87" s="4">
        <v>0</v>
      </c>
      <c r="I87" s="4">
        <v>5</v>
      </c>
      <c r="J87" s="4">
        <v>3</v>
      </c>
      <c r="K87" s="4">
        <v>0</v>
      </c>
      <c r="L87" s="4">
        <v>0</v>
      </c>
      <c r="M87" s="4">
        <v>0</v>
      </c>
      <c r="N87" s="4">
        <v>0</v>
      </c>
      <c r="O87" s="4">
        <v>0</v>
      </c>
      <c r="P87" s="4">
        <v>0</v>
      </c>
      <c r="Q87" s="4">
        <v>0</v>
      </c>
      <c r="R87" s="4">
        <v>0</v>
      </c>
      <c r="S87" s="4">
        <v>0</v>
      </c>
      <c r="T87" s="4">
        <v>2</v>
      </c>
      <c r="U87" s="4">
        <v>0</v>
      </c>
      <c r="V87" s="4">
        <v>0</v>
      </c>
      <c r="W87" s="4">
        <v>0</v>
      </c>
      <c r="X87" s="4">
        <v>0</v>
      </c>
      <c r="Y87" s="4">
        <v>0</v>
      </c>
      <c r="Z87" s="4">
        <v>0</v>
      </c>
      <c r="AA87" s="4">
        <v>2</v>
      </c>
      <c r="AB87" s="4">
        <v>0</v>
      </c>
      <c r="AC87" s="4">
        <v>0</v>
      </c>
      <c r="AD87" s="4">
        <v>0</v>
      </c>
      <c r="AE87" s="4">
        <v>0</v>
      </c>
      <c r="AF87" s="4">
        <v>0</v>
      </c>
      <c r="AG87" s="4">
        <v>0</v>
      </c>
      <c r="AH87" s="4">
        <v>0</v>
      </c>
      <c r="AI87" s="4">
        <v>0</v>
      </c>
      <c r="AJ87" s="4">
        <v>0</v>
      </c>
      <c r="AK87" s="4">
        <v>0</v>
      </c>
      <c r="AL87" s="4">
        <v>0</v>
      </c>
      <c r="AM87" s="4">
        <v>0</v>
      </c>
      <c r="AN87" s="4">
        <v>0</v>
      </c>
      <c r="AO87" s="4">
        <v>0</v>
      </c>
      <c r="AP87" s="4">
        <v>0</v>
      </c>
      <c r="AQ87" s="4">
        <v>0</v>
      </c>
      <c r="AR87" s="4">
        <v>0</v>
      </c>
      <c r="AS87" s="4">
        <v>0</v>
      </c>
      <c r="AT87" s="4">
        <v>0</v>
      </c>
      <c r="AU87" s="4">
        <v>0</v>
      </c>
      <c r="AV87" s="4">
        <v>7</v>
      </c>
      <c r="AW87" s="4">
        <v>0</v>
      </c>
      <c r="AX87" s="4">
        <v>0</v>
      </c>
      <c r="AY87" s="4">
        <v>1</v>
      </c>
      <c r="AZ87" s="4">
        <v>0</v>
      </c>
      <c r="BA87" s="4">
        <v>0</v>
      </c>
      <c r="BB87" s="4">
        <v>0</v>
      </c>
      <c r="BC87" s="4">
        <v>0</v>
      </c>
      <c r="BD87" s="4">
        <v>0</v>
      </c>
      <c r="BE87" s="4">
        <v>0</v>
      </c>
      <c r="BF87" s="4">
        <v>0</v>
      </c>
      <c r="BG87" s="4">
        <v>0</v>
      </c>
      <c r="BH87" s="4"/>
      <c r="BI87" s="4"/>
      <c r="BJ87" s="4"/>
      <c r="BK87" s="4"/>
      <c r="BL87" s="4"/>
      <c r="CA87" s="23"/>
      <c r="CB87" s="23"/>
      <c r="CC87" s="23"/>
      <c r="CD87" s="23"/>
      <c r="CE87" s="23"/>
      <c r="CF87" s="23"/>
      <c r="CG87" s="23"/>
      <c r="CH87" s="23"/>
      <c r="CI87" s="23"/>
      <c r="CJ87" s="23"/>
      <c r="CK87" s="23"/>
      <c r="CL87" s="23"/>
      <c r="CM87" s="23"/>
      <c r="CN87" s="23"/>
      <c r="CO87" s="23"/>
      <c r="CP87" s="23"/>
      <c r="CQ87" s="23"/>
      <c r="CR87" s="23"/>
      <c r="CS87" s="23"/>
      <c r="CT87" s="23"/>
      <c r="CU87" s="23"/>
      <c r="CV87" s="23"/>
    </row>
    <row r="88" spans="1:100" ht="15.75" customHeight="1" x14ac:dyDescent="0.2">
      <c r="A88" s="15" t="s">
        <v>293</v>
      </c>
      <c r="B88" s="4">
        <v>18</v>
      </c>
      <c r="C88" s="4">
        <v>0</v>
      </c>
      <c r="D88" s="4">
        <v>3</v>
      </c>
      <c r="E88" s="23">
        <v>91</v>
      </c>
      <c r="F88" s="4">
        <v>14</v>
      </c>
      <c r="G88" s="4">
        <v>0</v>
      </c>
      <c r="H88" s="4">
        <v>0</v>
      </c>
      <c r="I88" s="4">
        <v>38</v>
      </c>
      <c r="J88" s="4">
        <v>21</v>
      </c>
      <c r="K88" s="4">
        <v>0</v>
      </c>
      <c r="L88" s="4">
        <v>12</v>
      </c>
      <c r="M88" s="4">
        <v>0</v>
      </c>
      <c r="N88" s="4">
        <v>0</v>
      </c>
      <c r="O88" s="4">
        <v>0</v>
      </c>
      <c r="P88" s="4">
        <v>1</v>
      </c>
      <c r="Q88" s="4">
        <v>2</v>
      </c>
      <c r="R88" s="4">
        <v>11</v>
      </c>
      <c r="S88" s="4">
        <v>2</v>
      </c>
      <c r="T88" s="4">
        <v>1</v>
      </c>
      <c r="U88" s="4">
        <v>0</v>
      </c>
      <c r="V88" s="4">
        <v>8</v>
      </c>
      <c r="W88" s="4">
        <v>0</v>
      </c>
      <c r="X88" s="4">
        <v>0</v>
      </c>
      <c r="Y88" s="4">
        <v>0</v>
      </c>
      <c r="Z88" s="4">
        <v>8</v>
      </c>
      <c r="AA88" s="4">
        <v>28</v>
      </c>
      <c r="AB88" s="4">
        <v>0</v>
      </c>
      <c r="AC88" s="4">
        <v>0</v>
      </c>
      <c r="AD88" s="4">
        <v>1</v>
      </c>
      <c r="AE88" s="4">
        <v>0</v>
      </c>
      <c r="AF88" s="4">
        <v>0</v>
      </c>
      <c r="AG88" s="4">
        <v>4</v>
      </c>
      <c r="AH88" s="4">
        <v>0</v>
      </c>
      <c r="AI88" s="4">
        <v>0</v>
      </c>
      <c r="AJ88" s="4">
        <v>0</v>
      </c>
      <c r="AK88" s="4">
        <v>0</v>
      </c>
      <c r="AL88" s="4">
        <v>0</v>
      </c>
      <c r="AM88" s="4">
        <v>0</v>
      </c>
      <c r="AN88" s="4">
        <v>0</v>
      </c>
      <c r="AO88" s="4">
        <v>0</v>
      </c>
      <c r="AP88" s="4">
        <v>0</v>
      </c>
      <c r="AQ88" s="4">
        <v>14</v>
      </c>
      <c r="AR88" s="4">
        <v>0</v>
      </c>
      <c r="AS88" s="4">
        <v>0</v>
      </c>
      <c r="AT88" s="4">
        <v>0</v>
      </c>
      <c r="AU88" s="4">
        <v>0</v>
      </c>
      <c r="AV88" s="4">
        <v>13</v>
      </c>
      <c r="AW88" s="4">
        <v>0</v>
      </c>
      <c r="AX88" s="4">
        <v>0</v>
      </c>
      <c r="AY88" s="4">
        <v>6</v>
      </c>
      <c r="AZ88" s="4">
        <v>0</v>
      </c>
      <c r="BA88" s="4">
        <v>0</v>
      </c>
      <c r="BB88" s="4">
        <v>0</v>
      </c>
      <c r="BC88" s="4">
        <v>0</v>
      </c>
      <c r="BD88" s="4">
        <v>16</v>
      </c>
      <c r="BE88" s="4">
        <v>4</v>
      </c>
      <c r="BF88" s="4">
        <v>0</v>
      </c>
      <c r="BG88" s="4">
        <v>0</v>
      </c>
      <c r="BH88" s="4"/>
      <c r="BI88" s="4"/>
      <c r="BJ88" s="4"/>
      <c r="BK88" s="4"/>
      <c r="BL88" s="4"/>
      <c r="CA88" s="23"/>
      <c r="CB88" s="23"/>
      <c r="CC88" s="23"/>
      <c r="CD88" s="23"/>
      <c r="CE88" s="23"/>
      <c r="CF88" s="23"/>
      <c r="CG88" s="23"/>
      <c r="CH88" s="23"/>
      <c r="CI88" s="23"/>
      <c r="CJ88" s="23"/>
      <c r="CK88" s="23"/>
      <c r="CL88" s="23"/>
      <c r="CM88" s="23"/>
      <c r="CN88" s="23"/>
      <c r="CO88" s="23"/>
      <c r="CP88" s="23"/>
      <c r="CQ88" s="23"/>
      <c r="CR88" s="23"/>
      <c r="CS88" s="23"/>
      <c r="CT88" s="23"/>
      <c r="CU88" s="23"/>
      <c r="CV88" s="23"/>
    </row>
    <row r="89" spans="1:100" ht="15.75" customHeight="1" x14ac:dyDescent="0.2">
      <c r="A89" s="15" t="s">
        <v>294</v>
      </c>
      <c r="B89" s="4">
        <v>0</v>
      </c>
      <c r="C89" s="4">
        <v>0</v>
      </c>
      <c r="D89" s="4">
        <v>0</v>
      </c>
      <c r="E89" s="23">
        <v>57</v>
      </c>
      <c r="F89" s="4">
        <v>4</v>
      </c>
      <c r="G89" s="4">
        <v>0</v>
      </c>
      <c r="H89" s="4">
        <v>0</v>
      </c>
      <c r="I89" s="4">
        <v>13</v>
      </c>
      <c r="J89" s="4">
        <v>9</v>
      </c>
      <c r="K89" s="4">
        <v>0</v>
      </c>
      <c r="L89" s="4">
        <v>5</v>
      </c>
      <c r="M89" s="4">
        <v>0</v>
      </c>
      <c r="N89" s="4">
        <v>0</v>
      </c>
      <c r="O89" s="4">
        <v>0</v>
      </c>
      <c r="P89" s="4">
        <v>0</v>
      </c>
      <c r="Q89" s="4">
        <v>0</v>
      </c>
      <c r="R89" s="4">
        <v>5</v>
      </c>
      <c r="S89" s="4">
        <v>0</v>
      </c>
      <c r="T89" s="4">
        <v>6</v>
      </c>
      <c r="U89" s="4">
        <v>0</v>
      </c>
      <c r="V89" s="4">
        <v>0</v>
      </c>
      <c r="W89" s="4">
        <v>0</v>
      </c>
      <c r="X89" s="4">
        <v>0</v>
      </c>
      <c r="Y89" s="4">
        <v>0</v>
      </c>
      <c r="Z89" s="4">
        <v>0</v>
      </c>
      <c r="AA89" s="4">
        <v>2</v>
      </c>
      <c r="AB89" s="4">
        <v>0</v>
      </c>
      <c r="AC89" s="4">
        <v>0</v>
      </c>
      <c r="AD89" s="4">
        <v>0</v>
      </c>
      <c r="AE89" s="4">
        <v>0</v>
      </c>
      <c r="AF89" s="4">
        <v>0</v>
      </c>
      <c r="AG89" s="4">
        <v>1</v>
      </c>
      <c r="AH89" s="4">
        <v>0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">
        <v>0</v>
      </c>
      <c r="AO89" s="4">
        <v>0</v>
      </c>
      <c r="AP89" s="4">
        <v>0</v>
      </c>
      <c r="AQ89" s="4">
        <v>0</v>
      </c>
      <c r="AR89" s="4">
        <v>0</v>
      </c>
      <c r="AS89" s="4">
        <v>0</v>
      </c>
      <c r="AT89" s="4">
        <v>0</v>
      </c>
      <c r="AU89" s="4">
        <v>0</v>
      </c>
      <c r="AV89" s="4">
        <v>0</v>
      </c>
      <c r="AW89" s="4">
        <v>0</v>
      </c>
      <c r="AX89" s="4">
        <v>0</v>
      </c>
      <c r="AY89" s="4">
        <v>0</v>
      </c>
      <c r="AZ89" s="4">
        <v>0</v>
      </c>
      <c r="BA89" s="4">
        <v>0</v>
      </c>
      <c r="BB89" s="4">
        <v>0</v>
      </c>
      <c r="BC89" s="4">
        <v>0</v>
      </c>
      <c r="BD89" s="4">
        <v>0</v>
      </c>
      <c r="BE89" s="4">
        <v>0</v>
      </c>
      <c r="BF89" s="4">
        <v>0</v>
      </c>
      <c r="BG89" s="4">
        <v>0</v>
      </c>
      <c r="BH89" s="4"/>
      <c r="BI89" s="4"/>
      <c r="BJ89" s="4"/>
      <c r="BK89" s="4"/>
      <c r="BL89" s="4"/>
      <c r="CA89" s="23"/>
      <c r="CB89" s="23"/>
      <c r="CC89" s="23"/>
      <c r="CD89" s="23"/>
      <c r="CE89" s="23"/>
      <c r="CF89" s="23"/>
      <c r="CG89" s="23"/>
      <c r="CH89" s="23"/>
      <c r="CI89" s="23"/>
      <c r="CJ89" s="23"/>
      <c r="CK89" s="23"/>
      <c r="CL89" s="23"/>
      <c r="CM89" s="23"/>
      <c r="CN89" s="23"/>
      <c r="CO89" s="23"/>
      <c r="CP89" s="23"/>
      <c r="CQ89" s="23"/>
      <c r="CR89" s="23"/>
      <c r="CS89" s="23"/>
      <c r="CT89" s="23"/>
      <c r="CU89" s="23"/>
      <c r="CV89" s="23"/>
    </row>
    <row r="90" spans="1:100" ht="15.75" customHeight="1" x14ac:dyDescent="0.2">
      <c r="A90" s="15" t="s">
        <v>295</v>
      </c>
      <c r="B90" s="4">
        <v>4</v>
      </c>
      <c r="C90" s="4">
        <v>1</v>
      </c>
      <c r="D90" s="4">
        <v>0</v>
      </c>
      <c r="E90" s="23">
        <v>65</v>
      </c>
      <c r="F90" s="4">
        <v>2</v>
      </c>
      <c r="G90" s="4">
        <v>0</v>
      </c>
      <c r="H90" s="4">
        <v>0</v>
      </c>
      <c r="I90" s="4">
        <v>6</v>
      </c>
      <c r="J90" s="4">
        <v>3</v>
      </c>
      <c r="K90" s="4">
        <v>0</v>
      </c>
      <c r="L90" s="4">
        <v>1</v>
      </c>
      <c r="M90" s="4">
        <v>0</v>
      </c>
      <c r="N90" s="4">
        <v>0</v>
      </c>
      <c r="O90" s="4">
        <v>0</v>
      </c>
      <c r="P90" s="4">
        <v>0</v>
      </c>
      <c r="Q90" s="4">
        <v>0</v>
      </c>
      <c r="R90" s="4">
        <v>1</v>
      </c>
      <c r="S90" s="4">
        <v>0</v>
      </c>
      <c r="T90" s="4">
        <v>0</v>
      </c>
      <c r="U90" s="4">
        <v>0</v>
      </c>
      <c r="V90" s="4">
        <v>0</v>
      </c>
      <c r="W90" s="4">
        <v>0</v>
      </c>
      <c r="X90" s="4">
        <v>0</v>
      </c>
      <c r="Y90" s="4">
        <v>0</v>
      </c>
      <c r="Z90" s="4">
        <v>0</v>
      </c>
      <c r="AA90" s="4">
        <v>1</v>
      </c>
      <c r="AB90" s="4">
        <v>0</v>
      </c>
      <c r="AC90" s="4">
        <v>0</v>
      </c>
      <c r="AD90" s="4">
        <v>0</v>
      </c>
      <c r="AE90" s="4">
        <v>0</v>
      </c>
      <c r="AF90" s="4">
        <v>0</v>
      </c>
      <c r="AG90" s="4">
        <v>0</v>
      </c>
      <c r="AH90" s="4">
        <v>0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">
        <v>0</v>
      </c>
      <c r="AO90" s="4">
        <v>0</v>
      </c>
      <c r="AP90" s="4">
        <v>0</v>
      </c>
      <c r="AQ90" s="4">
        <v>2</v>
      </c>
      <c r="AR90" s="4">
        <v>0</v>
      </c>
      <c r="AS90" s="4">
        <v>0</v>
      </c>
      <c r="AT90" s="4">
        <v>0</v>
      </c>
      <c r="AU90" s="4">
        <v>0</v>
      </c>
      <c r="AV90" s="4">
        <v>1</v>
      </c>
      <c r="AW90" s="4">
        <v>0</v>
      </c>
      <c r="AX90" s="4">
        <v>0</v>
      </c>
      <c r="AY90" s="4">
        <v>3</v>
      </c>
      <c r="AZ90" s="4">
        <v>0</v>
      </c>
      <c r="BA90" s="4">
        <v>0</v>
      </c>
      <c r="BB90" s="4">
        <v>0</v>
      </c>
      <c r="BC90" s="4">
        <v>0</v>
      </c>
      <c r="BD90" s="4">
        <v>0</v>
      </c>
      <c r="BE90" s="4">
        <v>0</v>
      </c>
      <c r="BF90" s="4">
        <v>0</v>
      </c>
      <c r="BG90" s="4">
        <v>0</v>
      </c>
      <c r="BH90" s="4"/>
      <c r="BI90" s="4"/>
      <c r="BJ90" s="4"/>
      <c r="BK90" s="4"/>
      <c r="BL90" s="4"/>
      <c r="CA90" s="23"/>
      <c r="CB90" s="23"/>
      <c r="CC90" s="23"/>
      <c r="CD90" s="23"/>
      <c r="CE90" s="23"/>
      <c r="CF90" s="23"/>
      <c r="CG90" s="23"/>
      <c r="CH90" s="23"/>
      <c r="CI90" s="23"/>
      <c r="CJ90" s="23"/>
      <c r="CK90" s="23"/>
      <c r="CL90" s="23"/>
      <c r="CM90" s="23"/>
      <c r="CN90" s="23"/>
      <c r="CO90" s="23"/>
      <c r="CP90" s="23"/>
      <c r="CQ90" s="23"/>
      <c r="CR90" s="23"/>
      <c r="CS90" s="23"/>
      <c r="CT90" s="23"/>
      <c r="CU90" s="23"/>
      <c r="CV90" s="23"/>
    </row>
    <row r="91" spans="1:100" ht="15.75" customHeight="1" x14ac:dyDescent="0.2">
      <c r="A91" s="15" t="s">
        <v>296</v>
      </c>
      <c r="B91" s="4">
        <v>6</v>
      </c>
      <c r="C91" s="4">
        <v>0</v>
      </c>
      <c r="D91" s="4">
        <v>0</v>
      </c>
      <c r="E91" s="23">
        <v>107</v>
      </c>
      <c r="F91" s="4">
        <v>4</v>
      </c>
      <c r="G91" s="4">
        <v>0</v>
      </c>
      <c r="H91" s="4">
        <v>0</v>
      </c>
      <c r="I91" s="4">
        <v>84</v>
      </c>
      <c r="J91" s="4">
        <v>12</v>
      </c>
      <c r="K91" s="4">
        <v>0</v>
      </c>
      <c r="L91" s="4">
        <v>23</v>
      </c>
      <c r="M91" s="4">
        <v>0</v>
      </c>
      <c r="N91" s="4">
        <v>0</v>
      </c>
      <c r="O91" s="4">
        <v>0</v>
      </c>
      <c r="P91" s="4">
        <v>0</v>
      </c>
      <c r="Q91" s="4">
        <v>2</v>
      </c>
      <c r="R91" s="4">
        <v>0</v>
      </c>
      <c r="S91" s="4">
        <v>0</v>
      </c>
      <c r="T91" s="4">
        <v>1</v>
      </c>
      <c r="U91" s="4">
        <v>0</v>
      </c>
      <c r="V91" s="4">
        <v>4</v>
      </c>
      <c r="W91" s="4">
        <v>0</v>
      </c>
      <c r="X91" s="4">
        <v>0</v>
      </c>
      <c r="Y91" s="4">
        <v>3</v>
      </c>
      <c r="Z91" s="4">
        <v>1</v>
      </c>
      <c r="AA91" s="4">
        <v>3</v>
      </c>
      <c r="AB91" s="4">
        <v>0</v>
      </c>
      <c r="AC91" s="4">
        <v>0</v>
      </c>
      <c r="AD91" s="4">
        <v>0</v>
      </c>
      <c r="AE91" s="4">
        <v>0</v>
      </c>
      <c r="AF91" s="4">
        <v>0</v>
      </c>
      <c r="AG91" s="4">
        <v>0</v>
      </c>
      <c r="AH91" s="4">
        <v>0</v>
      </c>
      <c r="AI91" s="4">
        <v>0</v>
      </c>
      <c r="AJ91" s="4">
        <v>0</v>
      </c>
      <c r="AK91" s="4">
        <v>0</v>
      </c>
      <c r="AL91" s="4">
        <v>3</v>
      </c>
      <c r="AM91" s="4">
        <v>0</v>
      </c>
      <c r="AN91" s="4">
        <v>0</v>
      </c>
      <c r="AO91" s="4">
        <v>0</v>
      </c>
      <c r="AP91" s="4">
        <v>0</v>
      </c>
      <c r="AQ91" s="4">
        <v>1</v>
      </c>
      <c r="AR91" s="4">
        <v>0</v>
      </c>
      <c r="AS91" s="4">
        <v>0</v>
      </c>
      <c r="AT91" s="4">
        <v>0</v>
      </c>
      <c r="AU91" s="4">
        <v>0</v>
      </c>
      <c r="AV91" s="4">
        <v>41</v>
      </c>
      <c r="AW91" s="4">
        <v>1</v>
      </c>
      <c r="AX91" s="4">
        <v>12</v>
      </c>
      <c r="AY91" s="4">
        <v>4</v>
      </c>
      <c r="AZ91" s="4">
        <v>0</v>
      </c>
      <c r="BA91" s="4">
        <v>0</v>
      </c>
      <c r="BB91" s="4">
        <v>0</v>
      </c>
      <c r="BC91" s="4">
        <v>0</v>
      </c>
      <c r="BD91" s="4">
        <v>0</v>
      </c>
      <c r="BE91" s="4">
        <v>0</v>
      </c>
      <c r="BF91" s="4">
        <v>0</v>
      </c>
      <c r="BG91" s="4">
        <v>0</v>
      </c>
      <c r="BH91" s="4"/>
      <c r="BI91" s="4"/>
      <c r="BJ91" s="4"/>
      <c r="BK91" s="4"/>
      <c r="BL91" s="4"/>
      <c r="CA91" s="23"/>
      <c r="CB91" s="23"/>
      <c r="CC91" s="23"/>
      <c r="CD91" s="23"/>
      <c r="CE91" s="23"/>
      <c r="CF91" s="23"/>
      <c r="CG91" s="23"/>
      <c r="CH91" s="23"/>
      <c r="CI91" s="23"/>
      <c r="CJ91" s="23"/>
      <c r="CK91" s="23"/>
      <c r="CL91" s="23"/>
      <c r="CM91" s="23"/>
      <c r="CN91" s="23"/>
      <c r="CO91" s="23"/>
      <c r="CP91" s="23"/>
      <c r="CQ91" s="23"/>
      <c r="CR91" s="23"/>
      <c r="CS91" s="23"/>
      <c r="CT91" s="23"/>
      <c r="CU91" s="23"/>
      <c r="CV91" s="23"/>
    </row>
    <row r="92" spans="1:100" ht="15.75" customHeight="1" x14ac:dyDescent="0.2">
      <c r="A92" s="15" t="s">
        <v>297</v>
      </c>
      <c r="B92" s="4">
        <v>7</v>
      </c>
      <c r="C92" s="4">
        <v>0</v>
      </c>
      <c r="D92" s="4">
        <v>0</v>
      </c>
      <c r="E92" s="23">
        <v>39</v>
      </c>
      <c r="F92" s="4">
        <v>1</v>
      </c>
      <c r="G92" s="4">
        <v>0</v>
      </c>
      <c r="H92" s="4">
        <v>0</v>
      </c>
      <c r="I92" s="4">
        <v>49</v>
      </c>
      <c r="J92" s="4">
        <v>2</v>
      </c>
      <c r="K92" s="4">
        <v>0</v>
      </c>
      <c r="L92" s="4">
        <v>9</v>
      </c>
      <c r="M92" s="4">
        <v>0</v>
      </c>
      <c r="N92" s="4">
        <v>0</v>
      </c>
      <c r="O92" s="4">
        <v>0</v>
      </c>
      <c r="P92" s="4">
        <v>0</v>
      </c>
      <c r="Q92" s="4">
        <v>0</v>
      </c>
      <c r="R92" s="4">
        <v>1</v>
      </c>
      <c r="S92" s="4">
        <v>0</v>
      </c>
      <c r="T92" s="4">
        <v>2</v>
      </c>
      <c r="U92" s="4">
        <v>0</v>
      </c>
      <c r="V92" s="4">
        <v>2</v>
      </c>
      <c r="W92" s="4">
        <v>0</v>
      </c>
      <c r="X92" s="4">
        <v>0</v>
      </c>
      <c r="Y92" s="4">
        <v>2</v>
      </c>
      <c r="Z92" s="4">
        <v>0</v>
      </c>
      <c r="AA92" s="4">
        <v>2</v>
      </c>
      <c r="AB92" s="4">
        <v>0</v>
      </c>
      <c r="AC92" s="4">
        <v>0</v>
      </c>
      <c r="AD92" s="4">
        <v>1</v>
      </c>
      <c r="AE92" s="4">
        <v>0</v>
      </c>
      <c r="AF92" s="4">
        <v>0</v>
      </c>
      <c r="AG92" s="4">
        <v>0</v>
      </c>
      <c r="AH92" s="4">
        <v>0</v>
      </c>
      <c r="AI92" s="4">
        <v>0</v>
      </c>
      <c r="AJ92" s="4">
        <v>0</v>
      </c>
      <c r="AK92" s="4">
        <v>0</v>
      </c>
      <c r="AL92" s="4">
        <v>0</v>
      </c>
      <c r="AM92" s="4">
        <v>0</v>
      </c>
      <c r="AN92" s="4">
        <v>0</v>
      </c>
      <c r="AO92" s="4">
        <v>0</v>
      </c>
      <c r="AP92" s="4">
        <v>0</v>
      </c>
      <c r="AQ92" s="4">
        <v>2</v>
      </c>
      <c r="AR92" s="4">
        <v>0</v>
      </c>
      <c r="AS92" s="4">
        <v>0</v>
      </c>
      <c r="AT92" s="4">
        <v>0</v>
      </c>
      <c r="AU92" s="4">
        <v>0</v>
      </c>
      <c r="AV92" s="4">
        <v>21</v>
      </c>
      <c r="AW92" s="4">
        <v>16</v>
      </c>
      <c r="AX92" s="4">
        <v>2</v>
      </c>
      <c r="AY92" s="4">
        <v>4</v>
      </c>
      <c r="AZ92" s="4">
        <v>0</v>
      </c>
      <c r="BA92" s="4">
        <v>1</v>
      </c>
      <c r="BB92" s="4">
        <v>0</v>
      </c>
      <c r="BC92" s="4">
        <v>0</v>
      </c>
      <c r="BD92" s="4">
        <v>1</v>
      </c>
      <c r="BE92" s="4">
        <v>1</v>
      </c>
      <c r="BF92" s="4">
        <v>0</v>
      </c>
      <c r="BG92" s="4">
        <v>0</v>
      </c>
      <c r="BH92" s="4"/>
      <c r="BI92" s="4"/>
      <c r="BJ92" s="4"/>
      <c r="BK92" s="4"/>
      <c r="BL92" s="4"/>
      <c r="CA92" s="23"/>
      <c r="CB92" s="23"/>
      <c r="CC92" s="23"/>
      <c r="CD92" s="23"/>
      <c r="CE92" s="23"/>
      <c r="CF92" s="23"/>
      <c r="CG92" s="23"/>
      <c r="CH92" s="23"/>
      <c r="CI92" s="23"/>
      <c r="CJ92" s="23"/>
      <c r="CK92" s="23"/>
      <c r="CL92" s="23"/>
      <c r="CM92" s="23"/>
      <c r="CN92" s="23"/>
      <c r="CO92" s="23"/>
      <c r="CP92" s="23"/>
      <c r="CQ92" s="23"/>
      <c r="CR92" s="23"/>
      <c r="CS92" s="23"/>
      <c r="CT92" s="23"/>
      <c r="CU92" s="23"/>
      <c r="CV92" s="23"/>
    </row>
    <row r="93" spans="1:100" ht="15.75" customHeight="1" x14ac:dyDescent="0.2">
      <c r="A93" s="15" t="s">
        <v>298</v>
      </c>
      <c r="B93" s="4">
        <v>1</v>
      </c>
      <c r="C93" s="4">
        <v>2</v>
      </c>
      <c r="D93" s="4">
        <v>0</v>
      </c>
      <c r="E93" s="23">
        <v>105</v>
      </c>
      <c r="F93" s="4">
        <v>0</v>
      </c>
      <c r="G93" s="4">
        <v>0</v>
      </c>
      <c r="H93" s="4">
        <v>0</v>
      </c>
      <c r="I93" s="4">
        <v>3</v>
      </c>
      <c r="J93" s="4">
        <v>0</v>
      </c>
      <c r="K93" s="4">
        <v>0</v>
      </c>
      <c r="L93" s="4">
        <v>0</v>
      </c>
      <c r="M93" s="4">
        <v>0</v>
      </c>
      <c r="N93" s="4">
        <v>0</v>
      </c>
      <c r="O93" s="4">
        <v>0</v>
      </c>
      <c r="P93" s="4">
        <v>0</v>
      </c>
      <c r="Q93" s="4">
        <v>0</v>
      </c>
      <c r="R93" s="4">
        <v>0</v>
      </c>
      <c r="S93" s="4">
        <v>0</v>
      </c>
      <c r="T93" s="4">
        <v>0</v>
      </c>
      <c r="U93" s="4">
        <v>0</v>
      </c>
      <c r="V93" s="4">
        <v>0</v>
      </c>
      <c r="W93" s="4">
        <v>0</v>
      </c>
      <c r="X93" s="4">
        <v>0</v>
      </c>
      <c r="Y93" s="4">
        <v>1</v>
      </c>
      <c r="Z93" s="4">
        <v>0</v>
      </c>
      <c r="AA93" s="4">
        <v>0</v>
      </c>
      <c r="AB93" s="4">
        <v>0</v>
      </c>
      <c r="AC93" s="4">
        <v>0</v>
      </c>
      <c r="AD93" s="4">
        <v>0</v>
      </c>
      <c r="AE93" s="4">
        <v>0</v>
      </c>
      <c r="AF93" s="4">
        <v>0</v>
      </c>
      <c r="AG93" s="4">
        <v>0</v>
      </c>
      <c r="AH93" s="4">
        <v>0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">
        <v>0</v>
      </c>
      <c r="AO93" s="4">
        <v>0</v>
      </c>
      <c r="AP93" s="4">
        <v>0</v>
      </c>
      <c r="AQ93" s="4">
        <v>0</v>
      </c>
      <c r="AR93" s="4">
        <v>0</v>
      </c>
      <c r="AS93" s="4">
        <v>0</v>
      </c>
      <c r="AT93" s="4">
        <v>0</v>
      </c>
      <c r="AU93" s="4">
        <v>0</v>
      </c>
      <c r="AV93" s="4">
        <v>3</v>
      </c>
      <c r="AW93" s="4">
        <v>0</v>
      </c>
      <c r="AX93" s="4">
        <v>0</v>
      </c>
      <c r="AY93" s="4">
        <v>0</v>
      </c>
      <c r="AZ93" s="4">
        <v>0</v>
      </c>
      <c r="BA93" s="4">
        <v>0</v>
      </c>
      <c r="BB93" s="4">
        <v>0</v>
      </c>
      <c r="BC93" s="4">
        <v>0</v>
      </c>
      <c r="BD93" s="4">
        <v>0</v>
      </c>
      <c r="BE93" s="4">
        <v>0</v>
      </c>
      <c r="BF93" s="4">
        <v>0</v>
      </c>
      <c r="BG93" s="4">
        <v>0</v>
      </c>
      <c r="BH93" s="4"/>
      <c r="BI93" s="4"/>
      <c r="BJ93" s="4"/>
      <c r="BK93" s="4"/>
      <c r="BL93" s="4"/>
      <c r="CA93" s="23"/>
      <c r="CB93" s="23"/>
      <c r="CC93" s="23"/>
      <c r="CD93" s="23"/>
      <c r="CE93" s="23"/>
      <c r="CF93" s="23"/>
      <c r="CG93" s="23"/>
      <c r="CH93" s="23"/>
      <c r="CI93" s="23"/>
      <c r="CJ93" s="23"/>
      <c r="CK93" s="23"/>
      <c r="CL93" s="23"/>
      <c r="CM93" s="23"/>
      <c r="CN93" s="23"/>
      <c r="CO93" s="23"/>
      <c r="CP93" s="23"/>
      <c r="CQ93" s="23"/>
      <c r="CR93" s="23"/>
      <c r="CS93" s="23"/>
      <c r="CT93" s="23"/>
      <c r="CU93" s="23"/>
      <c r="CV93" s="23"/>
    </row>
    <row r="94" spans="1:100" ht="15.75" customHeight="1" x14ac:dyDescent="0.2">
      <c r="A94" s="15" t="s">
        <v>299</v>
      </c>
      <c r="B94" s="4">
        <v>0</v>
      </c>
      <c r="C94" s="4">
        <v>3</v>
      </c>
      <c r="D94" s="4">
        <v>0</v>
      </c>
      <c r="E94" s="23">
        <v>37</v>
      </c>
      <c r="F94" s="4">
        <v>0</v>
      </c>
      <c r="G94" s="4">
        <v>0</v>
      </c>
      <c r="H94" s="4">
        <v>0</v>
      </c>
      <c r="I94" s="4">
        <v>1</v>
      </c>
      <c r="J94" s="4">
        <v>0</v>
      </c>
      <c r="K94" s="4">
        <v>0</v>
      </c>
      <c r="L94" s="4">
        <v>0</v>
      </c>
      <c r="M94" s="4">
        <v>0</v>
      </c>
      <c r="N94" s="4">
        <v>0</v>
      </c>
      <c r="O94" s="4">
        <v>0</v>
      </c>
      <c r="P94" s="4">
        <v>0</v>
      </c>
      <c r="Q94" s="4">
        <v>0</v>
      </c>
      <c r="R94" s="4">
        <v>0</v>
      </c>
      <c r="S94" s="4">
        <v>0</v>
      </c>
      <c r="T94" s="4">
        <v>0</v>
      </c>
      <c r="U94" s="4">
        <v>0</v>
      </c>
      <c r="V94" s="4">
        <v>0</v>
      </c>
      <c r="W94" s="4">
        <v>0</v>
      </c>
      <c r="X94" s="4">
        <v>0</v>
      </c>
      <c r="Y94" s="4">
        <v>0</v>
      </c>
      <c r="Z94" s="4">
        <v>0</v>
      </c>
      <c r="AA94" s="4">
        <v>0</v>
      </c>
      <c r="AB94" s="4">
        <v>0</v>
      </c>
      <c r="AC94" s="4">
        <v>0</v>
      </c>
      <c r="AD94" s="4">
        <v>0</v>
      </c>
      <c r="AE94" s="4">
        <v>0</v>
      </c>
      <c r="AF94" s="4">
        <v>0</v>
      </c>
      <c r="AG94" s="4">
        <v>0</v>
      </c>
      <c r="AH94" s="4">
        <v>0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">
        <v>0</v>
      </c>
      <c r="AO94" s="4">
        <v>0</v>
      </c>
      <c r="AP94" s="4">
        <v>0</v>
      </c>
      <c r="AQ94" s="4">
        <v>0</v>
      </c>
      <c r="AR94" s="4">
        <v>0</v>
      </c>
      <c r="AS94" s="4">
        <v>0</v>
      </c>
      <c r="AT94" s="4">
        <v>0</v>
      </c>
      <c r="AU94" s="4">
        <v>0</v>
      </c>
      <c r="AV94" s="4">
        <v>2</v>
      </c>
      <c r="AW94" s="4">
        <v>0</v>
      </c>
      <c r="AX94" s="4">
        <v>0</v>
      </c>
      <c r="AY94" s="4">
        <v>0</v>
      </c>
      <c r="AZ94" s="4">
        <v>0</v>
      </c>
      <c r="BA94" s="4">
        <v>0</v>
      </c>
      <c r="BB94" s="4">
        <v>0</v>
      </c>
      <c r="BC94" s="4">
        <v>0</v>
      </c>
      <c r="BD94" s="4">
        <v>0</v>
      </c>
      <c r="BE94" s="4">
        <v>0</v>
      </c>
      <c r="BF94" s="4">
        <v>0</v>
      </c>
      <c r="BG94" s="4">
        <v>0</v>
      </c>
      <c r="BH94" s="4"/>
      <c r="BI94" s="4"/>
      <c r="BJ94" s="4"/>
      <c r="BK94" s="4"/>
      <c r="BL94" s="4"/>
      <c r="CA94" s="23"/>
      <c r="CB94" s="23"/>
      <c r="CC94" s="23"/>
      <c r="CD94" s="23"/>
      <c r="CE94" s="23"/>
      <c r="CF94" s="23"/>
      <c r="CG94" s="23"/>
      <c r="CH94" s="23"/>
      <c r="CI94" s="23"/>
      <c r="CJ94" s="23"/>
      <c r="CK94" s="23"/>
      <c r="CL94" s="23"/>
      <c r="CM94" s="23"/>
      <c r="CN94" s="23"/>
      <c r="CO94" s="23"/>
      <c r="CP94" s="23"/>
      <c r="CQ94" s="23"/>
      <c r="CR94" s="23"/>
      <c r="CS94" s="23"/>
      <c r="CT94" s="23"/>
      <c r="CU94" s="23"/>
      <c r="CV94" s="23"/>
    </row>
    <row r="95" spans="1:100" ht="15.75" customHeight="1" x14ac:dyDescent="0.2">
      <c r="A95" s="15" t="s">
        <v>300</v>
      </c>
      <c r="B95" s="4">
        <v>0</v>
      </c>
      <c r="C95" s="4">
        <v>5</v>
      </c>
      <c r="D95" s="4">
        <v>0</v>
      </c>
      <c r="E95" s="23">
        <v>36</v>
      </c>
      <c r="F95" s="4">
        <v>0</v>
      </c>
      <c r="G95" s="4">
        <v>0</v>
      </c>
      <c r="H95" s="4">
        <v>0</v>
      </c>
      <c r="I95" s="4">
        <v>1</v>
      </c>
      <c r="J95" s="4">
        <v>0</v>
      </c>
      <c r="K95" s="4">
        <v>0</v>
      </c>
      <c r="L95" s="4">
        <v>0</v>
      </c>
      <c r="M95" s="4">
        <v>0</v>
      </c>
      <c r="N95" s="4">
        <v>0</v>
      </c>
      <c r="O95" s="4">
        <v>0</v>
      </c>
      <c r="P95" s="4">
        <v>0</v>
      </c>
      <c r="Q95" s="4">
        <v>0</v>
      </c>
      <c r="R95" s="4">
        <v>0</v>
      </c>
      <c r="S95" s="4">
        <v>0</v>
      </c>
      <c r="T95" s="4">
        <v>0</v>
      </c>
      <c r="U95" s="4">
        <v>0</v>
      </c>
      <c r="V95" s="4">
        <v>0</v>
      </c>
      <c r="W95" s="4">
        <v>0</v>
      </c>
      <c r="X95" s="4">
        <v>0</v>
      </c>
      <c r="Y95" s="4">
        <v>0</v>
      </c>
      <c r="Z95" s="4">
        <v>0</v>
      </c>
      <c r="AA95" s="4">
        <v>0</v>
      </c>
      <c r="AB95" s="4">
        <v>0</v>
      </c>
      <c r="AC95" s="4">
        <v>0</v>
      </c>
      <c r="AD95" s="4">
        <v>0</v>
      </c>
      <c r="AE95" s="4">
        <v>0</v>
      </c>
      <c r="AF95" s="4">
        <v>0</v>
      </c>
      <c r="AG95" s="4">
        <v>0</v>
      </c>
      <c r="AH95" s="4">
        <v>0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">
        <v>0</v>
      </c>
      <c r="AO95" s="4">
        <v>0</v>
      </c>
      <c r="AP95" s="4">
        <v>0</v>
      </c>
      <c r="AQ95" s="4">
        <v>0</v>
      </c>
      <c r="AR95" s="4">
        <v>0</v>
      </c>
      <c r="AS95" s="4">
        <v>0</v>
      </c>
      <c r="AT95" s="4">
        <v>0</v>
      </c>
      <c r="AU95" s="4">
        <v>0</v>
      </c>
      <c r="AV95" s="4">
        <v>2</v>
      </c>
      <c r="AW95" s="4">
        <v>0</v>
      </c>
      <c r="AX95" s="4">
        <v>0</v>
      </c>
      <c r="AY95" s="4">
        <v>0</v>
      </c>
      <c r="AZ95" s="4">
        <v>0</v>
      </c>
      <c r="BA95" s="4">
        <v>0</v>
      </c>
      <c r="BB95" s="4">
        <v>0</v>
      </c>
      <c r="BC95" s="4">
        <v>0</v>
      </c>
      <c r="BD95" s="4">
        <v>0</v>
      </c>
      <c r="BE95" s="4">
        <v>0</v>
      </c>
      <c r="BF95" s="4">
        <v>0</v>
      </c>
      <c r="BG95" s="4">
        <v>0</v>
      </c>
      <c r="BH95" s="4"/>
      <c r="BI95" s="4"/>
      <c r="BJ95" s="4"/>
      <c r="BK95" s="4"/>
      <c r="BL95" s="4"/>
      <c r="CA95" s="23"/>
      <c r="CB95" s="23"/>
      <c r="CC95" s="23"/>
      <c r="CD95" s="23"/>
      <c r="CE95" s="23"/>
      <c r="CF95" s="23"/>
      <c r="CG95" s="23"/>
      <c r="CH95" s="23"/>
      <c r="CI95" s="23"/>
      <c r="CJ95" s="23"/>
      <c r="CK95" s="23"/>
      <c r="CL95" s="23"/>
      <c r="CM95" s="23"/>
      <c r="CN95" s="23"/>
      <c r="CO95" s="23"/>
      <c r="CP95" s="23"/>
      <c r="CQ95" s="23"/>
      <c r="CR95" s="23"/>
      <c r="CS95" s="23"/>
      <c r="CT95" s="23"/>
      <c r="CU95" s="23"/>
      <c r="CV95" s="23"/>
    </row>
    <row r="96" spans="1:100" ht="15.75" customHeight="1" x14ac:dyDescent="0.2">
      <c r="A96" s="15" t="s">
        <v>301</v>
      </c>
      <c r="B96" s="4">
        <v>1</v>
      </c>
      <c r="C96" s="4">
        <v>0</v>
      </c>
      <c r="D96" s="4">
        <v>0</v>
      </c>
      <c r="E96" s="23">
        <v>35</v>
      </c>
      <c r="F96" s="4">
        <v>0</v>
      </c>
      <c r="G96" s="4">
        <v>0</v>
      </c>
      <c r="H96" s="4">
        <v>0</v>
      </c>
      <c r="I96" s="4">
        <v>1</v>
      </c>
      <c r="J96" s="4">
        <v>2</v>
      </c>
      <c r="K96" s="4">
        <v>0</v>
      </c>
      <c r="L96" s="4">
        <v>0</v>
      </c>
      <c r="M96" s="4">
        <v>0</v>
      </c>
      <c r="N96" s="4">
        <v>0</v>
      </c>
      <c r="O96" s="4">
        <v>0</v>
      </c>
      <c r="P96" s="4">
        <v>0</v>
      </c>
      <c r="Q96" s="4">
        <v>0</v>
      </c>
      <c r="R96" s="4">
        <v>0</v>
      </c>
      <c r="S96" s="4">
        <v>0</v>
      </c>
      <c r="T96" s="4">
        <v>0</v>
      </c>
      <c r="U96" s="4">
        <v>0</v>
      </c>
      <c r="V96" s="4">
        <v>0</v>
      </c>
      <c r="W96" s="4">
        <v>0</v>
      </c>
      <c r="X96" s="4">
        <v>0</v>
      </c>
      <c r="Y96" s="4">
        <v>0</v>
      </c>
      <c r="Z96" s="4">
        <v>0</v>
      </c>
      <c r="AA96" s="4">
        <v>0</v>
      </c>
      <c r="AB96" s="4">
        <v>0</v>
      </c>
      <c r="AC96" s="4">
        <v>0</v>
      </c>
      <c r="AD96" s="4">
        <v>0</v>
      </c>
      <c r="AE96" s="4">
        <v>0</v>
      </c>
      <c r="AF96" s="4">
        <v>0</v>
      </c>
      <c r="AG96" s="4">
        <v>0</v>
      </c>
      <c r="AH96" s="4">
        <v>0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">
        <v>0</v>
      </c>
      <c r="AO96" s="4">
        <v>0</v>
      </c>
      <c r="AP96" s="4">
        <v>1</v>
      </c>
      <c r="AQ96" s="4">
        <v>0</v>
      </c>
      <c r="AR96" s="4">
        <v>0</v>
      </c>
      <c r="AS96" s="4">
        <v>0</v>
      </c>
      <c r="AT96" s="4">
        <v>0</v>
      </c>
      <c r="AU96" s="4">
        <v>0</v>
      </c>
      <c r="AV96" s="4">
        <v>1</v>
      </c>
      <c r="AW96" s="4">
        <v>0</v>
      </c>
      <c r="AX96" s="4">
        <v>0</v>
      </c>
      <c r="AY96" s="4">
        <v>0</v>
      </c>
      <c r="AZ96" s="4">
        <v>0</v>
      </c>
      <c r="BA96" s="4">
        <v>0</v>
      </c>
      <c r="BB96" s="4">
        <v>0</v>
      </c>
      <c r="BC96" s="4">
        <v>0</v>
      </c>
      <c r="BD96" s="4">
        <v>0</v>
      </c>
      <c r="BE96" s="4">
        <v>0</v>
      </c>
      <c r="BF96" s="4">
        <v>0</v>
      </c>
      <c r="BG96" s="4">
        <v>0</v>
      </c>
      <c r="BH96" s="4"/>
      <c r="BI96" s="4"/>
      <c r="BJ96" s="4"/>
      <c r="BK96" s="4"/>
      <c r="BL96" s="4"/>
      <c r="CA96" s="23"/>
      <c r="CB96" s="23"/>
      <c r="CC96" s="23"/>
      <c r="CD96" s="23"/>
      <c r="CE96" s="23"/>
      <c r="CF96" s="23"/>
      <c r="CG96" s="23"/>
      <c r="CH96" s="23"/>
      <c r="CI96" s="23"/>
      <c r="CJ96" s="23"/>
      <c r="CK96" s="23"/>
      <c r="CL96" s="23"/>
      <c r="CM96" s="23"/>
      <c r="CN96" s="23"/>
      <c r="CO96" s="23"/>
      <c r="CP96" s="23"/>
      <c r="CQ96" s="23"/>
      <c r="CR96" s="23"/>
      <c r="CS96" s="23"/>
      <c r="CT96" s="23"/>
      <c r="CU96" s="23"/>
      <c r="CV96" s="23"/>
    </row>
    <row r="97" spans="1:100" ht="15.75" customHeight="1" x14ac:dyDescent="0.2">
      <c r="A97" s="15" t="s">
        <v>302</v>
      </c>
      <c r="B97" s="4">
        <v>0</v>
      </c>
      <c r="C97" s="4">
        <v>1</v>
      </c>
      <c r="D97" s="4">
        <v>0</v>
      </c>
      <c r="E97" s="23">
        <v>39</v>
      </c>
      <c r="F97" s="4">
        <v>0</v>
      </c>
      <c r="G97" s="4">
        <v>0</v>
      </c>
      <c r="H97" s="4">
        <v>0</v>
      </c>
      <c r="I97" s="4">
        <v>0</v>
      </c>
      <c r="J97" s="4">
        <v>0</v>
      </c>
      <c r="K97" s="4">
        <v>0</v>
      </c>
      <c r="L97" s="4">
        <v>0</v>
      </c>
      <c r="M97" s="4">
        <v>0</v>
      </c>
      <c r="N97" s="4">
        <v>0</v>
      </c>
      <c r="O97" s="4">
        <v>0</v>
      </c>
      <c r="P97" s="4">
        <v>0</v>
      </c>
      <c r="Q97" s="4">
        <v>0</v>
      </c>
      <c r="R97" s="4">
        <v>0</v>
      </c>
      <c r="S97" s="4">
        <v>0</v>
      </c>
      <c r="T97" s="4">
        <v>0</v>
      </c>
      <c r="U97" s="4">
        <v>0</v>
      </c>
      <c r="V97" s="4">
        <v>0</v>
      </c>
      <c r="W97" s="4">
        <v>0</v>
      </c>
      <c r="X97" s="4">
        <v>0</v>
      </c>
      <c r="Y97" s="4">
        <v>0</v>
      </c>
      <c r="Z97" s="4">
        <v>0</v>
      </c>
      <c r="AA97" s="4">
        <v>1</v>
      </c>
      <c r="AB97" s="4">
        <v>0</v>
      </c>
      <c r="AC97" s="4">
        <v>0</v>
      </c>
      <c r="AD97" s="4">
        <v>0</v>
      </c>
      <c r="AE97" s="4">
        <v>0</v>
      </c>
      <c r="AF97" s="4">
        <v>0</v>
      </c>
      <c r="AG97" s="4">
        <v>0</v>
      </c>
      <c r="AH97" s="4">
        <v>0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">
        <v>0</v>
      </c>
      <c r="AO97" s="4">
        <v>0</v>
      </c>
      <c r="AP97" s="4">
        <v>0</v>
      </c>
      <c r="AQ97" s="4">
        <v>0</v>
      </c>
      <c r="AR97" s="4">
        <v>0</v>
      </c>
      <c r="AS97" s="4">
        <v>0</v>
      </c>
      <c r="AT97" s="4">
        <v>0</v>
      </c>
      <c r="AU97" s="4">
        <v>0</v>
      </c>
      <c r="AV97" s="4">
        <v>1</v>
      </c>
      <c r="AW97" s="4">
        <v>0</v>
      </c>
      <c r="AX97" s="4">
        <v>0</v>
      </c>
      <c r="AY97" s="4">
        <v>1</v>
      </c>
      <c r="AZ97" s="4">
        <v>0</v>
      </c>
      <c r="BA97" s="4">
        <v>0</v>
      </c>
      <c r="BB97" s="4">
        <v>0</v>
      </c>
      <c r="BC97" s="4">
        <v>0</v>
      </c>
      <c r="BD97" s="4">
        <v>1</v>
      </c>
      <c r="BE97" s="4">
        <v>0</v>
      </c>
      <c r="BF97" s="4">
        <v>2</v>
      </c>
      <c r="BG97" s="4">
        <v>0</v>
      </c>
      <c r="BH97" s="4"/>
      <c r="BI97" s="4"/>
      <c r="BJ97" s="4"/>
      <c r="BK97" s="4"/>
      <c r="BL97" s="4"/>
      <c r="CA97" s="23"/>
      <c r="CB97" s="23"/>
      <c r="CC97" s="23"/>
      <c r="CD97" s="23"/>
      <c r="CE97" s="23"/>
      <c r="CF97" s="23"/>
      <c r="CG97" s="23"/>
      <c r="CH97" s="23"/>
      <c r="CI97" s="23"/>
      <c r="CJ97" s="23"/>
      <c r="CK97" s="23"/>
      <c r="CL97" s="23"/>
      <c r="CM97" s="23"/>
      <c r="CN97" s="23"/>
      <c r="CO97" s="23"/>
      <c r="CP97" s="23"/>
      <c r="CQ97" s="23"/>
      <c r="CR97" s="23"/>
      <c r="CS97" s="23"/>
      <c r="CT97" s="23"/>
      <c r="CU97" s="23"/>
      <c r="CV97" s="23"/>
    </row>
    <row r="98" spans="1:100" ht="15.75" customHeight="1" x14ac:dyDescent="0.2">
      <c r="A98" s="15" t="s">
        <v>303</v>
      </c>
      <c r="B98" s="4">
        <v>0</v>
      </c>
      <c r="C98" s="4">
        <v>0</v>
      </c>
      <c r="D98" s="4">
        <v>0</v>
      </c>
      <c r="E98" s="23">
        <v>50</v>
      </c>
      <c r="F98" s="4">
        <v>0</v>
      </c>
      <c r="G98" s="4">
        <v>0</v>
      </c>
      <c r="H98" s="4">
        <v>0</v>
      </c>
      <c r="I98" s="23">
        <v>1</v>
      </c>
      <c r="J98" s="4">
        <v>0</v>
      </c>
      <c r="K98" s="4">
        <v>0</v>
      </c>
      <c r="L98" s="4">
        <v>0</v>
      </c>
      <c r="M98" s="4">
        <v>0</v>
      </c>
      <c r="N98" s="4">
        <v>0</v>
      </c>
      <c r="O98" s="4">
        <v>0</v>
      </c>
      <c r="P98" s="4">
        <v>0</v>
      </c>
      <c r="Q98" s="4">
        <v>0</v>
      </c>
      <c r="R98" s="4">
        <v>0</v>
      </c>
      <c r="S98" s="4">
        <v>0</v>
      </c>
      <c r="T98" s="4">
        <v>0</v>
      </c>
      <c r="U98" s="4">
        <v>0</v>
      </c>
      <c r="V98" s="4">
        <v>0</v>
      </c>
      <c r="W98" s="4">
        <v>0</v>
      </c>
      <c r="X98" s="4">
        <v>0</v>
      </c>
      <c r="Y98" s="4">
        <v>0</v>
      </c>
      <c r="Z98" s="4">
        <v>0</v>
      </c>
      <c r="AA98" s="4">
        <v>0</v>
      </c>
      <c r="AB98" s="4">
        <v>0</v>
      </c>
      <c r="AC98" s="4">
        <v>0</v>
      </c>
      <c r="AD98" s="4">
        <v>0</v>
      </c>
      <c r="AE98" s="4">
        <v>0</v>
      </c>
      <c r="AF98" s="4">
        <v>0</v>
      </c>
      <c r="AG98" s="4">
        <v>0</v>
      </c>
      <c r="AH98" s="4">
        <v>0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">
        <v>0</v>
      </c>
      <c r="AO98" s="4">
        <v>0</v>
      </c>
      <c r="AP98" s="4">
        <v>0</v>
      </c>
      <c r="AQ98" s="4">
        <v>0</v>
      </c>
      <c r="AR98" s="4">
        <v>0</v>
      </c>
      <c r="AS98" s="4">
        <v>0</v>
      </c>
      <c r="AT98" s="4">
        <v>0</v>
      </c>
      <c r="AU98" s="4">
        <v>0</v>
      </c>
      <c r="AV98" s="4">
        <v>0</v>
      </c>
      <c r="AW98" s="4">
        <v>0</v>
      </c>
      <c r="AX98" s="4">
        <v>0</v>
      </c>
      <c r="AY98" s="4">
        <v>0</v>
      </c>
      <c r="AZ98" s="4">
        <v>0</v>
      </c>
      <c r="BA98" s="4">
        <v>0</v>
      </c>
      <c r="BB98" s="4">
        <v>0</v>
      </c>
      <c r="BC98" s="4">
        <v>0</v>
      </c>
      <c r="BD98" s="4">
        <v>0</v>
      </c>
      <c r="BE98" s="4">
        <v>0</v>
      </c>
      <c r="BF98" s="4">
        <v>0</v>
      </c>
      <c r="BG98" s="4">
        <v>0</v>
      </c>
      <c r="CA98" s="23"/>
      <c r="CB98" s="23"/>
      <c r="CC98" s="23"/>
      <c r="CD98" s="23"/>
      <c r="CE98" s="23"/>
      <c r="CF98" s="23"/>
      <c r="CG98" s="23"/>
      <c r="CH98" s="23"/>
      <c r="CI98" s="23"/>
      <c r="CJ98" s="23"/>
      <c r="CK98" s="23"/>
      <c r="CL98" s="23"/>
      <c r="CM98" s="23"/>
      <c r="CN98" s="23"/>
      <c r="CO98" s="23"/>
      <c r="CP98" s="23"/>
      <c r="CQ98" s="23"/>
      <c r="CR98" s="23"/>
      <c r="CS98" s="23"/>
      <c r="CT98" s="23"/>
      <c r="CU98" s="23"/>
      <c r="CV98" s="23"/>
    </row>
    <row r="99" spans="1:100" ht="15.75" customHeight="1" x14ac:dyDescent="0.2">
      <c r="A99" s="3"/>
      <c r="B99" s="4"/>
      <c r="C99" s="4"/>
      <c r="D99" s="4"/>
      <c r="E99" s="23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23"/>
      <c r="BQ99" s="23"/>
      <c r="BR99" s="23"/>
      <c r="BS99" s="23"/>
      <c r="BT99" s="23"/>
      <c r="BU99" s="23"/>
      <c r="BV99" s="23"/>
      <c r="BW99" s="23"/>
      <c r="BX99" s="23"/>
      <c r="BY99" s="23"/>
      <c r="BZ99" s="23"/>
      <c r="CA99" s="23"/>
      <c r="CB99" s="23"/>
      <c r="CC99" s="23"/>
      <c r="CD99" s="23"/>
      <c r="CE99" s="23"/>
      <c r="CF99" s="23"/>
      <c r="CG99" s="23"/>
      <c r="CH99" s="23"/>
      <c r="CI99" s="23"/>
      <c r="CJ99" s="23"/>
      <c r="CK99" s="23"/>
      <c r="CL99" s="23"/>
      <c r="CM99" s="23"/>
      <c r="CN99" s="23"/>
      <c r="CO99" s="23"/>
      <c r="CP99" s="23"/>
      <c r="CQ99" s="23"/>
      <c r="CR99" s="23"/>
      <c r="CS99" s="23"/>
      <c r="CT99" s="23"/>
      <c r="CU99" s="23"/>
      <c r="CV99" s="23"/>
    </row>
    <row r="100" spans="1:100" ht="15.75" customHeight="1" x14ac:dyDescent="0.2">
      <c r="A100" s="3"/>
      <c r="B100" s="4"/>
      <c r="C100" s="4"/>
      <c r="D100" s="4"/>
      <c r="E100" s="23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23"/>
      <c r="BQ100" s="23"/>
      <c r="BR100" s="23"/>
      <c r="BS100" s="23"/>
      <c r="BT100" s="23"/>
      <c r="BU100" s="23"/>
      <c r="BV100" s="23"/>
      <c r="BW100" s="23"/>
      <c r="BX100" s="23"/>
      <c r="BY100" s="23"/>
      <c r="BZ100" s="23"/>
      <c r="CA100" s="23"/>
      <c r="CB100" s="23"/>
      <c r="CC100" s="23"/>
      <c r="CD100" s="23"/>
      <c r="CE100" s="23"/>
      <c r="CF100" s="23"/>
      <c r="CG100" s="23"/>
      <c r="CH100" s="23"/>
      <c r="CI100" s="23"/>
      <c r="CJ100" s="23"/>
      <c r="CK100" s="23"/>
      <c r="CL100" s="23"/>
      <c r="CM100" s="23"/>
      <c r="CN100" s="23"/>
      <c r="CO100" s="23"/>
      <c r="CP100" s="23"/>
      <c r="CQ100" s="23"/>
      <c r="CR100" s="23"/>
      <c r="CS100" s="23"/>
      <c r="CT100" s="23"/>
      <c r="CU100" s="23"/>
      <c r="CV100" s="23"/>
    </row>
    <row r="101" spans="1:100" ht="15.75" customHeight="1" x14ac:dyDescent="0.2">
      <c r="A101" s="3"/>
      <c r="B101" s="4"/>
      <c r="C101" s="4"/>
      <c r="D101" s="4"/>
      <c r="E101" s="23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23"/>
      <c r="BQ101" s="23"/>
      <c r="BR101" s="23"/>
      <c r="BS101" s="23"/>
      <c r="BT101" s="23"/>
      <c r="BU101" s="23"/>
      <c r="BV101" s="23"/>
      <c r="BW101" s="23"/>
      <c r="BX101" s="23"/>
      <c r="BY101" s="23"/>
      <c r="BZ101" s="23"/>
      <c r="CA101" s="23"/>
      <c r="CB101" s="23"/>
      <c r="CC101" s="23"/>
      <c r="CD101" s="23"/>
      <c r="CE101" s="23"/>
      <c r="CF101" s="23"/>
      <c r="CG101" s="23"/>
      <c r="CH101" s="23"/>
      <c r="CI101" s="23"/>
      <c r="CJ101" s="23"/>
      <c r="CK101" s="23"/>
      <c r="CL101" s="23"/>
      <c r="CM101" s="23"/>
      <c r="CN101" s="23"/>
      <c r="CO101" s="23"/>
      <c r="CP101" s="23"/>
      <c r="CQ101" s="23"/>
      <c r="CR101" s="23"/>
      <c r="CS101" s="23"/>
      <c r="CT101" s="23"/>
      <c r="CU101" s="23"/>
      <c r="CV101" s="23"/>
    </row>
    <row r="102" spans="1:100" ht="15.75" customHeight="1" x14ac:dyDescent="0.2">
      <c r="A102" s="3"/>
      <c r="B102" s="4"/>
      <c r="C102" s="4"/>
      <c r="D102" s="4"/>
      <c r="E102" s="23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23"/>
      <c r="BQ102" s="23"/>
      <c r="BR102" s="23"/>
      <c r="BS102" s="23"/>
      <c r="BT102" s="23"/>
      <c r="BU102" s="23"/>
      <c r="BV102" s="23"/>
      <c r="BW102" s="23"/>
      <c r="BX102" s="23"/>
      <c r="BY102" s="23"/>
      <c r="BZ102" s="23"/>
      <c r="CA102" s="23"/>
      <c r="CB102" s="23"/>
      <c r="CC102" s="23"/>
      <c r="CD102" s="23"/>
      <c r="CE102" s="23"/>
      <c r="CF102" s="23"/>
      <c r="CG102" s="23"/>
      <c r="CH102" s="23"/>
      <c r="CI102" s="23"/>
      <c r="CJ102" s="23"/>
      <c r="CK102" s="23"/>
      <c r="CL102" s="23"/>
      <c r="CM102" s="23"/>
      <c r="CN102" s="23"/>
      <c r="CO102" s="23"/>
      <c r="CP102" s="23"/>
      <c r="CQ102" s="23"/>
      <c r="CR102" s="23"/>
      <c r="CS102" s="23"/>
      <c r="CT102" s="23"/>
      <c r="CU102" s="23"/>
      <c r="CV102" s="23"/>
    </row>
    <row r="103" spans="1:100" ht="15.75" customHeight="1" x14ac:dyDescent="0.2">
      <c r="A103" s="3"/>
      <c r="B103" s="4"/>
      <c r="C103" s="4"/>
      <c r="D103" s="4"/>
      <c r="E103" s="23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23"/>
      <c r="BQ103" s="23"/>
      <c r="BR103" s="23"/>
      <c r="BS103" s="23"/>
      <c r="BT103" s="23"/>
      <c r="BU103" s="23"/>
      <c r="BV103" s="23"/>
      <c r="BW103" s="23"/>
      <c r="BX103" s="23"/>
      <c r="BY103" s="23"/>
      <c r="BZ103" s="23"/>
      <c r="CA103" s="23"/>
      <c r="CB103" s="23"/>
      <c r="CC103" s="23"/>
      <c r="CD103" s="23"/>
      <c r="CE103" s="23"/>
      <c r="CF103" s="23"/>
      <c r="CG103" s="23"/>
      <c r="CH103" s="23"/>
      <c r="CI103" s="23"/>
      <c r="CJ103" s="23"/>
      <c r="CK103" s="23"/>
      <c r="CL103" s="23"/>
      <c r="CM103" s="23"/>
      <c r="CN103" s="23"/>
      <c r="CO103" s="23"/>
      <c r="CP103" s="23"/>
      <c r="CQ103" s="23"/>
      <c r="CR103" s="23"/>
      <c r="CS103" s="23"/>
      <c r="CT103" s="23"/>
      <c r="CU103" s="23"/>
      <c r="CV103" s="23"/>
    </row>
    <row r="104" spans="1:100" ht="15.75" customHeight="1" x14ac:dyDescent="0.2">
      <c r="A104" s="3"/>
      <c r="B104" s="4"/>
      <c r="C104" s="4"/>
      <c r="D104" s="4"/>
      <c r="E104" s="23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23"/>
      <c r="BQ104" s="23"/>
      <c r="BR104" s="23"/>
      <c r="BS104" s="23"/>
      <c r="BT104" s="23"/>
      <c r="BU104" s="23"/>
      <c r="BV104" s="23"/>
      <c r="BW104" s="23"/>
      <c r="BX104" s="23"/>
      <c r="BY104" s="23"/>
      <c r="BZ104" s="23"/>
      <c r="CA104" s="23"/>
      <c r="CB104" s="23"/>
      <c r="CC104" s="23"/>
      <c r="CD104" s="23"/>
      <c r="CE104" s="23"/>
      <c r="CF104" s="23"/>
      <c r="CG104" s="23"/>
      <c r="CH104" s="23"/>
      <c r="CI104" s="23"/>
      <c r="CJ104" s="23"/>
      <c r="CK104" s="23"/>
      <c r="CL104" s="23"/>
      <c r="CM104" s="23"/>
      <c r="CN104" s="23"/>
      <c r="CO104" s="23"/>
      <c r="CP104" s="23"/>
      <c r="CQ104" s="23"/>
      <c r="CR104" s="23"/>
      <c r="CS104" s="23"/>
      <c r="CT104" s="23"/>
      <c r="CU104" s="23"/>
      <c r="CV104" s="23"/>
    </row>
    <row r="105" spans="1:100" ht="15.75" customHeight="1" x14ac:dyDescent="0.2">
      <c r="A105" s="3"/>
      <c r="B105" s="4"/>
      <c r="C105" s="4"/>
      <c r="D105" s="4"/>
      <c r="E105" s="23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23"/>
      <c r="BQ105" s="23"/>
      <c r="BR105" s="23"/>
      <c r="BS105" s="23"/>
      <c r="BT105" s="23"/>
      <c r="BU105" s="23"/>
      <c r="BV105" s="23"/>
      <c r="BW105" s="23"/>
      <c r="BX105" s="23"/>
      <c r="BY105" s="23"/>
      <c r="BZ105" s="23"/>
      <c r="CA105" s="23"/>
      <c r="CB105" s="23"/>
      <c r="CC105" s="23"/>
      <c r="CD105" s="23"/>
      <c r="CE105" s="23"/>
      <c r="CF105" s="23"/>
      <c r="CG105" s="23"/>
      <c r="CH105" s="23"/>
      <c r="CI105" s="23"/>
      <c r="CJ105" s="23"/>
      <c r="CK105" s="23"/>
      <c r="CL105" s="23"/>
      <c r="CM105" s="23"/>
      <c r="CN105" s="23"/>
      <c r="CO105" s="23"/>
      <c r="CP105" s="23"/>
      <c r="CQ105" s="23"/>
      <c r="CR105" s="23"/>
      <c r="CS105" s="23"/>
      <c r="CT105" s="23"/>
      <c r="CU105" s="23"/>
      <c r="CV105" s="23"/>
    </row>
    <row r="106" spans="1:100" ht="15.75" customHeight="1" x14ac:dyDescent="0.2">
      <c r="A106" s="3"/>
      <c r="B106" s="4"/>
      <c r="C106" s="4"/>
      <c r="D106" s="4"/>
      <c r="E106" s="23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23"/>
      <c r="BQ106" s="23"/>
      <c r="BR106" s="23"/>
      <c r="BS106" s="23"/>
      <c r="BT106" s="23"/>
      <c r="BU106" s="23"/>
      <c r="BV106" s="23"/>
      <c r="BW106" s="23"/>
      <c r="BX106" s="23"/>
      <c r="BY106" s="23"/>
      <c r="BZ106" s="23"/>
      <c r="CA106" s="23"/>
      <c r="CB106" s="23"/>
      <c r="CC106" s="23"/>
      <c r="CD106" s="23"/>
      <c r="CE106" s="23"/>
      <c r="CF106" s="23"/>
      <c r="CG106" s="23"/>
      <c r="CH106" s="23"/>
      <c r="CI106" s="23"/>
      <c r="CJ106" s="23"/>
      <c r="CK106" s="23"/>
      <c r="CL106" s="23"/>
      <c r="CM106" s="23"/>
      <c r="CN106" s="23"/>
      <c r="CO106" s="23"/>
      <c r="CP106" s="23"/>
      <c r="CQ106" s="23"/>
      <c r="CR106" s="23"/>
      <c r="CS106" s="23"/>
      <c r="CT106" s="23"/>
      <c r="CU106" s="23"/>
      <c r="CV106" s="23"/>
    </row>
    <row r="107" spans="1:100" ht="15.75" customHeight="1" x14ac:dyDescent="0.2">
      <c r="A107" s="3"/>
      <c r="B107" s="4"/>
      <c r="C107" s="4"/>
      <c r="D107" s="4"/>
      <c r="E107" s="23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23"/>
      <c r="BQ107" s="23"/>
      <c r="BR107" s="23"/>
      <c r="BS107" s="23"/>
      <c r="BT107" s="23"/>
      <c r="BU107" s="23"/>
      <c r="BV107" s="23"/>
      <c r="BW107" s="23"/>
      <c r="BX107" s="23"/>
      <c r="BY107" s="23"/>
      <c r="BZ107" s="23"/>
      <c r="CA107" s="23"/>
      <c r="CB107" s="23"/>
      <c r="CC107" s="23"/>
      <c r="CD107" s="23"/>
      <c r="CE107" s="23"/>
      <c r="CF107" s="23"/>
      <c r="CG107" s="23"/>
      <c r="CH107" s="23"/>
      <c r="CI107" s="23"/>
      <c r="CJ107" s="23"/>
      <c r="CK107" s="23"/>
      <c r="CL107" s="23"/>
      <c r="CM107" s="23"/>
      <c r="CN107" s="23"/>
      <c r="CO107" s="23"/>
      <c r="CP107" s="23"/>
      <c r="CQ107" s="23"/>
      <c r="CR107" s="23"/>
      <c r="CS107" s="23"/>
      <c r="CT107" s="23"/>
      <c r="CU107" s="23"/>
      <c r="CV107" s="23"/>
    </row>
    <row r="108" spans="1:100" ht="15.75" customHeight="1" x14ac:dyDescent="0.2">
      <c r="A108" s="3"/>
      <c r="B108" s="4"/>
      <c r="C108" s="4"/>
      <c r="D108" s="4"/>
      <c r="E108" s="23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23"/>
      <c r="BQ108" s="23"/>
      <c r="BR108" s="23"/>
      <c r="BS108" s="23"/>
      <c r="BT108" s="23"/>
      <c r="BU108" s="23"/>
      <c r="BV108" s="23"/>
      <c r="BW108" s="23"/>
      <c r="BX108" s="23"/>
      <c r="BY108" s="23"/>
      <c r="BZ108" s="23"/>
      <c r="CA108" s="23"/>
      <c r="CB108" s="23"/>
      <c r="CC108" s="23"/>
      <c r="CD108" s="23"/>
      <c r="CE108" s="23"/>
      <c r="CF108" s="23"/>
      <c r="CG108" s="23"/>
      <c r="CH108" s="23"/>
      <c r="CI108" s="23"/>
      <c r="CJ108" s="23"/>
      <c r="CK108" s="23"/>
      <c r="CL108" s="23"/>
      <c r="CM108" s="23"/>
      <c r="CN108" s="23"/>
      <c r="CO108" s="23"/>
      <c r="CP108" s="23"/>
      <c r="CQ108" s="23"/>
      <c r="CR108" s="23"/>
      <c r="CS108" s="23"/>
      <c r="CT108" s="23"/>
      <c r="CU108" s="23"/>
      <c r="CV108" s="23"/>
    </row>
    <row r="109" spans="1:100" ht="15.75" customHeight="1" x14ac:dyDescent="0.2">
      <c r="A109" s="3"/>
      <c r="B109" s="4"/>
      <c r="C109" s="4"/>
      <c r="D109" s="4"/>
      <c r="E109" s="23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23"/>
      <c r="BQ109" s="23"/>
      <c r="BR109" s="23"/>
      <c r="BS109" s="23"/>
      <c r="BT109" s="23"/>
      <c r="BU109" s="23"/>
      <c r="BV109" s="23"/>
      <c r="BW109" s="23"/>
      <c r="BX109" s="23"/>
      <c r="BY109" s="23"/>
      <c r="BZ109" s="23"/>
      <c r="CA109" s="23"/>
      <c r="CB109" s="23"/>
      <c r="CC109" s="23"/>
      <c r="CD109" s="23"/>
      <c r="CE109" s="23"/>
      <c r="CF109" s="23"/>
      <c r="CG109" s="23"/>
      <c r="CH109" s="23"/>
      <c r="CI109" s="23"/>
      <c r="CJ109" s="23"/>
      <c r="CK109" s="23"/>
      <c r="CL109" s="23"/>
      <c r="CM109" s="23"/>
      <c r="CN109" s="23"/>
      <c r="CO109" s="23"/>
      <c r="CP109" s="23"/>
      <c r="CQ109" s="23"/>
      <c r="CR109" s="23"/>
      <c r="CS109" s="23"/>
      <c r="CT109" s="23"/>
      <c r="CU109" s="23"/>
      <c r="CV109" s="23"/>
    </row>
    <row r="110" spans="1:100" ht="15.75" customHeight="1" x14ac:dyDescent="0.2">
      <c r="A110" s="3"/>
      <c r="B110" s="4"/>
      <c r="C110" s="4"/>
      <c r="D110" s="4"/>
      <c r="E110" s="23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23"/>
      <c r="BQ110" s="23"/>
      <c r="BR110" s="23"/>
      <c r="BS110" s="23"/>
      <c r="BT110" s="23"/>
      <c r="BU110" s="23"/>
      <c r="BV110" s="23"/>
      <c r="BW110" s="23"/>
      <c r="BX110" s="23"/>
      <c r="BY110" s="23"/>
      <c r="BZ110" s="23"/>
      <c r="CA110" s="23"/>
      <c r="CB110" s="23"/>
      <c r="CC110" s="23"/>
      <c r="CD110" s="23"/>
      <c r="CE110" s="23"/>
      <c r="CF110" s="23"/>
      <c r="CG110" s="23"/>
      <c r="CH110" s="23"/>
      <c r="CI110" s="23"/>
      <c r="CJ110" s="23"/>
      <c r="CK110" s="23"/>
      <c r="CL110" s="23"/>
      <c r="CM110" s="23"/>
      <c r="CN110" s="23"/>
      <c r="CO110" s="23"/>
      <c r="CP110" s="23"/>
      <c r="CQ110" s="23"/>
      <c r="CR110" s="23"/>
      <c r="CS110" s="23"/>
      <c r="CT110" s="23"/>
      <c r="CU110" s="23"/>
      <c r="CV110" s="23"/>
    </row>
    <row r="111" spans="1:100" ht="15.75" customHeight="1" x14ac:dyDescent="0.2">
      <c r="A111" s="3"/>
      <c r="B111" s="4"/>
      <c r="C111" s="4"/>
      <c r="D111" s="4"/>
      <c r="E111" s="23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23"/>
      <c r="BQ111" s="23"/>
      <c r="BR111" s="23"/>
      <c r="BS111" s="23"/>
      <c r="BT111" s="23"/>
      <c r="BU111" s="23"/>
      <c r="BV111" s="23"/>
      <c r="BW111" s="23"/>
      <c r="BX111" s="23"/>
      <c r="BY111" s="23"/>
      <c r="BZ111" s="23"/>
      <c r="CA111" s="23"/>
      <c r="CB111" s="23"/>
      <c r="CC111" s="23"/>
      <c r="CD111" s="23"/>
      <c r="CE111" s="23"/>
      <c r="CF111" s="23"/>
      <c r="CG111" s="23"/>
      <c r="CH111" s="23"/>
      <c r="CI111" s="23"/>
      <c r="CJ111" s="23"/>
      <c r="CK111" s="23"/>
      <c r="CL111" s="23"/>
      <c r="CM111" s="23"/>
      <c r="CN111" s="23"/>
      <c r="CO111" s="23"/>
      <c r="CP111" s="23"/>
      <c r="CQ111" s="23"/>
      <c r="CR111" s="23"/>
      <c r="CS111" s="23"/>
      <c r="CT111" s="23"/>
      <c r="CU111" s="23"/>
      <c r="CV111" s="23"/>
    </row>
    <row r="112" spans="1:100" ht="15.75" customHeight="1" x14ac:dyDescent="0.2">
      <c r="A112" s="3"/>
      <c r="B112" s="4"/>
      <c r="C112" s="4"/>
      <c r="D112" s="4"/>
      <c r="E112" s="23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23"/>
      <c r="BQ112" s="23"/>
      <c r="BR112" s="23"/>
      <c r="BS112" s="23"/>
      <c r="BT112" s="23"/>
      <c r="BU112" s="23"/>
      <c r="BV112" s="23"/>
      <c r="BW112" s="23"/>
      <c r="BX112" s="23"/>
      <c r="BY112" s="23"/>
      <c r="BZ112" s="23"/>
      <c r="CA112" s="23"/>
      <c r="CB112" s="23"/>
      <c r="CC112" s="23"/>
      <c r="CD112" s="23"/>
      <c r="CE112" s="23"/>
      <c r="CF112" s="23"/>
      <c r="CG112" s="23"/>
      <c r="CH112" s="23"/>
      <c r="CI112" s="23"/>
      <c r="CJ112" s="23"/>
      <c r="CK112" s="23"/>
      <c r="CL112" s="23"/>
      <c r="CM112" s="23"/>
      <c r="CN112" s="23"/>
      <c r="CO112" s="23"/>
      <c r="CP112" s="23"/>
      <c r="CQ112" s="23"/>
      <c r="CR112" s="23"/>
      <c r="CS112" s="23"/>
      <c r="CT112" s="23"/>
      <c r="CU112" s="23"/>
      <c r="CV112" s="23"/>
    </row>
    <row r="113" spans="1:100" ht="15.75" customHeight="1" x14ac:dyDescent="0.2">
      <c r="A113" s="3"/>
      <c r="B113" s="4"/>
      <c r="C113" s="4"/>
      <c r="D113" s="4"/>
      <c r="E113" s="23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23"/>
      <c r="BQ113" s="23"/>
      <c r="BR113" s="23"/>
      <c r="BS113" s="23"/>
      <c r="BT113" s="23"/>
      <c r="BU113" s="23"/>
      <c r="BV113" s="23"/>
      <c r="BW113" s="23"/>
      <c r="BX113" s="23"/>
      <c r="BY113" s="23"/>
      <c r="BZ113" s="23"/>
      <c r="CA113" s="23"/>
      <c r="CB113" s="23"/>
      <c r="CC113" s="23"/>
      <c r="CD113" s="23"/>
      <c r="CE113" s="23"/>
      <c r="CF113" s="23"/>
      <c r="CG113" s="23"/>
      <c r="CH113" s="23"/>
      <c r="CI113" s="23"/>
      <c r="CJ113" s="23"/>
      <c r="CK113" s="23"/>
      <c r="CL113" s="23"/>
      <c r="CM113" s="23"/>
      <c r="CN113" s="23"/>
      <c r="CO113" s="23"/>
      <c r="CP113" s="23"/>
      <c r="CQ113" s="23"/>
      <c r="CR113" s="23"/>
      <c r="CS113" s="23"/>
      <c r="CT113" s="23"/>
      <c r="CU113" s="23"/>
      <c r="CV113" s="23"/>
    </row>
    <row r="114" spans="1:100" ht="15.75" customHeight="1" x14ac:dyDescent="0.2">
      <c r="A114" s="3"/>
      <c r="B114" s="4"/>
      <c r="C114" s="4"/>
      <c r="D114" s="4"/>
      <c r="E114" s="23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23"/>
      <c r="BQ114" s="23"/>
      <c r="BR114" s="23"/>
      <c r="BS114" s="23"/>
      <c r="BT114" s="23"/>
      <c r="BU114" s="23"/>
      <c r="BV114" s="23"/>
      <c r="BW114" s="23"/>
      <c r="BX114" s="23"/>
      <c r="BY114" s="23"/>
      <c r="BZ114" s="23"/>
      <c r="CA114" s="23"/>
      <c r="CB114" s="23"/>
      <c r="CC114" s="23"/>
      <c r="CD114" s="23"/>
      <c r="CE114" s="23"/>
      <c r="CF114" s="23"/>
      <c r="CG114" s="23"/>
      <c r="CH114" s="23"/>
      <c r="CI114" s="23"/>
      <c r="CJ114" s="23"/>
      <c r="CK114" s="23"/>
      <c r="CL114" s="23"/>
      <c r="CM114" s="23"/>
      <c r="CN114" s="23"/>
      <c r="CO114" s="23"/>
      <c r="CP114" s="23"/>
      <c r="CQ114" s="23"/>
      <c r="CR114" s="23"/>
      <c r="CS114" s="23"/>
      <c r="CT114" s="23"/>
      <c r="CU114" s="23"/>
      <c r="CV114" s="23"/>
    </row>
    <row r="115" spans="1:100" ht="15.75" customHeight="1" x14ac:dyDescent="0.2">
      <c r="A115" s="3"/>
      <c r="B115" s="4"/>
      <c r="C115" s="4"/>
      <c r="D115" s="4"/>
      <c r="E115" s="23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23"/>
      <c r="BQ115" s="23"/>
      <c r="BR115" s="23"/>
      <c r="BS115" s="23"/>
      <c r="BT115" s="23"/>
      <c r="BU115" s="23"/>
      <c r="BV115" s="23"/>
      <c r="BW115" s="23"/>
      <c r="BX115" s="23"/>
      <c r="BY115" s="23"/>
      <c r="BZ115" s="23"/>
      <c r="CA115" s="23"/>
      <c r="CB115" s="23"/>
      <c r="CC115" s="23"/>
      <c r="CD115" s="23"/>
      <c r="CE115" s="23"/>
      <c r="CF115" s="23"/>
      <c r="CG115" s="23"/>
      <c r="CH115" s="23"/>
      <c r="CI115" s="23"/>
      <c r="CJ115" s="23"/>
      <c r="CK115" s="23"/>
      <c r="CL115" s="23"/>
      <c r="CM115" s="23"/>
      <c r="CN115" s="23"/>
      <c r="CO115" s="23"/>
      <c r="CP115" s="23"/>
      <c r="CQ115" s="23"/>
      <c r="CR115" s="23"/>
      <c r="CS115" s="23"/>
      <c r="CT115" s="23"/>
      <c r="CU115" s="23"/>
      <c r="CV115" s="23"/>
    </row>
    <row r="116" spans="1:100" ht="15.75" customHeight="1" x14ac:dyDescent="0.2">
      <c r="A116" s="3"/>
      <c r="B116" s="4"/>
      <c r="C116" s="4"/>
      <c r="D116" s="4"/>
      <c r="E116" s="23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23"/>
      <c r="BQ116" s="23"/>
      <c r="BR116" s="23"/>
      <c r="BS116" s="23"/>
      <c r="BT116" s="23"/>
      <c r="BU116" s="23"/>
      <c r="BV116" s="23"/>
      <c r="BW116" s="23"/>
      <c r="BX116" s="23"/>
      <c r="BY116" s="23"/>
      <c r="BZ116" s="23"/>
      <c r="CA116" s="23"/>
      <c r="CB116" s="23"/>
      <c r="CC116" s="23"/>
      <c r="CD116" s="23"/>
      <c r="CE116" s="23"/>
      <c r="CF116" s="23"/>
      <c r="CG116" s="23"/>
      <c r="CH116" s="23"/>
      <c r="CI116" s="23"/>
      <c r="CJ116" s="23"/>
      <c r="CK116" s="23"/>
      <c r="CL116" s="23"/>
      <c r="CM116" s="23"/>
      <c r="CN116" s="23"/>
      <c r="CO116" s="23"/>
      <c r="CP116" s="23"/>
      <c r="CQ116" s="23"/>
      <c r="CR116" s="23"/>
      <c r="CS116" s="23"/>
      <c r="CT116" s="23"/>
      <c r="CU116" s="23"/>
      <c r="CV116" s="23"/>
    </row>
    <row r="117" spans="1:100" ht="15.75" customHeight="1" x14ac:dyDescent="0.2">
      <c r="A117" s="3"/>
      <c r="B117" s="4"/>
      <c r="C117" s="4"/>
      <c r="D117" s="4"/>
      <c r="E117" s="23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23"/>
      <c r="BQ117" s="23"/>
      <c r="BR117" s="23"/>
      <c r="BS117" s="23"/>
      <c r="BT117" s="23"/>
      <c r="BU117" s="23"/>
      <c r="BV117" s="23"/>
      <c r="BW117" s="23"/>
      <c r="BX117" s="23"/>
      <c r="BY117" s="23"/>
      <c r="BZ117" s="23"/>
      <c r="CA117" s="23"/>
      <c r="CB117" s="23"/>
      <c r="CC117" s="23"/>
      <c r="CD117" s="23"/>
      <c r="CE117" s="23"/>
      <c r="CF117" s="23"/>
      <c r="CG117" s="23"/>
      <c r="CH117" s="23"/>
      <c r="CI117" s="23"/>
      <c r="CJ117" s="23"/>
      <c r="CK117" s="23"/>
      <c r="CL117" s="23"/>
      <c r="CM117" s="23"/>
      <c r="CN117" s="23"/>
      <c r="CO117" s="23"/>
      <c r="CP117" s="23"/>
      <c r="CQ117" s="23"/>
      <c r="CR117" s="23"/>
      <c r="CS117" s="23"/>
      <c r="CT117" s="23"/>
      <c r="CU117" s="23"/>
      <c r="CV117" s="23"/>
    </row>
    <row r="118" spans="1:100" ht="15.75" customHeight="1" x14ac:dyDescent="0.2">
      <c r="A118" s="3"/>
      <c r="B118" s="4"/>
      <c r="C118" s="4"/>
      <c r="D118" s="4"/>
      <c r="E118" s="23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23"/>
      <c r="BQ118" s="23"/>
      <c r="BR118" s="23"/>
      <c r="BS118" s="23"/>
      <c r="BT118" s="23"/>
      <c r="BU118" s="23"/>
      <c r="BV118" s="23"/>
      <c r="BW118" s="23"/>
      <c r="BX118" s="23"/>
      <c r="BY118" s="23"/>
      <c r="BZ118" s="23"/>
      <c r="CA118" s="23"/>
      <c r="CB118" s="23"/>
      <c r="CC118" s="23"/>
      <c r="CD118" s="23"/>
      <c r="CE118" s="23"/>
      <c r="CF118" s="23"/>
      <c r="CG118" s="23"/>
      <c r="CH118" s="23"/>
      <c r="CI118" s="23"/>
      <c r="CJ118" s="23"/>
      <c r="CK118" s="23"/>
      <c r="CL118" s="23"/>
      <c r="CM118" s="23"/>
      <c r="CN118" s="23"/>
      <c r="CO118" s="23"/>
      <c r="CP118" s="23"/>
      <c r="CQ118" s="23"/>
      <c r="CR118" s="23"/>
      <c r="CS118" s="23"/>
      <c r="CT118" s="23"/>
      <c r="CU118" s="23"/>
      <c r="CV118" s="23"/>
    </row>
    <row r="119" spans="1:100" ht="15.75" customHeight="1" x14ac:dyDescent="0.2">
      <c r="A119" s="3"/>
      <c r="B119" s="4"/>
      <c r="C119" s="4"/>
      <c r="D119" s="4"/>
      <c r="E119" s="23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23"/>
      <c r="BQ119" s="23"/>
      <c r="BR119" s="23"/>
      <c r="BS119" s="23"/>
      <c r="BT119" s="23"/>
      <c r="BU119" s="23"/>
      <c r="BV119" s="23"/>
      <c r="BW119" s="23"/>
      <c r="BX119" s="23"/>
      <c r="BY119" s="23"/>
      <c r="BZ119" s="23"/>
      <c r="CA119" s="23"/>
      <c r="CB119" s="23"/>
      <c r="CC119" s="23"/>
      <c r="CD119" s="23"/>
      <c r="CE119" s="23"/>
      <c r="CF119" s="23"/>
      <c r="CG119" s="23"/>
      <c r="CH119" s="23"/>
      <c r="CI119" s="23"/>
      <c r="CJ119" s="23"/>
      <c r="CK119" s="23"/>
      <c r="CL119" s="23"/>
      <c r="CM119" s="23"/>
      <c r="CN119" s="23"/>
      <c r="CO119" s="23"/>
      <c r="CP119" s="23"/>
      <c r="CQ119" s="23"/>
      <c r="CR119" s="23"/>
      <c r="CS119" s="23"/>
      <c r="CT119" s="23"/>
      <c r="CU119" s="23"/>
      <c r="CV119" s="23"/>
    </row>
    <row r="120" spans="1:100" ht="15.75" customHeight="1" x14ac:dyDescent="0.2">
      <c r="A120" s="3"/>
      <c r="B120" s="4"/>
      <c r="C120" s="4"/>
      <c r="D120" s="4"/>
      <c r="E120" s="23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23"/>
      <c r="BQ120" s="23"/>
      <c r="BR120" s="23"/>
      <c r="BS120" s="23"/>
      <c r="BT120" s="23"/>
      <c r="BU120" s="23"/>
      <c r="BV120" s="23"/>
      <c r="BW120" s="23"/>
      <c r="BX120" s="23"/>
      <c r="BY120" s="23"/>
      <c r="BZ120" s="23"/>
      <c r="CA120" s="23"/>
      <c r="CB120" s="23"/>
      <c r="CC120" s="23"/>
      <c r="CD120" s="23"/>
      <c r="CE120" s="23"/>
      <c r="CF120" s="23"/>
      <c r="CG120" s="23"/>
      <c r="CH120" s="23"/>
      <c r="CI120" s="23"/>
      <c r="CJ120" s="23"/>
      <c r="CK120" s="23"/>
      <c r="CL120" s="23"/>
      <c r="CM120" s="23"/>
      <c r="CN120" s="23"/>
      <c r="CO120" s="23"/>
      <c r="CP120" s="23"/>
      <c r="CQ120" s="23"/>
      <c r="CR120" s="23"/>
      <c r="CS120" s="23"/>
      <c r="CT120" s="23"/>
      <c r="CU120" s="23"/>
      <c r="CV120" s="23"/>
    </row>
    <row r="121" spans="1:100" ht="15.75" customHeight="1" x14ac:dyDescent="0.2">
      <c r="A121" s="3"/>
      <c r="B121" s="4"/>
      <c r="C121" s="4"/>
      <c r="D121" s="4"/>
      <c r="E121" s="23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23"/>
      <c r="BQ121" s="23"/>
      <c r="BR121" s="23"/>
      <c r="BS121" s="23"/>
      <c r="BT121" s="23"/>
      <c r="BU121" s="23"/>
      <c r="BV121" s="23"/>
      <c r="BW121" s="23"/>
      <c r="BX121" s="23"/>
      <c r="BY121" s="23"/>
      <c r="BZ121" s="23"/>
      <c r="CA121" s="23"/>
      <c r="CB121" s="23"/>
      <c r="CC121" s="23"/>
      <c r="CD121" s="23"/>
      <c r="CE121" s="23"/>
      <c r="CF121" s="23"/>
      <c r="CG121" s="23"/>
      <c r="CH121" s="23"/>
      <c r="CI121" s="23"/>
      <c r="CJ121" s="23"/>
      <c r="CK121" s="23"/>
      <c r="CL121" s="23"/>
      <c r="CM121" s="23"/>
      <c r="CN121" s="23"/>
      <c r="CO121" s="23"/>
      <c r="CP121" s="23"/>
      <c r="CQ121" s="23"/>
      <c r="CR121" s="23"/>
      <c r="CS121" s="23"/>
      <c r="CT121" s="23"/>
      <c r="CU121" s="23"/>
      <c r="CV121" s="23"/>
    </row>
    <row r="122" spans="1:100" ht="15.75" customHeight="1" x14ac:dyDescent="0.2">
      <c r="A122" s="3"/>
      <c r="B122" s="4"/>
      <c r="C122" s="4"/>
      <c r="D122" s="4"/>
      <c r="E122" s="23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23"/>
      <c r="BQ122" s="23"/>
      <c r="BR122" s="23"/>
      <c r="BS122" s="23"/>
      <c r="BT122" s="23"/>
      <c r="BU122" s="23"/>
      <c r="BV122" s="23"/>
      <c r="BW122" s="23"/>
      <c r="BX122" s="23"/>
      <c r="BY122" s="23"/>
      <c r="BZ122" s="23"/>
      <c r="CA122" s="23"/>
      <c r="CB122" s="23"/>
      <c r="CC122" s="23"/>
      <c r="CD122" s="23"/>
      <c r="CE122" s="23"/>
      <c r="CF122" s="23"/>
      <c r="CG122" s="23"/>
      <c r="CH122" s="23"/>
      <c r="CI122" s="23"/>
      <c r="CJ122" s="23"/>
      <c r="CK122" s="23"/>
      <c r="CL122" s="23"/>
      <c r="CM122" s="23"/>
      <c r="CN122" s="23"/>
      <c r="CO122" s="23"/>
      <c r="CP122" s="23"/>
      <c r="CQ122" s="23"/>
      <c r="CR122" s="23"/>
      <c r="CS122" s="23"/>
      <c r="CT122" s="23"/>
      <c r="CU122" s="23"/>
      <c r="CV122" s="23"/>
    </row>
    <row r="123" spans="1:100" ht="15.75" customHeight="1" x14ac:dyDescent="0.2">
      <c r="A123" s="3"/>
      <c r="B123" s="4"/>
      <c r="C123" s="4"/>
      <c r="D123" s="4"/>
      <c r="E123" s="23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23"/>
      <c r="BQ123" s="23"/>
      <c r="BR123" s="23"/>
      <c r="BS123" s="23"/>
      <c r="BT123" s="23"/>
      <c r="BU123" s="23"/>
      <c r="BV123" s="23"/>
      <c r="BW123" s="23"/>
      <c r="BX123" s="23"/>
      <c r="BY123" s="23"/>
      <c r="BZ123" s="23"/>
      <c r="CA123" s="23"/>
      <c r="CB123" s="23"/>
      <c r="CC123" s="23"/>
      <c r="CD123" s="23"/>
      <c r="CE123" s="23"/>
      <c r="CF123" s="23"/>
      <c r="CG123" s="23"/>
      <c r="CH123" s="23"/>
      <c r="CI123" s="23"/>
      <c r="CJ123" s="23"/>
      <c r="CK123" s="23"/>
      <c r="CL123" s="23"/>
      <c r="CM123" s="23"/>
      <c r="CN123" s="23"/>
      <c r="CO123" s="23"/>
      <c r="CP123" s="23"/>
      <c r="CQ123" s="23"/>
      <c r="CR123" s="23"/>
      <c r="CS123" s="23"/>
      <c r="CT123" s="23"/>
      <c r="CU123" s="23"/>
      <c r="CV123" s="23"/>
    </row>
    <row r="124" spans="1:100" ht="15.75" customHeight="1" x14ac:dyDescent="0.2">
      <c r="A124" s="3"/>
      <c r="B124" s="4"/>
      <c r="C124" s="4"/>
      <c r="D124" s="4"/>
      <c r="E124" s="23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23"/>
      <c r="BQ124" s="23"/>
      <c r="BR124" s="23"/>
      <c r="BS124" s="23"/>
      <c r="BT124" s="23"/>
      <c r="BU124" s="23"/>
      <c r="BV124" s="23"/>
      <c r="BW124" s="23"/>
      <c r="BX124" s="23"/>
      <c r="BY124" s="23"/>
      <c r="BZ124" s="23"/>
      <c r="CA124" s="23"/>
      <c r="CB124" s="23"/>
      <c r="CC124" s="23"/>
      <c r="CD124" s="23"/>
      <c r="CE124" s="23"/>
      <c r="CF124" s="23"/>
      <c r="CG124" s="23"/>
      <c r="CH124" s="23"/>
      <c r="CI124" s="23"/>
      <c r="CJ124" s="23"/>
      <c r="CK124" s="23"/>
      <c r="CL124" s="23"/>
      <c r="CM124" s="23"/>
      <c r="CN124" s="23"/>
      <c r="CO124" s="23"/>
      <c r="CP124" s="23"/>
      <c r="CQ124" s="23"/>
      <c r="CR124" s="23"/>
      <c r="CS124" s="23"/>
      <c r="CT124" s="23"/>
      <c r="CU124" s="23"/>
      <c r="CV124" s="23"/>
    </row>
    <row r="125" spans="1:100" ht="15.75" customHeight="1" x14ac:dyDescent="0.2">
      <c r="A125" s="3"/>
      <c r="B125" s="4"/>
      <c r="C125" s="4"/>
      <c r="D125" s="4"/>
      <c r="E125" s="23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23"/>
      <c r="BQ125" s="23"/>
      <c r="BR125" s="23"/>
      <c r="BS125" s="23"/>
      <c r="BT125" s="23"/>
      <c r="BU125" s="23"/>
      <c r="BV125" s="23"/>
      <c r="BW125" s="23"/>
      <c r="BX125" s="23"/>
      <c r="BY125" s="23"/>
      <c r="BZ125" s="23"/>
      <c r="CA125" s="23"/>
      <c r="CB125" s="23"/>
      <c r="CC125" s="23"/>
      <c r="CD125" s="23"/>
      <c r="CE125" s="23"/>
      <c r="CF125" s="23"/>
      <c r="CG125" s="23"/>
      <c r="CH125" s="23"/>
      <c r="CI125" s="23"/>
      <c r="CJ125" s="23"/>
      <c r="CK125" s="23"/>
      <c r="CL125" s="23"/>
      <c r="CM125" s="23"/>
      <c r="CN125" s="23"/>
      <c r="CO125" s="23"/>
      <c r="CP125" s="23"/>
      <c r="CQ125" s="23"/>
      <c r="CR125" s="23"/>
      <c r="CS125" s="23"/>
      <c r="CT125" s="23"/>
      <c r="CU125" s="23"/>
      <c r="CV125" s="23"/>
    </row>
    <row r="126" spans="1:100" ht="15.75" customHeight="1" x14ac:dyDescent="0.2">
      <c r="A126" s="3"/>
      <c r="B126" s="4"/>
      <c r="C126" s="4"/>
      <c r="D126" s="4"/>
      <c r="E126" s="23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23"/>
      <c r="BQ126" s="23"/>
      <c r="BR126" s="23"/>
      <c r="BS126" s="23"/>
      <c r="BT126" s="23"/>
      <c r="BU126" s="23"/>
      <c r="BV126" s="23"/>
      <c r="BW126" s="23"/>
      <c r="BX126" s="23"/>
      <c r="BY126" s="23"/>
      <c r="BZ126" s="23"/>
      <c r="CA126" s="23"/>
      <c r="CB126" s="23"/>
      <c r="CC126" s="23"/>
      <c r="CD126" s="23"/>
      <c r="CE126" s="23"/>
      <c r="CF126" s="23"/>
      <c r="CG126" s="23"/>
      <c r="CH126" s="23"/>
      <c r="CI126" s="23"/>
      <c r="CJ126" s="23"/>
      <c r="CK126" s="23"/>
      <c r="CL126" s="23"/>
      <c r="CM126" s="23"/>
      <c r="CN126" s="23"/>
      <c r="CO126" s="23"/>
      <c r="CP126" s="23"/>
      <c r="CQ126" s="23"/>
      <c r="CR126" s="23"/>
      <c r="CS126" s="23"/>
      <c r="CT126" s="23"/>
      <c r="CU126" s="23"/>
      <c r="CV126" s="23"/>
    </row>
    <row r="127" spans="1:100" ht="15.75" customHeight="1" x14ac:dyDescent="0.2">
      <c r="A127" s="3"/>
      <c r="B127" s="4"/>
      <c r="C127" s="4"/>
      <c r="D127" s="4"/>
      <c r="E127" s="23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23"/>
      <c r="BQ127" s="23"/>
      <c r="BR127" s="23"/>
      <c r="BS127" s="23"/>
      <c r="BT127" s="23"/>
      <c r="BU127" s="23"/>
      <c r="BV127" s="23"/>
      <c r="BW127" s="23"/>
      <c r="BX127" s="23"/>
      <c r="BY127" s="23"/>
      <c r="BZ127" s="23"/>
      <c r="CA127" s="23"/>
      <c r="CB127" s="23"/>
      <c r="CC127" s="23"/>
      <c r="CD127" s="23"/>
      <c r="CE127" s="23"/>
      <c r="CF127" s="23"/>
      <c r="CG127" s="23"/>
      <c r="CH127" s="23"/>
      <c r="CI127" s="23"/>
      <c r="CJ127" s="23"/>
      <c r="CK127" s="23"/>
      <c r="CL127" s="23"/>
      <c r="CM127" s="23"/>
      <c r="CN127" s="23"/>
      <c r="CO127" s="23"/>
      <c r="CP127" s="23"/>
      <c r="CQ127" s="23"/>
      <c r="CR127" s="23"/>
      <c r="CS127" s="23"/>
      <c r="CT127" s="23"/>
      <c r="CU127" s="23"/>
      <c r="CV127" s="23"/>
    </row>
    <row r="128" spans="1:100" ht="15.75" customHeight="1" x14ac:dyDescent="0.2">
      <c r="A128" s="3"/>
      <c r="B128" s="4"/>
      <c r="C128" s="4"/>
      <c r="D128" s="4"/>
      <c r="E128" s="23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23"/>
      <c r="BQ128" s="23"/>
      <c r="BR128" s="23"/>
      <c r="BS128" s="23"/>
      <c r="BT128" s="23"/>
      <c r="BU128" s="23"/>
      <c r="BV128" s="23"/>
      <c r="BW128" s="23"/>
      <c r="BX128" s="23"/>
      <c r="BY128" s="23"/>
      <c r="BZ128" s="23"/>
      <c r="CA128" s="23"/>
      <c r="CB128" s="23"/>
      <c r="CC128" s="23"/>
      <c r="CD128" s="23"/>
      <c r="CE128" s="23"/>
      <c r="CF128" s="23"/>
      <c r="CG128" s="23"/>
      <c r="CH128" s="23"/>
      <c r="CI128" s="23"/>
      <c r="CJ128" s="23"/>
      <c r="CK128" s="23"/>
      <c r="CL128" s="23"/>
      <c r="CM128" s="23"/>
      <c r="CN128" s="23"/>
      <c r="CO128" s="23"/>
      <c r="CP128" s="23"/>
      <c r="CQ128" s="23"/>
      <c r="CR128" s="23"/>
      <c r="CS128" s="23"/>
      <c r="CT128" s="23"/>
      <c r="CU128" s="23"/>
      <c r="CV128" s="23"/>
    </row>
    <row r="129" spans="1:100" ht="15.75" customHeight="1" x14ac:dyDescent="0.2">
      <c r="A129" s="3"/>
      <c r="B129" s="4"/>
      <c r="C129" s="4"/>
      <c r="D129" s="4"/>
      <c r="E129" s="23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23"/>
      <c r="BQ129" s="23"/>
      <c r="BR129" s="23"/>
      <c r="BS129" s="23"/>
      <c r="BT129" s="23"/>
      <c r="BU129" s="23"/>
      <c r="BV129" s="23"/>
      <c r="BW129" s="23"/>
      <c r="BX129" s="23"/>
      <c r="BY129" s="23"/>
      <c r="BZ129" s="23"/>
      <c r="CA129" s="23"/>
      <c r="CB129" s="23"/>
      <c r="CC129" s="23"/>
      <c r="CD129" s="23"/>
      <c r="CE129" s="23"/>
      <c r="CF129" s="23"/>
      <c r="CG129" s="23"/>
      <c r="CH129" s="23"/>
      <c r="CI129" s="23"/>
      <c r="CJ129" s="23"/>
      <c r="CK129" s="23"/>
      <c r="CL129" s="23"/>
      <c r="CM129" s="23"/>
      <c r="CN129" s="23"/>
      <c r="CO129" s="23"/>
      <c r="CP129" s="23"/>
      <c r="CQ129" s="23"/>
      <c r="CR129" s="23"/>
      <c r="CS129" s="23"/>
      <c r="CT129" s="23"/>
      <c r="CU129" s="23"/>
      <c r="CV129" s="23"/>
    </row>
    <row r="130" spans="1:100" ht="15.75" customHeight="1" x14ac:dyDescent="0.2">
      <c r="A130" s="3"/>
      <c r="B130" s="4"/>
      <c r="C130" s="4"/>
      <c r="D130" s="4"/>
      <c r="E130" s="23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23"/>
      <c r="BQ130" s="23"/>
      <c r="BR130" s="23"/>
      <c r="BS130" s="23"/>
      <c r="BT130" s="23"/>
      <c r="BU130" s="23"/>
      <c r="BV130" s="23"/>
      <c r="BW130" s="23"/>
      <c r="BX130" s="23"/>
      <c r="BY130" s="23"/>
      <c r="BZ130" s="23"/>
      <c r="CA130" s="23"/>
      <c r="CB130" s="23"/>
      <c r="CC130" s="23"/>
      <c r="CD130" s="23"/>
      <c r="CE130" s="23"/>
      <c r="CF130" s="23"/>
      <c r="CG130" s="23"/>
      <c r="CH130" s="23"/>
      <c r="CI130" s="23"/>
      <c r="CJ130" s="23"/>
      <c r="CK130" s="23"/>
      <c r="CL130" s="23"/>
      <c r="CM130" s="23"/>
      <c r="CN130" s="23"/>
      <c r="CO130" s="23"/>
      <c r="CP130" s="23"/>
      <c r="CQ130" s="23"/>
      <c r="CR130" s="23"/>
      <c r="CS130" s="23"/>
      <c r="CT130" s="23"/>
      <c r="CU130" s="23"/>
      <c r="CV130" s="23"/>
    </row>
    <row r="131" spans="1:100" ht="15.75" customHeight="1" x14ac:dyDescent="0.2">
      <c r="A131" s="3"/>
      <c r="B131" s="4"/>
      <c r="C131" s="4"/>
      <c r="D131" s="4"/>
      <c r="E131" s="23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23"/>
      <c r="BQ131" s="23"/>
      <c r="BR131" s="23"/>
      <c r="BS131" s="23"/>
      <c r="BT131" s="23"/>
      <c r="BU131" s="23"/>
      <c r="BV131" s="23"/>
      <c r="BW131" s="23"/>
      <c r="BX131" s="23"/>
      <c r="BY131" s="23"/>
      <c r="BZ131" s="23"/>
      <c r="CA131" s="23"/>
      <c r="CB131" s="23"/>
      <c r="CC131" s="23"/>
      <c r="CD131" s="23"/>
      <c r="CE131" s="23"/>
      <c r="CF131" s="23"/>
      <c r="CG131" s="23"/>
      <c r="CH131" s="23"/>
      <c r="CI131" s="23"/>
      <c r="CJ131" s="23"/>
      <c r="CK131" s="23"/>
      <c r="CL131" s="23"/>
      <c r="CM131" s="23"/>
      <c r="CN131" s="23"/>
      <c r="CO131" s="23"/>
      <c r="CP131" s="23"/>
      <c r="CQ131" s="23"/>
      <c r="CR131" s="23"/>
      <c r="CS131" s="23"/>
      <c r="CT131" s="23"/>
      <c r="CU131" s="23"/>
      <c r="CV131" s="23"/>
    </row>
    <row r="132" spans="1:100" ht="15.75" customHeight="1" x14ac:dyDescent="0.2">
      <c r="A132" s="3"/>
      <c r="B132" s="4"/>
      <c r="C132" s="4"/>
      <c r="D132" s="4"/>
      <c r="E132" s="23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23"/>
      <c r="BQ132" s="23"/>
      <c r="BR132" s="23"/>
      <c r="BS132" s="23"/>
      <c r="BT132" s="23"/>
      <c r="BU132" s="23"/>
      <c r="BV132" s="23"/>
      <c r="BW132" s="23"/>
      <c r="BX132" s="23"/>
      <c r="BY132" s="23"/>
      <c r="BZ132" s="23"/>
      <c r="CA132" s="23"/>
      <c r="CB132" s="23"/>
      <c r="CC132" s="23"/>
      <c r="CD132" s="23"/>
      <c r="CE132" s="23"/>
      <c r="CF132" s="23"/>
      <c r="CG132" s="23"/>
      <c r="CH132" s="23"/>
      <c r="CI132" s="23"/>
      <c r="CJ132" s="23"/>
      <c r="CK132" s="23"/>
      <c r="CL132" s="23"/>
      <c r="CM132" s="23"/>
      <c r="CN132" s="23"/>
      <c r="CO132" s="23"/>
      <c r="CP132" s="23"/>
      <c r="CQ132" s="23"/>
      <c r="CR132" s="23"/>
      <c r="CS132" s="23"/>
      <c r="CT132" s="23"/>
      <c r="CU132" s="23"/>
      <c r="CV132" s="23"/>
    </row>
    <row r="133" spans="1:100" ht="15.75" customHeight="1" x14ac:dyDescent="0.2">
      <c r="A133" s="3"/>
      <c r="B133" s="4"/>
      <c r="C133" s="4"/>
      <c r="D133" s="4"/>
      <c r="E133" s="23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23"/>
      <c r="BQ133" s="23"/>
      <c r="BR133" s="23"/>
      <c r="BS133" s="23"/>
      <c r="BT133" s="23"/>
      <c r="BU133" s="23"/>
      <c r="BV133" s="23"/>
      <c r="BW133" s="23"/>
      <c r="BX133" s="23"/>
      <c r="BY133" s="23"/>
      <c r="BZ133" s="23"/>
      <c r="CA133" s="23"/>
      <c r="CB133" s="23"/>
      <c r="CC133" s="23"/>
      <c r="CD133" s="23"/>
      <c r="CE133" s="23"/>
      <c r="CF133" s="23"/>
      <c r="CG133" s="23"/>
      <c r="CH133" s="23"/>
      <c r="CI133" s="23"/>
      <c r="CJ133" s="23"/>
      <c r="CK133" s="23"/>
      <c r="CL133" s="23"/>
      <c r="CM133" s="23"/>
      <c r="CN133" s="23"/>
      <c r="CO133" s="23"/>
      <c r="CP133" s="23"/>
      <c r="CQ133" s="23"/>
      <c r="CR133" s="23"/>
      <c r="CS133" s="23"/>
      <c r="CT133" s="23"/>
      <c r="CU133" s="23"/>
      <c r="CV133" s="23"/>
    </row>
    <row r="134" spans="1:100" ht="15.75" customHeight="1" x14ac:dyDescent="0.2">
      <c r="A134" s="3"/>
      <c r="B134" s="4"/>
      <c r="C134" s="4"/>
      <c r="D134" s="4"/>
      <c r="E134" s="23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23"/>
      <c r="BQ134" s="23"/>
      <c r="BR134" s="23"/>
      <c r="BS134" s="23"/>
      <c r="BT134" s="23"/>
      <c r="BU134" s="23"/>
      <c r="BV134" s="23"/>
      <c r="BW134" s="23"/>
      <c r="BX134" s="23"/>
      <c r="BY134" s="23"/>
      <c r="BZ134" s="23"/>
      <c r="CA134" s="23"/>
      <c r="CB134" s="23"/>
      <c r="CC134" s="23"/>
      <c r="CD134" s="23"/>
      <c r="CE134" s="23"/>
      <c r="CF134" s="23"/>
      <c r="CG134" s="23"/>
      <c r="CH134" s="23"/>
      <c r="CI134" s="23"/>
      <c r="CJ134" s="23"/>
      <c r="CK134" s="23"/>
      <c r="CL134" s="23"/>
      <c r="CM134" s="23"/>
      <c r="CN134" s="23"/>
      <c r="CO134" s="23"/>
      <c r="CP134" s="23"/>
      <c r="CQ134" s="23"/>
      <c r="CR134" s="23"/>
      <c r="CS134" s="23"/>
      <c r="CT134" s="23"/>
      <c r="CU134" s="23"/>
      <c r="CV134" s="23"/>
    </row>
    <row r="135" spans="1:100" ht="15.75" customHeight="1" x14ac:dyDescent="0.2">
      <c r="A135" s="3"/>
      <c r="B135" s="4"/>
      <c r="C135" s="4"/>
      <c r="D135" s="4"/>
      <c r="E135" s="23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23"/>
      <c r="BQ135" s="23"/>
      <c r="BR135" s="23"/>
      <c r="BS135" s="23"/>
      <c r="BT135" s="23"/>
      <c r="BU135" s="23"/>
      <c r="BV135" s="23"/>
      <c r="BW135" s="23"/>
      <c r="BX135" s="23"/>
      <c r="BY135" s="23"/>
      <c r="BZ135" s="23"/>
      <c r="CA135" s="23"/>
      <c r="CB135" s="23"/>
      <c r="CC135" s="23"/>
      <c r="CD135" s="23"/>
      <c r="CE135" s="23"/>
      <c r="CF135" s="23"/>
      <c r="CG135" s="23"/>
      <c r="CH135" s="23"/>
      <c r="CI135" s="23"/>
      <c r="CJ135" s="23"/>
      <c r="CK135" s="23"/>
      <c r="CL135" s="23"/>
      <c r="CM135" s="23"/>
      <c r="CN135" s="23"/>
      <c r="CO135" s="23"/>
      <c r="CP135" s="23"/>
      <c r="CQ135" s="23"/>
      <c r="CR135" s="23"/>
      <c r="CS135" s="23"/>
      <c r="CT135" s="23"/>
      <c r="CU135" s="23"/>
      <c r="CV135" s="23"/>
    </row>
    <row r="136" spans="1:100" ht="15.75" customHeight="1" x14ac:dyDescent="0.2">
      <c r="A136" s="3"/>
      <c r="B136" s="4"/>
      <c r="C136" s="4"/>
      <c r="D136" s="4"/>
      <c r="E136" s="23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23"/>
      <c r="BQ136" s="23"/>
      <c r="BR136" s="23"/>
      <c r="BS136" s="23"/>
      <c r="BT136" s="23"/>
      <c r="BU136" s="23"/>
      <c r="BV136" s="23"/>
      <c r="BW136" s="23"/>
      <c r="BX136" s="23"/>
      <c r="BY136" s="23"/>
      <c r="BZ136" s="23"/>
      <c r="CA136" s="23"/>
      <c r="CB136" s="23"/>
      <c r="CC136" s="23"/>
      <c r="CD136" s="23"/>
      <c r="CE136" s="23"/>
      <c r="CF136" s="23"/>
      <c r="CG136" s="23"/>
      <c r="CH136" s="23"/>
      <c r="CI136" s="23"/>
      <c r="CJ136" s="23"/>
      <c r="CK136" s="23"/>
      <c r="CL136" s="23"/>
      <c r="CM136" s="23"/>
      <c r="CN136" s="23"/>
      <c r="CO136" s="23"/>
      <c r="CP136" s="23"/>
      <c r="CQ136" s="23"/>
      <c r="CR136" s="23"/>
      <c r="CS136" s="23"/>
      <c r="CT136" s="23"/>
      <c r="CU136" s="23"/>
      <c r="CV136" s="23"/>
    </row>
    <row r="137" spans="1:100" ht="15.75" customHeight="1" x14ac:dyDescent="0.2">
      <c r="A137" s="3"/>
      <c r="B137" s="4"/>
      <c r="C137" s="4"/>
      <c r="D137" s="4"/>
      <c r="E137" s="23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23"/>
      <c r="BQ137" s="23"/>
      <c r="BR137" s="23"/>
      <c r="BS137" s="23"/>
      <c r="BT137" s="23"/>
      <c r="BU137" s="23"/>
      <c r="BV137" s="23"/>
      <c r="BW137" s="23"/>
      <c r="BX137" s="23"/>
      <c r="BY137" s="23"/>
      <c r="BZ137" s="23"/>
      <c r="CA137" s="23"/>
      <c r="CB137" s="23"/>
      <c r="CC137" s="23"/>
      <c r="CD137" s="23"/>
      <c r="CE137" s="23"/>
      <c r="CF137" s="23"/>
      <c r="CG137" s="23"/>
      <c r="CH137" s="23"/>
      <c r="CI137" s="23"/>
      <c r="CJ137" s="23"/>
      <c r="CK137" s="23"/>
      <c r="CL137" s="23"/>
      <c r="CM137" s="23"/>
      <c r="CN137" s="23"/>
      <c r="CO137" s="23"/>
      <c r="CP137" s="23"/>
      <c r="CQ137" s="23"/>
      <c r="CR137" s="23"/>
      <c r="CS137" s="23"/>
      <c r="CT137" s="23"/>
      <c r="CU137" s="23"/>
      <c r="CV137" s="23"/>
    </row>
    <row r="138" spans="1:100" ht="15.75" customHeight="1" x14ac:dyDescent="0.2">
      <c r="A138" s="3"/>
      <c r="B138" s="4"/>
      <c r="C138" s="4"/>
      <c r="D138" s="4"/>
      <c r="E138" s="23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23"/>
      <c r="BQ138" s="23"/>
      <c r="BR138" s="23"/>
      <c r="BS138" s="23"/>
      <c r="BT138" s="23"/>
      <c r="BU138" s="23"/>
      <c r="BV138" s="23"/>
      <c r="BW138" s="23"/>
      <c r="BX138" s="23"/>
      <c r="BY138" s="23"/>
      <c r="BZ138" s="23"/>
      <c r="CA138" s="23"/>
      <c r="CB138" s="23"/>
      <c r="CC138" s="23"/>
      <c r="CD138" s="23"/>
      <c r="CE138" s="23"/>
      <c r="CF138" s="23"/>
      <c r="CG138" s="23"/>
      <c r="CH138" s="23"/>
      <c r="CI138" s="23"/>
      <c r="CJ138" s="23"/>
      <c r="CK138" s="23"/>
      <c r="CL138" s="23"/>
      <c r="CM138" s="23"/>
      <c r="CN138" s="23"/>
      <c r="CO138" s="23"/>
      <c r="CP138" s="23"/>
      <c r="CQ138" s="23"/>
      <c r="CR138" s="23"/>
      <c r="CS138" s="23"/>
      <c r="CT138" s="23"/>
      <c r="CU138" s="23"/>
      <c r="CV138" s="23"/>
    </row>
    <row r="139" spans="1:100" ht="15.75" customHeight="1" x14ac:dyDescent="0.2">
      <c r="A139" s="3"/>
      <c r="B139" s="4"/>
      <c r="C139" s="4"/>
      <c r="D139" s="4"/>
      <c r="E139" s="23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23"/>
      <c r="BQ139" s="23"/>
      <c r="BR139" s="23"/>
      <c r="BS139" s="23"/>
      <c r="BT139" s="23"/>
      <c r="BU139" s="23"/>
      <c r="BV139" s="23"/>
      <c r="BW139" s="23"/>
      <c r="BX139" s="23"/>
      <c r="BY139" s="23"/>
      <c r="BZ139" s="23"/>
      <c r="CA139" s="23"/>
      <c r="CB139" s="23"/>
      <c r="CC139" s="23"/>
      <c r="CD139" s="23"/>
      <c r="CE139" s="23"/>
      <c r="CF139" s="23"/>
      <c r="CG139" s="23"/>
      <c r="CH139" s="23"/>
      <c r="CI139" s="23"/>
      <c r="CJ139" s="23"/>
      <c r="CK139" s="23"/>
      <c r="CL139" s="23"/>
      <c r="CM139" s="23"/>
      <c r="CN139" s="23"/>
      <c r="CO139" s="23"/>
      <c r="CP139" s="23"/>
      <c r="CQ139" s="23"/>
      <c r="CR139" s="23"/>
      <c r="CS139" s="23"/>
      <c r="CT139" s="23"/>
      <c r="CU139" s="23"/>
      <c r="CV139" s="23"/>
    </row>
    <row r="140" spans="1:100" ht="15.75" customHeight="1" x14ac:dyDescent="0.2">
      <c r="A140" s="3"/>
      <c r="B140" s="4"/>
      <c r="C140" s="4"/>
      <c r="D140" s="4"/>
      <c r="E140" s="23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23"/>
      <c r="BQ140" s="23"/>
      <c r="BR140" s="23"/>
      <c r="BS140" s="23"/>
      <c r="BT140" s="23"/>
      <c r="BU140" s="23"/>
      <c r="BV140" s="23"/>
      <c r="BW140" s="23"/>
      <c r="BX140" s="23"/>
      <c r="BY140" s="23"/>
      <c r="BZ140" s="23"/>
      <c r="CA140" s="23"/>
      <c r="CB140" s="23"/>
      <c r="CC140" s="23"/>
      <c r="CD140" s="23"/>
      <c r="CE140" s="23"/>
      <c r="CF140" s="23"/>
      <c r="CG140" s="23"/>
      <c r="CH140" s="23"/>
      <c r="CI140" s="23"/>
      <c r="CJ140" s="23"/>
      <c r="CK140" s="23"/>
      <c r="CL140" s="23"/>
      <c r="CM140" s="23"/>
      <c r="CN140" s="23"/>
      <c r="CO140" s="23"/>
      <c r="CP140" s="23"/>
      <c r="CQ140" s="23"/>
      <c r="CR140" s="23"/>
      <c r="CS140" s="23"/>
      <c r="CT140" s="23"/>
      <c r="CU140" s="23"/>
      <c r="CV140" s="23"/>
    </row>
    <row r="141" spans="1:100" ht="15.75" customHeight="1" x14ac:dyDescent="0.2">
      <c r="A141" s="3"/>
      <c r="B141" s="4"/>
      <c r="C141" s="4"/>
      <c r="D141" s="4"/>
      <c r="E141" s="23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23"/>
      <c r="BQ141" s="23"/>
      <c r="BR141" s="23"/>
      <c r="BS141" s="23"/>
      <c r="BT141" s="23"/>
      <c r="BU141" s="23"/>
      <c r="BV141" s="23"/>
      <c r="BW141" s="23"/>
      <c r="BX141" s="23"/>
      <c r="BY141" s="23"/>
      <c r="BZ141" s="23"/>
      <c r="CA141" s="23"/>
      <c r="CB141" s="23"/>
      <c r="CC141" s="23"/>
      <c r="CD141" s="23"/>
      <c r="CE141" s="23"/>
      <c r="CF141" s="23"/>
      <c r="CG141" s="23"/>
      <c r="CH141" s="23"/>
      <c r="CI141" s="23"/>
      <c r="CJ141" s="23"/>
      <c r="CK141" s="23"/>
      <c r="CL141" s="23"/>
      <c r="CM141" s="23"/>
      <c r="CN141" s="23"/>
      <c r="CO141" s="23"/>
      <c r="CP141" s="23"/>
      <c r="CQ141" s="23"/>
      <c r="CR141" s="23"/>
      <c r="CS141" s="23"/>
      <c r="CT141" s="23"/>
      <c r="CU141" s="23"/>
      <c r="CV141" s="23"/>
    </row>
    <row r="142" spans="1:100" ht="15.75" customHeight="1" x14ac:dyDescent="0.2">
      <c r="A142" s="3"/>
      <c r="B142" s="4"/>
      <c r="C142" s="4"/>
      <c r="D142" s="4"/>
      <c r="E142" s="23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23"/>
      <c r="BQ142" s="23"/>
      <c r="BR142" s="23"/>
      <c r="BS142" s="23"/>
      <c r="BT142" s="23"/>
      <c r="BU142" s="23"/>
      <c r="BV142" s="23"/>
      <c r="BW142" s="23"/>
      <c r="BX142" s="23"/>
      <c r="BY142" s="23"/>
      <c r="BZ142" s="23"/>
      <c r="CA142" s="23"/>
      <c r="CB142" s="23"/>
      <c r="CC142" s="23"/>
      <c r="CD142" s="23"/>
      <c r="CE142" s="23"/>
      <c r="CF142" s="23"/>
      <c r="CG142" s="23"/>
      <c r="CH142" s="23"/>
      <c r="CI142" s="23"/>
      <c r="CJ142" s="23"/>
      <c r="CK142" s="23"/>
      <c r="CL142" s="23"/>
      <c r="CM142" s="23"/>
      <c r="CN142" s="23"/>
      <c r="CO142" s="23"/>
      <c r="CP142" s="23"/>
      <c r="CQ142" s="23"/>
      <c r="CR142" s="23"/>
      <c r="CS142" s="23"/>
      <c r="CT142" s="23"/>
      <c r="CU142" s="23"/>
      <c r="CV142" s="23"/>
    </row>
    <row r="143" spans="1:100" ht="15.75" customHeight="1" x14ac:dyDescent="0.2">
      <c r="A143" s="3"/>
      <c r="B143" s="4"/>
      <c r="C143" s="4"/>
      <c r="D143" s="4"/>
      <c r="E143" s="23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23"/>
      <c r="BQ143" s="23"/>
      <c r="BR143" s="23"/>
      <c r="BS143" s="23"/>
      <c r="BT143" s="23"/>
      <c r="BU143" s="23"/>
      <c r="BV143" s="23"/>
      <c r="BW143" s="23"/>
      <c r="BX143" s="23"/>
      <c r="BY143" s="23"/>
      <c r="BZ143" s="23"/>
      <c r="CA143" s="23"/>
      <c r="CB143" s="23"/>
      <c r="CC143" s="23"/>
      <c r="CD143" s="23"/>
      <c r="CE143" s="23"/>
      <c r="CF143" s="23"/>
      <c r="CG143" s="23"/>
      <c r="CH143" s="23"/>
      <c r="CI143" s="23"/>
      <c r="CJ143" s="23"/>
      <c r="CK143" s="23"/>
      <c r="CL143" s="23"/>
      <c r="CM143" s="23"/>
      <c r="CN143" s="23"/>
      <c r="CO143" s="23"/>
      <c r="CP143" s="23"/>
      <c r="CQ143" s="23"/>
      <c r="CR143" s="23"/>
      <c r="CS143" s="23"/>
      <c r="CT143" s="23"/>
      <c r="CU143" s="23"/>
      <c r="CV143" s="23"/>
    </row>
    <row r="144" spans="1:100" ht="15.75" customHeight="1" x14ac:dyDescent="0.2">
      <c r="A144" s="3"/>
      <c r="B144" s="4"/>
      <c r="C144" s="4"/>
      <c r="D144" s="4"/>
      <c r="E144" s="23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23"/>
      <c r="BQ144" s="23"/>
      <c r="BR144" s="23"/>
      <c r="BS144" s="23"/>
      <c r="BT144" s="23"/>
      <c r="BU144" s="23"/>
      <c r="BV144" s="23"/>
      <c r="BW144" s="23"/>
      <c r="BX144" s="23"/>
      <c r="BY144" s="23"/>
      <c r="BZ144" s="23"/>
      <c r="CA144" s="23"/>
      <c r="CB144" s="23"/>
      <c r="CC144" s="23"/>
      <c r="CD144" s="23"/>
      <c r="CE144" s="23"/>
      <c r="CF144" s="23"/>
      <c r="CG144" s="23"/>
      <c r="CH144" s="23"/>
      <c r="CI144" s="23"/>
      <c r="CJ144" s="23"/>
      <c r="CK144" s="23"/>
      <c r="CL144" s="23"/>
      <c r="CM144" s="23"/>
      <c r="CN144" s="23"/>
      <c r="CO144" s="23"/>
      <c r="CP144" s="23"/>
      <c r="CQ144" s="23"/>
      <c r="CR144" s="23"/>
      <c r="CS144" s="23"/>
      <c r="CT144" s="23"/>
      <c r="CU144" s="23"/>
      <c r="CV144" s="23"/>
    </row>
    <row r="145" spans="1:100" ht="15.75" customHeight="1" x14ac:dyDescent="0.2">
      <c r="A145" s="3"/>
      <c r="B145" s="4"/>
      <c r="C145" s="4"/>
      <c r="D145" s="4"/>
      <c r="E145" s="23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23"/>
      <c r="BQ145" s="23"/>
      <c r="BR145" s="23"/>
      <c r="BS145" s="23"/>
      <c r="BT145" s="23"/>
      <c r="BU145" s="23"/>
      <c r="BV145" s="23"/>
      <c r="BW145" s="23"/>
      <c r="BX145" s="23"/>
      <c r="BY145" s="23"/>
      <c r="BZ145" s="23"/>
      <c r="CA145" s="23"/>
      <c r="CB145" s="23"/>
      <c r="CC145" s="23"/>
      <c r="CD145" s="23"/>
      <c r="CE145" s="23"/>
      <c r="CF145" s="23"/>
      <c r="CG145" s="23"/>
      <c r="CH145" s="23"/>
      <c r="CI145" s="23"/>
      <c r="CJ145" s="23"/>
      <c r="CK145" s="23"/>
      <c r="CL145" s="23"/>
      <c r="CM145" s="23"/>
      <c r="CN145" s="23"/>
      <c r="CO145" s="23"/>
      <c r="CP145" s="23"/>
      <c r="CQ145" s="23"/>
      <c r="CR145" s="23"/>
      <c r="CS145" s="23"/>
      <c r="CT145" s="23"/>
      <c r="CU145" s="23"/>
      <c r="CV145" s="23"/>
    </row>
    <row r="146" spans="1:100" ht="15.75" customHeight="1" x14ac:dyDescent="0.2">
      <c r="A146" s="3"/>
      <c r="B146" s="4"/>
      <c r="C146" s="4"/>
      <c r="D146" s="4"/>
      <c r="E146" s="23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23"/>
      <c r="BQ146" s="23"/>
      <c r="BR146" s="23"/>
      <c r="BS146" s="23"/>
      <c r="BT146" s="23"/>
      <c r="BU146" s="23"/>
      <c r="BV146" s="23"/>
      <c r="BW146" s="23"/>
      <c r="BX146" s="23"/>
      <c r="BY146" s="23"/>
      <c r="BZ146" s="23"/>
      <c r="CA146" s="23"/>
      <c r="CB146" s="23"/>
      <c r="CC146" s="23"/>
      <c r="CD146" s="23"/>
      <c r="CE146" s="23"/>
      <c r="CF146" s="23"/>
      <c r="CG146" s="23"/>
      <c r="CH146" s="23"/>
      <c r="CI146" s="23"/>
      <c r="CJ146" s="23"/>
      <c r="CK146" s="23"/>
      <c r="CL146" s="23"/>
      <c r="CM146" s="23"/>
      <c r="CN146" s="23"/>
      <c r="CO146" s="23"/>
      <c r="CP146" s="23"/>
      <c r="CQ146" s="23"/>
      <c r="CR146" s="23"/>
      <c r="CS146" s="23"/>
      <c r="CT146" s="23"/>
      <c r="CU146" s="23"/>
      <c r="CV146" s="23"/>
    </row>
    <row r="147" spans="1:100" ht="15.75" customHeight="1" x14ac:dyDescent="0.2">
      <c r="A147" s="3"/>
      <c r="B147" s="4"/>
      <c r="C147" s="4"/>
      <c r="D147" s="4"/>
      <c r="E147" s="23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23"/>
      <c r="BQ147" s="23"/>
      <c r="BR147" s="23"/>
      <c r="BS147" s="23"/>
      <c r="BT147" s="23"/>
      <c r="BU147" s="23"/>
      <c r="BV147" s="23"/>
      <c r="BW147" s="23"/>
      <c r="BX147" s="23"/>
      <c r="BY147" s="23"/>
      <c r="BZ147" s="23"/>
      <c r="CA147" s="23"/>
      <c r="CB147" s="23"/>
      <c r="CC147" s="23"/>
      <c r="CD147" s="23"/>
      <c r="CE147" s="23"/>
      <c r="CF147" s="23"/>
      <c r="CG147" s="23"/>
      <c r="CH147" s="23"/>
      <c r="CI147" s="23"/>
      <c r="CJ147" s="23"/>
      <c r="CK147" s="23"/>
      <c r="CL147" s="23"/>
      <c r="CM147" s="23"/>
      <c r="CN147" s="23"/>
      <c r="CO147" s="23"/>
      <c r="CP147" s="23"/>
      <c r="CQ147" s="23"/>
      <c r="CR147" s="23"/>
      <c r="CS147" s="23"/>
      <c r="CT147" s="23"/>
      <c r="CU147" s="23"/>
      <c r="CV147" s="23"/>
    </row>
    <row r="148" spans="1:100" ht="15.75" customHeight="1" x14ac:dyDescent="0.2">
      <c r="A148" s="3"/>
      <c r="B148" s="4"/>
      <c r="C148" s="4"/>
      <c r="D148" s="4"/>
      <c r="E148" s="23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23"/>
      <c r="BQ148" s="23"/>
      <c r="BR148" s="23"/>
      <c r="BS148" s="23"/>
      <c r="BT148" s="23"/>
      <c r="BU148" s="23"/>
      <c r="BV148" s="23"/>
      <c r="BW148" s="23"/>
      <c r="BX148" s="23"/>
      <c r="BY148" s="23"/>
      <c r="BZ148" s="23"/>
      <c r="CA148" s="23"/>
      <c r="CB148" s="23"/>
      <c r="CC148" s="23"/>
      <c r="CD148" s="23"/>
      <c r="CE148" s="23"/>
      <c r="CF148" s="23"/>
      <c r="CG148" s="23"/>
      <c r="CH148" s="23"/>
      <c r="CI148" s="23"/>
      <c r="CJ148" s="23"/>
      <c r="CK148" s="23"/>
      <c r="CL148" s="23"/>
      <c r="CM148" s="23"/>
      <c r="CN148" s="23"/>
      <c r="CO148" s="23"/>
      <c r="CP148" s="23"/>
      <c r="CQ148" s="23"/>
      <c r="CR148" s="23"/>
      <c r="CS148" s="23"/>
      <c r="CT148" s="23"/>
      <c r="CU148" s="23"/>
      <c r="CV148" s="23"/>
    </row>
    <row r="149" spans="1:100" ht="15.75" customHeight="1" x14ac:dyDescent="0.2">
      <c r="A149" s="3"/>
      <c r="B149" s="4"/>
      <c r="C149" s="4"/>
      <c r="D149" s="4"/>
      <c r="E149" s="23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23"/>
      <c r="BQ149" s="23"/>
      <c r="BR149" s="23"/>
      <c r="BS149" s="23"/>
      <c r="BT149" s="23"/>
      <c r="BU149" s="23"/>
      <c r="BV149" s="23"/>
      <c r="BW149" s="23"/>
      <c r="BX149" s="23"/>
      <c r="BY149" s="23"/>
      <c r="BZ149" s="23"/>
      <c r="CA149" s="23"/>
      <c r="CB149" s="23"/>
      <c r="CC149" s="23"/>
      <c r="CD149" s="23"/>
      <c r="CE149" s="23"/>
      <c r="CF149" s="23"/>
      <c r="CG149" s="23"/>
      <c r="CH149" s="23"/>
      <c r="CI149" s="23"/>
      <c r="CJ149" s="23"/>
      <c r="CK149" s="23"/>
      <c r="CL149" s="23"/>
      <c r="CM149" s="23"/>
      <c r="CN149" s="23"/>
      <c r="CO149" s="23"/>
      <c r="CP149" s="23"/>
      <c r="CQ149" s="23"/>
      <c r="CR149" s="23"/>
      <c r="CS149" s="23"/>
      <c r="CT149" s="23"/>
      <c r="CU149" s="23"/>
      <c r="CV149" s="23"/>
    </row>
    <row r="150" spans="1:100" ht="15.75" customHeight="1" x14ac:dyDescent="0.2">
      <c r="A150" s="3"/>
      <c r="B150" s="4"/>
      <c r="C150" s="4"/>
      <c r="D150" s="4"/>
      <c r="E150" s="23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23"/>
      <c r="BQ150" s="23"/>
      <c r="BR150" s="23"/>
      <c r="BS150" s="23"/>
      <c r="BT150" s="23"/>
      <c r="BU150" s="23"/>
      <c r="BV150" s="23"/>
      <c r="BW150" s="23"/>
      <c r="BX150" s="23"/>
      <c r="BY150" s="23"/>
      <c r="BZ150" s="23"/>
      <c r="CA150" s="23"/>
      <c r="CB150" s="23"/>
      <c r="CC150" s="23"/>
      <c r="CD150" s="23"/>
      <c r="CE150" s="23"/>
      <c r="CF150" s="23"/>
      <c r="CG150" s="23"/>
      <c r="CH150" s="23"/>
      <c r="CI150" s="23"/>
      <c r="CJ150" s="23"/>
      <c r="CK150" s="23"/>
      <c r="CL150" s="23"/>
      <c r="CM150" s="23"/>
      <c r="CN150" s="23"/>
      <c r="CO150" s="23"/>
      <c r="CP150" s="23"/>
      <c r="CQ150" s="23"/>
      <c r="CR150" s="23"/>
      <c r="CS150" s="23"/>
      <c r="CT150" s="23"/>
      <c r="CU150" s="23"/>
      <c r="CV150" s="23"/>
    </row>
    <row r="151" spans="1:100" ht="15.75" customHeight="1" x14ac:dyDescent="0.2">
      <c r="A151" s="3"/>
      <c r="B151" s="4"/>
      <c r="C151" s="4"/>
      <c r="D151" s="4"/>
      <c r="E151" s="23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23"/>
      <c r="BQ151" s="23"/>
      <c r="BR151" s="23"/>
      <c r="BS151" s="23"/>
      <c r="BT151" s="23"/>
      <c r="BU151" s="23"/>
      <c r="BV151" s="23"/>
      <c r="BW151" s="23"/>
      <c r="BX151" s="23"/>
      <c r="BY151" s="23"/>
      <c r="BZ151" s="23"/>
      <c r="CA151" s="23"/>
      <c r="CB151" s="23"/>
      <c r="CC151" s="23"/>
      <c r="CD151" s="23"/>
      <c r="CE151" s="23"/>
      <c r="CF151" s="23"/>
      <c r="CG151" s="23"/>
      <c r="CH151" s="23"/>
      <c r="CI151" s="23"/>
      <c r="CJ151" s="23"/>
      <c r="CK151" s="23"/>
      <c r="CL151" s="23"/>
      <c r="CM151" s="23"/>
      <c r="CN151" s="23"/>
      <c r="CO151" s="23"/>
      <c r="CP151" s="23"/>
      <c r="CQ151" s="23"/>
      <c r="CR151" s="23"/>
      <c r="CS151" s="23"/>
      <c r="CT151" s="23"/>
      <c r="CU151" s="23"/>
      <c r="CV151" s="23"/>
    </row>
    <row r="152" spans="1:100" ht="15.75" customHeight="1" x14ac:dyDescent="0.2">
      <c r="A152" s="3"/>
      <c r="B152" s="4"/>
      <c r="C152" s="4"/>
      <c r="D152" s="4"/>
      <c r="E152" s="23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23"/>
      <c r="BQ152" s="23"/>
      <c r="BR152" s="23"/>
      <c r="BS152" s="23"/>
      <c r="BT152" s="23"/>
      <c r="BU152" s="23"/>
      <c r="BV152" s="23"/>
      <c r="BW152" s="23"/>
      <c r="BX152" s="23"/>
      <c r="BY152" s="23"/>
      <c r="BZ152" s="23"/>
      <c r="CA152" s="23"/>
      <c r="CB152" s="23"/>
      <c r="CC152" s="23"/>
      <c r="CD152" s="23"/>
      <c r="CE152" s="23"/>
      <c r="CF152" s="23"/>
      <c r="CG152" s="23"/>
      <c r="CH152" s="23"/>
      <c r="CI152" s="23"/>
      <c r="CJ152" s="23"/>
      <c r="CK152" s="23"/>
      <c r="CL152" s="23"/>
      <c r="CM152" s="23"/>
      <c r="CN152" s="23"/>
      <c r="CO152" s="23"/>
      <c r="CP152" s="23"/>
      <c r="CQ152" s="23"/>
      <c r="CR152" s="23"/>
      <c r="CS152" s="23"/>
      <c r="CT152" s="23"/>
      <c r="CU152" s="23"/>
      <c r="CV152" s="23"/>
    </row>
    <row r="153" spans="1:100" ht="15.75" customHeight="1" x14ac:dyDescent="0.2">
      <c r="A153" s="3"/>
      <c r="B153" s="4"/>
      <c r="C153" s="4"/>
      <c r="D153" s="4"/>
      <c r="E153" s="23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23"/>
      <c r="BQ153" s="23"/>
      <c r="BR153" s="23"/>
      <c r="BS153" s="23"/>
      <c r="BT153" s="23"/>
      <c r="BU153" s="23"/>
      <c r="BV153" s="23"/>
      <c r="BW153" s="23"/>
      <c r="BX153" s="23"/>
      <c r="BY153" s="23"/>
      <c r="BZ153" s="23"/>
      <c r="CA153" s="23"/>
      <c r="CB153" s="23"/>
      <c r="CC153" s="23"/>
      <c r="CD153" s="23"/>
      <c r="CE153" s="23"/>
      <c r="CF153" s="23"/>
      <c r="CG153" s="23"/>
      <c r="CH153" s="23"/>
      <c r="CI153" s="23"/>
      <c r="CJ153" s="23"/>
      <c r="CK153" s="23"/>
      <c r="CL153" s="23"/>
      <c r="CM153" s="23"/>
      <c r="CN153" s="23"/>
      <c r="CO153" s="23"/>
      <c r="CP153" s="23"/>
      <c r="CQ153" s="23"/>
      <c r="CR153" s="23"/>
      <c r="CS153" s="23"/>
      <c r="CT153" s="23"/>
      <c r="CU153" s="23"/>
      <c r="CV153" s="23"/>
    </row>
    <row r="154" spans="1:100" ht="15.75" customHeight="1" x14ac:dyDescent="0.2">
      <c r="A154" s="3"/>
      <c r="B154" s="4"/>
      <c r="C154" s="4"/>
      <c r="D154" s="4"/>
      <c r="E154" s="23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23"/>
      <c r="BQ154" s="23"/>
      <c r="BR154" s="23"/>
      <c r="BS154" s="23"/>
      <c r="BT154" s="23"/>
      <c r="BU154" s="23"/>
      <c r="BV154" s="23"/>
      <c r="BW154" s="23"/>
      <c r="BX154" s="23"/>
      <c r="BY154" s="23"/>
      <c r="BZ154" s="23"/>
      <c r="CA154" s="23"/>
      <c r="CB154" s="23"/>
      <c r="CC154" s="23"/>
      <c r="CD154" s="23"/>
      <c r="CE154" s="23"/>
      <c r="CF154" s="23"/>
      <c r="CG154" s="23"/>
      <c r="CH154" s="23"/>
      <c r="CI154" s="23"/>
      <c r="CJ154" s="23"/>
      <c r="CK154" s="23"/>
      <c r="CL154" s="23"/>
      <c r="CM154" s="23"/>
      <c r="CN154" s="23"/>
      <c r="CO154" s="23"/>
      <c r="CP154" s="23"/>
      <c r="CQ154" s="23"/>
      <c r="CR154" s="23"/>
      <c r="CS154" s="23"/>
      <c r="CT154" s="23"/>
      <c r="CU154" s="23"/>
      <c r="CV154" s="23"/>
    </row>
    <row r="155" spans="1:100" ht="15.75" customHeight="1" x14ac:dyDescent="0.2">
      <c r="A155" s="3"/>
      <c r="B155" s="4"/>
      <c r="C155" s="4"/>
      <c r="D155" s="4"/>
      <c r="E155" s="23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23"/>
      <c r="BQ155" s="23"/>
      <c r="BR155" s="23"/>
      <c r="BS155" s="23"/>
      <c r="BT155" s="23"/>
      <c r="BU155" s="23"/>
      <c r="BV155" s="23"/>
      <c r="BW155" s="23"/>
      <c r="BX155" s="23"/>
      <c r="BY155" s="23"/>
      <c r="BZ155" s="23"/>
      <c r="CA155" s="23"/>
      <c r="CB155" s="23"/>
      <c r="CC155" s="23"/>
      <c r="CD155" s="23"/>
      <c r="CE155" s="23"/>
      <c r="CF155" s="23"/>
      <c r="CG155" s="23"/>
      <c r="CH155" s="23"/>
      <c r="CI155" s="23"/>
      <c r="CJ155" s="23"/>
      <c r="CK155" s="23"/>
      <c r="CL155" s="23"/>
      <c r="CM155" s="23"/>
      <c r="CN155" s="23"/>
      <c r="CO155" s="23"/>
      <c r="CP155" s="23"/>
      <c r="CQ155" s="23"/>
      <c r="CR155" s="23"/>
      <c r="CS155" s="23"/>
      <c r="CT155" s="23"/>
      <c r="CU155" s="23"/>
      <c r="CV155" s="23"/>
    </row>
    <row r="156" spans="1:100" ht="15.75" customHeight="1" x14ac:dyDescent="0.2">
      <c r="A156" s="3"/>
      <c r="B156" s="4"/>
      <c r="C156" s="4"/>
      <c r="D156" s="4"/>
      <c r="E156" s="23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23"/>
      <c r="BQ156" s="23"/>
      <c r="BR156" s="23"/>
      <c r="BS156" s="23"/>
      <c r="BT156" s="23"/>
      <c r="BU156" s="23"/>
      <c r="BV156" s="23"/>
      <c r="BW156" s="23"/>
      <c r="BX156" s="23"/>
      <c r="BY156" s="23"/>
      <c r="BZ156" s="23"/>
      <c r="CA156" s="23"/>
      <c r="CB156" s="23"/>
      <c r="CC156" s="23"/>
      <c r="CD156" s="23"/>
      <c r="CE156" s="23"/>
      <c r="CF156" s="23"/>
      <c r="CG156" s="23"/>
      <c r="CH156" s="23"/>
      <c r="CI156" s="23"/>
      <c r="CJ156" s="23"/>
      <c r="CK156" s="23"/>
      <c r="CL156" s="23"/>
      <c r="CM156" s="23"/>
      <c r="CN156" s="23"/>
      <c r="CO156" s="23"/>
      <c r="CP156" s="23"/>
      <c r="CQ156" s="23"/>
      <c r="CR156" s="23"/>
      <c r="CS156" s="23"/>
      <c r="CT156" s="23"/>
      <c r="CU156" s="23"/>
      <c r="CV156" s="23"/>
    </row>
    <row r="157" spans="1:100" ht="15.75" customHeight="1" x14ac:dyDescent="0.2">
      <c r="A157" s="3"/>
      <c r="B157" s="4"/>
      <c r="C157" s="4"/>
      <c r="D157" s="4"/>
      <c r="E157" s="23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23"/>
      <c r="BQ157" s="23"/>
      <c r="BR157" s="23"/>
      <c r="BS157" s="23"/>
      <c r="BT157" s="23"/>
      <c r="BU157" s="23"/>
      <c r="BV157" s="23"/>
      <c r="BW157" s="23"/>
      <c r="BX157" s="23"/>
      <c r="BY157" s="23"/>
      <c r="BZ157" s="23"/>
      <c r="CA157" s="23"/>
      <c r="CB157" s="23"/>
      <c r="CC157" s="23"/>
      <c r="CD157" s="23"/>
      <c r="CE157" s="23"/>
      <c r="CF157" s="23"/>
      <c r="CG157" s="23"/>
      <c r="CH157" s="23"/>
      <c r="CI157" s="23"/>
      <c r="CJ157" s="23"/>
      <c r="CK157" s="23"/>
      <c r="CL157" s="23"/>
      <c r="CM157" s="23"/>
      <c r="CN157" s="23"/>
      <c r="CO157" s="23"/>
      <c r="CP157" s="23"/>
      <c r="CQ157" s="23"/>
      <c r="CR157" s="23"/>
      <c r="CS157" s="23"/>
      <c r="CT157" s="23"/>
      <c r="CU157" s="23"/>
      <c r="CV157" s="23"/>
    </row>
    <row r="158" spans="1:100" ht="15.75" customHeight="1" x14ac:dyDescent="0.2">
      <c r="A158" s="3"/>
      <c r="B158" s="4"/>
      <c r="C158" s="4"/>
      <c r="D158" s="4"/>
      <c r="E158" s="23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23"/>
      <c r="BQ158" s="23"/>
      <c r="BR158" s="23"/>
      <c r="BS158" s="23"/>
      <c r="BT158" s="23"/>
      <c r="BU158" s="23"/>
      <c r="BV158" s="23"/>
      <c r="BW158" s="23"/>
      <c r="BX158" s="23"/>
      <c r="BY158" s="23"/>
      <c r="BZ158" s="23"/>
      <c r="CA158" s="23"/>
      <c r="CB158" s="23"/>
      <c r="CC158" s="23"/>
      <c r="CD158" s="23"/>
      <c r="CE158" s="23"/>
      <c r="CF158" s="23"/>
      <c r="CG158" s="23"/>
      <c r="CH158" s="23"/>
      <c r="CI158" s="23"/>
      <c r="CJ158" s="23"/>
      <c r="CK158" s="23"/>
      <c r="CL158" s="23"/>
      <c r="CM158" s="23"/>
      <c r="CN158" s="23"/>
      <c r="CO158" s="23"/>
      <c r="CP158" s="23"/>
      <c r="CQ158" s="23"/>
      <c r="CR158" s="23"/>
      <c r="CS158" s="23"/>
      <c r="CT158" s="23"/>
      <c r="CU158" s="23"/>
      <c r="CV158" s="23"/>
    </row>
    <row r="159" spans="1:100" ht="15.75" customHeight="1" x14ac:dyDescent="0.2">
      <c r="A159" s="3"/>
      <c r="B159" s="4"/>
      <c r="C159" s="4"/>
      <c r="D159" s="4"/>
      <c r="E159" s="23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23"/>
      <c r="BQ159" s="23"/>
      <c r="BR159" s="23"/>
      <c r="BS159" s="23"/>
      <c r="BT159" s="23"/>
      <c r="BU159" s="23"/>
      <c r="BV159" s="23"/>
      <c r="BW159" s="23"/>
      <c r="BX159" s="23"/>
      <c r="BY159" s="23"/>
      <c r="BZ159" s="23"/>
      <c r="CA159" s="23"/>
      <c r="CB159" s="23"/>
      <c r="CC159" s="23"/>
      <c r="CD159" s="23"/>
      <c r="CE159" s="23"/>
      <c r="CF159" s="23"/>
      <c r="CG159" s="23"/>
      <c r="CH159" s="23"/>
      <c r="CI159" s="23"/>
      <c r="CJ159" s="23"/>
      <c r="CK159" s="23"/>
      <c r="CL159" s="23"/>
      <c r="CM159" s="23"/>
      <c r="CN159" s="23"/>
      <c r="CO159" s="23"/>
      <c r="CP159" s="23"/>
      <c r="CQ159" s="23"/>
      <c r="CR159" s="23"/>
      <c r="CS159" s="23"/>
      <c r="CT159" s="23"/>
      <c r="CU159" s="23"/>
      <c r="CV159" s="23"/>
    </row>
    <row r="160" spans="1:100" ht="15.75" customHeight="1" x14ac:dyDescent="0.2">
      <c r="A160" s="3"/>
      <c r="B160" s="4"/>
      <c r="C160" s="4"/>
      <c r="D160" s="4"/>
      <c r="E160" s="23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23"/>
      <c r="BQ160" s="23"/>
      <c r="BR160" s="23"/>
      <c r="BS160" s="23"/>
      <c r="BT160" s="23"/>
      <c r="BU160" s="23"/>
      <c r="BV160" s="23"/>
      <c r="BW160" s="23"/>
      <c r="BX160" s="23"/>
      <c r="BY160" s="23"/>
      <c r="BZ160" s="23"/>
      <c r="CA160" s="23"/>
      <c r="CB160" s="23"/>
      <c r="CC160" s="23"/>
      <c r="CD160" s="23"/>
      <c r="CE160" s="23"/>
      <c r="CF160" s="23"/>
      <c r="CG160" s="23"/>
      <c r="CH160" s="23"/>
      <c r="CI160" s="23"/>
      <c r="CJ160" s="23"/>
      <c r="CK160" s="23"/>
      <c r="CL160" s="23"/>
      <c r="CM160" s="23"/>
      <c r="CN160" s="23"/>
      <c r="CO160" s="23"/>
      <c r="CP160" s="23"/>
      <c r="CQ160" s="23"/>
      <c r="CR160" s="23"/>
      <c r="CS160" s="23"/>
      <c r="CT160" s="23"/>
      <c r="CU160" s="23"/>
      <c r="CV160" s="23"/>
    </row>
    <row r="161" spans="1:100" ht="15.75" customHeight="1" x14ac:dyDescent="0.2">
      <c r="A161" s="3"/>
      <c r="B161" s="4"/>
      <c r="C161" s="4"/>
      <c r="D161" s="4"/>
      <c r="E161" s="23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23"/>
      <c r="BQ161" s="23"/>
      <c r="BR161" s="23"/>
      <c r="BS161" s="23"/>
      <c r="BT161" s="23"/>
      <c r="BU161" s="23"/>
      <c r="BV161" s="23"/>
      <c r="BW161" s="23"/>
      <c r="BX161" s="23"/>
      <c r="BY161" s="23"/>
      <c r="BZ161" s="23"/>
      <c r="CA161" s="23"/>
      <c r="CB161" s="23"/>
      <c r="CC161" s="23"/>
      <c r="CD161" s="23"/>
      <c r="CE161" s="23"/>
      <c r="CF161" s="23"/>
      <c r="CG161" s="23"/>
      <c r="CH161" s="23"/>
      <c r="CI161" s="23"/>
      <c r="CJ161" s="23"/>
      <c r="CK161" s="23"/>
      <c r="CL161" s="23"/>
      <c r="CM161" s="23"/>
      <c r="CN161" s="23"/>
      <c r="CO161" s="23"/>
      <c r="CP161" s="23"/>
      <c r="CQ161" s="23"/>
      <c r="CR161" s="23"/>
      <c r="CS161" s="23"/>
      <c r="CT161" s="23"/>
      <c r="CU161" s="23"/>
      <c r="CV161" s="23"/>
    </row>
    <row r="162" spans="1:100" ht="15.75" customHeight="1" x14ac:dyDescent="0.2">
      <c r="A162" s="3"/>
      <c r="B162" s="4"/>
      <c r="C162" s="4"/>
      <c r="D162" s="4"/>
      <c r="E162" s="23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23"/>
      <c r="BQ162" s="23"/>
      <c r="BR162" s="23"/>
      <c r="BS162" s="23"/>
      <c r="BT162" s="23"/>
      <c r="BU162" s="23"/>
      <c r="BV162" s="23"/>
      <c r="BW162" s="23"/>
      <c r="BX162" s="23"/>
      <c r="BY162" s="23"/>
      <c r="BZ162" s="23"/>
      <c r="CA162" s="23"/>
      <c r="CB162" s="23"/>
      <c r="CC162" s="23"/>
      <c r="CD162" s="23"/>
      <c r="CE162" s="23"/>
      <c r="CF162" s="23"/>
      <c r="CG162" s="23"/>
      <c r="CH162" s="23"/>
      <c r="CI162" s="23"/>
      <c r="CJ162" s="23"/>
      <c r="CK162" s="23"/>
      <c r="CL162" s="23"/>
      <c r="CM162" s="23"/>
      <c r="CN162" s="23"/>
      <c r="CO162" s="23"/>
      <c r="CP162" s="23"/>
      <c r="CQ162" s="23"/>
      <c r="CR162" s="23"/>
      <c r="CS162" s="23"/>
      <c r="CT162" s="23"/>
      <c r="CU162" s="23"/>
      <c r="CV162" s="23"/>
    </row>
    <row r="163" spans="1:100" ht="15.75" customHeight="1" x14ac:dyDescent="0.2">
      <c r="A163" s="3"/>
      <c r="B163" s="4"/>
      <c r="C163" s="4"/>
      <c r="D163" s="4"/>
      <c r="E163" s="23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23"/>
      <c r="BQ163" s="23"/>
      <c r="BR163" s="23"/>
      <c r="BS163" s="23"/>
      <c r="BT163" s="23"/>
      <c r="BU163" s="23"/>
      <c r="BV163" s="23"/>
      <c r="BW163" s="23"/>
      <c r="BX163" s="23"/>
      <c r="BY163" s="23"/>
      <c r="BZ163" s="23"/>
      <c r="CA163" s="23"/>
      <c r="CB163" s="23"/>
      <c r="CC163" s="23"/>
      <c r="CD163" s="23"/>
      <c r="CE163" s="23"/>
      <c r="CF163" s="23"/>
      <c r="CG163" s="23"/>
      <c r="CH163" s="23"/>
      <c r="CI163" s="23"/>
      <c r="CJ163" s="23"/>
      <c r="CK163" s="23"/>
      <c r="CL163" s="23"/>
      <c r="CM163" s="23"/>
      <c r="CN163" s="23"/>
      <c r="CO163" s="23"/>
      <c r="CP163" s="23"/>
      <c r="CQ163" s="23"/>
      <c r="CR163" s="23"/>
      <c r="CS163" s="23"/>
      <c r="CT163" s="23"/>
      <c r="CU163" s="23"/>
      <c r="CV163" s="23"/>
    </row>
    <row r="164" spans="1:100" ht="15.75" customHeight="1" x14ac:dyDescent="0.2">
      <c r="A164" s="3"/>
      <c r="B164" s="4"/>
      <c r="C164" s="4"/>
      <c r="D164" s="4"/>
      <c r="E164" s="23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23"/>
      <c r="BQ164" s="23"/>
      <c r="BR164" s="23"/>
      <c r="BS164" s="23"/>
      <c r="BT164" s="23"/>
      <c r="BU164" s="23"/>
      <c r="BV164" s="23"/>
      <c r="BW164" s="23"/>
      <c r="BX164" s="23"/>
      <c r="BY164" s="23"/>
      <c r="BZ164" s="23"/>
      <c r="CA164" s="23"/>
      <c r="CB164" s="23"/>
      <c r="CC164" s="23"/>
      <c r="CD164" s="23"/>
      <c r="CE164" s="23"/>
      <c r="CF164" s="23"/>
      <c r="CG164" s="23"/>
      <c r="CH164" s="23"/>
      <c r="CI164" s="23"/>
      <c r="CJ164" s="23"/>
      <c r="CK164" s="23"/>
      <c r="CL164" s="23"/>
      <c r="CM164" s="23"/>
      <c r="CN164" s="23"/>
      <c r="CO164" s="23"/>
      <c r="CP164" s="23"/>
      <c r="CQ164" s="23"/>
      <c r="CR164" s="23"/>
      <c r="CS164" s="23"/>
      <c r="CT164" s="23"/>
      <c r="CU164" s="23"/>
      <c r="CV164" s="23"/>
    </row>
    <row r="165" spans="1:100" ht="15.75" customHeight="1" x14ac:dyDescent="0.2">
      <c r="A165" s="3"/>
      <c r="B165" s="4"/>
      <c r="C165" s="4"/>
      <c r="D165" s="4"/>
      <c r="E165" s="23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23"/>
      <c r="BQ165" s="23"/>
      <c r="BR165" s="23"/>
      <c r="BS165" s="23"/>
      <c r="BT165" s="23"/>
      <c r="BU165" s="23"/>
      <c r="BV165" s="23"/>
      <c r="BW165" s="23"/>
      <c r="BX165" s="23"/>
      <c r="BY165" s="23"/>
      <c r="BZ165" s="23"/>
      <c r="CA165" s="23"/>
      <c r="CB165" s="23"/>
      <c r="CC165" s="23"/>
      <c r="CD165" s="23"/>
      <c r="CE165" s="23"/>
      <c r="CF165" s="23"/>
      <c r="CG165" s="23"/>
      <c r="CH165" s="23"/>
      <c r="CI165" s="23"/>
      <c r="CJ165" s="23"/>
      <c r="CK165" s="23"/>
      <c r="CL165" s="23"/>
      <c r="CM165" s="23"/>
      <c r="CN165" s="23"/>
      <c r="CO165" s="23"/>
      <c r="CP165" s="23"/>
      <c r="CQ165" s="23"/>
      <c r="CR165" s="23"/>
      <c r="CS165" s="23"/>
      <c r="CT165" s="23"/>
      <c r="CU165" s="23"/>
      <c r="CV165" s="23"/>
    </row>
    <row r="166" spans="1:100" ht="15.75" customHeight="1" x14ac:dyDescent="0.2">
      <c r="A166" s="3"/>
      <c r="B166" s="4"/>
      <c r="C166" s="4"/>
      <c r="D166" s="4"/>
      <c r="E166" s="23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23"/>
      <c r="BQ166" s="23"/>
      <c r="BR166" s="23"/>
      <c r="BS166" s="23"/>
      <c r="BT166" s="23"/>
      <c r="BU166" s="23"/>
      <c r="BV166" s="23"/>
      <c r="BW166" s="23"/>
      <c r="BX166" s="23"/>
      <c r="BY166" s="23"/>
      <c r="BZ166" s="23"/>
      <c r="CA166" s="23"/>
      <c r="CB166" s="23"/>
      <c r="CC166" s="23"/>
      <c r="CD166" s="23"/>
      <c r="CE166" s="23"/>
      <c r="CF166" s="23"/>
      <c r="CG166" s="23"/>
      <c r="CH166" s="23"/>
      <c r="CI166" s="23"/>
      <c r="CJ166" s="23"/>
      <c r="CK166" s="23"/>
      <c r="CL166" s="23"/>
      <c r="CM166" s="23"/>
      <c r="CN166" s="23"/>
      <c r="CO166" s="23"/>
      <c r="CP166" s="23"/>
      <c r="CQ166" s="23"/>
      <c r="CR166" s="23"/>
      <c r="CS166" s="23"/>
      <c r="CT166" s="23"/>
      <c r="CU166" s="23"/>
      <c r="CV166" s="23"/>
    </row>
    <row r="167" spans="1:100" ht="15.75" customHeight="1" x14ac:dyDescent="0.2">
      <c r="A167" s="3"/>
      <c r="B167" s="4"/>
      <c r="C167" s="4"/>
      <c r="D167" s="4"/>
      <c r="E167" s="23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23"/>
      <c r="BQ167" s="23"/>
      <c r="BR167" s="23"/>
      <c r="BS167" s="23"/>
      <c r="BT167" s="23"/>
      <c r="BU167" s="23"/>
      <c r="BV167" s="23"/>
      <c r="BW167" s="23"/>
      <c r="BX167" s="23"/>
      <c r="BY167" s="23"/>
      <c r="BZ167" s="23"/>
      <c r="CA167" s="23"/>
      <c r="CB167" s="23"/>
      <c r="CC167" s="23"/>
      <c r="CD167" s="23"/>
      <c r="CE167" s="23"/>
      <c r="CF167" s="23"/>
      <c r="CG167" s="23"/>
      <c r="CH167" s="23"/>
      <c r="CI167" s="23"/>
      <c r="CJ167" s="23"/>
      <c r="CK167" s="23"/>
      <c r="CL167" s="23"/>
      <c r="CM167" s="23"/>
      <c r="CN167" s="23"/>
      <c r="CO167" s="23"/>
      <c r="CP167" s="23"/>
      <c r="CQ167" s="23"/>
      <c r="CR167" s="23"/>
      <c r="CS167" s="23"/>
      <c r="CT167" s="23"/>
      <c r="CU167" s="23"/>
      <c r="CV167" s="23"/>
    </row>
    <row r="168" spans="1:100" ht="15.75" customHeight="1" x14ac:dyDescent="0.2">
      <c r="A168" s="3"/>
      <c r="B168" s="4"/>
      <c r="C168" s="4"/>
      <c r="D168" s="4"/>
      <c r="E168" s="23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23"/>
      <c r="BQ168" s="23"/>
      <c r="BR168" s="23"/>
      <c r="BS168" s="23"/>
      <c r="BT168" s="23"/>
      <c r="BU168" s="23"/>
      <c r="BV168" s="23"/>
      <c r="BW168" s="23"/>
      <c r="BX168" s="23"/>
      <c r="BY168" s="23"/>
      <c r="BZ168" s="23"/>
      <c r="CA168" s="23"/>
      <c r="CB168" s="23"/>
      <c r="CC168" s="23"/>
      <c r="CD168" s="23"/>
      <c r="CE168" s="23"/>
      <c r="CF168" s="23"/>
      <c r="CG168" s="23"/>
      <c r="CH168" s="23"/>
      <c r="CI168" s="23"/>
      <c r="CJ168" s="23"/>
      <c r="CK168" s="23"/>
      <c r="CL168" s="23"/>
      <c r="CM168" s="23"/>
      <c r="CN168" s="23"/>
      <c r="CO168" s="23"/>
      <c r="CP168" s="23"/>
      <c r="CQ168" s="23"/>
      <c r="CR168" s="23"/>
      <c r="CS168" s="23"/>
      <c r="CT168" s="23"/>
      <c r="CU168" s="23"/>
      <c r="CV168" s="23"/>
    </row>
    <row r="169" spans="1:100" ht="15.75" customHeight="1" x14ac:dyDescent="0.2">
      <c r="A169" s="3"/>
      <c r="B169" s="4"/>
      <c r="C169" s="4"/>
      <c r="D169" s="4"/>
      <c r="E169" s="23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23"/>
      <c r="BQ169" s="23"/>
      <c r="BR169" s="23"/>
      <c r="BS169" s="23"/>
      <c r="BT169" s="23"/>
      <c r="BU169" s="23"/>
      <c r="BV169" s="23"/>
      <c r="BW169" s="23"/>
      <c r="BX169" s="23"/>
      <c r="BY169" s="23"/>
      <c r="BZ169" s="23"/>
      <c r="CA169" s="23"/>
      <c r="CB169" s="23"/>
      <c r="CC169" s="23"/>
      <c r="CD169" s="23"/>
      <c r="CE169" s="23"/>
      <c r="CF169" s="23"/>
      <c r="CG169" s="23"/>
      <c r="CH169" s="23"/>
      <c r="CI169" s="23"/>
      <c r="CJ169" s="23"/>
      <c r="CK169" s="23"/>
      <c r="CL169" s="23"/>
      <c r="CM169" s="23"/>
      <c r="CN169" s="23"/>
      <c r="CO169" s="23"/>
      <c r="CP169" s="23"/>
      <c r="CQ169" s="23"/>
      <c r="CR169" s="23"/>
      <c r="CS169" s="23"/>
      <c r="CT169" s="23"/>
      <c r="CU169" s="23"/>
      <c r="CV169" s="23"/>
    </row>
    <row r="170" spans="1:100" ht="15.75" customHeight="1" x14ac:dyDescent="0.2">
      <c r="A170" s="3"/>
      <c r="B170" s="4"/>
      <c r="C170" s="4"/>
      <c r="D170" s="4"/>
      <c r="E170" s="23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23"/>
      <c r="BQ170" s="23"/>
      <c r="BR170" s="23"/>
      <c r="BS170" s="23"/>
      <c r="BT170" s="23"/>
      <c r="BU170" s="23"/>
      <c r="BV170" s="23"/>
      <c r="BW170" s="23"/>
      <c r="BX170" s="23"/>
      <c r="BY170" s="23"/>
      <c r="BZ170" s="23"/>
      <c r="CA170" s="23"/>
      <c r="CB170" s="23"/>
      <c r="CC170" s="23"/>
      <c r="CD170" s="23"/>
      <c r="CE170" s="23"/>
      <c r="CF170" s="23"/>
      <c r="CG170" s="23"/>
      <c r="CH170" s="23"/>
      <c r="CI170" s="23"/>
      <c r="CJ170" s="23"/>
      <c r="CK170" s="23"/>
      <c r="CL170" s="23"/>
      <c r="CM170" s="23"/>
      <c r="CN170" s="23"/>
      <c r="CO170" s="23"/>
      <c r="CP170" s="23"/>
      <c r="CQ170" s="23"/>
      <c r="CR170" s="23"/>
      <c r="CS170" s="23"/>
      <c r="CT170" s="23"/>
      <c r="CU170" s="23"/>
      <c r="CV170" s="23"/>
    </row>
    <row r="171" spans="1:100" ht="15.75" customHeight="1" x14ac:dyDescent="0.2">
      <c r="A171" s="3"/>
      <c r="B171" s="4"/>
      <c r="C171" s="4"/>
      <c r="D171" s="4"/>
      <c r="E171" s="23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23"/>
      <c r="BQ171" s="23"/>
      <c r="BR171" s="23"/>
      <c r="BS171" s="23"/>
      <c r="BT171" s="23"/>
      <c r="BU171" s="23"/>
      <c r="BV171" s="23"/>
      <c r="BW171" s="23"/>
      <c r="BX171" s="23"/>
      <c r="BY171" s="23"/>
      <c r="BZ171" s="23"/>
      <c r="CA171" s="23"/>
      <c r="CB171" s="23"/>
      <c r="CC171" s="23"/>
      <c r="CD171" s="23"/>
      <c r="CE171" s="23"/>
      <c r="CF171" s="23"/>
      <c r="CG171" s="23"/>
      <c r="CH171" s="23"/>
      <c r="CI171" s="23"/>
      <c r="CJ171" s="23"/>
      <c r="CK171" s="23"/>
      <c r="CL171" s="23"/>
      <c r="CM171" s="23"/>
      <c r="CN171" s="23"/>
      <c r="CO171" s="23"/>
      <c r="CP171" s="23"/>
      <c r="CQ171" s="23"/>
      <c r="CR171" s="23"/>
      <c r="CS171" s="23"/>
      <c r="CT171" s="23"/>
      <c r="CU171" s="23"/>
      <c r="CV171" s="23"/>
    </row>
    <row r="172" spans="1:100" ht="15.75" customHeight="1" x14ac:dyDescent="0.2">
      <c r="A172" s="3"/>
      <c r="B172" s="4"/>
      <c r="C172" s="4"/>
      <c r="D172" s="4"/>
      <c r="E172" s="23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23"/>
      <c r="BQ172" s="23"/>
      <c r="BR172" s="23"/>
      <c r="BS172" s="23"/>
      <c r="BT172" s="23"/>
      <c r="BU172" s="23"/>
      <c r="BV172" s="23"/>
      <c r="BW172" s="23"/>
      <c r="BX172" s="23"/>
      <c r="BY172" s="23"/>
      <c r="BZ172" s="23"/>
      <c r="CA172" s="23"/>
      <c r="CB172" s="23"/>
      <c r="CC172" s="23"/>
      <c r="CD172" s="23"/>
      <c r="CE172" s="23"/>
      <c r="CF172" s="23"/>
      <c r="CG172" s="23"/>
      <c r="CH172" s="23"/>
      <c r="CI172" s="23"/>
      <c r="CJ172" s="23"/>
      <c r="CK172" s="23"/>
      <c r="CL172" s="23"/>
      <c r="CM172" s="23"/>
      <c r="CN172" s="23"/>
      <c r="CO172" s="23"/>
      <c r="CP172" s="23"/>
      <c r="CQ172" s="23"/>
      <c r="CR172" s="23"/>
      <c r="CS172" s="23"/>
      <c r="CT172" s="23"/>
      <c r="CU172" s="23"/>
      <c r="CV172" s="23"/>
    </row>
    <row r="173" spans="1:100" ht="15.75" customHeight="1" x14ac:dyDescent="0.2">
      <c r="A173" s="3"/>
      <c r="B173" s="4"/>
      <c r="C173" s="4"/>
      <c r="D173" s="4"/>
      <c r="E173" s="23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23"/>
      <c r="BQ173" s="23"/>
      <c r="BR173" s="23"/>
      <c r="BS173" s="23"/>
      <c r="BT173" s="23"/>
      <c r="BU173" s="23"/>
      <c r="BV173" s="23"/>
      <c r="BW173" s="23"/>
      <c r="BX173" s="23"/>
      <c r="BY173" s="23"/>
      <c r="BZ173" s="23"/>
      <c r="CA173" s="23"/>
      <c r="CB173" s="23"/>
      <c r="CC173" s="23"/>
      <c r="CD173" s="23"/>
      <c r="CE173" s="23"/>
      <c r="CF173" s="23"/>
      <c r="CG173" s="23"/>
      <c r="CH173" s="23"/>
      <c r="CI173" s="23"/>
      <c r="CJ173" s="23"/>
      <c r="CK173" s="23"/>
      <c r="CL173" s="23"/>
      <c r="CM173" s="23"/>
      <c r="CN173" s="23"/>
      <c r="CO173" s="23"/>
      <c r="CP173" s="23"/>
      <c r="CQ173" s="23"/>
      <c r="CR173" s="23"/>
      <c r="CS173" s="23"/>
      <c r="CT173" s="23"/>
      <c r="CU173" s="23"/>
      <c r="CV173" s="23"/>
    </row>
    <row r="174" spans="1:100" ht="15.75" customHeight="1" x14ac:dyDescent="0.2">
      <c r="A174" s="3"/>
      <c r="B174" s="4"/>
      <c r="C174" s="4"/>
      <c r="D174" s="4"/>
      <c r="E174" s="23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23"/>
      <c r="BQ174" s="23"/>
      <c r="BR174" s="23"/>
      <c r="BS174" s="23"/>
      <c r="BT174" s="23"/>
      <c r="BU174" s="23"/>
      <c r="BV174" s="23"/>
      <c r="BW174" s="23"/>
      <c r="BX174" s="23"/>
      <c r="BY174" s="23"/>
      <c r="BZ174" s="23"/>
      <c r="CA174" s="23"/>
      <c r="CB174" s="23"/>
      <c r="CC174" s="23"/>
      <c r="CD174" s="23"/>
      <c r="CE174" s="23"/>
      <c r="CF174" s="23"/>
      <c r="CG174" s="23"/>
      <c r="CH174" s="23"/>
      <c r="CI174" s="23"/>
      <c r="CJ174" s="23"/>
      <c r="CK174" s="23"/>
      <c r="CL174" s="23"/>
      <c r="CM174" s="23"/>
      <c r="CN174" s="23"/>
      <c r="CO174" s="23"/>
      <c r="CP174" s="23"/>
      <c r="CQ174" s="23"/>
      <c r="CR174" s="23"/>
      <c r="CS174" s="23"/>
      <c r="CT174" s="23"/>
      <c r="CU174" s="23"/>
      <c r="CV174" s="23"/>
    </row>
    <row r="175" spans="1:100" ht="15.75" customHeight="1" x14ac:dyDescent="0.2">
      <c r="A175" s="3"/>
      <c r="B175" s="4"/>
      <c r="C175" s="4"/>
      <c r="D175" s="4"/>
      <c r="E175" s="23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23"/>
      <c r="BQ175" s="23"/>
      <c r="BR175" s="23"/>
      <c r="BS175" s="23"/>
      <c r="BT175" s="23"/>
      <c r="BU175" s="23"/>
      <c r="BV175" s="23"/>
      <c r="BW175" s="23"/>
      <c r="BX175" s="23"/>
      <c r="BY175" s="23"/>
      <c r="BZ175" s="23"/>
      <c r="CA175" s="23"/>
      <c r="CB175" s="23"/>
      <c r="CC175" s="23"/>
      <c r="CD175" s="23"/>
      <c r="CE175" s="23"/>
      <c r="CF175" s="23"/>
      <c r="CG175" s="23"/>
      <c r="CH175" s="23"/>
      <c r="CI175" s="23"/>
      <c r="CJ175" s="23"/>
      <c r="CK175" s="23"/>
      <c r="CL175" s="23"/>
      <c r="CM175" s="23"/>
      <c r="CN175" s="23"/>
      <c r="CO175" s="23"/>
      <c r="CP175" s="23"/>
      <c r="CQ175" s="23"/>
      <c r="CR175" s="23"/>
      <c r="CS175" s="23"/>
      <c r="CT175" s="23"/>
      <c r="CU175" s="23"/>
      <c r="CV175" s="23"/>
    </row>
    <row r="176" spans="1:100" ht="15.75" customHeight="1" x14ac:dyDescent="0.2">
      <c r="A176" s="3"/>
      <c r="B176" s="4"/>
      <c r="C176" s="4"/>
      <c r="D176" s="4"/>
      <c r="E176" s="23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23"/>
      <c r="BQ176" s="23"/>
      <c r="BR176" s="23"/>
      <c r="BS176" s="23"/>
      <c r="BT176" s="23"/>
      <c r="BU176" s="23"/>
      <c r="BV176" s="23"/>
      <c r="BW176" s="23"/>
      <c r="BX176" s="23"/>
      <c r="BY176" s="23"/>
      <c r="BZ176" s="23"/>
      <c r="CA176" s="23"/>
      <c r="CB176" s="23"/>
      <c r="CC176" s="23"/>
      <c r="CD176" s="23"/>
      <c r="CE176" s="23"/>
      <c r="CF176" s="23"/>
      <c r="CG176" s="23"/>
      <c r="CH176" s="23"/>
      <c r="CI176" s="23"/>
      <c r="CJ176" s="23"/>
      <c r="CK176" s="23"/>
      <c r="CL176" s="23"/>
      <c r="CM176" s="23"/>
      <c r="CN176" s="23"/>
      <c r="CO176" s="23"/>
      <c r="CP176" s="23"/>
      <c r="CQ176" s="23"/>
      <c r="CR176" s="23"/>
      <c r="CS176" s="23"/>
      <c r="CT176" s="23"/>
      <c r="CU176" s="23"/>
      <c r="CV176" s="23"/>
    </row>
    <row r="177" spans="1:100" ht="15.75" customHeight="1" x14ac:dyDescent="0.2">
      <c r="A177" s="3"/>
      <c r="B177" s="4"/>
      <c r="C177" s="4"/>
      <c r="D177" s="4"/>
      <c r="E177" s="23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23"/>
      <c r="BQ177" s="23"/>
      <c r="BR177" s="23"/>
      <c r="BS177" s="23"/>
      <c r="BT177" s="23"/>
      <c r="BU177" s="23"/>
      <c r="BV177" s="23"/>
      <c r="BW177" s="23"/>
      <c r="BX177" s="23"/>
      <c r="BY177" s="23"/>
      <c r="BZ177" s="23"/>
      <c r="CA177" s="23"/>
      <c r="CB177" s="23"/>
      <c r="CC177" s="23"/>
      <c r="CD177" s="23"/>
      <c r="CE177" s="23"/>
      <c r="CF177" s="23"/>
      <c r="CG177" s="23"/>
      <c r="CH177" s="23"/>
      <c r="CI177" s="23"/>
      <c r="CJ177" s="23"/>
      <c r="CK177" s="23"/>
      <c r="CL177" s="23"/>
      <c r="CM177" s="23"/>
      <c r="CN177" s="23"/>
      <c r="CO177" s="23"/>
      <c r="CP177" s="23"/>
      <c r="CQ177" s="23"/>
      <c r="CR177" s="23"/>
      <c r="CS177" s="23"/>
      <c r="CT177" s="23"/>
      <c r="CU177" s="23"/>
      <c r="CV177" s="23"/>
    </row>
    <row r="178" spans="1:100" ht="15.75" customHeight="1" x14ac:dyDescent="0.2">
      <c r="A178" s="3"/>
      <c r="B178" s="4"/>
      <c r="C178" s="4"/>
      <c r="D178" s="4"/>
      <c r="E178" s="23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23"/>
      <c r="BQ178" s="23"/>
      <c r="BR178" s="23"/>
      <c r="BS178" s="23"/>
      <c r="BT178" s="23"/>
      <c r="BU178" s="23"/>
      <c r="BV178" s="23"/>
      <c r="BW178" s="23"/>
      <c r="BX178" s="23"/>
      <c r="BY178" s="23"/>
      <c r="BZ178" s="23"/>
      <c r="CA178" s="23"/>
      <c r="CB178" s="23"/>
      <c r="CC178" s="23"/>
      <c r="CD178" s="23"/>
      <c r="CE178" s="23"/>
      <c r="CF178" s="23"/>
      <c r="CG178" s="23"/>
      <c r="CH178" s="23"/>
      <c r="CI178" s="23"/>
      <c r="CJ178" s="23"/>
      <c r="CK178" s="23"/>
      <c r="CL178" s="23"/>
      <c r="CM178" s="23"/>
      <c r="CN178" s="23"/>
      <c r="CO178" s="23"/>
      <c r="CP178" s="23"/>
      <c r="CQ178" s="23"/>
      <c r="CR178" s="23"/>
      <c r="CS178" s="23"/>
      <c r="CT178" s="23"/>
      <c r="CU178" s="23"/>
      <c r="CV178" s="23"/>
    </row>
    <row r="179" spans="1:100" ht="15.75" customHeight="1" x14ac:dyDescent="0.2">
      <c r="A179" s="3"/>
      <c r="B179" s="4"/>
      <c r="C179" s="4"/>
      <c r="D179" s="4"/>
      <c r="E179" s="23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23"/>
      <c r="BQ179" s="23"/>
      <c r="BR179" s="23"/>
      <c r="BS179" s="23"/>
      <c r="BT179" s="23"/>
      <c r="BU179" s="23"/>
      <c r="BV179" s="23"/>
      <c r="BW179" s="23"/>
      <c r="BX179" s="23"/>
      <c r="BY179" s="23"/>
      <c r="BZ179" s="23"/>
      <c r="CA179" s="23"/>
      <c r="CB179" s="23"/>
      <c r="CC179" s="23"/>
      <c r="CD179" s="23"/>
      <c r="CE179" s="23"/>
      <c r="CF179" s="23"/>
      <c r="CG179" s="23"/>
      <c r="CH179" s="23"/>
      <c r="CI179" s="23"/>
      <c r="CJ179" s="23"/>
      <c r="CK179" s="23"/>
      <c r="CL179" s="23"/>
      <c r="CM179" s="23"/>
      <c r="CN179" s="23"/>
      <c r="CO179" s="23"/>
      <c r="CP179" s="23"/>
      <c r="CQ179" s="23"/>
      <c r="CR179" s="23"/>
      <c r="CS179" s="23"/>
      <c r="CT179" s="23"/>
      <c r="CU179" s="23"/>
      <c r="CV179" s="23"/>
    </row>
    <row r="180" spans="1:100" ht="15.75" customHeight="1" x14ac:dyDescent="0.2">
      <c r="A180" s="3"/>
      <c r="B180" s="4"/>
      <c r="C180" s="4"/>
      <c r="D180" s="4"/>
      <c r="E180" s="23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23"/>
      <c r="BQ180" s="23"/>
      <c r="BR180" s="23"/>
      <c r="BS180" s="23"/>
      <c r="BT180" s="23"/>
      <c r="BU180" s="23"/>
      <c r="BV180" s="23"/>
      <c r="BW180" s="23"/>
      <c r="BX180" s="23"/>
      <c r="BY180" s="23"/>
      <c r="BZ180" s="23"/>
      <c r="CA180" s="23"/>
      <c r="CB180" s="23"/>
      <c r="CC180" s="23"/>
      <c r="CD180" s="23"/>
      <c r="CE180" s="23"/>
      <c r="CF180" s="23"/>
      <c r="CG180" s="23"/>
      <c r="CH180" s="23"/>
      <c r="CI180" s="23"/>
      <c r="CJ180" s="23"/>
      <c r="CK180" s="23"/>
      <c r="CL180" s="23"/>
      <c r="CM180" s="23"/>
      <c r="CN180" s="23"/>
      <c r="CO180" s="23"/>
      <c r="CP180" s="23"/>
      <c r="CQ180" s="23"/>
      <c r="CR180" s="23"/>
      <c r="CS180" s="23"/>
      <c r="CT180" s="23"/>
      <c r="CU180" s="23"/>
      <c r="CV180" s="23"/>
    </row>
    <row r="181" spans="1:100" ht="15.75" customHeight="1" x14ac:dyDescent="0.2">
      <c r="A181" s="3"/>
      <c r="B181" s="4"/>
      <c r="C181" s="4"/>
      <c r="D181" s="4"/>
      <c r="E181" s="23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23"/>
      <c r="BQ181" s="23"/>
      <c r="BR181" s="23"/>
      <c r="BS181" s="23"/>
      <c r="BT181" s="23"/>
      <c r="BU181" s="23"/>
      <c r="BV181" s="23"/>
      <c r="BW181" s="23"/>
      <c r="BX181" s="23"/>
      <c r="BY181" s="23"/>
      <c r="BZ181" s="23"/>
      <c r="CA181" s="23"/>
      <c r="CB181" s="23"/>
      <c r="CC181" s="23"/>
      <c r="CD181" s="23"/>
      <c r="CE181" s="23"/>
      <c r="CF181" s="23"/>
      <c r="CG181" s="23"/>
      <c r="CH181" s="23"/>
      <c r="CI181" s="23"/>
      <c r="CJ181" s="23"/>
      <c r="CK181" s="23"/>
      <c r="CL181" s="23"/>
      <c r="CM181" s="23"/>
      <c r="CN181" s="23"/>
      <c r="CO181" s="23"/>
      <c r="CP181" s="23"/>
      <c r="CQ181" s="23"/>
      <c r="CR181" s="23"/>
      <c r="CS181" s="23"/>
      <c r="CT181" s="23"/>
      <c r="CU181" s="23"/>
      <c r="CV181" s="23"/>
    </row>
    <row r="182" spans="1:100" ht="15.75" customHeight="1" x14ac:dyDescent="0.2">
      <c r="A182" s="3"/>
      <c r="B182" s="4"/>
      <c r="C182" s="4"/>
      <c r="D182" s="4"/>
      <c r="E182" s="23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23"/>
      <c r="BQ182" s="23"/>
      <c r="BR182" s="23"/>
      <c r="BS182" s="23"/>
      <c r="BT182" s="23"/>
      <c r="BU182" s="23"/>
      <c r="BV182" s="23"/>
      <c r="BW182" s="23"/>
      <c r="BX182" s="23"/>
      <c r="BY182" s="23"/>
      <c r="BZ182" s="23"/>
      <c r="CA182" s="23"/>
      <c r="CB182" s="23"/>
      <c r="CC182" s="23"/>
      <c r="CD182" s="23"/>
      <c r="CE182" s="23"/>
      <c r="CF182" s="23"/>
      <c r="CG182" s="23"/>
      <c r="CH182" s="23"/>
      <c r="CI182" s="23"/>
      <c r="CJ182" s="23"/>
      <c r="CK182" s="23"/>
      <c r="CL182" s="23"/>
      <c r="CM182" s="23"/>
      <c r="CN182" s="23"/>
      <c r="CO182" s="23"/>
      <c r="CP182" s="23"/>
      <c r="CQ182" s="23"/>
      <c r="CR182" s="23"/>
      <c r="CS182" s="23"/>
      <c r="CT182" s="23"/>
      <c r="CU182" s="23"/>
      <c r="CV182" s="23"/>
    </row>
    <row r="183" spans="1:100" ht="15.75" customHeight="1" x14ac:dyDescent="0.2">
      <c r="A183" s="3"/>
      <c r="B183" s="4"/>
      <c r="C183" s="4"/>
      <c r="D183" s="4"/>
      <c r="E183" s="23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23"/>
      <c r="BQ183" s="23"/>
      <c r="BR183" s="23"/>
      <c r="BS183" s="23"/>
      <c r="BT183" s="23"/>
      <c r="BU183" s="23"/>
      <c r="BV183" s="23"/>
      <c r="BW183" s="23"/>
      <c r="BX183" s="23"/>
      <c r="BY183" s="23"/>
      <c r="BZ183" s="23"/>
      <c r="CA183" s="23"/>
      <c r="CB183" s="23"/>
      <c r="CC183" s="23"/>
      <c r="CD183" s="23"/>
      <c r="CE183" s="23"/>
      <c r="CF183" s="23"/>
      <c r="CG183" s="23"/>
      <c r="CH183" s="23"/>
      <c r="CI183" s="23"/>
      <c r="CJ183" s="23"/>
      <c r="CK183" s="23"/>
      <c r="CL183" s="23"/>
      <c r="CM183" s="23"/>
      <c r="CN183" s="23"/>
      <c r="CO183" s="23"/>
      <c r="CP183" s="23"/>
      <c r="CQ183" s="23"/>
      <c r="CR183" s="23"/>
      <c r="CS183" s="23"/>
      <c r="CT183" s="23"/>
      <c r="CU183" s="23"/>
      <c r="CV183" s="23"/>
    </row>
    <row r="184" spans="1:100" ht="15.75" customHeight="1" x14ac:dyDescent="0.2">
      <c r="A184" s="3"/>
      <c r="B184" s="4"/>
      <c r="C184" s="4"/>
      <c r="D184" s="4"/>
      <c r="E184" s="23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23"/>
      <c r="BQ184" s="23"/>
      <c r="BR184" s="23"/>
      <c r="BS184" s="23"/>
      <c r="BT184" s="23"/>
      <c r="BU184" s="23"/>
      <c r="BV184" s="23"/>
      <c r="BW184" s="23"/>
      <c r="BX184" s="23"/>
      <c r="BY184" s="23"/>
      <c r="BZ184" s="23"/>
      <c r="CA184" s="23"/>
      <c r="CB184" s="23"/>
      <c r="CC184" s="23"/>
      <c r="CD184" s="23"/>
      <c r="CE184" s="23"/>
      <c r="CF184" s="23"/>
      <c r="CG184" s="23"/>
      <c r="CH184" s="23"/>
      <c r="CI184" s="23"/>
      <c r="CJ184" s="23"/>
      <c r="CK184" s="23"/>
      <c r="CL184" s="23"/>
      <c r="CM184" s="23"/>
      <c r="CN184" s="23"/>
      <c r="CO184" s="23"/>
      <c r="CP184" s="23"/>
      <c r="CQ184" s="23"/>
      <c r="CR184" s="23"/>
      <c r="CS184" s="23"/>
      <c r="CT184" s="23"/>
      <c r="CU184" s="23"/>
      <c r="CV184" s="23"/>
    </row>
    <row r="185" spans="1:100" ht="15.75" customHeight="1" x14ac:dyDescent="0.2">
      <c r="A185" s="3"/>
      <c r="B185" s="4"/>
      <c r="C185" s="4"/>
      <c r="D185" s="4"/>
      <c r="E185" s="23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23"/>
      <c r="BQ185" s="23"/>
      <c r="BR185" s="23"/>
      <c r="BS185" s="23"/>
      <c r="BT185" s="23"/>
      <c r="BU185" s="23"/>
      <c r="BV185" s="23"/>
      <c r="BW185" s="23"/>
      <c r="BX185" s="23"/>
      <c r="BY185" s="23"/>
      <c r="BZ185" s="23"/>
      <c r="CA185" s="23"/>
      <c r="CB185" s="23"/>
      <c r="CC185" s="23"/>
      <c r="CD185" s="23"/>
      <c r="CE185" s="23"/>
      <c r="CF185" s="23"/>
      <c r="CG185" s="23"/>
      <c r="CH185" s="23"/>
      <c r="CI185" s="23"/>
      <c r="CJ185" s="23"/>
      <c r="CK185" s="23"/>
      <c r="CL185" s="23"/>
      <c r="CM185" s="23"/>
      <c r="CN185" s="23"/>
      <c r="CO185" s="23"/>
      <c r="CP185" s="23"/>
      <c r="CQ185" s="23"/>
      <c r="CR185" s="23"/>
      <c r="CS185" s="23"/>
      <c r="CT185" s="23"/>
      <c r="CU185" s="23"/>
      <c r="CV185" s="23"/>
    </row>
    <row r="186" spans="1:100" ht="15.75" customHeight="1" x14ac:dyDescent="0.2">
      <c r="A186" s="3"/>
      <c r="B186" s="4"/>
      <c r="C186" s="4"/>
      <c r="D186" s="4"/>
      <c r="E186" s="23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23"/>
      <c r="BQ186" s="23"/>
      <c r="BR186" s="23"/>
      <c r="BS186" s="23"/>
      <c r="BT186" s="23"/>
      <c r="BU186" s="23"/>
      <c r="BV186" s="23"/>
      <c r="BW186" s="23"/>
      <c r="BX186" s="23"/>
      <c r="BY186" s="23"/>
      <c r="BZ186" s="23"/>
      <c r="CA186" s="23"/>
      <c r="CB186" s="23"/>
      <c r="CC186" s="23"/>
      <c r="CD186" s="23"/>
      <c r="CE186" s="23"/>
      <c r="CF186" s="23"/>
      <c r="CG186" s="23"/>
      <c r="CH186" s="23"/>
      <c r="CI186" s="23"/>
      <c r="CJ186" s="23"/>
      <c r="CK186" s="23"/>
      <c r="CL186" s="23"/>
      <c r="CM186" s="23"/>
      <c r="CN186" s="23"/>
      <c r="CO186" s="23"/>
      <c r="CP186" s="23"/>
      <c r="CQ186" s="23"/>
      <c r="CR186" s="23"/>
      <c r="CS186" s="23"/>
      <c r="CT186" s="23"/>
      <c r="CU186" s="23"/>
      <c r="CV186" s="23"/>
    </row>
    <row r="187" spans="1:100" ht="15.75" customHeight="1" x14ac:dyDescent="0.2">
      <c r="A187" s="3"/>
      <c r="B187" s="4"/>
      <c r="C187" s="4"/>
      <c r="D187" s="4"/>
      <c r="E187" s="23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23"/>
      <c r="BQ187" s="23"/>
      <c r="BR187" s="23"/>
      <c r="BS187" s="23"/>
      <c r="BT187" s="23"/>
      <c r="BU187" s="23"/>
      <c r="BV187" s="23"/>
      <c r="BW187" s="23"/>
      <c r="BX187" s="23"/>
      <c r="BY187" s="23"/>
      <c r="BZ187" s="23"/>
      <c r="CA187" s="23"/>
      <c r="CB187" s="23"/>
      <c r="CC187" s="23"/>
      <c r="CD187" s="23"/>
      <c r="CE187" s="23"/>
      <c r="CF187" s="23"/>
      <c r="CG187" s="23"/>
      <c r="CH187" s="23"/>
      <c r="CI187" s="23"/>
      <c r="CJ187" s="23"/>
      <c r="CK187" s="23"/>
      <c r="CL187" s="23"/>
      <c r="CM187" s="23"/>
      <c r="CN187" s="23"/>
      <c r="CO187" s="23"/>
      <c r="CP187" s="23"/>
      <c r="CQ187" s="23"/>
      <c r="CR187" s="23"/>
      <c r="CS187" s="23"/>
      <c r="CT187" s="23"/>
      <c r="CU187" s="23"/>
      <c r="CV187" s="23"/>
    </row>
    <row r="188" spans="1:100" ht="15.75" customHeight="1" x14ac:dyDescent="0.2">
      <c r="A188" s="3"/>
      <c r="B188" s="4"/>
      <c r="C188" s="4"/>
      <c r="D188" s="4"/>
      <c r="E188" s="23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23"/>
      <c r="BQ188" s="23"/>
      <c r="BR188" s="23"/>
      <c r="BS188" s="23"/>
      <c r="BT188" s="23"/>
      <c r="BU188" s="23"/>
      <c r="BV188" s="23"/>
      <c r="BW188" s="23"/>
      <c r="BX188" s="23"/>
      <c r="BY188" s="23"/>
      <c r="BZ188" s="23"/>
      <c r="CA188" s="23"/>
      <c r="CB188" s="23"/>
      <c r="CC188" s="23"/>
      <c r="CD188" s="23"/>
      <c r="CE188" s="23"/>
      <c r="CF188" s="23"/>
      <c r="CG188" s="23"/>
      <c r="CH188" s="23"/>
      <c r="CI188" s="23"/>
      <c r="CJ188" s="23"/>
      <c r="CK188" s="23"/>
      <c r="CL188" s="23"/>
      <c r="CM188" s="23"/>
      <c r="CN188" s="23"/>
      <c r="CO188" s="23"/>
      <c r="CP188" s="23"/>
      <c r="CQ188" s="23"/>
      <c r="CR188" s="23"/>
      <c r="CS188" s="23"/>
      <c r="CT188" s="23"/>
      <c r="CU188" s="23"/>
      <c r="CV188" s="23"/>
    </row>
    <row r="189" spans="1:100" ht="15.75" customHeight="1" x14ac:dyDescent="0.2">
      <c r="A189" s="3"/>
      <c r="B189" s="4"/>
      <c r="C189" s="4"/>
      <c r="D189" s="4"/>
      <c r="E189" s="23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23"/>
      <c r="BQ189" s="23"/>
      <c r="BR189" s="23"/>
      <c r="BS189" s="23"/>
      <c r="BT189" s="23"/>
      <c r="BU189" s="23"/>
      <c r="BV189" s="23"/>
      <c r="BW189" s="23"/>
      <c r="BX189" s="23"/>
      <c r="BY189" s="23"/>
      <c r="BZ189" s="23"/>
      <c r="CA189" s="23"/>
      <c r="CB189" s="23"/>
      <c r="CC189" s="23"/>
      <c r="CD189" s="23"/>
      <c r="CE189" s="23"/>
      <c r="CF189" s="23"/>
      <c r="CG189" s="23"/>
      <c r="CH189" s="23"/>
      <c r="CI189" s="23"/>
      <c r="CJ189" s="23"/>
      <c r="CK189" s="23"/>
      <c r="CL189" s="23"/>
      <c r="CM189" s="23"/>
      <c r="CN189" s="23"/>
      <c r="CO189" s="23"/>
      <c r="CP189" s="23"/>
      <c r="CQ189" s="23"/>
      <c r="CR189" s="23"/>
      <c r="CS189" s="23"/>
      <c r="CT189" s="23"/>
      <c r="CU189" s="23"/>
      <c r="CV189" s="23"/>
    </row>
    <row r="190" spans="1:100" ht="15.75" customHeight="1" x14ac:dyDescent="0.2">
      <c r="A190" s="3"/>
      <c r="B190" s="4"/>
      <c r="C190" s="4"/>
      <c r="D190" s="4"/>
      <c r="E190" s="23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23"/>
      <c r="BQ190" s="23"/>
      <c r="BR190" s="23"/>
      <c r="BS190" s="23"/>
      <c r="BT190" s="23"/>
      <c r="BU190" s="23"/>
      <c r="BV190" s="23"/>
      <c r="BW190" s="23"/>
      <c r="BX190" s="23"/>
      <c r="BY190" s="23"/>
      <c r="BZ190" s="23"/>
      <c r="CA190" s="23"/>
      <c r="CB190" s="23"/>
      <c r="CC190" s="23"/>
      <c r="CD190" s="23"/>
      <c r="CE190" s="23"/>
      <c r="CF190" s="23"/>
      <c r="CG190" s="23"/>
      <c r="CH190" s="23"/>
      <c r="CI190" s="23"/>
      <c r="CJ190" s="23"/>
      <c r="CK190" s="23"/>
      <c r="CL190" s="23"/>
      <c r="CM190" s="23"/>
      <c r="CN190" s="23"/>
      <c r="CO190" s="23"/>
      <c r="CP190" s="23"/>
      <c r="CQ190" s="23"/>
      <c r="CR190" s="23"/>
      <c r="CS190" s="23"/>
      <c r="CT190" s="23"/>
      <c r="CU190" s="23"/>
      <c r="CV190" s="23"/>
    </row>
    <row r="191" spans="1:100" ht="15.75" customHeight="1" x14ac:dyDescent="0.2">
      <c r="A191" s="3"/>
      <c r="B191" s="4"/>
      <c r="C191" s="4"/>
      <c r="D191" s="4"/>
      <c r="E191" s="23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23"/>
      <c r="BQ191" s="23"/>
      <c r="BR191" s="23"/>
      <c r="BS191" s="23"/>
      <c r="BT191" s="23"/>
      <c r="BU191" s="23"/>
      <c r="BV191" s="23"/>
      <c r="BW191" s="23"/>
      <c r="BX191" s="23"/>
      <c r="BY191" s="23"/>
      <c r="BZ191" s="23"/>
      <c r="CA191" s="23"/>
      <c r="CB191" s="23"/>
      <c r="CC191" s="23"/>
      <c r="CD191" s="23"/>
      <c r="CE191" s="23"/>
      <c r="CF191" s="23"/>
      <c r="CG191" s="23"/>
      <c r="CH191" s="23"/>
      <c r="CI191" s="23"/>
      <c r="CJ191" s="23"/>
      <c r="CK191" s="23"/>
      <c r="CL191" s="23"/>
      <c r="CM191" s="23"/>
      <c r="CN191" s="23"/>
      <c r="CO191" s="23"/>
      <c r="CP191" s="23"/>
      <c r="CQ191" s="23"/>
      <c r="CR191" s="23"/>
      <c r="CS191" s="23"/>
      <c r="CT191" s="23"/>
      <c r="CU191" s="23"/>
      <c r="CV191" s="23"/>
    </row>
    <row r="192" spans="1:100" ht="15.75" customHeight="1" x14ac:dyDescent="0.2">
      <c r="A192" s="3"/>
      <c r="B192" s="4"/>
      <c r="C192" s="4"/>
      <c r="D192" s="4"/>
      <c r="E192" s="23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23"/>
      <c r="BQ192" s="23"/>
      <c r="BR192" s="23"/>
      <c r="BS192" s="23"/>
      <c r="BT192" s="23"/>
      <c r="BU192" s="23"/>
      <c r="BV192" s="23"/>
      <c r="BW192" s="23"/>
      <c r="BX192" s="23"/>
      <c r="BY192" s="23"/>
      <c r="BZ192" s="23"/>
      <c r="CA192" s="23"/>
      <c r="CB192" s="23"/>
      <c r="CC192" s="23"/>
      <c r="CD192" s="23"/>
      <c r="CE192" s="23"/>
      <c r="CF192" s="23"/>
      <c r="CG192" s="23"/>
      <c r="CH192" s="23"/>
      <c r="CI192" s="23"/>
      <c r="CJ192" s="23"/>
      <c r="CK192" s="23"/>
      <c r="CL192" s="23"/>
      <c r="CM192" s="23"/>
      <c r="CN192" s="23"/>
      <c r="CO192" s="23"/>
      <c r="CP192" s="23"/>
      <c r="CQ192" s="23"/>
      <c r="CR192" s="23"/>
      <c r="CS192" s="23"/>
      <c r="CT192" s="23"/>
      <c r="CU192" s="23"/>
      <c r="CV192" s="23"/>
    </row>
    <row r="193" spans="1:100" ht="15.75" customHeight="1" x14ac:dyDescent="0.2">
      <c r="A193" s="3"/>
      <c r="B193" s="4"/>
      <c r="C193" s="4"/>
      <c r="D193" s="4"/>
      <c r="E193" s="23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23"/>
      <c r="BQ193" s="23"/>
      <c r="BR193" s="23"/>
      <c r="BS193" s="23"/>
      <c r="BT193" s="23"/>
      <c r="BU193" s="23"/>
      <c r="BV193" s="23"/>
      <c r="BW193" s="23"/>
      <c r="BX193" s="23"/>
      <c r="BY193" s="23"/>
      <c r="BZ193" s="23"/>
      <c r="CA193" s="23"/>
      <c r="CB193" s="23"/>
      <c r="CC193" s="23"/>
      <c r="CD193" s="23"/>
      <c r="CE193" s="23"/>
      <c r="CF193" s="23"/>
      <c r="CG193" s="23"/>
      <c r="CH193" s="23"/>
      <c r="CI193" s="23"/>
      <c r="CJ193" s="23"/>
      <c r="CK193" s="23"/>
      <c r="CL193" s="23"/>
      <c r="CM193" s="23"/>
      <c r="CN193" s="23"/>
      <c r="CO193" s="23"/>
      <c r="CP193" s="23"/>
      <c r="CQ193" s="23"/>
      <c r="CR193" s="23"/>
      <c r="CS193" s="23"/>
      <c r="CT193" s="23"/>
      <c r="CU193" s="23"/>
      <c r="CV193" s="23"/>
    </row>
    <row r="194" spans="1:100" ht="15.75" customHeight="1" x14ac:dyDescent="0.2">
      <c r="A194" s="3"/>
      <c r="B194" s="4"/>
      <c r="C194" s="4"/>
      <c r="D194" s="4"/>
      <c r="E194" s="23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23"/>
      <c r="BQ194" s="23"/>
      <c r="BR194" s="23"/>
      <c r="BS194" s="23"/>
      <c r="BT194" s="23"/>
      <c r="BU194" s="23"/>
      <c r="BV194" s="23"/>
      <c r="BW194" s="23"/>
      <c r="BX194" s="23"/>
      <c r="BY194" s="23"/>
      <c r="BZ194" s="23"/>
      <c r="CA194" s="23"/>
      <c r="CB194" s="23"/>
      <c r="CC194" s="23"/>
      <c r="CD194" s="23"/>
      <c r="CE194" s="23"/>
      <c r="CF194" s="23"/>
      <c r="CG194" s="23"/>
      <c r="CH194" s="23"/>
      <c r="CI194" s="23"/>
      <c r="CJ194" s="23"/>
      <c r="CK194" s="23"/>
      <c r="CL194" s="23"/>
      <c r="CM194" s="23"/>
      <c r="CN194" s="23"/>
      <c r="CO194" s="23"/>
      <c r="CP194" s="23"/>
      <c r="CQ194" s="23"/>
      <c r="CR194" s="23"/>
      <c r="CS194" s="23"/>
      <c r="CT194" s="23"/>
      <c r="CU194" s="23"/>
      <c r="CV194" s="23"/>
    </row>
    <row r="195" spans="1:100" ht="15.75" customHeight="1" x14ac:dyDescent="0.2">
      <c r="A195" s="3"/>
      <c r="B195" s="4"/>
      <c r="C195" s="4"/>
      <c r="D195" s="4"/>
      <c r="E195" s="23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23"/>
      <c r="BQ195" s="23"/>
      <c r="BR195" s="23"/>
      <c r="BS195" s="23"/>
      <c r="BT195" s="23"/>
      <c r="BU195" s="23"/>
      <c r="BV195" s="23"/>
      <c r="BW195" s="23"/>
      <c r="BX195" s="23"/>
      <c r="BY195" s="23"/>
      <c r="BZ195" s="23"/>
      <c r="CA195" s="23"/>
      <c r="CB195" s="23"/>
      <c r="CC195" s="23"/>
      <c r="CD195" s="23"/>
      <c r="CE195" s="23"/>
      <c r="CF195" s="23"/>
      <c r="CG195" s="23"/>
      <c r="CH195" s="23"/>
      <c r="CI195" s="23"/>
      <c r="CJ195" s="23"/>
      <c r="CK195" s="23"/>
      <c r="CL195" s="23"/>
      <c r="CM195" s="23"/>
      <c r="CN195" s="23"/>
      <c r="CO195" s="23"/>
      <c r="CP195" s="23"/>
      <c r="CQ195" s="23"/>
      <c r="CR195" s="23"/>
      <c r="CS195" s="23"/>
      <c r="CT195" s="23"/>
      <c r="CU195" s="23"/>
      <c r="CV195" s="23"/>
    </row>
    <row r="196" spans="1:100" ht="15.75" customHeight="1" x14ac:dyDescent="0.2">
      <c r="A196" s="3"/>
      <c r="B196" s="4"/>
      <c r="C196" s="4"/>
      <c r="D196" s="4"/>
      <c r="E196" s="23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23"/>
      <c r="BQ196" s="23"/>
      <c r="BR196" s="23"/>
      <c r="BS196" s="23"/>
      <c r="BT196" s="23"/>
      <c r="BU196" s="23"/>
      <c r="BV196" s="23"/>
      <c r="BW196" s="23"/>
      <c r="BX196" s="23"/>
      <c r="BY196" s="23"/>
      <c r="BZ196" s="23"/>
      <c r="CA196" s="23"/>
      <c r="CB196" s="23"/>
      <c r="CC196" s="23"/>
      <c r="CD196" s="23"/>
      <c r="CE196" s="23"/>
      <c r="CF196" s="23"/>
      <c r="CG196" s="23"/>
      <c r="CH196" s="23"/>
      <c r="CI196" s="23"/>
      <c r="CJ196" s="23"/>
      <c r="CK196" s="23"/>
      <c r="CL196" s="23"/>
      <c r="CM196" s="23"/>
      <c r="CN196" s="23"/>
      <c r="CO196" s="23"/>
      <c r="CP196" s="23"/>
      <c r="CQ196" s="23"/>
      <c r="CR196" s="23"/>
      <c r="CS196" s="23"/>
      <c r="CT196" s="23"/>
      <c r="CU196" s="23"/>
      <c r="CV196" s="23"/>
    </row>
    <row r="197" spans="1:100" ht="15.75" customHeight="1" x14ac:dyDescent="0.2">
      <c r="A197" s="3"/>
      <c r="B197" s="4"/>
      <c r="C197" s="4"/>
      <c r="D197" s="4"/>
      <c r="E197" s="23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23"/>
      <c r="BQ197" s="23"/>
      <c r="BR197" s="23"/>
      <c r="BS197" s="23"/>
      <c r="BT197" s="23"/>
      <c r="BU197" s="23"/>
      <c r="BV197" s="23"/>
      <c r="BW197" s="23"/>
      <c r="BX197" s="23"/>
      <c r="BY197" s="23"/>
      <c r="BZ197" s="23"/>
      <c r="CA197" s="23"/>
      <c r="CB197" s="23"/>
      <c r="CC197" s="23"/>
      <c r="CD197" s="23"/>
      <c r="CE197" s="23"/>
      <c r="CF197" s="23"/>
      <c r="CG197" s="23"/>
      <c r="CH197" s="23"/>
      <c r="CI197" s="23"/>
      <c r="CJ197" s="23"/>
      <c r="CK197" s="23"/>
      <c r="CL197" s="23"/>
      <c r="CM197" s="23"/>
      <c r="CN197" s="23"/>
      <c r="CO197" s="23"/>
      <c r="CP197" s="23"/>
      <c r="CQ197" s="23"/>
      <c r="CR197" s="23"/>
      <c r="CS197" s="23"/>
      <c r="CT197" s="23"/>
      <c r="CU197" s="23"/>
      <c r="CV197" s="23"/>
    </row>
    <row r="198" spans="1:100" ht="15.75" customHeight="1" x14ac:dyDescent="0.2">
      <c r="A198" s="3"/>
      <c r="B198" s="4"/>
      <c r="C198" s="4"/>
      <c r="D198" s="4"/>
      <c r="E198" s="23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23"/>
      <c r="BQ198" s="23"/>
      <c r="BR198" s="23"/>
      <c r="BS198" s="23"/>
      <c r="BT198" s="23"/>
      <c r="BU198" s="23"/>
      <c r="BV198" s="23"/>
      <c r="BW198" s="23"/>
      <c r="BX198" s="23"/>
      <c r="BY198" s="23"/>
      <c r="BZ198" s="23"/>
      <c r="CA198" s="23"/>
      <c r="CB198" s="23"/>
      <c r="CC198" s="23"/>
      <c r="CD198" s="23"/>
      <c r="CE198" s="23"/>
      <c r="CF198" s="23"/>
      <c r="CG198" s="23"/>
      <c r="CH198" s="23"/>
      <c r="CI198" s="23"/>
      <c r="CJ198" s="23"/>
      <c r="CK198" s="23"/>
      <c r="CL198" s="23"/>
      <c r="CM198" s="23"/>
      <c r="CN198" s="23"/>
      <c r="CO198" s="23"/>
      <c r="CP198" s="23"/>
      <c r="CQ198" s="23"/>
      <c r="CR198" s="23"/>
      <c r="CS198" s="23"/>
      <c r="CT198" s="23"/>
      <c r="CU198" s="23"/>
      <c r="CV198" s="23"/>
    </row>
    <row r="199" spans="1:100" ht="15.75" customHeight="1" x14ac:dyDescent="0.2">
      <c r="A199" s="3"/>
      <c r="B199" s="4"/>
      <c r="C199" s="4"/>
      <c r="D199" s="4"/>
      <c r="E199" s="23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23"/>
      <c r="BQ199" s="23"/>
      <c r="BR199" s="23"/>
      <c r="BS199" s="23"/>
      <c r="BT199" s="23"/>
      <c r="BU199" s="23"/>
      <c r="BV199" s="23"/>
      <c r="BW199" s="23"/>
      <c r="BX199" s="23"/>
      <c r="BY199" s="23"/>
      <c r="BZ199" s="23"/>
      <c r="CA199" s="23"/>
      <c r="CB199" s="23"/>
      <c r="CC199" s="23"/>
      <c r="CD199" s="23"/>
      <c r="CE199" s="23"/>
      <c r="CF199" s="23"/>
      <c r="CG199" s="23"/>
      <c r="CH199" s="23"/>
      <c r="CI199" s="23"/>
      <c r="CJ199" s="23"/>
      <c r="CK199" s="23"/>
      <c r="CL199" s="23"/>
      <c r="CM199" s="23"/>
      <c r="CN199" s="23"/>
      <c r="CO199" s="23"/>
      <c r="CP199" s="23"/>
      <c r="CQ199" s="23"/>
      <c r="CR199" s="23"/>
      <c r="CS199" s="23"/>
      <c r="CT199" s="23"/>
      <c r="CU199" s="23"/>
      <c r="CV199" s="23"/>
    </row>
    <row r="200" spans="1:100" ht="15.75" customHeight="1" x14ac:dyDescent="0.2">
      <c r="A200" s="3"/>
      <c r="B200" s="4"/>
      <c r="C200" s="4"/>
      <c r="D200" s="4"/>
      <c r="E200" s="23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23"/>
      <c r="BQ200" s="23"/>
      <c r="BR200" s="23"/>
      <c r="BS200" s="23"/>
      <c r="BT200" s="23"/>
      <c r="BU200" s="23"/>
      <c r="BV200" s="23"/>
      <c r="BW200" s="23"/>
      <c r="BX200" s="23"/>
      <c r="BY200" s="23"/>
      <c r="BZ200" s="23"/>
      <c r="CA200" s="23"/>
      <c r="CB200" s="23"/>
      <c r="CC200" s="23"/>
      <c r="CD200" s="23"/>
      <c r="CE200" s="23"/>
      <c r="CF200" s="23"/>
      <c r="CG200" s="23"/>
      <c r="CH200" s="23"/>
      <c r="CI200" s="23"/>
      <c r="CJ200" s="23"/>
      <c r="CK200" s="23"/>
      <c r="CL200" s="23"/>
      <c r="CM200" s="23"/>
      <c r="CN200" s="23"/>
      <c r="CO200" s="23"/>
      <c r="CP200" s="23"/>
      <c r="CQ200" s="23"/>
      <c r="CR200" s="23"/>
      <c r="CS200" s="23"/>
      <c r="CT200" s="23"/>
      <c r="CU200" s="23"/>
      <c r="CV200" s="23"/>
    </row>
    <row r="201" spans="1:100" ht="15.75" customHeight="1" x14ac:dyDescent="0.2">
      <c r="A201" s="3"/>
      <c r="B201" s="4"/>
      <c r="C201" s="4"/>
      <c r="D201" s="4"/>
      <c r="E201" s="23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23"/>
      <c r="BQ201" s="23"/>
      <c r="BR201" s="23"/>
      <c r="BS201" s="23"/>
      <c r="BT201" s="23"/>
      <c r="BU201" s="23"/>
      <c r="BV201" s="23"/>
      <c r="BW201" s="23"/>
      <c r="BX201" s="23"/>
      <c r="BY201" s="23"/>
      <c r="BZ201" s="23"/>
      <c r="CA201" s="23"/>
      <c r="CB201" s="23"/>
      <c r="CC201" s="23"/>
      <c r="CD201" s="23"/>
      <c r="CE201" s="23"/>
      <c r="CF201" s="23"/>
      <c r="CG201" s="23"/>
      <c r="CH201" s="23"/>
      <c r="CI201" s="23"/>
      <c r="CJ201" s="23"/>
      <c r="CK201" s="23"/>
      <c r="CL201" s="23"/>
      <c r="CM201" s="23"/>
      <c r="CN201" s="23"/>
      <c r="CO201" s="23"/>
      <c r="CP201" s="23"/>
      <c r="CQ201" s="23"/>
      <c r="CR201" s="23"/>
      <c r="CS201" s="23"/>
      <c r="CT201" s="23"/>
      <c r="CU201" s="23"/>
      <c r="CV201" s="23"/>
    </row>
    <row r="202" spans="1:100" ht="15.75" customHeight="1" x14ac:dyDescent="0.2">
      <c r="A202" s="3"/>
      <c r="B202" s="4"/>
      <c r="C202" s="4"/>
      <c r="D202" s="4"/>
      <c r="E202" s="23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23"/>
      <c r="BQ202" s="23"/>
      <c r="BR202" s="23"/>
      <c r="BS202" s="23"/>
      <c r="BT202" s="23"/>
      <c r="BU202" s="23"/>
      <c r="BV202" s="23"/>
      <c r="BW202" s="23"/>
      <c r="BX202" s="23"/>
      <c r="BY202" s="23"/>
      <c r="BZ202" s="23"/>
      <c r="CA202" s="23"/>
      <c r="CB202" s="23"/>
      <c r="CC202" s="23"/>
      <c r="CD202" s="23"/>
      <c r="CE202" s="23"/>
      <c r="CF202" s="23"/>
      <c r="CG202" s="23"/>
      <c r="CH202" s="23"/>
      <c r="CI202" s="23"/>
      <c r="CJ202" s="23"/>
      <c r="CK202" s="23"/>
      <c r="CL202" s="23"/>
      <c r="CM202" s="23"/>
      <c r="CN202" s="23"/>
      <c r="CO202" s="23"/>
      <c r="CP202" s="23"/>
      <c r="CQ202" s="23"/>
      <c r="CR202" s="23"/>
      <c r="CS202" s="23"/>
      <c r="CT202" s="23"/>
      <c r="CU202" s="23"/>
      <c r="CV202" s="23"/>
    </row>
    <row r="203" spans="1:100" ht="15.75" customHeight="1" x14ac:dyDescent="0.2">
      <c r="A203" s="3"/>
      <c r="B203" s="4"/>
      <c r="C203" s="4"/>
      <c r="D203" s="4"/>
      <c r="E203" s="23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23"/>
      <c r="BQ203" s="23"/>
      <c r="BR203" s="23"/>
      <c r="BS203" s="23"/>
      <c r="BT203" s="23"/>
      <c r="BU203" s="23"/>
      <c r="BV203" s="23"/>
      <c r="BW203" s="23"/>
      <c r="BX203" s="23"/>
      <c r="BY203" s="23"/>
      <c r="BZ203" s="23"/>
      <c r="CA203" s="23"/>
      <c r="CB203" s="23"/>
      <c r="CC203" s="23"/>
      <c r="CD203" s="23"/>
      <c r="CE203" s="23"/>
      <c r="CF203" s="23"/>
      <c r="CG203" s="23"/>
      <c r="CH203" s="23"/>
      <c r="CI203" s="23"/>
      <c r="CJ203" s="23"/>
      <c r="CK203" s="23"/>
      <c r="CL203" s="23"/>
      <c r="CM203" s="23"/>
      <c r="CN203" s="23"/>
      <c r="CO203" s="23"/>
      <c r="CP203" s="23"/>
      <c r="CQ203" s="23"/>
      <c r="CR203" s="23"/>
      <c r="CS203" s="23"/>
      <c r="CT203" s="23"/>
      <c r="CU203" s="23"/>
      <c r="CV203" s="23"/>
    </row>
    <row r="204" spans="1:100" ht="15.75" customHeight="1" x14ac:dyDescent="0.2">
      <c r="A204" s="3"/>
      <c r="B204" s="4"/>
      <c r="C204" s="4"/>
      <c r="D204" s="4"/>
      <c r="E204" s="23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23"/>
      <c r="BQ204" s="23"/>
      <c r="BR204" s="23"/>
      <c r="BS204" s="23"/>
      <c r="BT204" s="23"/>
      <c r="BU204" s="23"/>
      <c r="BV204" s="23"/>
      <c r="BW204" s="23"/>
      <c r="BX204" s="23"/>
      <c r="BY204" s="23"/>
      <c r="BZ204" s="23"/>
      <c r="CA204" s="23"/>
      <c r="CB204" s="23"/>
      <c r="CC204" s="23"/>
      <c r="CD204" s="23"/>
      <c r="CE204" s="23"/>
      <c r="CF204" s="23"/>
      <c r="CG204" s="23"/>
      <c r="CH204" s="23"/>
      <c r="CI204" s="23"/>
      <c r="CJ204" s="23"/>
      <c r="CK204" s="23"/>
      <c r="CL204" s="23"/>
      <c r="CM204" s="23"/>
      <c r="CN204" s="23"/>
      <c r="CO204" s="23"/>
      <c r="CP204" s="23"/>
      <c r="CQ204" s="23"/>
      <c r="CR204" s="23"/>
      <c r="CS204" s="23"/>
      <c r="CT204" s="23"/>
      <c r="CU204" s="23"/>
      <c r="CV204" s="23"/>
    </row>
    <row r="205" spans="1:100" ht="15.75" customHeight="1" x14ac:dyDescent="0.2">
      <c r="A205" s="3"/>
      <c r="B205" s="4"/>
      <c r="C205" s="4"/>
      <c r="D205" s="4"/>
      <c r="E205" s="23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23"/>
      <c r="BQ205" s="23"/>
      <c r="BR205" s="23"/>
      <c r="BS205" s="23"/>
      <c r="BT205" s="23"/>
      <c r="BU205" s="23"/>
      <c r="BV205" s="23"/>
      <c r="BW205" s="23"/>
      <c r="BX205" s="23"/>
      <c r="BY205" s="23"/>
      <c r="BZ205" s="23"/>
      <c r="CA205" s="23"/>
      <c r="CB205" s="23"/>
      <c r="CC205" s="23"/>
      <c r="CD205" s="23"/>
      <c r="CE205" s="23"/>
      <c r="CF205" s="23"/>
      <c r="CG205" s="23"/>
      <c r="CH205" s="23"/>
      <c r="CI205" s="23"/>
      <c r="CJ205" s="23"/>
      <c r="CK205" s="23"/>
      <c r="CL205" s="23"/>
      <c r="CM205" s="23"/>
      <c r="CN205" s="23"/>
      <c r="CO205" s="23"/>
      <c r="CP205" s="23"/>
      <c r="CQ205" s="23"/>
      <c r="CR205" s="23"/>
      <c r="CS205" s="23"/>
      <c r="CT205" s="23"/>
      <c r="CU205" s="23"/>
      <c r="CV205" s="23"/>
    </row>
    <row r="206" spans="1:100" ht="15.75" customHeight="1" x14ac:dyDescent="0.2">
      <c r="A206" s="3"/>
      <c r="B206" s="4"/>
      <c r="C206" s="4"/>
      <c r="D206" s="4"/>
      <c r="E206" s="23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23"/>
      <c r="BQ206" s="23"/>
      <c r="BR206" s="23"/>
      <c r="BS206" s="23"/>
      <c r="BT206" s="23"/>
      <c r="BU206" s="23"/>
      <c r="BV206" s="23"/>
      <c r="BW206" s="23"/>
      <c r="BX206" s="23"/>
      <c r="BY206" s="23"/>
      <c r="BZ206" s="23"/>
      <c r="CA206" s="23"/>
      <c r="CB206" s="23"/>
      <c r="CC206" s="23"/>
      <c r="CD206" s="23"/>
      <c r="CE206" s="23"/>
      <c r="CF206" s="23"/>
      <c r="CG206" s="23"/>
      <c r="CH206" s="23"/>
      <c r="CI206" s="23"/>
      <c r="CJ206" s="23"/>
      <c r="CK206" s="23"/>
      <c r="CL206" s="23"/>
      <c r="CM206" s="23"/>
      <c r="CN206" s="23"/>
      <c r="CO206" s="23"/>
      <c r="CP206" s="23"/>
      <c r="CQ206" s="23"/>
      <c r="CR206" s="23"/>
      <c r="CS206" s="23"/>
      <c r="CT206" s="23"/>
      <c r="CU206" s="23"/>
      <c r="CV206" s="23"/>
    </row>
    <row r="207" spans="1:100" ht="15.75" customHeight="1" x14ac:dyDescent="0.2">
      <c r="A207" s="3"/>
      <c r="B207" s="4"/>
      <c r="C207" s="4"/>
      <c r="D207" s="4"/>
      <c r="E207" s="23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23"/>
      <c r="BQ207" s="23"/>
      <c r="BR207" s="23"/>
      <c r="BS207" s="23"/>
      <c r="BT207" s="23"/>
      <c r="BU207" s="23"/>
      <c r="BV207" s="23"/>
      <c r="BW207" s="23"/>
      <c r="BX207" s="23"/>
      <c r="BY207" s="23"/>
      <c r="BZ207" s="23"/>
      <c r="CA207" s="23"/>
      <c r="CB207" s="23"/>
      <c r="CC207" s="23"/>
      <c r="CD207" s="23"/>
      <c r="CE207" s="23"/>
      <c r="CF207" s="23"/>
      <c r="CG207" s="23"/>
      <c r="CH207" s="23"/>
      <c r="CI207" s="23"/>
      <c r="CJ207" s="23"/>
      <c r="CK207" s="23"/>
      <c r="CL207" s="23"/>
      <c r="CM207" s="23"/>
      <c r="CN207" s="23"/>
      <c r="CO207" s="23"/>
      <c r="CP207" s="23"/>
      <c r="CQ207" s="23"/>
      <c r="CR207" s="23"/>
      <c r="CS207" s="23"/>
      <c r="CT207" s="23"/>
      <c r="CU207" s="23"/>
      <c r="CV207" s="23"/>
    </row>
    <row r="208" spans="1:100" ht="15.75" customHeight="1" x14ac:dyDescent="0.2">
      <c r="A208" s="3"/>
      <c r="B208" s="4"/>
      <c r="C208" s="4"/>
      <c r="D208" s="4"/>
      <c r="E208" s="23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23"/>
      <c r="BQ208" s="23"/>
      <c r="BR208" s="23"/>
      <c r="BS208" s="23"/>
      <c r="BT208" s="23"/>
      <c r="BU208" s="23"/>
      <c r="BV208" s="23"/>
      <c r="BW208" s="23"/>
      <c r="BX208" s="23"/>
      <c r="BY208" s="23"/>
      <c r="BZ208" s="23"/>
      <c r="CA208" s="23"/>
      <c r="CB208" s="23"/>
      <c r="CC208" s="23"/>
      <c r="CD208" s="23"/>
      <c r="CE208" s="23"/>
      <c r="CF208" s="23"/>
      <c r="CG208" s="23"/>
      <c r="CH208" s="23"/>
      <c r="CI208" s="23"/>
      <c r="CJ208" s="23"/>
      <c r="CK208" s="23"/>
      <c r="CL208" s="23"/>
      <c r="CM208" s="23"/>
      <c r="CN208" s="23"/>
      <c r="CO208" s="23"/>
      <c r="CP208" s="23"/>
      <c r="CQ208" s="23"/>
      <c r="CR208" s="23"/>
      <c r="CS208" s="23"/>
      <c r="CT208" s="23"/>
      <c r="CU208" s="23"/>
      <c r="CV208" s="23"/>
    </row>
    <row r="209" spans="1:100" ht="15.75" customHeight="1" x14ac:dyDescent="0.2">
      <c r="A209" s="3"/>
      <c r="B209" s="4"/>
      <c r="C209" s="4"/>
      <c r="D209" s="4"/>
      <c r="E209" s="23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23"/>
      <c r="BQ209" s="23"/>
      <c r="BR209" s="23"/>
      <c r="BS209" s="23"/>
      <c r="BT209" s="23"/>
      <c r="BU209" s="23"/>
      <c r="BV209" s="23"/>
      <c r="BW209" s="23"/>
      <c r="BX209" s="23"/>
      <c r="BY209" s="23"/>
      <c r="BZ209" s="23"/>
      <c r="CA209" s="23"/>
      <c r="CB209" s="23"/>
      <c r="CC209" s="23"/>
      <c r="CD209" s="23"/>
      <c r="CE209" s="23"/>
      <c r="CF209" s="23"/>
      <c r="CG209" s="23"/>
      <c r="CH209" s="23"/>
      <c r="CI209" s="23"/>
      <c r="CJ209" s="23"/>
      <c r="CK209" s="23"/>
      <c r="CL209" s="23"/>
      <c r="CM209" s="23"/>
      <c r="CN209" s="23"/>
      <c r="CO209" s="23"/>
      <c r="CP209" s="23"/>
      <c r="CQ209" s="23"/>
      <c r="CR209" s="23"/>
      <c r="CS209" s="23"/>
      <c r="CT209" s="23"/>
      <c r="CU209" s="23"/>
      <c r="CV209" s="23"/>
    </row>
    <row r="210" spans="1:100" ht="15.75" customHeight="1" x14ac:dyDescent="0.2">
      <c r="A210" s="3"/>
      <c r="B210" s="4"/>
      <c r="C210" s="4"/>
      <c r="D210" s="4"/>
      <c r="E210" s="23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23"/>
      <c r="BQ210" s="23"/>
      <c r="BR210" s="23"/>
      <c r="BS210" s="23"/>
      <c r="BT210" s="23"/>
      <c r="BU210" s="23"/>
      <c r="BV210" s="23"/>
      <c r="BW210" s="23"/>
      <c r="BX210" s="23"/>
      <c r="BY210" s="23"/>
      <c r="BZ210" s="23"/>
      <c r="CA210" s="23"/>
      <c r="CB210" s="23"/>
      <c r="CC210" s="23"/>
      <c r="CD210" s="23"/>
      <c r="CE210" s="23"/>
      <c r="CF210" s="23"/>
      <c r="CG210" s="23"/>
      <c r="CH210" s="23"/>
      <c r="CI210" s="23"/>
      <c r="CJ210" s="23"/>
      <c r="CK210" s="23"/>
      <c r="CL210" s="23"/>
      <c r="CM210" s="23"/>
      <c r="CN210" s="23"/>
      <c r="CO210" s="23"/>
      <c r="CP210" s="23"/>
      <c r="CQ210" s="23"/>
      <c r="CR210" s="23"/>
      <c r="CS210" s="23"/>
      <c r="CT210" s="23"/>
      <c r="CU210" s="23"/>
      <c r="CV210" s="23"/>
    </row>
    <row r="211" spans="1:100" ht="15.75" customHeight="1" x14ac:dyDescent="0.2">
      <c r="A211" s="3"/>
      <c r="B211" s="4"/>
      <c r="C211" s="4"/>
      <c r="D211" s="4"/>
      <c r="E211" s="23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23"/>
      <c r="BQ211" s="23"/>
      <c r="BR211" s="23"/>
      <c r="BS211" s="23"/>
      <c r="BT211" s="23"/>
      <c r="BU211" s="23"/>
      <c r="BV211" s="23"/>
      <c r="BW211" s="23"/>
      <c r="BX211" s="23"/>
      <c r="BY211" s="23"/>
      <c r="BZ211" s="23"/>
      <c r="CA211" s="23"/>
      <c r="CB211" s="23"/>
      <c r="CC211" s="23"/>
      <c r="CD211" s="23"/>
      <c r="CE211" s="23"/>
      <c r="CF211" s="23"/>
      <c r="CG211" s="23"/>
      <c r="CH211" s="23"/>
      <c r="CI211" s="23"/>
      <c r="CJ211" s="23"/>
      <c r="CK211" s="23"/>
      <c r="CL211" s="23"/>
      <c r="CM211" s="23"/>
      <c r="CN211" s="23"/>
      <c r="CO211" s="23"/>
      <c r="CP211" s="23"/>
      <c r="CQ211" s="23"/>
      <c r="CR211" s="23"/>
      <c r="CS211" s="23"/>
      <c r="CT211" s="23"/>
      <c r="CU211" s="23"/>
      <c r="CV211" s="23"/>
    </row>
    <row r="212" spans="1:100" ht="15.75" customHeight="1" x14ac:dyDescent="0.2">
      <c r="A212" s="3"/>
      <c r="B212" s="4"/>
      <c r="C212" s="4"/>
      <c r="D212" s="4"/>
      <c r="E212" s="23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23"/>
      <c r="BQ212" s="23"/>
      <c r="BR212" s="23"/>
      <c r="BS212" s="23"/>
      <c r="BT212" s="23"/>
      <c r="BU212" s="23"/>
      <c r="BV212" s="23"/>
      <c r="BW212" s="23"/>
      <c r="BX212" s="23"/>
      <c r="BY212" s="23"/>
      <c r="BZ212" s="23"/>
      <c r="CA212" s="23"/>
      <c r="CB212" s="23"/>
      <c r="CC212" s="23"/>
      <c r="CD212" s="23"/>
      <c r="CE212" s="23"/>
      <c r="CF212" s="23"/>
      <c r="CG212" s="23"/>
      <c r="CH212" s="23"/>
      <c r="CI212" s="23"/>
      <c r="CJ212" s="23"/>
      <c r="CK212" s="23"/>
      <c r="CL212" s="23"/>
      <c r="CM212" s="23"/>
      <c r="CN212" s="23"/>
      <c r="CO212" s="23"/>
      <c r="CP212" s="23"/>
      <c r="CQ212" s="23"/>
      <c r="CR212" s="23"/>
      <c r="CS212" s="23"/>
      <c r="CT212" s="23"/>
      <c r="CU212" s="23"/>
      <c r="CV212" s="23"/>
    </row>
    <row r="213" spans="1:100" ht="15.75" customHeight="1" x14ac:dyDescent="0.2">
      <c r="A213" s="3"/>
      <c r="B213" s="4"/>
      <c r="C213" s="4"/>
      <c r="D213" s="4"/>
      <c r="E213" s="23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23"/>
      <c r="BQ213" s="23"/>
      <c r="BR213" s="23"/>
      <c r="BS213" s="23"/>
      <c r="BT213" s="23"/>
      <c r="BU213" s="23"/>
      <c r="BV213" s="23"/>
      <c r="BW213" s="23"/>
      <c r="BX213" s="23"/>
      <c r="BY213" s="23"/>
      <c r="BZ213" s="23"/>
      <c r="CA213" s="23"/>
      <c r="CB213" s="23"/>
      <c r="CC213" s="23"/>
      <c r="CD213" s="23"/>
      <c r="CE213" s="23"/>
      <c r="CF213" s="23"/>
      <c r="CG213" s="23"/>
      <c r="CH213" s="23"/>
      <c r="CI213" s="23"/>
      <c r="CJ213" s="23"/>
      <c r="CK213" s="23"/>
      <c r="CL213" s="23"/>
      <c r="CM213" s="23"/>
      <c r="CN213" s="23"/>
      <c r="CO213" s="23"/>
      <c r="CP213" s="23"/>
      <c r="CQ213" s="23"/>
      <c r="CR213" s="23"/>
      <c r="CS213" s="23"/>
      <c r="CT213" s="23"/>
      <c r="CU213" s="23"/>
      <c r="CV213" s="23"/>
    </row>
    <row r="214" spans="1:100" ht="15.75" customHeight="1" x14ac:dyDescent="0.2">
      <c r="A214" s="3"/>
      <c r="B214" s="4"/>
      <c r="C214" s="4"/>
      <c r="D214" s="4"/>
      <c r="E214" s="23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23"/>
      <c r="BQ214" s="23"/>
      <c r="BR214" s="23"/>
      <c r="BS214" s="23"/>
      <c r="BT214" s="23"/>
      <c r="BU214" s="23"/>
      <c r="BV214" s="23"/>
      <c r="BW214" s="23"/>
      <c r="BX214" s="23"/>
      <c r="BY214" s="23"/>
      <c r="BZ214" s="23"/>
      <c r="CA214" s="23"/>
      <c r="CB214" s="23"/>
      <c r="CC214" s="23"/>
      <c r="CD214" s="23"/>
      <c r="CE214" s="23"/>
      <c r="CF214" s="23"/>
      <c r="CG214" s="23"/>
      <c r="CH214" s="23"/>
      <c r="CI214" s="23"/>
      <c r="CJ214" s="23"/>
      <c r="CK214" s="23"/>
      <c r="CL214" s="23"/>
      <c r="CM214" s="23"/>
      <c r="CN214" s="23"/>
      <c r="CO214" s="23"/>
      <c r="CP214" s="23"/>
      <c r="CQ214" s="23"/>
      <c r="CR214" s="23"/>
      <c r="CS214" s="23"/>
      <c r="CT214" s="23"/>
      <c r="CU214" s="23"/>
      <c r="CV214" s="23"/>
    </row>
    <row r="215" spans="1:100" ht="15.75" customHeight="1" x14ac:dyDescent="0.2">
      <c r="A215" s="3"/>
      <c r="B215" s="4"/>
      <c r="C215" s="4"/>
      <c r="D215" s="4"/>
      <c r="E215" s="23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23"/>
      <c r="BQ215" s="23"/>
      <c r="BR215" s="23"/>
      <c r="BS215" s="23"/>
      <c r="BT215" s="23"/>
      <c r="BU215" s="23"/>
      <c r="BV215" s="23"/>
      <c r="BW215" s="23"/>
      <c r="BX215" s="23"/>
      <c r="BY215" s="23"/>
      <c r="BZ215" s="23"/>
      <c r="CA215" s="23"/>
      <c r="CB215" s="23"/>
      <c r="CC215" s="23"/>
      <c r="CD215" s="23"/>
      <c r="CE215" s="23"/>
      <c r="CF215" s="23"/>
      <c r="CG215" s="23"/>
      <c r="CH215" s="23"/>
      <c r="CI215" s="23"/>
      <c r="CJ215" s="23"/>
      <c r="CK215" s="23"/>
      <c r="CL215" s="23"/>
      <c r="CM215" s="23"/>
      <c r="CN215" s="23"/>
      <c r="CO215" s="23"/>
      <c r="CP215" s="23"/>
      <c r="CQ215" s="23"/>
      <c r="CR215" s="23"/>
      <c r="CS215" s="23"/>
      <c r="CT215" s="23"/>
      <c r="CU215" s="23"/>
      <c r="CV215" s="23"/>
    </row>
    <row r="216" spans="1:100" ht="15.75" customHeight="1" x14ac:dyDescent="0.2">
      <c r="A216" s="3"/>
      <c r="B216" s="4"/>
      <c r="C216" s="4"/>
      <c r="D216" s="4"/>
      <c r="E216" s="23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23"/>
      <c r="BQ216" s="23"/>
      <c r="BR216" s="23"/>
      <c r="BS216" s="23"/>
      <c r="BT216" s="23"/>
      <c r="BU216" s="23"/>
      <c r="BV216" s="23"/>
      <c r="BW216" s="23"/>
      <c r="BX216" s="23"/>
      <c r="BY216" s="23"/>
      <c r="BZ216" s="23"/>
      <c r="CA216" s="23"/>
      <c r="CB216" s="23"/>
      <c r="CC216" s="23"/>
      <c r="CD216" s="23"/>
      <c r="CE216" s="23"/>
      <c r="CF216" s="23"/>
      <c r="CG216" s="23"/>
      <c r="CH216" s="23"/>
      <c r="CI216" s="23"/>
      <c r="CJ216" s="23"/>
      <c r="CK216" s="23"/>
      <c r="CL216" s="23"/>
      <c r="CM216" s="23"/>
      <c r="CN216" s="23"/>
      <c r="CO216" s="23"/>
      <c r="CP216" s="23"/>
      <c r="CQ216" s="23"/>
      <c r="CR216" s="23"/>
      <c r="CS216" s="23"/>
      <c r="CT216" s="23"/>
      <c r="CU216" s="23"/>
      <c r="CV216" s="23"/>
    </row>
    <row r="217" spans="1:100" ht="15.75" customHeight="1" x14ac:dyDescent="0.2">
      <c r="A217" s="3"/>
      <c r="B217" s="4"/>
      <c r="C217" s="4"/>
      <c r="D217" s="4"/>
      <c r="E217" s="23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23"/>
      <c r="BQ217" s="23"/>
      <c r="BR217" s="23"/>
      <c r="BS217" s="23"/>
      <c r="BT217" s="23"/>
      <c r="BU217" s="23"/>
      <c r="BV217" s="23"/>
      <c r="BW217" s="23"/>
      <c r="BX217" s="23"/>
      <c r="BY217" s="23"/>
      <c r="BZ217" s="23"/>
      <c r="CA217" s="23"/>
      <c r="CB217" s="23"/>
      <c r="CC217" s="23"/>
      <c r="CD217" s="23"/>
      <c r="CE217" s="23"/>
      <c r="CF217" s="23"/>
      <c r="CG217" s="23"/>
      <c r="CH217" s="23"/>
      <c r="CI217" s="23"/>
      <c r="CJ217" s="23"/>
      <c r="CK217" s="23"/>
      <c r="CL217" s="23"/>
      <c r="CM217" s="23"/>
      <c r="CN217" s="23"/>
      <c r="CO217" s="23"/>
      <c r="CP217" s="23"/>
      <c r="CQ217" s="23"/>
      <c r="CR217" s="23"/>
      <c r="CS217" s="23"/>
      <c r="CT217" s="23"/>
      <c r="CU217" s="23"/>
      <c r="CV217" s="23"/>
    </row>
    <row r="218" spans="1:100" ht="15.75" customHeight="1" x14ac:dyDescent="0.2">
      <c r="A218" s="3"/>
      <c r="B218" s="4"/>
      <c r="C218" s="4"/>
      <c r="D218" s="4"/>
      <c r="E218" s="23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23"/>
      <c r="BQ218" s="23"/>
      <c r="BR218" s="23"/>
      <c r="BS218" s="23"/>
      <c r="BT218" s="23"/>
      <c r="BU218" s="23"/>
      <c r="BV218" s="23"/>
      <c r="BW218" s="23"/>
      <c r="BX218" s="23"/>
      <c r="BY218" s="23"/>
      <c r="BZ218" s="23"/>
      <c r="CA218" s="23"/>
      <c r="CB218" s="23"/>
      <c r="CC218" s="23"/>
      <c r="CD218" s="23"/>
      <c r="CE218" s="23"/>
      <c r="CF218" s="23"/>
      <c r="CG218" s="23"/>
      <c r="CH218" s="23"/>
      <c r="CI218" s="23"/>
      <c r="CJ218" s="23"/>
      <c r="CK218" s="23"/>
      <c r="CL218" s="23"/>
      <c r="CM218" s="23"/>
      <c r="CN218" s="23"/>
      <c r="CO218" s="23"/>
      <c r="CP218" s="23"/>
      <c r="CQ218" s="23"/>
      <c r="CR218" s="23"/>
      <c r="CS218" s="23"/>
      <c r="CT218" s="23"/>
      <c r="CU218" s="23"/>
      <c r="CV218" s="23"/>
    </row>
    <row r="219" spans="1:100" ht="15.75" customHeight="1" x14ac:dyDescent="0.2">
      <c r="A219" s="3"/>
      <c r="B219" s="4"/>
      <c r="C219" s="4"/>
      <c r="D219" s="4"/>
      <c r="E219" s="23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23"/>
      <c r="BQ219" s="23"/>
      <c r="BR219" s="23"/>
      <c r="BS219" s="23"/>
      <c r="BT219" s="23"/>
      <c r="BU219" s="23"/>
      <c r="BV219" s="23"/>
      <c r="BW219" s="23"/>
      <c r="BX219" s="23"/>
      <c r="BY219" s="23"/>
      <c r="BZ219" s="23"/>
      <c r="CA219" s="23"/>
      <c r="CB219" s="23"/>
      <c r="CC219" s="23"/>
      <c r="CD219" s="23"/>
      <c r="CE219" s="23"/>
      <c r="CF219" s="23"/>
      <c r="CG219" s="23"/>
      <c r="CH219" s="23"/>
      <c r="CI219" s="23"/>
      <c r="CJ219" s="23"/>
      <c r="CK219" s="23"/>
      <c r="CL219" s="23"/>
      <c r="CM219" s="23"/>
      <c r="CN219" s="23"/>
      <c r="CO219" s="23"/>
      <c r="CP219" s="23"/>
      <c r="CQ219" s="23"/>
      <c r="CR219" s="23"/>
      <c r="CS219" s="23"/>
      <c r="CT219" s="23"/>
      <c r="CU219" s="23"/>
      <c r="CV219" s="23"/>
    </row>
    <row r="220" spans="1:100" ht="15.75" customHeight="1" x14ac:dyDescent="0.2">
      <c r="A220" s="3"/>
      <c r="B220" s="4"/>
      <c r="C220" s="4"/>
      <c r="D220" s="4"/>
      <c r="E220" s="23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23"/>
      <c r="BQ220" s="23"/>
      <c r="BR220" s="23"/>
      <c r="BS220" s="23"/>
      <c r="BT220" s="23"/>
      <c r="BU220" s="23"/>
      <c r="BV220" s="23"/>
      <c r="BW220" s="23"/>
      <c r="BX220" s="23"/>
      <c r="BY220" s="23"/>
      <c r="BZ220" s="23"/>
      <c r="CA220" s="23"/>
      <c r="CB220" s="23"/>
      <c r="CC220" s="23"/>
      <c r="CD220" s="23"/>
      <c r="CE220" s="23"/>
      <c r="CF220" s="23"/>
      <c r="CG220" s="23"/>
      <c r="CH220" s="23"/>
      <c r="CI220" s="23"/>
      <c r="CJ220" s="23"/>
      <c r="CK220" s="23"/>
      <c r="CL220" s="23"/>
      <c r="CM220" s="23"/>
      <c r="CN220" s="23"/>
      <c r="CO220" s="23"/>
      <c r="CP220" s="23"/>
      <c r="CQ220" s="23"/>
      <c r="CR220" s="23"/>
      <c r="CS220" s="23"/>
      <c r="CT220" s="23"/>
      <c r="CU220" s="23"/>
      <c r="CV220" s="23"/>
    </row>
    <row r="221" spans="1:100" ht="15.75" customHeight="1" x14ac:dyDescent="0.2">
      <c r="A221" s="3"/>
      <c r="B221" s="4"/>
      <c r="C221" s="4"/>
      <c r="D221" s="4"/>
      <c r="E221" s="23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23"/>
      <c r="BQ221" s="23"/>
      <c r="BR221" s="23"/>
      <c r="BS221" s="23"/>
      <c r="BT221" s="23"/>
      <c r="BU221" s="23"/>
      <c r="BV221" s="23"/>
      <c r="BW221" s="23"/>
      <c r="BX221" s="23"/>
      <c r="BY221" s="23"/>
      <c r="BZ221" s="23"/>
      <c r="CA221" s="23"/>
      <c r="CB221" s="23"/>
      <c r="CC221" s="23"/>
      <c r="CD221" s="23"/>
      <c r="CE221" s="23"/>
      <c r="CF221" s="23"/>
      <c r="CG221" s="23"/>
      <c r="CH221" s="23"/>
      <c r="CI221" s="23"/>
      <c r="CJ221" s="23"/>
      <c r="CK221" s="23"/>
      <c r="CL221" s="23"/>
      <c r="CM221" s="23"/>
      <c r="CN221" s="23"/>
      <c r="CO221" s="23"/>
      <c r="CP221" s="23"/>
      <c r="CQ221" s="23"/>
      <c r="CR221" s="23"/>
      <c r="CS221" s="23"/>
      <c r="CT221" s="23"/>
      <c r="CU221" s="23"/>
      <c r="CV221" s="23"/>
    </row>
    <row r="222" spans="1:100" ht="15.75" customHeight="1" x14ac:dyDescent="0.2">
      <c r="A222" s="3"/>
      <c r="B222" s="4"/>
      <c r="C222" s="4"/>
      <c r="D222" s="4"/>
      <c r="E222" s="23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23"/>
      <c r="BQ222" s="23"/>
      <c r="BR222" s="23"/>
      <c r="BS222" s="23"/>
      <c r="BT222" s="23"/>
      <c r="BU222" s="23"/>
      <c r="BV222" s="23"/>
      <c r="BW222" s="23"/>
      <c r="BX222" s="23"/>
      <c r="BY222" s="23"/>
      <c r="BZ222" s="23"/>
      <c r="CA222" s="23"/>
      <c r="CB222" s="23"/>
      <c r="CC222" s="23"/>
      <c r="CD222" s="23"/>
      <c r="CE222" s="23"/>
      <c r="CF222" s="23"/>
      <c r="CG222" s="23"/>
      <c r="CH222" s="23"/>
      <c r="CI222" s="23"/>
      <c r="CJ222" s="23"/>
      <c r="CK222" s="23"/>
      <c r="CL222" s="23"/>
      <c r="CM222" s="23"/>
      <c r="CN222" s="23"/>
      <c r="CO222" s="23"/>
      <c r="CP222" s="23"/>
      <c r="CQ222" s="23"/>
      <c r="CR222" s="23"/>
      <c r="CS222" s="23"/>
      <c r="CT222" s="23"/>
      <c r="CU222" s="23"/>
      <c r="CV222" s="23"/>
    </row>
    <row r="223" spans="1:100" ht="15.75" customHeight="1" x14ac:dyDescent="0.2">
      <c r="A223" s="3"/>
      <c r="B223" s="4"/>
      <c r="C223" s="4"/>
      <c r="D223" s="4"/>
      <c r="E223" s="23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23"/>
      <c r="BQ223" s="23"/>
      <c r="BR223" s="23"/>
      <c r="BS223" s="23"/>
      <c r="BT223" s="23"/>
      <c r="BU223" s="23"/>
      <c r="BV223" s="23"/>
      <c r="BW223" s="23"/>
      <c r="BX223" s="23"/>
      <c r="BY223" s="23"/>
      <c r="BZ223" s="23"/>
      <c r="CA223" s="23"/>
      <c r="CB223" s="23"/>
      <c r="CC223" s="23"/>
      <c r="CD223" s="23"/>
      <c r="CE223" s="23"/>
      <c r="CF223" s="23"/>
      <c r="CG223" s="23"/>
      <c r="CH223" s="23"/>
      <c r="CI223" s="23"/>
      <c r="CJ223" s="23"/>
      <c r="CK223" s="23"/>
      <c r="CL223" s="23"/>
      <c r="CM223" s="23"/>
      <c r="CN223" s="23"/>
      <c r="CO223" s="23"/>
      <c r="CP223" s="23"/>
      <c r="CQ223" s="23"/>
      <c r="CR223" s="23"/>
      <c r="CS223" s="23"/>
      <c r="CT223" s="23"/>
      <c r="CU223" s="23"/>
      <c r="CV223" s="23"/>
    </row>
    <row r="224" spans="1:100" ht="15.75" customHeight="1" x14ac:dyDescent="0.2">
      <c r="A224" s="3"/>
      <c r="B224" s="4"/>
      <c r="C224" s="4"/>
      <c r="D224" s="4"/>
      <c r="E224" s="23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23"/>
      <c r="BQ224" s="23"/>
      <c r="BR224" s="23"/>
      <c r="BS224" s="23"/>
      <c r="BT224" s="23"/>
      <c r="BU224" s="23"/>
      <c r="BV224" s="23"/>
      <c r="BW224" s="23"/>
      <c r="BX224" s="23"/>
      <c r="BY224" s="23"/>
      <c r="BZ224" s="23"/>
      <c r="CA224" s="23"/>
      <c r="CB224" s="23"/>
      <c r="CC224" s="23"/>
      <c r="CD224" s="23"/>
      <c r="CE224" s="23"/>
      <c r="CF224" s="23"/>
      <c r="CG224" s="23"/>
      <c r="CH224" s="23"/>
      <c r="CI224" s="23"/>
      <c r="CJ224" s="23"/>
      <c r="CK224" s="23"/>
      <c r="CL224" s="23"/>
      <c r="CM224" s="23"/>
      <c r="CN224" s="23"/>
      <c r="CO224" s="23"/>
      <c r="CP224" s="23"/>
      <c r="CQ224" s="23"/>
      <c r="CR224" s="23"/>
      <c r="CS224" s="23"/>
      <c r="CT224" s="23"/>
      <c r="CU224" s="23"/>
      <c r="CV224" s="23"/>
    </row>
    <row r="225" spans="1:100" ht="15.75" customHeight="1" x14ac:dyDescent="0.2">
      <c r="A225" s="3"/>
      <c r="B225" s="4"/>
      <c r="C225" s="4"/>
      <c r="D225" s="4"/>
      <c r="E225" s="23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23"/>
      <c r="BQ225" s="23"/>
      <c r="BR225" s="23"/>
      <c r="BS225" s="23"/>
      <c r="BT225" s="23"/>
      <c r="BU225" s="23"/>
      <c r="BV225" s="23"/>
      <c r="BW225" s="23"/>
      <c r="BX225" s="23"/>
      <c r="BY225" s="23"/>
      <c r="BZ225" s="23"/>
      <c r="CA225" s="23"/>
      <c r="CB225" s="23"/>
      <c r="CC225" s="23"/>
      <c r="CD225" s="23"/>
      <c r="CE225" s="23"/>
      <c r="CF225" s="23"/>
      <c r="CG225" s="23"/>
      <c r="CH225" s="23"/>
      <c r="CI225" s="23"/>
      <c r="CJ225" s="23"/>
      <c r="CK225" s="23"/>
      <c r="CL225" s="23"/>
      <c r="CM225" s="23"/>
      <c r="CN225" s="23"/>
      <c r="CO225" s="23"/>
      <c r="CP225" s="23"/>
      <c r="CQ225" s="23"/>
      <c r="CR225" s="23"/>
      <c r="CS225" s="23"/>
      <c r="CT225" s="23"/>
      <c r="CU225" s="23"/>
      <c r="CV225" s="23"/>
    </row>
    <row r="226" spans="1:100" ht="15.75" customHeight="1" x14ac:dyDescent="0.2">
      <c r="A226" s="3"/>
      <c r="B226" s="4"/>
      <c r="C226" s="4"/>
      <c r="D226" s="4"/>
      <c r="E226" s="23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23"/>
      <c r="BQ226" s="23"/>
      <c r="BR226" s="23"/>
      <c r="BS226" s="23"/>
      <c r="BT226" s="23"/>
      <c r="BU226" s="23"/>
      <c r="BV226" s="23"/>
      <c r="BW226" s="23"/>
      <c r="BX226" s="23"/>
      <c r="BY226" s="23"/>
      <c r="BZ226" s="23"/>
      <c r="CA226" s="23"/>
      <c r="CB226" s="23"/>
      <c r="CC226" s="23"/>
      <c r="CD226" s="23"/>
      <c r="CE226" s="23"/>
      <c r="CF226" s="23"/>
      <c r="CG226" s="23"/>
      <c r="CH226" s="23"/>
      <c r="CI226" s="23"/>
      <c r="CJ226" s="23"/>
      <c r="CK226" s="23"/>
      <c r="CL226" s="23"/>
      <c r="CM226" s="23"/>
      <c r="CN226" s="23"/>
      <c r="CO226" s="23"/>
      <c r="CP226" s="23"/>
      <c r="CQ226" s="23"/>
      <c r="CR226" s="23"/>
      <c r="CS226" s="23"/>
      <c r="CT226" s="23"/>
      <c r="CU226" s="23"/>
      <c r="CV226" s="23"/>
    </row>
    <row r="227" spans="1:100" ht="15.75" customHeight="1" x14ac:dyDescent="0.2">
      <c r="A227" s="3"/>
      <c r="B227" s="4"/>
      <c r="C227" s="4"/>
      <c r="D227" s="4"/>
      <c r="E227" s="23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23"/>
      <c r="BQ227" s="23"/>
      <c r="BR227" s="23"/>
      <c r="BS227" s="23"/>
      <c r="BT227" s="23"/>
      <c r="BU227" s="23"/>
      <c r="BV227" s="23"/>
      <c r="BW227" s="23"/>
      <c r="BX227" s="23"/>
      <c r="BY227" s="23"/>
      <c r="BZ227" s="23"/>
      <c r="CA227" s="23"/>
      <c r="CB227" s="23"/>
      <c r="CC227" s="23"/>
      <c r="CD227" s="23"/>
      <c r="CE227" s="23"/>
      <c r="CF227" s="23"/>
      <c r="CG227" s="23"/>
      <c r="CH227" s="23"/>
      <c r="CI227" s="23"/>
      <c r="CJ227" s="23"/>
      <c r="CK227" s="23"/>
      <c r="CL227" s="23"/>
      <c r="CM227" s="23"/>
      <c r="CN227" s="23"/>
      <c r="CO227" s="23"/>
      <c r="CP227" s="23"/>
      <c r="CQ227" s="23"/>
      <c r="CR227" s="23"/>
      <c r="CS227" s="23"/>
      <c r="CT227" s="23"/>
      <c r="CU227" s="23"/>
      <c r="CV227" s="23"/>
    </row>
    <row r="228" spans="1:100" ht="15.75" customHeight="1" x14ac:dyDescent="0.2">
      <c r="A228" s="3"/>
      <c r="B228" s="4"/>
      <c r="C228" s="4"/>
      <c r="D228" s="4"/>
      <c r="E228" s="23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23"/>
      <c r="BQ228" s="23"/>
      <c r="BR228" s="23"/>
      <c r="BS228" s="23"/>
      <c r="BT228" s="23"/>
      <c r="BU228" s="23"/>
      <c r="BV228" s="23"/>
      <c r="BW228" s="23"/>
      <c r="BX228" s="23"/>
      <c r="BY228" s="23"/>
      <c r="BZ228" s="23"/>
      <c r="CA228" s="23"/>
      <c r="CB228" s="23"/>
      <c r="CC228" s="23"/>
      <c r="CD228" s="23"/>
      <c r="CE228" s="23"/>
      <c r="CF228" s="23"/>
      <c r="CG228" s="23"/>
      <c r="CH228" s="23"/>
      <c r="CI228" s="23"/>
      <c r="CJ228" s="23"/>
      <c r="CK228" s="23"/>
      <c r="CL228" s="23"/>
      <c r="CM228" s="23"/>
      <c r="CN228" s="23"/>
      <c r="CO228" s="23"/>
      <c r="CP228" s="23"/>
      <c r="CQ228" s="23"/>
      <c r="CR228" s="23"/>
      <c r="CS228" s="23"/>
      <c r="CT228" s="23"/>
      <c r="CU228" s="23"/>
      <c r="CV228" s="23"/>
    </row>
    <row r="229" spans="1:100" ht="15.75" customHeight="1" x14ac:dyDescent="0.2">
      <c r="A229" s="3"/>
      <c r="B229" s="4"/>
      <c r="C229" s="4"/>
      <c r="D229" s="4"/>
      <c r="E229" s="23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23"/>
      <c r="BQ229" s="23"/>
      <c r="BR229" s="23"/>
      <c r="BS229" s="23"/>
      <c r="BT229" s="23"/>
      <c r="BU229" s="23"/>
      <c r="BV229" s="23"/>
      <c r="BW229" s="23"/>
      <c r="BX229" s="23"/>
      <c r="BY229" s="23"/>
      <c r="BZ229" s="23"/>
      <c r="CA229" s="23"/>
      <c r="CB229" s="23"/>
      <c r="CC229" s="23"/>
      <c r="CD229" s="23"/>
      <c r="CE229" s="23"/>
      <c r="CF229" s="23"/>
      <c r="CG229" s="23"/>
      <c r="CH229" s="23"/>
      <c r="CI229" s="23"/>
      <c r="CJ229" s="23"/>
      <c r="CK229" s="23"/>
      <c r="CL229" s="23"/>
      <c r="CM229" s="23"/>
      <c r="CN229" s="23"/>
      <c r="CO229" s="23"/>
      <c r="CP229" s="23"/>
      <c r="CQ229" s="23"/>
      <c r="CR229" s="23"/>
      <c r="CS229" s="23"/>
      <c r="CT229" s="23"/>
      <c r="CU229" s="23"/>
      <c r="CV229" s="23"/>
    </row>
    <row r="230" spans="1:100" ht="15.75" customHeight="1" x14ac:dyDescent="0.2">
      <c r="A230" s="3"/>
      <c r="B230" s="4"/>
      <c r="C230" s="4"/>
      <c r="D230" s="4"/>
      <c r="E230" s="23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23"/>
      <c r="BQ230" s="23"/>
      <c r="BR230" s="23"/>
      <c r="BS230" s="23"/>
      <c r="BT230" s="23"/>
      <c r="BU230" s="23"/>
      <c r="BV230" s="23"/>
      <c r="BW230" s="23"/>
      <c r="BX230" s="23"/>
      <c r="BY230" s="23"/>
      <c r="BZ230" s="23"/>
      <c r="CA230" s="23"/>
      <c r="CB230" s="23"/>
      <c r="CC230" s="23"/>
      <c r="CD230" s="23"/>
      <c r="CE230" s="23"/>
      <c r="CF230" s="23"/>
      <c r="CG230" s="23"/>
      <c r="CH230" s="23"/>
      <c r="CI230" s="23"/>
      <c r="CJ230" s="23"/>
      <c r="CK230" s="23"/>
      <c r="CL230" s="23"/>
      <c r="CM230" s="23"/>
      <c r="CN230" s="23"/>
      <c r="CO230" s="23"/>
      <c r="CP230" s="23"/>
      <c r="CQ230" s="23"/>
      <c r="CR230" s="23"/>
      <c r="CS230" s="23"/>
      <c r="CT230" s="23"/>
      <c r="CU230" s="23"/>
      <c r="CV230" s="23"/>
    </row>
    <row r="231" spans="1:100" ht="15.75" customHeight="1" x14ac:dyDescent="0.2">
      <c r="A231" s="3"/>
      <c r="B231" s="4"/>
      <c r="C231" s="4"/>
      <c r="D231" s="4"/>
      <c r="E231" s="23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23"/>
      <c r="BQ231" s="23"/>
      <c r="BR231" s="23"/>
      <c r="BS231" s="23"/>
      <c r="BT231" s="23"/>
      <c r="BU231" s="23"/>
      <c r="BV231" s="23"/>
      <c r="BW231" s="23"/>
      <c r="BX231" s="23"/>
      <c r="BY231" s="23"/>
      <c r="BZ231" s="23"/>
      <c r="CA231" s="23"/>
      <c r="CB231" s="23"/>
      <c r="CC231" s="23"/>
      <c r="CD231" s="23"/>
      <c r="CE231" s="23"/>
      <c r="CF231" s="23"/>
      <c r="CG231" s="23"/>
      <c r="CH231" s="23"/>
      <c r="CI231" s="23"/>
      <c r="CJ231" s="23"/>
      <c r="CK231" s="23"/>
      <c r="CL231" s="23"/>
      <c r="CM231" s="23"/>
      <c r="CN231" s="23"/>
      <c r="CO231" s="23"/>
      <c r="CP231" s="23"/>
      <c r="CQ231" s="23"/>
      <c r="CR231" s="23"/>
      <c r="CS231" s="23"/>
      <c r="CT231" s="23"/>
      <c r="CU231" s="23"/>
      <c r="CV231" s="23"/>
    </row>
    <row r="232" spans="1:100" ht="15.75" customHeight="1" x14ac:dyDescent="0.2">
      <c r="A232" s="3"/>
      <c r="B232" s="4"/>
      <c r="C232" s="4"/>
      <c r="D232" s="4"/>
      <c r="E232" s="23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23"/>
      <c r="BQ232" s="23"/>
      <c r="BR232" s="23"/>
      <c r="BS232" s="23"/>
      <c r="BT232" s="23"/>
      <c r="BU232" s="23"/>
      <c r="BV232" s="23"/>
      <c r="BW232" s="23"/>
      <c r="BX232" s="23"/>
      <c r="BY232" s="23"/>
      <c r="BZ232" s="23"/>
      <c r="CA232" s="23"/>
      <c r="CB232" s="23"/>
      <c r="CC232" s="23"/>
      <c r="CD232" s="23"/>
      <c r="CE232" s="23"/>
      <c r="CF232" s="23"/>
      <c r="CG232" s="23"/>
      <c r="CH232" s="23"/>
      <c r="CI232" s="23"/>
      <c r="CJ232" s="23"/>
      <c r="CK232" s="23"/>
      <c r="CL232" s="23"/>
      <c r="CM232" s="23"/>
      <c r="CN232" s="23"/>
      <c r="CO232" s="23"/>
      <c r="CP232" s="23"/>
      <c r="CQ232" s="23"/>
      <c r="CR232" s="23"/>
      <c r="CS232" s="23"/>
      <c r="CT232" s="23"/>
      <c r="CU232" s="23"/>
      <c r="CV232" s="23"/>
    </row>
    <row r="233" spans="1:100" ht="15.75" customHeight="1" x14ac:dyDescent="0.2">
      <c r="A233" s="3"/>
      <c r="B233" s="4"/>
      <c r="C233" s="4"/>
      <c r="D233" s="4"/>
      <c r="E233" s="23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23"/>
      <c r="BQ233" s="23"/>
      <c r="BR233" s="23"/>
      <c r="BS233" s="23"/>
      <c r="BT233" s="23"/>
      <c r="BU233" s="23"/>
      <c r="BV233" s="23"/>
      <c r="BW233" s="23"/>
      <c r="BX233" s="23"/>
      <c r="BY233" s="23"/>
      <c r="BZ233" s="23"/>
      <c r="CA233" s="23"/>
      <c r="CB233" s="23"/>
      <c r="CC233" s="23"/>
      <c r="CD233" s="23"/>
      <c r="CE233" s="23"/>
      <c r="CF233" s="23"/>
      <c r="CG233" s="23"/>
      <c r="CH233" s="23"/>
      <c r="CI233" s="23"/>
      <c r="CJ233" s="23"/>
      <c r="CK233" s="23"/>
      <c r="CL233" s="23"/>
      <c r="CM233" s="23"/>
      <c r="CN233" s="23"/>
      <c r="CO233" s="23"/>
      <c r="CP233" s="23"/>
      <c r="CQ233" s="23"/>
      <c r="CR233" s="23"/>
      <c r="CS233" s="23"/>
      <c r="CT233" s="23"/>
      <c r="CU233" s="23"/>
      <c r="CV233" s="23"/>
    </row>
    <row r="234" spans="1:100" ht="15.75" customHeight="1" x14ac:dyDescent="0.2">
      <c r="A234" s="3"/>
      <c r="B234" s="4"/>
      <c r="C234" s="4"/>
      <c r="D234" s="4"/>
      <c r="E234" s="23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23"/>
      <c r="BQ234" s="23"/>
      <c r="BR234" s="23"/>
      <c r="BS234" s="23"/>
      <c r="BT234" s="23"/>
      <c r="BU234" s="23"/>
      <c r="BV234" s="23"/>
      <c r="BW234" s="23"/>
      <c r="BX234" s="23"/>
      <c r="BY234" s="23"/>
      <c r="BZ234" s="23"/>
      <c r="CA234" s="23"/>
      <c r="CB234" s="23"/>
      <c r="CC234" s="23"/>
      <c r="CD234" s="23"/>
      <c r="CE234" s="23"/>
      <c r="CF234" s="23"/>
      <c r="CG234" s="23"/>
      <c r="CH234" s="23"/>
      <c r="CI234" s="23"/>
      <c r="CJ234" s="23"/>
      <c r="CK234" s="23"/>
      <c r="CL234" s="23"/>
      <c r="CM234" s="23"/>
      <c r="CN234" s="23"/>
      <c r="CO234" s="23"/>
      <c r="CP234" s="23"/>
      <c r="CQ234" s="23"/>
      <c r="CR234" s="23"/>
      <c r="CS234" s="23"/>
      <c r="CT234" s="23"/>
      <c r="CU234" s="23"/>
      <c r="CV234" s="23"/>
    </row>
    <row r="235" spans="1:100" ht="15.75" customHeight="1" x14ac:dyDescent="0.2">
      <c r="A235" s="3"/>
      <c r="B235" s="4"/>
      <c r="C235" s="4"/>
      <c r="D235" s="4"/>
      <c r="E235" s="23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23"/>
      <c r="BQ235" s="23"/>
      <c r="BR235" s="23"/>
      <c r="BS235" s="23"/>
      <c r="BT235" s="23"/>
      <c r="BU235" s="23"/>
      <c r="BV235" s="23"/>
      <c r="BW235" s="23"/>
      <c r="BX235" s="23"/>
      <c r="BY235" s="23"/>
      <c r="BZ235" s="23"/>
      <c r="CA235" s="23"/>
      <c r="CB235" s="23"/>
      <c r="CC235" s="23"/>
      <c r="CD235" s="23"/>
      <c r="CE235" s="23"/>
      <c r="CF235" s="23"/>
      <c r="CG235" s="23"/>
      <c r="CH235" s="23"/>
      <c r="CI235" s="23"/>
      <c r="CJ235" s="23"/>
      <c r="CK235" s="23"/>
      <c r="CL235" s="23"/>
      <c r="CM235" s="23"/>
      <c r="CN235" s="23"/>
      <c r="CO235" s="23"/>
      <c r="CP235" s="23"/>
      <c r="CQ235" s="23"/>
      <c r="CR235" s="23"/>
      <c r="CS235" s="23"/>
      <c r="CT235" s="23"/>
      <c r="CU235" s="23"/>
      <c r="CV235" s="23"/>
    </row>
    <row r="236" spans="1:100" ht="15.75" customHeight="1" x14ac:dyDescent="0.2">
      <c r="A236" s="3"/>
      <c r="B236" s="4"/>
      <c r="C236" s="4"/>
      <c r="D236" s="4"/>
      <c r="E236" s="23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23"/>
      <c r="BQ236" s="23"/>
      <c r="BR236" s="23"/>
      <c r="BS236" s="23"/>
      <c r="BT236" s="23"/>
      <c r="BU236" s="23"/>
      <c r="BV236" s="23"/>
      <c r="BW236" s="23"/>
      <c r="BX236" s="23"/>
      <c r="BY236" s="23"/>
      <c r="BZ236" s="23"/>
      <c r="CA236" s="23"/>
      <c r="CB236" s="23"/>
      <c r="CC236" s="23"/>
      <c r="CD236" s="23"/>
      <c r="CE236" s="23"/>
      <c r="CF236" s="23"/>
      <c r="CG236" s="23"/>
      <c r="CH236" s="23"/>
      <c r="CI236" s="23"/>
      <c r="CJ236" s="23"/>
      <c r="CK236" s="23"/>
      <c r="CL236" s="23"/>
      <c r="CM236" s="23"/>
      <c r="CN236" s="23"/>
      <c r="CO236" s="23"/>
      <c r="CP236" s="23"/>
      <c r="CQ236" s="23"/>
      <c r="CR236" s="23"/>
      <c r="CS236" s="23"/>
      <c r="CT236" s="23"/>
      <c r="CU236" s="23"/>
      <c r="CV236" s="23"/>
    </row>
    <row r="237" spans="1:100" ht="15.75" customHeight="1" x14ac:dyDescent="0.2">
      <c r="A237" s="3"/>
      <c r="B237" s="4"/>
      <c r="C237" s="4"/>
      <c r="D237" s="4"/>
      <c r="E237" s="23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23"/>
      <c r="BQ237" s="23"/>
      <c r="BR237" s="23"/>
      <c r="BS237" s="23"/>
      <c r="BT237" s="23"/>
      <c r="BU237" s="23"/>
      <c r="BV237" s="23"/>
      <c r="BW237" s="23"/>
      <c r="BX237" s="23"/>
      <c r="BY237" s="23"/>
      <c r="BZ237" s="23"/>
      <c r="CA237" s="23"/>
      <c r="CB237" s="23"/>
      <c r="CC237" s="23"/>
      <c r="CD237" s="23"/>
      <c r="CE237" s="23"/>
      <c r="CF237" s="23"/>
      <c r="CG237" s="23"/>
      <c r="CH237" s="23"/>
      <c r="CI237" s="23"/>
      <c r="CJ237" s="23"/>
      <c r="CK237" s="23"/>
      <c r="CL237" s="23"/>
      <c r="CM237" s="23"/>
      <c r="CN237" s="23"/>
      <c r="CO237" s="23"/>
      <c r="CP237" s="23"/>
      <c r="CQ237" s="23"/>
      <c r="CR237" s="23"/>
      <c r="CS237" s="23"/>
      <c r="CT237" s="23"/>
      <c r="CU237" s="23"/>
      <c r="CV237" s="23"/>
    </row>
    <row r="238" spans="1:100" ht="15.75" customHeight="1" x14ac:dyDescent="0.2">
      <c r="A238" s="3"/>
      <c r="B238" s="4"/>
      <c r="C238" s="4"/>
      <c r="D238" s="4"/>
      <c r="E238" s="23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23"/>
      <c r="BQ238" s="23"/>
      <c r="BR238" s="23"/>
      <c r="BS238" s="23"/>
      <c r="BT238" s="23"/>
      <c r="BU238" s="23"/>
      <c r="BV238" s="23"/>
      <c r="BW238" s="23"/>
      <c r="BX238" s="23"/>
      <c r="BY238" s="23"/>
      <c r="BZ238" s="23"/>
      <c r="CA238" s="23"/>
      <c r="CB238" s="23"/>
      <c r="CC238" s="23"/>
      <c r="CD238" s="23"/>
      <c r="CE238" s="23"/>
      <c r="CF238" s="23"/>
      <c r="CG238" s="23"/>
      <c r="CH238" s="23"/>
      <c r="CI238" s="23"/>
      <c r="CJ238" s="23"/>
      <c r="CK238" s="23"/>
      <c r="CL238" s="23"/>
      <c r="CM238" s="23"/>
      <c r="CN238" s="23"/>
      <c r="CO238" s="23"/>
      <c r="CP238" s="23"/>
      <c r="CQ238" s="23"/>
      <c r="CR238" s="23"/>
      <c r="CS238" s="23"/>
      <c r="CT238" s="23"/>
      <c r="CU238" s="23"/>
      <c r="CV238" s="23"/>
    </row>
    <row r="239" spans="1:100" ht="15.75" customHeight="1" x14ac:dyDescent="0.2">
      <c r="A239" s="3"/>
      <c r="B239" s="4"/>
      <c r="C239" s="4"/>
      <c r="D239" s="4"/>
      <c r="E239" s="23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23"/>
      <c r="BQ239" s="23"/>
      <c r="BR239" s="23"/>
      <c r="BS239" s="23"/>
      <c r="BT239" s="23"/>
      <c r="BU239" s="23"/>
      <c r="BV239" s="23"/>
      <c r="BW239" s="23"/>
      <c r="BX239" s="23"/>
      <c r="BY239" s="23"/>
      <c r="BZ239" s="23"/>
      <c r="CA239" s="23"/>
      <c r="CB239" s="23"/>
      <c r="CC239" s="23"/>
      <c r="CD239" s="23"/>
      <c r="CE239" s="23"/>
      <c r="CF239" s="23"/>
      <c r="CG239" s="23"/>
      <c r="CH239" s="23"/>
      <c r="CI239" s="23"/>
      <c r="CJ239" s="23"/>
      <c r="CK239" s="23"/>
      <c r="CL239" s="23"/>
      <c r="CM239" s="23"/>
      <c r="CN239" s="23"/>
      <c r="CO239" s="23"/>
      <c r="CP239" s="23"/>
      <c r="CQ239" s="23"/>
      <c r="CR239" s="23"/>
      <c r="CS239" s="23"/>
      <c r="CT239" s="23"/>
      <c r="CU239" s="23"/>
      <c r="CV239" s="23"/>
    </row>
    <row r="240" spans="1:100" ht="15.75" customHeight="1" x14ac:dyDescent="0.2">
      <c r="A240" s="3"/>
      <c r="B240" s="4"/>
      <c r="C240" s="4"/>
      <c r="D240" s="4"/>
      <c r="E240" s="23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23"/>
      <c r="BQ240" s="23"/>
      <c r="BR240" s="23"/>
      <c r="BS240" s="23"/>
      <c r="BT240" s="23"/>
      <c r="BU240" s="23"/>
      <c r="BV240" s="23"/>
      <c r="BW240" s="23"/>
      <c r="BX240" s="23"/>
      <c r="BY240" s="23"/>
      <c r="BZ240" s="23"/>
      <c r="CA240" s="23"/>
      <c r="CB240" s="23"/>
      <c r="CC240" s="23"/>
      <c r="CD240" s="23"/>
      <c r="CE240" s="23"/>
      <c r="CF240" s="23"/>
      <c r="CG240" s="23"/>
      <c r="CH240" s="23"/>
      <c r="CI240" s="23"/>
      <c r="CJ240" s="23"/>
      <c r="CK240" s="23"/>
      <c r="CL240" s="23"/>
      <c r="CM240" s="23"/>
      <c r="CN240" s="23"/>
      <c r="CO240" s="23"/>
      <c r="CP240" s="23"/>
      <c r="CQ240" s="23"/>
      <c r="CR240" s="23"/>
      <c r="CS240" s="23"/>
      <c r="CT240" s="23"/>
      <c r="CU240" s="23"/>
      <c r="CV240" s="23"/>
    </row>
    <row r="241" spans="1:100" ht="15.75" customHeight="1" x14ac:dyDescent="0.2">
      <c r="A241" s="3"/>
      <c r="B241" s="4"/>
      <c r="C241" s="4"/>
      <c r="D241" s="4"/>
      <c r="E241" s="23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23"/>
      <c r="BQ241" s="23"/>
      <c r="BR241" s="23"/>
      <c r="BS241" s="23"/>
      <c r="BT241" s="23"/>
      <c r="BU241" s="23"/>
      <c r="BV241" s="23"/>
      <c r="BW241" s="23"/>
      <c r="BX241" s="23"/>
      <c r="BY241" s="23"/>
      <c r="BZ241" s="23"/>
      <c r="CA241" s="23"/>
      <c r="CB241" s="23"/>
      <c r="CC241" s="23"/>
      <c r="CD241" s="23"/>
      <c r="CE241" s="23"/>
      <c r="CF241" s="23"/>
      <c r="CG241" s="23"/>
      <c r="CH241" s="23"/>
      <c r="CI241" s="23"/>
      <c r="CJ241" s="23"/>
      <c r="CK241" s="23"/>
      <c r="CL241" s="23"/>
      <c r="CM241" s="23"/>
      <c r="CN241" s="23"/>
      <c r="CO241" s="23"/>
      <c r="CP241" s="23"/>
      <c r="CQ241" s="23"/>
      <c r="CR241" s="23"/>
      <c r="CS241" s="23"/>
      <c r="CT241" s="23"/>
      <c r="CU241" s="23"/>
      <c r="CV241" s="23"/>
    </row>
    <row r="242" spans="1:100" ht="15.75" customHeight="1" x14ac:dyDescent="0.2">
      <c r="A242" s="3"/>
      <c r="B242" s="4"/>
      <c r="C242" s="4"/>
      <c r="D242" s="4"/>
      <c r="E242" s="23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23"/>
      <c r="BQ242" s="23"/>
      <c r="BR242" s="23"/>
      <c r="BS242" s="23"/>
      <c r="BT242" s="23"/>
      <c r="BU242" s="23"/>
      <c r="BV242" s="23"/>
      <c r="BW242" s="23"/>
      <c r="BX242" s="23"/>
      <c r="BY242" s="23"/>
      <c r="BZ242" s="23"/>
      <c r="CA242" s="23"/>
      <c r="CB242" s="23"/>
      <c r="CC242" s="23"/>
      <c r="CD242" s="23"/>
      <c r="CE242" s="23"/>
      <c r="CF242" s="23"/>
      <c r="CG242" s="23"/>
      <c r="CH242" s="23"/>
      <c r="CI242" s="23"/>
      <c r="CJ242" s="23"/>
      <c r="CK242" s="23"/>
      <c r="CL242" s="23"/>
      <c r="CM242" s="23"/>
      <c r="CN242" s="23"/>
      <c r="CO242" s="23"/>
      <c r="CP242" s="23"/>
      <c r="CQ242" s="23"/>
      <c r="CR242" s="23"/>
      <c r="CS242" s="23"/>
      <c r="CT242" s="23"/>
      <c r="CU242" s="23"/>
      <c r="CV242" s="23"/>
    </row>
    <row r="243" spans="1:100" ht="15.75" customHeight="1" x14ac:dyDescent="0.2">
      <c r="A243" s="3"/>
      <c r="B243" s="4"/>
      <c r="C243" s="4"/>
      <c r="D243" s="4"/>
      <c r="E243" s="23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23"/>
      <c r="BQ243" s="23"/>
      <c r="BR243" s="23"/>
      <c r="BS243" s="23"/>
      <c r="BT243" s="23"/>
      <c r="BU243" s="23"/>
      <c r="BV243" s="23"/>
      <c r="BW243" s="23"/>
      <c r="BX243" s="23"/>
      <c r="BY243" s="23"/>
      <c r="BZ243" s="23"/>
      <c r="CA243" s="23"/>
      <c r="CB243" s="23"/>
      <c r="CC243" s="23"/>
      <c r="CD243" s="23"/>
      <c r="CE243" s="23"/>
      <c r="CF243" s="23"/>
      <c r="CG243" s="23"/>
      <c r="CH243" s="23"/>
      <c r="CI243" s="23"/>
      <c r="CJ243" s="23"/>
      <c r="CK243" s="23"/>
      <c r="CL243" s="23"/>
      <c r="CM243" s="23"/>
      <c r="CN243" s="23"/>
      <c r="CO243" s="23"/>
      <c r="CP243" s="23"/>
      <c r="CQ243" s="23"/>
      <c r="CR243" s="23"/>
      <c r="CS243" s="23"/>
      <c r="CT243" s="23"/>
      <c r="CU243" s="23"/>
      <c r="CV243" s="23"/>
    </row>
    <row r="244" spans="1:100" ht="15.75" customHeight="1" x14ac:dyDescent="0.2">
      <c r="A244" s="3"/>
      <c r="B244" s="4"/>
      <c r="C244" s="4"/>
      <c r="D244" s="4"/>
      <c r="E244" s="23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23"/>
      <c r="BQ244" s="23"/>
      <c r="BR244" s="23"/>
      <c r="BS244" s="23"/>
      <c r="BT244" s="23"/>
      <c r="BU244" s="23"/>
      <c r="BV244" s="23"/>
      <c r="BW244" s="23"/>
      <c r="BX244" s="23"/>
      <c r="BY244" s="23"/>
      <c r="BZ244" s="23"/>
      <c r="CA244" s="23"/>
      <c r="CB244" s="23"/>
      <c r="CC244" s="23"/>
      <c r="CD244" s="23"/>
      <c r="CE244" s="23"/>
      <c r="CF244" s="23"/>
      <c r="CG244" s="23"/>
      <c r="CH244" s="23"/>
      <c r="CI244" s="23"/>
      <c r="CJ244" s="23"/>
      <c r="CK244" s="23"/>
      <c r="CL244" s="23"/>
      <c r="CM244" s="23"/>
      <c r="CN244" s="23"/>
      <c r="CO244" s="23"/>
      <c r="CP244" s="23"/>
      <c r="CQ244" s="23"/>
      <c r="CR244" s="23"/>
      <c r="CS244" s="23"/>
      <c r="CT244" s="23"/>
      <c r="CU244" s="23"/>
      <c r="CV244" s="23"/>
    </row>
    <row r="245" spans="1:100" ht="15.75" customHeight="1" x14ac:dyDescent="0.2">
      <c r="A245" s="3"/>
      <c r="B245" s="4"/>
      <c r="C245" s="4"/>
      <c r="D245" s="4"/>
      <c r="E245" s="23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23"/>
      <c r="BQ245" s="23"/>
      <c r="BR245" s="23"/>
      <c r="BS245" s="23"/>
      <c r="BT245" s="23"/>
      <c r="BU245" s="23"/>
      <c r="BV245" s="23"/>
      <c r="BW245" s="23"/>
      <c r="BX245" s="23"/>
      <c r="BY245" s="23"/>
      <c r="BZ245" s="23"/>
      <c r="CA245" s="23"/>
      <c r="CB245" s="23"/>
      <c r="CC245" s="23"/>
      <c r="CD245" s="23"/>
      <c r="CE245" s="23"/>
      <c r="CF245" s="23"/>
      <c r="CG245" s="23"/>
      <c r="CH245" s="23"/>
      <c r="CI245" s="23"/>
      <c r="CJ245" s="23"/>
      <c r="CK245" s="23"/>
      <c r="CL245" s="23"/>
      <c r="CM245" s="23"/>
      <c r="CN245" s="23"/>
      <c r="CO245" s="23"/>
      <c r="CP245" s="23"/>
      <c r="CQ245" s="23"/>
      <c r="CR245" s="23"/>
      <c r="CS245" s="23"/>
      <c r="CT245" s="23"/>
      <c r="CU245" s="23"/>
      <c r="CV245" s="23"/>
    </row>
    <row r="246" spans="1:100" ht="15.75" customHeight="1" x14ac:dyDescent="0.2">
      <c r="A246" s="3"/>
      <c r="B246" s="4"/>
      <c r="C246" s="4"/>
      <c r="D246" s="4"/>
      <c r="E246" s="23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23"/>
      <c r="BQ246" s="23"/>
      <c r="BR246" s="23"/>
      <c r="BS246" s="23"/>
      <c r="BT246" s="23"/>
      <c r="BU246" s="23"/>
      <c r="BV246" s="23"/>
      <c r="BW246" s="23"/>
      <c r="BX246" s="23"/>
      <c r="BY246" s="23"/>
      <c r="BZ246" s="23"/>
      <c r="CA246" s="23"/>
      <c r="CB246" s="23"/>
      <c r="CC246" s="23"/>
      <c r="CD246" s="23"/>
      <c r="CE246" s="23"/>
      <c r="CF246" s="23"/>
      <c r="CG246" s="23"/>
      <c r="CH246" s="23"/>
      <c r="CI246" s="23"/>
      <c r="CJ246" s="23"/>
      <c r="CK246" s="23"/>
      <c r="CL246" s="23"/>
      <c r="CM246" s="23"/>
      <c r="CN246" s="23"/>
      <c r="CO246" s="23"/>
      <c r="CP246" s="23"/>
      <c r="CQ246" s="23"/>
      <c r="CR246" s="23"/>
      <c r="CS246" s="23"/>
      <c r="CT246" s="23"/>
      <c r="CU246" s="23"/>
      <c r="CV246" s="23"/>
    </row>
    <row r="247" spans="1:100" ht="15.75" customHeight="1" x14ac:dyDescent="0.2">
      <c r="A247" s="3"/>
      <c r="B247" s="4"/>
      <c r="C247" s="4"/>
      <c r="D247" s="4"/>
      <c r="E247" s="23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23"/>
      <c r="BQ247" s="23"/>
      <c r="BR247" s="23"/>
      <c r="BS247" s="23"/>
      <c r="BT247" s="23"/>
      <c r="BU247" s="23"/>
      <c r="BV247" s="23"/>
      <c r="BW247" s="23"/>
      <c r="BX247" s="23"/>
      <c r="BY247" s="23"/>
      <c r="BZ247" s="23"/>
      <c r="CA247" s="23"/>
      <c r="CB247" s="23"/>
      <c r="CC247" s="23"/>
      <c r="CD247" s="23"/>
      <c r="CE247" s="23"/>
      <c r="CF247" s="23"/>
      <c r="CG247" s="23"/>
      <c r="CH247" s="23"/>
      <c r="CI247" s="23"/>
      <c r="CJ247" s="23"/>
      <c r="CK247" s="23"/>
      <c r="CL247" s="23"/>
      <c r="CM247" s="23"/>
      <c r="CN247" s="23"/>
      <c r="CO247" s="23"/>
      <c r="CP247" s="23"/>
      <c r="CQ247" s="23"/>
      <c r="CR247" s="23"/>
      <c r="CS247" s="23"/>
      <c r="CT247" s="23"/>
      <c r="CU247" s="23"/>
      <c r="CV247" s="23"/>
    </row>
    <row r="248" spans="1:100" ht="15.75" customHeight="1" x14ac:dyDescent="0.2">
      <c r="A248" s="3"/>
      <c r="B248" s="4"/>
      <c r="C248" s="4"/>
      <c r="D248" s="4"/>
      <c r="E248" s="23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23"/>
      <c r="BQ248" s="23"/>
      <c r="BR248" s="23"/>
      <c r="BS248" s="23"/>
      <c r="BT248" s="23"/>
      <c r="BU248" s="23"/>
      <c r="BV248" s="23"/>
      <c r="BW248" s="23"/>
      <c r="BX248" s="23"/>
      <c r="BY248" s="23"/>
      <c r="BZ248" s="23"/>
      <c r="CA248" s="23"/>
      <c r="CB248" s="23"/>
      <c r="CC248" s="23"/>
      <c r="CD248" s="23"/>
      <c r="CE248" s="23"/>
      <c r="CF248" s="23"/>
      <c r="CG248" s="23"/>
      <c r="CH248" s="23"/>
      <c r="CI248" s="23"/>
      <c r="CJ248" s="23"/>
      <c r="CK248" s="23"/>
      <c r="CL248" s="23"/>
      <c r="CM248" s="23"/>
      <c r="CN248" s="23"/>
      <c r="CO248" s="23"/>
      <c r="CP248" s="23"/>
      <c r="CQ248" s="23"/>
      <c r="CR248" s="23"/>
      <c r="CS248" s="23"/>
      <c r="CT248" s="23"/>
      <c r="CU248" s="23"/>
      <c r="CV248" s="23"/>
    </row>
    <row r="249" spans="1:100" ht="15.75" customHeight="1" x14ac:dyDescent="0.2">
      <c r="A249" s="3"/>
      <c r="B249" s="4"/>
      <c r="C249" s="4"/>
      <c r="D249" s="4"/>
      <c r="E249" s="23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23"/>
      <c r="BQ249" s="23"/>
      <c r="BR249" s="23"/>
      <c r="BS249" s="23"/>
      <c r="BT249" s="23"/>
      <c r="BU249" s="23"/>
      <c r="BV249" s="23"/>
      <c r="BW249" s="23"/>
      <c r="BX249" s="23"/>
      <c r="BY249" s="23"/>
      <c r="BZ249" s="23"/>
      <c r="CA249" s="23"/>
      <c r="CB249" s="23"/>
      <c r="CC249" s="23"/>
      <c r="CD249" s="23"/>
      <c r="CE249" s="23"/>
      <c r="CF249" s="23"/>
      <c r="CG249" s="23"/>
      <c r="CH249" s="23"/>
      <c r="CI249" s="23"/>
      <c r="CJ249" s="23"/>
      <c r="CK249" s="23"/>
      <c r="CL249" s="23"/>
      <c r="CM249" s="23"/>
      <c r="CN249" s="23"/>
      <c r="CO249" s="23"/>
      <c r="CP249" s="23"/>
      <c r="CQ249" s="23"/>
      <c r="CR249" s="23"/>
      <c r="CS249" s="23"/>
      <c r="CT249" s="23"/>
      <c r="CU249" s="23"/>
      <c r="CV249" s="23"/>
    </row>
    <row r="250" spans="1:100" ht="15.75" customHeight="1" x14ac:dyDescent="0.2">
      <c r="A250" s="3"/>
      <c r="B250" s="4"/>
      <c r="C250" s="4"/>
      <c r="D250" s="4"/>
      <c r="E250" s="23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23"/>
      <c r="BQ250" s="23"/>
      <c r="BR250" s="23"/>
      <c r="BS250" s="23"/>
      <c r="BT250" s="23"/>
      <c r="BU250" s="23"/>
      <c r="BV250" s="23"/>
      <c r="BW250" s="23"/>
      <c r="BX250" s="23"/>
      <c r="BY250" s="23"/>
      <c r="BZ250" s="23"/>
      <c r="CA250" s="23"/>
      <c r="CB250" s="23"/>
      <c r="CC250" s="23"/>
      <c r="CD250" s="23"/>
      <c r="CE250" s="23"/>
      <c r="CF250" s="23"/>
      <c r="CG250" s="23"/>
      <c r="CH250" s="23"/>
      <c r="CI250" s="23"/>
      <c r="CJ250" s="23"/>
      <c r="CK250" s="23"/>
      <c r="CL250" s="23"/>
      <c r="CM250" s="23"/>
      <c r="CN250" s="23"/>
      <c r="CO250" s="23"/>
      <c r="CP250" s="23"/>
      <c r="CQ250" s="23"/>
      <c r="CR250" s="23"/>
      <c r="CS250" s="23"/>
      <c r="CT250" s="23"/>
      <c r="CU250" s="23"/>
      <c r="CV250" s="23"/>
    </row>
    <row r="251" spans="1:100" ht="15.75" customHeight="1" x14ac:dyDescent="0.2">
      <c r="A251" s="3"/>
      <c r="B251" s="4"/>
      <c r="C251" s="4"/>
      <c r="D251" s="4"/>
      <c r="E251" s="23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23"/>
      <c r="BQ251" s="23"/>
      <c r="BR251" s="23"/>
      <c r="BS251" s="23"/>
      <c r="BT251" s="23"/>
      <c r="BU251" s="23"/>
      <c r="BV251" s="23"/>
      <c r="BW251" s="23"/>
      <c r="BX251" s="23"/>
      <c r="BY251" s="23"/>
      <c r="BZ251" s="23"/>
      <c r="CA251" s="23"/>
      <c r="CB251" s="23"/>
      <c r="CC251" s="23"/>
      <c r="CD251" s="23"/>
      <c r="CE251" s="23"/>
      <c r="CF251" s="23"/>
      <c r="CG251" s="23"/>
      <c r="CH251" s="23"/>
      <c r="CI251" s="23"/>
      <c r="CJ251" s="23"/>
      <c r="CK251" s="23"/>
      <c r="CL251" s="23"/>
      <c r="CM251" s="23"/>
      <c r="CN251" s="23"/>
      <c r="CO251" s="23"/>
      <c r="CP251" s="23"/>
      <c r="CQ251" s="23"/>
      <c r="CR251" s="23"/>
      <c r="CS251" s="23"/>
      <c r="CT251" s="23"/>
      <c r="CU251" s="23"/>
      <c r="CV251" s="23"/>
    </row>
    <row r="252" spans="1:100" ht="15.75" customHeight="1" x14ac:dyDescent="0.2">
      <c r="A252" s="3"/>
      <c r="B252" s="4"/>
      <c r="C252" s="4"/>
      <c r="D252" s="4"/>
      <c r="E252" s="23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23"/>
      <c r="BQ252" s="23"/>
      <c r="BR252" s="23"/>
      <c r="BS252" s="23"/>
      <c r="BT252" s="23"/>
      <c r="BU252" s="23"/>
      <c r="BV252" s="23"/>
      <c r="BW252" s="23"/>
      <c r="BX252" s="23"/>
      <c r="BY252" s="23"/>
      <c r="BZ252" s="23"/>
      <c r="CA252" s="23"/>
      <c r="CB252" s="23"/>
      <c r="CC252" s="23"/>
      <c r="CD252" s="23"/>
      <c r="CE252" s="23"/>
      <c r="CF252" s="23"/>
      <c r="CG252" s="23"/>
      <c r="CH252" s="23"/>
      <c r="CI252" s="23"/>
      <c r="CJ252" s="23"/>
      <c r="CK252" s="23"/>
      <c r="CL252" s="23"/>
      <c r="CM252" s="23"/>
      <c r="CN252" s="23"/>
      <c r="CO252" s="23"/>
      <c r="CP252" s="23"/>
      <c r="CQ252" s="23"/>
      <c r="CR252" s="23"/>
      <c r="CS252" s="23"/>
      <c r="CT252" s="23"/>
      <c r="CU252" s="23"/>
      <c r="CV252" s="23"/>
    </row>
    <row r="253" spans="1:100" ht="15.75" customHeight="1" x14ac:dyDescent="0.2">
      <c r="A253" s="3"/>
      <c r="B253" s="4"/>
      <c r="C253" s="4"/>
      <c r="D253" s="4"/>
      <c r="E253" s="23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23"/>
      <c r="BQ253" s="23"/>
      <c r="BR253" s="23"/>
      <c r="BS253" s="23"/>
      <c r="BT253" s="23"/>
      <c r="BU253" s="23"/>
      <c r="BV253" s="23"/>
      <c r="BW253" s="23"/>
      <c r="BX253" s="23"/>
      <c r="BY253" s="23"/>
      <c r="BZ253" s="23"/>
      <c r="CA253" s="23"/>
      <c r="CB253" s="23"/>
      <c r="CC253" s="23"/>
      <c r="CD253" s="23"/>
      <c r="CE253" s="23"/>
      <c r="CF253" s="23"/>
      <c r="CG253" s="23"/>
      <c r="CH253" s="23"/>
      <c r="CI253" s="23"/>
      <c r="CJ253" s="23"/>
      <c r="CK253" s="23"/>
      <c r="CL253" s="23"/>
      <c r="CM253" s="23"/>
      <c r="CN253" s="23"/>
      <c r="CO253" s="23"/>
      <c r="CP253" s="23"/>
      <c r="CQ253" s="23"/>
      <c r="CR253" s="23"/>
      <c r="CS253" s="23"/>
      <c r="CT253" s="23"/>
      <c r="CU253" s="23"/>
      <c r="CV253" s="23"/>
    </row>
    <row r="254" spans="1:100" ht="15.75" customHeight="1" x14ac:dyDescent="0.2">
      <c r="A254" s="3"/>
      <c r="B254" s="4"/>
      <c r="C254" s="4"/>
      <c r="D254" s="4"/>
      <c r="E254" s="23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23"/>
      <c r="BQ254" s="23"/>
      <c r="BR254" s="23"/>
      <c r="BS254" s="23"/>
      <c r="BT254" s="23"/>
      <c r="BU254" s="23"/>
      <c r="BV254" s="23"/>
      <c r="BW254" s="23"/>
      <c r="BX254" s="23"/>
      <c r="BY254" s="23"/>
      <c r="BZ254" s="23"/>
      <c r="CA254" s="23"/>
      <c r="CB254" s="23"/>
      <c r="CC254" s="23"/>
      <c r="CD254" s="23"/>
      <c r="CE254" s="23"/>
      <c r="CF254" s="23"/>
      <c r="CG254" s="23"/>
      <c r="CH254" s="23"/>
      <c r="CI254" s="23"/>
      <c r="CJ254" s="23"/>
      <c r="CK254" s="23"/>
      <c r="CL254" s="23"/>
      <c r="CM254" s="23"/>
      <c r="CN254" s="23"/>
      <c r="CO254" s="23"/>
      <c r="CP254" s="23"/>
      <c r="CQ254" s="23"/>
      <c r="CR254" s="23"/>
      <c r="CS254" s="23"/>
      <c r="CT254" s="23"/>
      <c r="CU254" s="23"/>
      <c r="CV254" s="23"/>
    </row>
    <row r="255" spans="1:100" ht="15.75" customHeight="1" x14ac:dyDescent="0.2">
      <c r="A255" s="3"/>
      <c r="B255" s="4"/>
      <c r="C255" s="4"/>
      <c r="D255" s="4"/>
      <c r="E255" s="23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23"/>
      <c r="BQ255" s="23"/>
      <c r="BR255" s="23"/>
      <c r="BS255" s="23"/>
      <c r="BT255" s="23"/>
      <c r="BU255" s="23"/>
      <c r="BV255" s="23"/>
      <c r="BW255" s="23"/>
      <c r="BX255" s="23"/>
      <c r="BY255" s="23"/>
      <c r="BZ255" s="23"/>
      <c r="CA255" s="23"/>
      <c r="CB255" s="23"/>
      <c r="CC255" s="23"/>
      <c r="CD255" s="23"/>
      <c r="CE255" s="23"/>
      <c r="CF255" s="23"/>
      <c r="CG255" s="23"/>
      <c r="CH255" s="23"/>
      <c r="CI255" s="23"/>
      <c r="CJ255" s="23"/>
      <c r="CK255" s="23"/>
      <c r="CL255" s="23"/>
      <c r="CM255" s="23"/>
      <c r="CN255" s="23"/>
      <c r="CO255" s="23"/>
      <c r="CP255" s="23"/>
      <c r="CQ255" s="23"/>
      <c r="CR255" s="23"/>
      <c r="CS255" s="23"/>
      <c r="CT255" s="23"/>
      <c r="CU255" s="23"/>
      <c r="CV255" s="23"/>
    </row>
    <row r="256" spans="1:100" ht="15.75" customHeight="1" x14ac:dyDescent="0.2">
      <c r="A256" s="3"/>
      <c r="B256" s="4"/>
      <c r="C256" s="4"/>
      <c r="D256" s="4"/>
      <c r="E256" s="23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23"/>
      <c r="BQ256" s="23"/>
      <c r="BR256" s="23"/>
      <c r="BS256" s="23"/>
      <c r="BT256" s="23"/>
      <c r="BU256" s="23"/>
      <c r="BV256" s="23"/>
      <c r="BW256" s="23"/>
      <c r="BX256" s="23"/>
      <c r="BY256" s="23"/>
      <c r="BZ256" s="23"/>
      <c r="CA256" s="23"/>
      <c r="CB256" s="23"/>
      <c r="CC256" s="23"/>
      <c r="CD256" s="23"/>
      <c r="CE256" s="23"/>
      <c r="CF256" s="23"/>
      <c r="CG256" s="23"/>
      <c r="CH256" s="23"/>
      <c r="CI256" s="23"/>
      <c r="CJ256" s="23"/>
      <c r="CK256" s="23"/>
      <c r="CL256" s="23"/>
      <c r="CM256" s="23"/>
      <c r="CN256" s="23"/>
      <c r="CO256" s="23"/>
      <c r="CP256" s="23"/>
      <c r="CQ256" s="23"/>
      <c r="CR256" s="23"/>
      <c r="CS256" s="23"/>
      <c r="CT256" s="23"/>
      <c r="CU256" s="23"/>
      <c r="CV256" s="23"/>
    </row>
    <row r="257" spans="1:100" ht="15.75" customHeight="1" x14ac:dyDescent="0.2">
      <c r="A257" s="3"/>
      <c r="B257" s="4"/>
      <c r="C257" s="4"/>
      <c r="D257" s="4"/>
      <c r="E257" s="23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23"/>
      <c r="BQ257" s="23"/>
      <c r="BR257" s="23"/>
      <c r="BS257" s="23"/>
      <c r="BT257" s="23"/>
      <c r="BU257" s="23"/>
      <c r="BV257" s="23"/>
      <c r="BW257" s="23"/>
      <c r="BX257" s="23"/>
      <c r="BY257" s="23"/>
      <c r="BZ257" s="23"/>
      <c r="CA257" s="23"/>
      <c r="CB257" s="23"/>
      <c r="CC257" s="23"/>
      <c r="CD257" s="23"/>
      <c r="CE257" s="23"/>
      <c r="CF257" s="23"/>
      <c r="CG257" s="23"/>
      <c r="CH257" s="23"/>
      <c r="CI257" s="23"/>
      <c r="CJ257" s="23"/>
      <c r="CK257" s="23"/>
      <c r="CL257" s="23"/>
      <c r="CM257" s="23"/>
      <c r="CN257" s="23"/>
      <c r="CO257" s="23"/>
      <c r="CP257" s="23"/>
      <c r="CQ257" s="23"/>
      <c r="CR257" s="23"/>
      <c r="CS257" s="23"/>
      <c r="CT257" s="23"/>
      <c r="CU257" s="23"/>
      <c r="CV257" s="23"/>
    </row>
    <row r="258" spans="1:100" ht="15.75" customHeight="1" x14ac:dyDescent="0.2">
      <c r="A258" s="3"/>
      <c r="B258" s="4"/>
      <c r="C258" s="4"/>
      <c r="D258" s="4"/>
      <c r="E258" s="23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23"/>
      <c r="BQ258" s="23"/>
      <c r="BR258" s="23"/>
      <c r="BS258" s="23"/>
      <c r="BT258" s="23"/>
      <c r="BU258" s="23"/>
      <c r="BV258" s="23"/>
      <c r="BW258" s="23"/>
      <c r="BX258" s="23"/>
      <c r="BY258" s="23"/>
      <c r="BZ258" s="23"/>
      <c r="CA258" s="23"/>
      <c r="CB258" s="23"/>
      <c r="CC258" s="23"/>
      <c r="CD258" s="23"/>
      <c r="CE258" s="23"/>
      <c r="CF258" s="23"/>
      <c r="CG258" s="23"/>
      <c r="CH258" s="23"/>
      <c r="CI258" s="23"/>
      <c r="CJ258" s="23"/>
      <c r="CK258" s="23"/>
      <c r="CL258" s="23"/>
      <c r="CM258" s="23"/>
      <c r="CN258" s="23"/>
      <c r="CO258" s="23"/>
      <c r="CP258" s="23"/>
      <c r="CQ258" s="23"/>
      <c r="CR258" s="23"/>
      <c r="CS258" s="23"/>
      <c r="CT258" s="23"/>
      <c r="CU258" s="23"/>
      <c r="CV258" s="23"/>
    </row>
    <row r="259" spans="1:100" ht="15.75" customHeight="1" x14ac:dyDescent="0.2">
      <c r="A259" s="3"/>
      <c r="B259" s="4"/>
      <c r="C259" s="4"/>
      <c r="D259" s="4"/>
      <c r="E259" s="23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23"/>
      <c r="BQ259" s="23"/>
      <c r="BR259" s="23"/>
      <c r="BS259" s="23"/>
      <c r="BT259" s="23"/>
      <c r="BU259" s="23"/>
      <c r="BV259" s="23"/>
      <c r="BW259" s="23"/>
      <c r="BX259" s="23"/>
      <c r="BY259" s="23"/>
      <c r="BZ259" s="23"/>
      <c r="CA259" s="23"/>
      <c r="CB259" s="23"/>
      <c r="CC259" s="23"/>
      <c r="CD259" s="23"/>
      <c r="CE259" s="23"/>
      <c r="CF259" s="23"/>
      <c r="CG259" s="23"/>
      <c r="CH259" s="23"/>
      <c r="CI259" s="23"/>
      <c r="CJ259" s="23"/>
      <c r="CK259" s="23"/>
      <c r="CL259" s="23"/>
      <c r="CM259" s="23"/>
      <c r="CN259" s="23"/>
      <c r="CO259" s="23"/>
      <c r="CP259" s="23"/>
      <c r="CQ259" s="23"/>
      <c r="CR259" s="23"/>
      <c r="CS259" s="23"/>
      <c r="CT259" s="23"/>
      <c r="CU259" s="23"/>
      <c r="CV259" s="23"/>
    </row>
    <row r="260" spans="1:100" ht="15.75" customHeight="1" x14ac:dyDescent="0.2">
      <c r="A260" s="3"/>
      <c r="B260" s="4"/>
      <c r="C260" s="4"/>
      <c r="D260" s="4"/>
      <c r="E260" s="23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23"/>
      <c r="BQ260" s="23"/>
      <c r="BR260" s="23"/>
      <c r="BS260" s="23"/>
      <c r="BT260" s="23"/>
      <c r="BU260" s="23"/>
      <c r="BV260" s="23"/>
      <c r="BW260" s="23"/>
      <c r="BX260" s="23"/>
      <c r="BY260" s="23"/>
      <c r="BZ260" s="23"/>
      <c r="CA260" s="23"/>
      <c r="CB260" s="23"/>
      <c r="CC260" s="23"/>
      <c r="CD260" s="23"/>
      <c r="CE260" s="23"/>
      <c r="CF260" s="23"/>
      <c r="CG260" s="23"/>
      <c r="CH260" s="23"/>
      <c r="CI260" s="23"/>
      <c r="CJ260" s="23"/>
      <c r="CK260" s="23"/>
      <c r="CL260" s="23"/>
      <c r="CM260" s="23"/>
      <c r="CN260" s="23"/>
      <c r="CO260" s="23"/>
      <c r="CP260" s="23"/>
      <c r="CQ260" s="23"/>
      <c r="CR260" s="23"/>
      <c r="CS260" s="23"/>
      <c r="CT260" s="23"/>
      <c r="CU260" s="23"/>
      <c r="CV260" s="23"/>
    </row>
    <row r="261" spans="1:100" ht="15.75" customHeight="1" x14ac:dyDescent="0.2">
      <c r="A261" s="3"/>
      <c r="B261" s="4"/>
      <c r="C261" s="4"/>
      <c r="D261" s="4"/>
      <c r="E261" s="23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23"/>
      <c r="BQ261" s="23"/>
      <c r="BR261" s="23"/>
      <c r="BS261" s="23"/>
      <c r="BT261" s="23"/>
      <c r="BU261" s="23"/>
      <c r="BV261" s="23"/>
      <c r="BW261" s="23"/>
      <c r="BX261" s="23"/>
      <c r="BY261" s="23"/>
      <c r="BZ261" s="23"/>
      <c r="CA261" s="23"/>
      <c r="CB261" s="23"/>
      <c r="CC261" s="23"/>
      <c r="CD261" s="23"/>
      <c r="CE261" s="23"/>
      <c r="CF261" s="23"/>
      <c r="CG261" s="23"/>
      <c r="CH261" s="23"/>
      <c r="CI261" s="23"/>
      <c r="CJ261" s="23"/>
      <c r="CK261" s="23"/>
      <c r="CL261" s="23"/>
      <c r="CM261" s="23"/>
      <c r="CN261" s="23"/>
      <c r="CO261" s="23"/>
      <c r="CP261" s="23"/>
      <c r="CQ261" s="23"/>
      <c r="CR261" s="23"/>
      <c r="CS261" s="23"/>
      <c r="CT261" s="23"/>
      <c r="CU261" s="23"/>
      <c r="CV261" s="23"/>
    </row>
    <row r="262" spans="1:100" ht="15.75" customHeight="1" x14ac:dyDescent="0.2">
      <c r="A262" s="3"/>
      <c r="B262" s="4"/>
      <c r="C262" s="4"/>
      <c r="D262" s="4"/>
      <c r="E262" s="23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23"/>
      <c r="BQ262" s="23"/>
      <c r="BR262" s="23"/>
      <c r="BS262" s="23"/>
      <c r="BT262" s="23"/>
      <c r="BU262" s="23"/>
      <c r="BV262" s="23"/>
      <c r="BW262" s="23"/>
      <c r="BX262" s="23"/>
      <c r="BY262" s="23"/>
      <c r="BZ262" s="23"/>
      <c r="CA262" s="23"/>
      <c r="CB262" s="23"/>
      <c r="CC262" s="23"/>
      <c r="CD262" s="23"/>
      <c r="CE262" s="23"/>
      <c r="CF262" s="23"/>
      <c r="CG262" s="23"/>
      <c r="CH262" s="23"/>
      <c r="CI262" s="23"/>
      <c r="CJ262" s="23"/>
      <c r="CK262" s="23"/>
      <c r="CL262" s="23"/>
      <c r="CM262" s="23"/>
      <c r="CN262" s="23"/>
      <c r="CO262" s="23"/>
      <c r="CP262" s="23"/>
      <c r="CQ262" s="23"/>
      <c r="CR262" s="23"/>
      <c r="CS262" s="23"/>
      <c r="CT262" s="23"/>
      <c r="CU262" s="23"/>
      <c r="CV262" s="23"/>
    </row>
    <row r="263" spans="1:100" ht="15.75" customHeight="1" x14ac:dyDescent="0.2">
      <c r="A263" s="3"/>
      <c r="B263" s="4"/>
      <c r="C263" s="4"/>
      <c r="D263" s="4"/>
      <c r="E263" s="23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23"/>
      <c r="BQ263" s="23"/>
      <c r="BR263" s="23"/>
      <c r="BS263" s="23"/>
      <c r="BT263" s="23"/>
      <c r="BU263" s="23"/>
      <c r="BV263" s="23"/>
      <c r="BW263" s="23"/>
      <c r="BX263" s="23"/>
      <c r="BY263" s="23"/>
      <c r="BZ263" s="23"/>
      <c r="CA263" s="23"/>
      <c r="CB263" s="23"/>
      <c r="CC263" s="23"/>
      <c r="CD263" s="23"/>
      <c r="CE263" s="23"/>
      <c r="CF263" s="23"/>
      <c r="CG263" s="23"/>
      <c r="CH263" s="23"/>
      <c r="CI263" s="23"/>
      <c r="CJ263" s="23"/>
      <c r="CK263" s="23"/>
      <c r="CL263" s="23"/>
      <c r="CM263" s="23"/>
      <c r="CN263" s="23"/>
      <c r="CO263" s="23"/>
      <c r="CP263" s="23"/>
      <c r="CQ263" s="23"/>
      <c r="CR263" s="23"/>
      <c r="CS263" s="23"/>
      <c r="CT263" s="23"/>
      <c r="CU263" s="23"/>
      <c r="CV263" s="23"/>
    </row>
    <row r="264" spans="1:100" ht="15.75" customHeight="1" x14ac:dyDescent="0.2">
      <c r="A264" s="3"/>
      <c r="B264" s="4"/>
      <c r="C264" s="4"/>
      <c r="D264" s="4"/>
      <c r="E264" s="23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23"/>
      <c r="BQ264" s="23"/>
      <c r="BR264" s="23"/>
      <c r="BS264" s="23"/>
      <c r="BT264" s="23"/>
      <c r="BU264" s="23"/>
      <c r="BV264" s="23"/>
      <c r="BW264" s="23"/>
      <c r="BX264" s="23"/>
      <c r="BY264" s="23"/>
      <c r="BZ264" s="23"/>
      <c r="CA264" s="23"/>
      <c r="CB264" s="23"/>
      <c r="CC264" s="23"/>
      <c r="CD264" s="23"/>
      <c r="CE264" s="23"/>
      <c r="CF264" s="23"/>
      <c r="CG264" s="23"/>
      <c r="CH264" s="23"/>
      <c r="CI264" s="23"/>
      <c r="CJ264" s="23"/>
      <c r="CK264" s="23"/>
      <c r="CL264" s="23"/>
      <c r="CM264" s="23"/>
      <c r="CN264" s="23"/>
      <c r="CO264" s="23"/>
      <c r="CP264" s="23"/>
      <c r="CQ264" s="23"/>
      <c r="CR264" s="23"/>
      <c r="CS264" s="23"/>
      <c r="CT264" s="23"/>
      <c r="CU264" s="23"/>
      <c r="CV264" s="23"/>
    </row>
    <row r="265" spans="1:100" ht="15.75" customHeight="1" x14ac:dyDescent="0.2">
      <c r="A265" s="3"/>
      <c r="B265" s="4"/>
      <c r="C265" s="4"/>
      <c r="D265" s="4"/>
      <c r="E265" s="23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23"/>
      <c r="BQ265" s="23"/>
      <c r="BR265" s="23"/>
      <c r="BS265" s="23"/>
      <c r="BT265" s="23"/>
      <c r="BU265" s="23"/>
      <c r="BV265" s="23"/>
      <c r="BW265" s="23"/>
      <c r="BX265" s="23"/>
      <c r="BY265" s="23"/>
      <c r="BZ265" s="23"/>
      <c r="CA265" s="23"/>
      <c r="CB265" s="23"/>
      <c r="CC265" s="23"/>
      <c r="CD265" s="23"/>
      <c r="CE265" s="23"/>
      <c r="CF265" s="23"/>
      <c r="CG265" s="23"/>
      <c r="CH265" s="23"/>
      <c r="CI265" s="23"/>
      <c r="CJ265" s="23"/>
      <c r="CK265" s="23"/>
      <c r="CL265" s="23"/>
      <c r="CM265" s="23"/>
      <c r="CN265" s="23"/>
      <c r="CO265" s="23"/>
      <c r="CP265" s="23"/>
      <c r="CQ265" s="23"/>
      <c r="CR265" s="23"/>
      <c r="CS265" s="23"/>
      <c r="CT265" s="23"/>
      <c r="CU265" s="23"/>
      <c r="CV265" s="23"/>
    </row>
    <row r="266" spans="1:100" ht="15.75" customHeight="1" x14ac:dyDescent="0.2">
      <c r="A266" s="3"/>
      <c r="B266" s="4"/>
      <c r="C266" s="4"/>
      <c r="D266" s="4"/>
      <c r="E266" s="23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23"/>
      <c r="BQ266" s="23"/>
      <c r="BR266" s="23"/>
      <c r="BS266" s="23"/>
      <c r="BT266" s="23"/>
      <c r="BU266" s="23"/>
      <c r="BV266" s="23"/>
      <c r="BW266" s="23"/>
      <c r="BX266" s="23"/>
      <c r="BY266" s="23"/>
      <c r="BZ266" s="23"/>
      <c r="CA266" s="23"/>
      <c r="CB266" s="23"/>
      <c r="CC266" s="23"/>
      <c r="CD266" s="23"/>
      <c r="CE266" s="23"/>
      <c r="CF266" s="23"/>
      <c r="CG266" s="23"/>
      <c r="CH266" s="23"/>
      <c r="CI266" s="23"/>
      <c r="CJ266" s="23"/>
      <c r="CK266" s="23"/>
      <c r="CL266" s="23"/>
      <c r="CM266" s="23"/>
      <c r="CN266" s="23"/>
      <c r="CO266" s="23"/>
      <c r="CP266" s="23"/>
      <c r="CQ266" s="23"/>
      <c r="CR266" s="23"/>
      <c r="CS266" s="23"/>
      <c r="CT266" s="23"/>
      <c r="CU266" s="23"/>
      <c r="CV266" s="23"/>
    </row>
    <row r="267" spans="1:100" ht="15.75" customHeight="1" x14ac:dyDescent="0.2">
      <c r="A267" s="3"/>
      <c r="B267" s="4"/>
      <c r="C267" s="4"/>
      <c r="D267" s="4"/>
      <c r="E267" s="23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23"/>
      <c r="BQ267" s="23"/>
      <c r="BR267" s="23"/>
      <c r="BS267" s="23"/>
      <c r="BT267" s="23"/>
      <c r="BU267" s="23"/>
      <c r="BV267" s="23"/>
      <c r="BW267" s="23"/>
      <c r="BX267" s="23"/>
      <c r="BY267" s="23"/>
      <c r="BZ267" s="23"/>
      <c r="CA267" s="23"/>
      <c r="CB267" s="23"/>
      <c r="CC267" s="23"/>
      <c r="CD267" s="23"/>
      <c r="CE267" s="23"/>
      <c r="CF267" s="23"/>
      <c r="CG267" s="23"/>
      <c r="CH267" s="23"/>
      <c r="CI267" s="23"/>
      <c r="CJ267" s="23"/>
      <c r="CK267" s="23"/>
      <c r="CL267" s="23"/>
      <c r="CM267" s="23"/>
      <c r="CN267" s="23"/>
      <c r="CO267" s="23"/>
      <c r="CP267" s="23"/>
      <c r="CQ267" s="23"/>
      <c r="CR267" s="23"/>
      <c r="CS267" s="23"/>
      <c r="CT267" s="23"/>
      <c r="CU267" s="23"/>
      <c r="CV267" s="23"/>
    </row>
    <row r="268" spans="1:100" ht="15.75" customHeight="1" x14ac:dyDescent="0.2">
      <c r="A268" s="3"/>
      <c r="B268" s="4"/>
      <c r="C268" s="4"/>
      <c r="D268" s="4"/>
      <c r="E268" s="23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23"/>
      <c r="BQ268" s="23"/>
      <c r="BR268" s="23"/>
      <c r="BS268" s="23"/>
      <c r="BT268" s="23"/>
      <c r="BU268" s="23"/>
      <c r="BV268" s="23"/>
      <c r="BW268" s="23"/>
      <c r="BX268" s="23"/>
      <c r="BY268" s="23"/>
      <c r="BZ268" s="23"/>
      <c r="CA268" s="23"/>
      <c r="CB268" s="23"/>
      <c r="CC268" s="23"/>
      <c r="CD268" s="23"/>
      <c r="CE268" s="23"/>
      <c r="CF268" s="23"/>
      <c r="CG268" s="23"/>
      <c r="CH268" s="23"/>
      <c r="CI268" s="23"/>
      <c r="CJ268" s="23"/>
      <c r="CK268" s="23"/>
      <c r="CL268" s="23"/>
      <c r="CM268" s="23"/>
      <c r="CN268" s="23"/>
      <c r="CO268" s="23"/>
      <c r="CP268" s="23"/>
      <c r="CQ268" s="23"/>
      <c r="CR268" s="23"/>
      <c r="CS268" s="23"/>
      <c r="CT268" s="23"/>
      <c r="CU268" s="23"/>
      <c r="CV268" s="23"/>
    </row>
    <row r="269" spans="1:100" ht="15.75" customHeight="1" x14ac:dyDescent="0.2">
      <c r="A269" s="3"/>
      <c r="B269" s="4"/>
      <c r="C269" s="4"/>
      <c r="D269" s="4"/>
      <c r="E269" s="23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23"/>
      <c r="BQ269" s="23"/>
      <c r="BR269" s="23"/>
      <c r="BS269" s="23"/>
      <c r="BT269" s="23"/>
      <c r="BU269" s="23"/>
      <c r="BV269" s="23"/>
      <c r="BW269" s="23"/>
      <c r="BX269" s="23"/>
      <c r="BY269" s="23"/>
      <c r="BZ269" s="23"/>
      <c r="CA269" s="23"/>
      <c r="CB269" s="23"/>
      <c r="CC269" s="23"/>
      <c r="CD269" s="23"/>
      <c r="CE269" s="23"/>
      <c r="CF269" s="23"/>
      <c r="CG269" s="23"/>
      <c r="CH269" s="23"/>
      <c r="CI269" s="23"/>
      <c r="CJ269" s="23"/>
      <c r="CK269" s="23"/>
      <c r="CL269" s="23"/>
      <c r="CM269" s="23"/>
      <c r="CN269" s="23"/>
      <c r="CO269" s="23"/>
      <c r="CP269" s="23"/>
      <c r="CQ269" s="23"/>
      <c r="CR269" s="23"/>
      <c r="CS269" s="23"/>
      <c r="CT269" s="23"/>
      <c r="CU269" s="23"/>
      <c r="CV269" s="23"/>
    </row>
    <row r="270" spans="1:100" ht="15.75" customHeight="1" x14ac:dyDescent="0.2">
      <c r="A270" s="3"/>
      <c r="B270" s="4"/>
      <c r="C270" s="4"/>
      <c r="D270" s="4"/>
      <c r="E270" s="23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23"/>
      <c r="BQ270" s="23"/>
      <c r="BR270" s="23"/>
      <c r="BS270" s="23"/>
      <c r="BT270" s="23"/>
      <c r="BU270" s="23"/>
      <c r="BV270" s="23"/>
      <c r="BW270" s="23"/>
      <c r="BX270" s="23"/>
      <c r="BY270" s="23"/>
      <c r="BZ270" s="23"/>
      <c r="CA270" s="23"/>
      <c r="CB270" s="23"/>
      <c r="CC270" s="23"/>
      <c r="CD270" s="23"/>
      <c r="CE270" s="23"/>
      <c r="CF270" s="23"/>
      <c r="CG270" s="23"/>
      <c r="CH270" s="23"/>
      <c r="CI270" s="23"/>
      <c r="CJ270" s="23"/>
      <c r="CK270" s="23"/>
      <c r="CL270" s="23"/>
      <c r="CM270" s="23"/>
      <c r="CN270" s="23"/>
      <c r="CO270" s="23"/>
      <c r="CP270" s="23"/>
      <c r="CQ270" s="23"/>
      <c r="CR270" s="23"/>
      <c r="CS270" s="23"/>
      <c r="CT270" s="23"/>
      <c r="CU270" s="23"/>
      <c r="CV270" s="23"/>
    </row>
    <row r="271" spans="1:100" ht="15.75" customHeight="1" x14ac:dyDescent="0.2">
      <c r="A271" s="3"/>
      <c r="B271" s="4"/>
      <c r="C271" s="4"/>
      <c r="D271" s="4"/>
      <c r="E271" s="23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23"/>
      <c r="BQ271" s="23"/>
      <c r="BR271" s="23"/>
      <c r="BS271" s="23"/>
      <c r="BT271" s="23"/>
      <c r="BU271" s="23"/>
      <c r="BV271" s="23"/>
      <c r="BW271" s="23"/>
      <c r="BX271" s="23"/>
      <c r="BY271" s="23"/>
      <c r="BZ271" s="23"/>
      <c r="CA271" s="23"/>
      <c r="CB271" s="23"/>
      <c r="CC271" s="23"/>
      <c r="CD271" s="23"/>
      <c r="CE271" s="23"/>
      <c r="CF271" s="23"/>
      <c r="CG271" s="23"/>
      <c r="CH271" s="23"/>
      <c r="CI271" s="23"/>
      <c r="CJ271" s="23"/>
      <c r="CK271" s="23"/>
      <c r="CL271" s="23"/>
      <c r="CM271" s="23"/>
      <c r="CN271" s="23"/>
      <c r="CO271" s="23"/>
      <c r="CP271" s="23"/>
      <c r="CQ271" s="23"/>
      <c r="CR271" s="23"/>
      <c r="CS271" s="23"/>
      <c r="CT271" s="23"/>
      <c r="CU271" s="23"/>
      <c r="CV271" s="23"/>
    </row>
    <row r="272" spans="1:100" ht="15.75" customHeight="1" x14ac:dyDescent="0.2">
      <c r="A272" s="3"/>
      <c r="B272" s="4"/>
      <c r="C272" s="4"/>
      <c r="D272" s="4"/>
      <c r="E272" s="23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23"/>
      <c r="BQ272" s="23"/>
      <c r="BR272" s="23"/>
      <c r="BS272" s="23"/>
      <c r="BT272" s="23"/>
      <c r="BU272" s="23"/>
      <c r="BV272" s="23"/>
      <c r="BW272" s="23"/>
      <c r="BX272" s="23"/>
      <c r="BY272" s="23"/>
      <c r="BZ272" s="23"/>
      <c r="CA272" s="23"/>
      <c r="CB272" s="23"/>
      <c r="CC272" s="23"/>
      <c r="CD272" s="23"/>
      <c r="CE272" s="23"/>
      <c r="CF272" s="23"/>
      <c r="CG272" s="23"/>
      <c r="CH272" s="23"/>
      <c r="CI272" s="23"/>
      <c r="CJ272" s="23"/>
      <c r="CK272" s="23"/>
      <c r="CL272" s="23"/>
      <c r="CM272" s="23"/>
      <c r="CN272" s="23"/>
      <c r="CO272" s="23"/>
      <c r="CP272" s="23"/>
      <c r="CQ272" s="23"/>
      <c r="CR272" s="23"/>
      <c r="CS272" s="23"/>
      <c r="CT272" s="23"/>
      <c r="CU272" s="23"/>
      <c r="CV272" s="23"/>
    </row>
    <row r="273" spans="1:100" ht="15.75" customHeight="1" x14ac:dyDescent="0.2">
      <c r="A273" s="3"/>
      <c r="B273" s="4"/>
      <c r="C273" s="4"/>
      <c r="D273" s="4"/>
      <c r="E273" s="23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23"/>
      <c r="BQ273" s="23"/>
      <c r="BR273" s="23"/>
      <c r="BS273" s="23"/>
      <c r="BT273" s="23"/>
      <c r="BU273" s="23"/>
      <c r="BV273" s="23"/>
      <c r="BW273" s="23"/>
      <c r="BX273" s="23"/>
      <c r="BY273" s="23"/>
      <c r="BZ273" s="23"/>
      <c r="CA273" s="23"/>
      <c r="CB273" s="23"/>
      <c r="CC273" s="23"/>
      <c r="CD273" s="23"/>
      <c r="CE273" s="23"/>
      <c r="CF273" s="23"/>
      <c r="CG273" s="23"/>
      <c r="CH273" s="23"/>
      <c r="CI273" s="23"/>
      <c r="CJ273" s="23"/>
      <c r="CK273" s="23"/>
      <c r="CL273" s="23"/>
      <c r="CM273" s="23"/>
      <c r="CN273" s="23"/>
      <c r="CO273" s="23"/>
      <c r="CP273" s="23"/>
      <c r="CQ273" s="23"/>
      <c r="CR273" s="23"/>
      <c r="CS273" s="23"/>
      <c r="CT273" s="23"/>
      <c r="CU273" s="23"/>
      <c r="CV273" s="23"/>
    </row>
    <row r="274" spans="1:100" ht="15.75" customHeight="1" x14ac:dyDescent="0.2">
      <c r="A274" s="3"/>
      <c r="B274" s="4"/>
      <c r="C274" s="4"/>
      <c r="D274" s="4"/>
      <c r="E274" s="23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23"/>
      <c r="BQ274" s="23"/>
      <c r="BR274" s="23"/>
      <c r="BS274" s="23"/>
      <c r="BT274" s="23"/>
      <c r="BU274" s="23"/>
      <c r="BV274" s="23"/>
      <c r="BW274" s="23"/>
      <c r="BX274" s="23"/>
      <c r="BY274" s="23"/>
      <c r="BZ274" s="23"/>
      <c r="CA274" s="23"/>
      <c r="CB274" s="23"/>
      <c r="CC274" s="23"/>
      <c r="CD274" s="23"/>
      <c r="CE274" s="23"/>
      <c r="CF274" s="23"/>
      <c r="CG274" s="23"/>
      <c r="CH274" s="23"/>
      <c r="CI274" s="23"/>
      <c r="CJ274" s="23"/>
      <c r="CK274" s="23"/>
      <c r="CL274" s="23"/>
      <c r="CM274" s="23"/>
      <c r="CN274" s="23"/>
      <c r="CO274" s="23"/>
      <c r="CP274" s="23"/>
      <c r="CQ274" s="23"/>
      <c r="CR274" s="23"/>
      <c r="CS274" s="23"/>
      <c r="CT274" s="23"/>
      <c r="CU274" s="23"/>
      <c r="CV274" s="23"/>
    </row>
    <row r="275" spans="1:100" ht="15.75" customHeight="1" x14ac:dyDescent="0.2">
      <c r="A275" s="3"/>
      <c r="B275" s="4"/>
      <c r="C275" s="4"/>
      <c r="D275" s="4"/>
      <c r="E275" s="23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23"/>
      <c r="BQ275" s="23"/>
      <c r="BR275" s="23"/>
      <c r="BS275" s="23"/>
      <c r="BT275" s="23"/>
      <c r="BU275" s="23"/>
      <c r="BV275" s="23"/>
      <c r="BW275" s="23"/>
      <c r="BX275" s="23"/>
      <c r="BY275" s="23"/>
      <c r="BZ275" s="23"/>
      <c r="CA275" s="23"/>
      <c r="CB275" s="23"/>
      <c r="CC275" s="23"/>
      <c r="CD275" s="23"/>
      <c r="CE275" s="23"/>
      <c r="CF275" s="23"/>
      <c r="CG275" s="23"/>
      <c r="CH275" s="23"/>
      <c r="CI275" s="23"/>
      <c r="CJ275" s="23"/>
      <c r="CK275" s="23"/>
      <c r="CL275" s="23"/>
      <c r="CM275" s="23"/>
      <c r="CN275" s="23"/>
      <c r="CO275" s="23"/>
      <c r="CP275" s="23"/>
      <c r="CQ275" s="23"/>
      <c r="CR275" s="23"/>
      <c r="CS275" s="23"/>
      <c r="CT275" s="23"/>
      <c r="CU275" s="23"/>
      <c r="CV275" s="23"/>
    </row>
    <row r="276" spans="1:100" ht="15.75" customHeight="1" x14ac:dyDescent="0.2">
      <c r="A276" s="3"/>
      <c r="B276" s="4"/>
      <c r="C276" s="4"/>
      <c r="D276" s="4"/>
      <c r="E276" s="23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23"/>
      <c r="BQ276" s="23"/>
      <c r="BR276" s="23"/>
      <c r="BS276" s="23"/>
      <c r="BT276" s="23"/>
      <c r="BU276" s="23"/>
      <c r="BV276" s="23"/>
      <c r="BW276" s="23"/>
      <c r="BX276" s="23"/>
      <c r="BY276" s="23"/>
      <c r="BZ276" s="23"/>
      <c r="CA276" s="23"/>
      <c r="CB276" s="23"/>
      <c r="CC276" s="23"/>
      <c r="CD276" s="23"/>
      <c r="CE276" s="23"/>
      <c r="CF276" s="23"/>
      <c r="CG276" s="23"/>
      <c r="CH276" s="23"/>
      <c r="CI276" s="23"/>
      <c r="CJ276" s="23"/>
      <c r="CK276" s="23"/>
      <c r="CL276" s="23"/>
      <c r="CM276" s="23"/>
      <c r="CN276" s="23"/>
      <c r="CO276" s="23"/>
      <c r="CP276" s="23"/>
      <c r="CQ276" s="23"/>
      <c r="CR276" s="23"/>
      <c r="CS276" s="23"/>
      <c r="CT276" s="23"/>
      <c r="CU276" s="23"/>
      <c r="CV276" s="23"/>
    </row>
    <row r="277" spans="1:100" ht="15.75" customHeight="1" x14ac:dyDescent="0.2">
      <c r="A277" s="3"/>
      <c r="B277" s="4"/>
      <c r="C277" s="4"/>
      <c r="D277" s="4"/>
      <c r="E277" s="23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23"/>
      <c r="BQ277" s="23"/>
      <c r="BR277" s="23"/>
      <c r="BS277" s="23"/>
      <c r="BT277" s="23"/>
      <c r="BU277" s="23"/>
      <c r="BV277" s="23"/>
      <c r="BW277" s="23"/>
      <c r="BX277" s="23"/>
      <c r="BY277" s="23"/>
      <c r="BZ277" s="23"/>
      <c r="CA277" s="23"/>
      <c r="CB277" s="23"/>
      <c r="CC277" s="23"/>
      <c r="CD277" s="23"/>
      <c r="CE277" s="23"/>
      <c r="CF277" s="23"/>
      <c r="CG277" s="23"/>
      <c r="CH277" s="23"/>
      <c r="CI277" s="23"/>
      <c r="CJ277" s="23"/>
      <c r="CK277" s="23"/>
      <c r="CL277" s="23"/>
      <c r="CM277" s="23"/>
      <c r="CN277" s="23"/>
      <c r="CO277" s="23"/>
      <c r="CP277" s="23"/>
      <c r="CQ277" s="23"/>
      <c r="CR277" s="23"/>
      <c r="CS277" s="23"/>
      <c r="CT277" s="23"/>
      <c r="CU277" s="23"/>
      <c r="CV277" s="23"/>
    </row>
    <row r="278" spans="1:100" ht="15.75" customHeight="1" x14ac:dyDescent="0.2">
      <c r="A278" s="3"/>
      <c r="B278" s="4"/>
      <c r="C278" s="4"/>
      <c r="D278" s="4"/>
      <c r="E278" s="23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23"/>
      <c r="BQ278" s="23"/>
      <c r="BR278" s="23"/>
      <c r="BS278" s="23"/>
      <c r="BT278" s="23"/>
      <c r="BU278" s="23"/>
      <c r="BV278" s="23"/>
      <c r="BW278" s="23"/>
      <c r="BX278" s="23"/>
      <c r="BY278" s="23"/>
      <c r="BZ278" s="23"/>
      <c r="CA278" s="23"/>
      <c r="CB278" s="23"/>
      <c r="CC278" s="23"/>
      <c r="CD278" s="23"/>
      <c r="CE278" s="23"/>
      <c r="CF278" s="23"/>
      <c r="CG278" s="23"/>
      <c r="CH278" s="23"/>
      <c r="CI278" s="23"/>
      <c r="CJ278" s="23"/>
      <c r="CK278" s="23"/>
      <c r="CL278" s="23"/>
      <c r="CM278" s="23"/>
      <c r="CN278" s="23"/>
      <c r="CO278" s="23"/>
      <c r="CP278" s="23"/>
      <c r="CQ278" s="23"/>
      <c r="CR278" s="23"/>
      <c r="CS278" s="23"/>
      <c r="CT278" s="23"/>
      <c r="CU278" s="23"/>
      <c r="CV278" s="23"/>
    </row>
    <row r="279" spans="1:100" ht="15.75" customHeight="1" x14ac:dyDescent="0.2">
      <c r="A279" s="3"/>
      <c r="B279" s="4"/>
      <c r="C279" s="4"/>
      <c r="D279" s="4"/>
      <c r="E279" s="23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23"/>
      <c r="BQ279" s="23"/>
      <c r="BR279" s="23"/>
      <c r="BS279" s="23"/>
      <c r="BT279" s="23"/>
      <c r="BU279" s="23"/>
      <c r="BV279" s="23"/>
      <c r="BW279" s="23"/>
      <c r="BX279" s="23"/>
      <c r="BY279" s="23"/>
      <c r="BZ279" s="23"/>
      <c r="CA279" s="23"/>
      <c r="CB279" s="23"/>
      <c r="CC279" s="23"/>
      <c r="CD279" s="23"/>
      <c r="CE279" s="23"/>
      <c r="CF279" s="23"/>
      <c r="CG279" s="23"/>
      <c r="CH279" s="23"/>
      <c r="CI279" s="23"/>
      <c r="CJ279" s="23"/>
      <c r="CK279" s="23"/>
      <c r="CL279" s="23"/>
      <c r="CM279" s="23"/>
      <c r="CN279" s="23"/>
      <c r="CO279" s="23"/>
      <c r="CP279" s="23"/>
      <c r="CQ279" s="23"/>
      <c r="CR279" s="23"/>
      <c r="CS279" s="23"/>
      <c r="CT279" s="23"/>
      <c r="CU279" s="23"/>
      <c r="CV279" s="23"/>
    </row>
    <row r="280" spans="1:100" ht="15.75" customHeight="1" x14ac:dyDescent="0.2">
      <c r="A280" s="3"/>
      <c r="B280" s="4"/>
      <c r="C280" s="4"/>
      <c r="D280" s="4"/>
      <c r="E280" s="23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23"/>
      <c r="BQ280" s="23"/>
      <c r="BR280" s="23"/>
      <c r="BS280" s="23"/>
      <c r="BT280" s="23"/>
      <c r="BU280" s="23"/>
      <c r="BV280" s="23"/>
      <c r="BW280" s="23"/>
      <c r="BX280" s="23"/>
      <c r="BY280" s="23"/>
      <c r="BZ280" s="23"/>
      <c r="CA280" s="23"/>
      <c r="CB280" s="23"/>
      <c r="CC280" s="23"/>
      <c r="CD280" s="23"/>
      <c r="CE280" s="23"/>
      <c r="CF280" s="23"/>
      <c r="CG280" s="23"/>
      <c r="CH280" s="23"/>
      <c r="CI280" s="23"/>
      <c r="CJ280" s="23"/>
      <c r="CK280" s="23"/>
      <c r="CL280" s="23"/>
      <c r="CM280" s="23"/>
      <c r="CN280" s="23"/>
      <c r="CO280" s="23"/>
      <c r="CP280" s="23"/>
      <c r="CQ280" s="23"/>
      <c r="CR280" s="23"/>
      <c r="CS280" s="23"/>
      <c r="CT280" s="23"/>
      <c r="CU280" s="23"/>
      <c r="CV280" s="23"/>
    </row>
    <row r="281" spans="1:100" ht="15.75" customHeight="1" x14ac:dyDescent="0.2">
      <c r="A281" s="3"/>
      <c r="B281" s="4"/>
      <c r="C281" s="4"/>
      <c r="D281" s="4"/>
      <c r="E281" s="23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23"/>
      <c r="BQ281" s="23"/>
      <c r="BR281" s="23"/>
      <c r="BS281" s="23"/>
      <c r="BT281" s="23"/>
      <c r="BU281" s="23"/>
      <c r="BV281" s="23"/>
      <c r="BW281" s="23"/>
      <c r="BX281" s="23"/>
      <c r="BY281" s="23"/>
      <c r="BZ281" s="23"/>
      <c r="CA281" s="23"/>
      <c r="CB281" s="23"/>
      <c r="CC281" s="23"/>
      <c r="CD281" s="23"/>
      <c r="CE281" s="23"/>
      <c r="CF281" s="23"/>
      <c r="CG281" s="23"/>
      <c r="CH281" s="23"/>
      <c r="CI281" s="23"/>
      <c r="CJ281" s="23"/>
      <c r="CK281" s="23"/>
      <c r="CL281" s="23"/>
      <c r="CM281" s="23"/>
      <c r="CN281" s="23"/>
      <c r="CO281" s="23"/>
      <c r="CP281" s="23"/>
      <c r="CQ281" s="23"/>
      <c r="CR281" s="23"/>
      <c r="CS281" s="23"/>
      <c r="CT281" s="23"/>
      <c r="CU281" s="23"/>
      <c r="CV281" s="23"/>
    </row>
    <row r="282" spans="1:100" ht="15.75" customHeight="1" x14ac:dyDescent="0.2">
      <c r="A282" s="3"/>
      <c r="B282" s="4"/>
      <c r="C282" s="4"/>
      <c r="D282" s="4"/>
      <c r="E282" s="23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23"/>
      <c r="BQ282" s="23"/>
      <c r="BR282" s="23"/>
      <c r="BS282" s="23"/>
      <c r="BT282" s="23"/>
      <c r="BU282" s="23"/>
      <c r="BV282" s="23"/>
      <c r="BW282" s="23"/>
      <c r="BX282" s="23"/>
      <c r="BY282" s="23"/>
      <c r="BZ282" s="23"/>
      <c r="CA282" s="23"/>
      <c r="CB282" s="23"/>
      <c r="CC282" s="23"/>
      <c r="CD282" s="23"/>
      <c r="CE282" s="23"/>
      <c r="CF282" s="23"/>
      <c r="CG282" s="23"/>
      <c r="CH282" s="23"/>
      <c r="CI282" s="23"/>
      <c r="CJ282" s="23"/>
      <c r="CK282" s="23"/>
      <c r="CL282" s="23"/>
      <c r="CM282" s="23"/>
      <c r="CN282" s="23"/>
      <c r="CO282" s="23"/>
      <c r="CP282" s="23"/>
      <c r="CQ282" s="23"/>
      <c r="CR282" s="23"/>
      <c r="CS282" s="23"/>
      <c r="CT282" s="23"/>
      <c r="CU282" s="23"/>
      <c r="CV282" s="23"/>
    </row>
    <row r="283" spans="1:100" ht="15.75" customHeight="1" x14ac:dyDescent="0.2">
      <c r="A283" s="3"/>
      <c r="B283" s="4"/>
      <c r="C283" s="4"/>
      <c r="D283" s="4"/>
      <c r="E283" s="23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23"/>
      <c r="BQ283" s="23"/>
      <c r="BR283" s="23"/>
      <c r="BS283" s="23"/>
      <c r="BT283" s="23"/>
      <c r="BU283" s="23"/>
      <c r="BV283" s="23"/>
      <c r="BW283" s="23"/>
      <c r="BX283" s="23"/>
      <c r="BY283" s="23"/>
      <c r="BZ283" s="23"/>
      <c r="CA283" s="23"/>
      <c r="CB283" s="23"/>
      <c r="CC283" s="23"/>
      <c r="CD283" s="23"/>
      <c r="CE283" s="23"/>
      <c r="CF283" s="23"/>
      <c r="CG283" s="23"/>
      <c r="CH283" s="23"/>
      <c r="CI283" s="23"/>
      <c r="CJ283" s="23"/>
      <c r="CK283" s="23"/>
      <c r="CL283" s="23"/>
      <c r="CM283" s="23"/>
      <c r="CN283" s="23"/>
      <c r="CO283" s="23"/>
      <c r="CP283" s="23"/>
      <c r="CQ283" s="23"/>
      <c r="CR283" s="23"/>
      <c r="CS283" s="23"/>
      <c r="CT283" s="23"/>
      <c r="CU283" s="23"/>
      <c r="CV283" s="23"/>
    </row>
    <row r="284" spans="1:100" ht="15.75" customHeight="1" x14ac:dyDescent="0.2">
      <c r="A284" s="3"/>
      <c r="B284" s="4"/>
      <c r="C284" s="4"/>
      <c r="D284" s="4"/>
      <c r="E284" s="23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23"/>
      <c r="BQ284" s="23"/>
      <c r="BR284" s="23"/>
      <c r="BS284" s="23"/>
      <c r="BT284" s="23"/>
      <c r="BU284" s="23"/>
      <c r="BV284" s="23"/>
      <c r="BW284" s="23"/>
      <c r="BX284" s="23"/>
      <c r="BY284" s="23"/>
      <c r="BZ284" s="23"/>
      <c r="CA284" s="23"/>
      <c r="CB284" s="23"/>
      <c r="CC284" s="23"/>
      <c r="CD284" s="23"/>
      <c r="CE284" s="23"/>
      <c r="CF284" s="23"/>
      <c r="CG284" s="23"/>
      <c r="CH284" s="23"/>
      <c r="CI284" s="23"/>
      <c r="CJ284" s="23"/>
      <c r="CK284" s="23"/>
      <c r="CL284" s="23"/>
      <c r="CM284" s="23"/>
      <c r="CN284" s="23"/>
      <c r="CO284" s="23"/>
      <c r="CP284" s="23"/>
      <c r="CQ284" s="23"/>
      <c r="CR284" s="23"/>
      <c r="CS284" s="23"/>
      <c r="CT284" s="23"/>
      <c r="CU284" s="23"/>
      <c r="CV284" s="23"/>
    </row>
    <row r="285" spans="1:100" ht="15.75" customHeight="1" x14ac:dyDescent="0.2">
      <c r="A285" s="3"/>
      <c r="B285" s="4"/>
      <c r="C285" s="4"/>
      <c r="D285" s="4"/>
      <c r="E285" s="23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23"/>
      <c r="BQ285" s="23"/>
      <c r="BR285" s="23"/>
      <c r="BS285" s="23"/>
      <c r="BT285" s="23"/>
      <c r="BU285" s="23"/>
      <c r="BV285" s="23"/>
      <c r="BW285" s="23"/>
      <c r="BX285" s="23"/>
      <c r="BY285" s="23"/>
      <c r="BZ285" s="23"/>
      <c r="CA285" s="23"/>
      <c r="CB285" s="23"/>
      <c r="CC285" s="23"/>
      <c r="CD285" s="23"/>
      <c r="CE285" s="23"/>
      <c r="CF285" s="23"/>
      <c r="CG285" s="23"/>
      <c r="CH285" s="23"/>
      <c r="CI285" s="23"/>
      <c r="CJ285" s="23"/>
      <c r="CK285" s="23"/>
      <c r="CL285" s="23"/>
      <c r="CM285" s="23"/>
      <c r="CN285" s="23"/>
      <c r="CO285" s="23"/>
      <c r="CP285" s="23"/>
      <c r="CQ285" s="23"/>
      <c r="CR285" s="23"/>
      <c r="CS285" s="23"/>
      <c r="CT285" s="23"/>
      <c r="CU285" s="23"/>
      <c r="CV285" s="23"/>
    </row>
    <row r="286" spans="1:100" ht="15.75" customHeight="1" x14ac:dyDescent="0.2">
      <c r="A286" s="3"/>
      <c r="B286" s="4"/>
      <c r="C286" s="4"/>
      <c r="D286" s="4"/>
      <c r="E286" s="23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23"/>
      <c r="BQ286" s="23"/>
      <c r="BR286" s="23"/>
      <c r="BS286" s="23"/>
      <c r="BT286" s="23"/>
      <c r="BU286" s="23"/>
      <c r="BV286" s="23"/>
      <c r="BW286" s="23"/>
      <c r="BX286" s="23"/>
      <c r="BY286" s="23"/>
      <c r="BZ286" s="23"/>
      <c r="CA286" s="23"/>
      <c r="CB286" s="23"/>
      <c r="CC286" s="23"/>
      <c r="CD286" s="23"/>
      <c r="CE286" s="23"/>
      <c r="CF286" s="23"/>
      <c r="CG286" s="23"/>
      <c r="CH286" s="23"/>
      <c r="CI286" s="23"/>
      <c r="CJ286" s="23"/>
      <c r="CK286" s="23"/>
      <c r="CL286" s="23"/>
      <c r="CM286" s="23"/>
      <c r="CN286" s="23"/>
      <c r="CO286" s="23"/>
      <c r="CP286" s="23"/>
      <c r="CQ286" s="23"/>
      <c r="CR286" s="23"/>
      <c r="CS286" s="23"/>
      <c r="CT286" s="23"/>
      <c r="CU286" s="23"/>
      <c r="CV286" s="23"/>
    </row>
    <row r="287" spans="1:100" ht="15.75" customHeight="1" x14ac:dyDescent="0.2">
      <c r="A287" s="3"/>
      <c r="B287" s="4"/>
      <c r="C287" s="4"/>
      <c r="D287" s="4"/>
      <c r="E287" s="23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23"/>
      <c r="BQ287" s="23"/>
      <c r="BR287" s="23"/>
      <c r="BS287" s="23"/>
      <c r="BT287" s="23"/>
      <c r="BU287" s="23"/>
      <c r="BV287" s="23"/>
      <c r="BW287" s="23"/>
      <c r="BX287" s="23"/>
      <c r="BY287" s="23"/>
      <c r="BZ287" s="23"/>
      <c r="CA287" s="23"/>
      <c r="CB287" s="23"/>
      <c r="CC287" s="23"/>
      <c r="CD287" s="23"/>
      <c r="CE287" s="23"/>
      <c r="CF287" s="23"/>
      <c r="CG287" s="23"/>
      <c r="CH287" s="23"/>
      <c r="CI287" s="23"/>
      <c r="CJ287" s="23"/>
      <c r="CK287" s="23"/>
      <c r="CL287" s="23"/>
      <c r="CM287" s="23"/>
      <c r="CN287" s="23"/>
      <c r="CO287" s="23"/>
      <c r="CP287" s="23"/>
      <c r="CQ287" s="23"/>
      <c r="CR287" s="23"/>
      <c r="CS287" s="23"/>
      <c r="CT287" s="23"/>
      <c r="CU287" s="23"/>
      <c r="CV287" s="23"/>
    </row>
    <row r="288" spans="1:100" ht="15.75" customHeight="1" x14ac:dyDescent="0.2">
      <c r="A288" s="3"/>
      <c r="B288" s="4"/>
      <c r="C288" s="4"/>
      <c r="D288" s="4"/>
      <c r="E288" s="23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23"/>
      <c r="BQ288" s="23"/>
      <c r="BR288" s="23"/>
      <c r="BS288" s="23"/>
      <c r="BT288" s="23"/>
      <c r="BU288" s="23"/>
      <c r="BV288" s="23"/>
      <c r="BW288" s="23"/>
      <c r="BX288" s="23"/>
      <c r="BY288" s="23"/>
      <c r="BZ288" s="23"/>
      <c r="CA288" s="23"/>
      <c r="CB288" s="23"/>
      <c r="CC288" s="23"/>
      <c r="CD288" s="23"/>
      <c r="CE288" s="23"/>
      <c r="CF288" s="23"/>
      <c r="CG288" s="23"/>
      <c r="CH288" s="23"/>
      <c r="CI288" s="23"/>
      <c r="CJ288" s="23"/>
      <c r="CK288" s="23"/>
      <c r="CL288" s="23"/>
      <c r="CM288" s="23"/>
      <c r="CN288" s="23"/>
      <c r="CO288" s="23"/>
      <c r="CP288" s="23"/>
      <c r="CQ288" s="23"/>
      <c r="CR288" s="23"/>
      <c r="CS288" s="23"/>
      <c r="CT288" s="23"/>
      <c r="CU288" s="23"/>
      <c r="CV288" s="23"/>
    </row>
    <row r="289" spans="1:100" ht="15.75" customHeight="1" x14ac:dyDescent="0.2">
      <c r="A289" s="3"/>
      <c r="B289" s="4"/>
      <c r="C289" s="4"/>
      <c r="D289" s="4"/>
      <c r="E289" s="23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23"/>
      <c r="BQ289" s="23"/>
      <c r="BR289" s="23"/>
      <c r="BS289" s="23"/>
      <c r="BT289" s="23"/>
      <c r="BU289" s="23"/>
      <c r="BV289" s="23"/>
      <c r="BW289" s="23"/>
      <c r="BX289" s="23"/>
      <c r="BY289" s="23"/>
      <c r="BZ289" s="23"/>
      <c r="CA289" s="23"/>
      <c r="CB289" s="23"/>
      <c r="CC289" s="23"/>
      <c r="CD289" s="23"/>
      <c r="CE289" s="23"/>
      <c r="CF289" s="23"/>
      <c r="CG289" s="23"/>
      <c r="CH289" s="23"/>
      <c r="CI289" s="23"/>
      <c r="CJ289" s="23"/>
      <c r="CK289" s="23"/>
      <c r="CL289" s="23"/>
      <c r="CM289" s="23"/>
      <c r="CN289" s="23"/>
      <c r="CO289" s="23"/>
      <c r="CP289" s="23"/>
      <c r="CQ289" s="23"/>
      <c r="CR289" s="23"/>
      <c r="CS289" s="23"/>
      <c r="CT289" s="23"/>
      <c r="CU289" s="23"/>
      <c r="CV289" s="23"/>
    </row>
    <row r="290" spans="1:100" ht="15.75" customHeight="1" x14ac:dyDescent="0.2">
      <c r="A290" s="3"/>
      <c r="B290" s="4"/>
      <c r="C290" s="4"/>
      <c r="D290" s="4"/>
      <c r="E290" s="23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23"/>
      <c r="BQ290" s="23"/>
      <c r="BR290" s="23"/>
      <c r="BS290" s="23"/>
      <c r="BT290" s="23"/>
      <c r="BU290" s="23"/>
      <c r="BV290" s="23"/>
      <c r="BW290" s="23"/>
      <c r="BX290" s="23"/>
      <c r="BY290" s="23"/>
      <c r="BZ290" s="23"/>
      <c r="CA290" s="23"/>
      <c r="CB290" s="23"/>
      <c r="CC290" s="23"/>
      <c r="CD290" s="23"/>
      <c r="CE290" s="23"/>
      <c r="CF290" s="23"/>
      <c r="CG290" s="23"/>
      <c r="CH290" s="23"/>
      <c r="CI290" s="23"/>
      <c r="CJ290" s="23"/>
      <c r="CK290" s="23"/>
      <c r="CL290" s="23"/>
      <c r="CM290" s="23"/>
      <c r="CN290" s="23"/>
      <c r="CO290" s="23"/>
      <c r="CP290" s="23"/>
      <c r="CQ290" s="23"/>
      <c r="CR290" s="23"/>
      <c r="CS290" s="23"/>
      <c r="CT290" s="23"/>
      <c r="CU290" s="23"/>
      <c r="CV290" s="23"/>
    </row>
    <row r="291" spans="1:100" ht="15.75" customHeight="1" x14ac:dyDescent="0.2">
      <c r="A291" s="3"/>
      <c r="B291" s="4"/>
      <c r="C291" s="4"/>
      <c r="D291" s="4"/>
      <c r="E291" s="23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23"/>
      <c r="BQ291" s="23"/>
      <c r="BR291" s="23"/>
      <c r="BS291" s="23"/>
      <c r="BT291" s="23"/>
      <c r="BU291" s="23"/>
      <c r="BV291" s="23"/>
      <c r="BW291" s="23"/>
      <c r="BX291" s="23"/>
      <c r="BY291" s="23"/>
      <c r="BZ291" s="23"/>
      <c r="CA291" s="23"/>
      <c r="CB291" s="23"/>
      <c r="CC291" s="23"/>
      <c r="CD291" s="23"/>
      <c r="CE291" s="23"/>
      <c r="CF291" s="23"/>
      <c r="CG291" s="23"/>
      <c r="CH291" s="23"/>
      <c r="CI291" s="23"/>
      <c r="CJ291" s="23"/>
      <c r="CK291" s="23"/>
      <c r="CL291" s="23"/>
      <c r="CM291" s="23"/>
      <c r="CN291" s="23"/>
      <c r="CO291" s="23"/>
      <c r="CP291" s="23"/>
      <c r="CQ291" s="23"/>
      <c r="CR291" s="23"/>
      <c r="CS291" s="23"/>
      <c r="CT291" s="23"/>
      <c r="CU291" s="23"/>
      <c r="CV291" s="23"/>
    </row>
    <row r="292" spans="1:100" ht="15.75" customHeight="1" x14ac:dyDescent="0.2">
      <c r="A292" s="3"/>
      <c r="B292" s="4"/>
      <c r="C292" s="4"/>
      <c r="D292" s="4"/>
      <c r="E292" s="23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23"/>
      <c r="BQ292" s="23"/>
      <c r="BR292" s="23"/>
      <c r="BS292" s="23"/>
      <c r="BT292" s="23"/>
      <c r="BU292" s="23"/>
      <c r="BV292" s="23"/>
      <c r="BW292" s="23"/>
      <c r="BX292" s="23"/>
      <c r="BY292" s="23"/>
      <c r="BZ292" s="23"/>
      <c r="CA292" s="23"/>
      <c r="CB292" s="23"/>
      <c r="CC292" s="23"/>
      <c r="CD292" s="23"/>
      <c r="CE292" s="23"/>
      <c r="CF292" s="23"/>
      <c r="CG292" s="23"/>
      <c r="CH292" s="23"/>
      <c r="CI292" s="23"/>
      <c r="CJ292" s="23"/>
      <c r="CK292" s="23"/>
      <c r="CL292" s="23"/>
      <c r="CM292" s="23"/>
      <c r="CN292" s="23"/>
      <c r="CO292" s="23"/>
      <c r="CP292" s="23"/>
      <c r="CQ292" s="23"/>
      <c r="CR292" s="23"/>
      <c r="CS292" s="23"/>
      <c r="CT292" s="23"/>
      <c r="CU292" s="23"/>
      <c r="CV292" s="23"/>
    </row>
    <row r="293" spans="1:100" ht="15.75" customHeight="1" x14ac:dyDescent="0.2">
      <c r="A293" s="3"/>
      <c r="B293" s="4"/>
      <c r="C293" s="4"/>
      <c r="D293" s="4"/>
      <c r="E293" s="23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23"/>
      <c r="BQ293" s="23"/>
      <c r="BR293" s="23"/>
      <c r="BS293" s="23"/>
      <c r="BT293" s="23"/>
      <c r="BU293" s="23"/>
      <c r="BV293" s="23"/>
      <c r="BW293" s="23"/>
      <c r="BX293" s="23"/>
      <c r="BY293" s="23"/>
      <c r="BZ293" s="23"/>
      <c r="CA293" s="23"/>
      <c r="CB293" s="23"/>
      <c r="CC293" s="23"/>
      <c r="CD293" s="23"/>
      <c r="CE293" s="23"/>
      <c r="CF293" s="23"/>
      <c r="CG293" s="23"/>
      <c r="CH293" s="23"/>
      <c r="CI293" s="23"/>
      <c r="CJ293" s="23"/>
      <c r="CK293" s="23"/>
      <c r="CL293" s="23"/>
      <c r="CM293" s="23"/>
      <c r="CN293" s="23"/>
      <c r="CO293" s="23"/>
      <c r="CP293" s="23"/>
      <c r="CQ293" s="23"/>
      <c r="CR293" s="23"/>
      <c r="CS293" s="23"/>
      <c r="CT293" s="23"/>
      <c r="CU293" s="23"/>
      <c r="CV293" s="23"/>
    </row>
    <row r="294" spans="1:100" ht="15.75" customHeight="1" x14ac:dyDescent="0.2">
      <c r="A294" s="3"/>
      <c r="B294" s="4"/>
      <c r="C294" s="4"/>
      <c r="D294" s="4"/>
      <c r="E294" s="23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23"/>
      <c r="BQ294" s="23"/>
      <c r="BR294" s="23"/>
      <c r="BS294" s="23"/>
      <c r="BT294" s="23"/>
      <c r="BU294" s="23"/>
      <c r="BV294" s="23"/>
      <c r="BW294" s="23"/>
      <c r="BX294" s="23"/>
      <c r="BY294" s="23"/>
      <c r="BZ294" s="23"/>
      <c r="CA294" s="23"/>
      <c r="CB294" s="23"/>
      <c r="CC294" s="23"/>
      <c r="CD294" s="23"/>
      <c r="CE294" s="23"/>
      <c r="CF294" s="23"/>
      <c r="CG294" s="23"/>
      <c r="CH294" s="23"/>
      <c r="CI294" s="23"/>
      <c r="CJ294" s="23"/>
      <c r="CK294" s="23"/>
      <c r="CL294" s="23"/>
      <c r="CM294" s="23"/>
      <c r="CN294" s="23"/>
      <c r="CO294" s="23"/>
      <c r="CP294" s="23"/>
      <c r="CQ294" s="23"/>
      <c r="CR294" s="23"/>
      <c r="CS294" s="23"/>
      <c r="CT294" s="23"/>
      <c r="CU294" s="23"/>
      <c r="CV294" s="23"/>
    </row>
    <row r="295" spans="1:100" ht="15.75" customHeight="1" x14ac:dyDescent="0.2">
      <c r="A295" s="3"/>
      <c r="B295" s="4"/>
      <c r="C295" s="4"/>
      <c r="D295" s="4"/>
      <c r="E295" s="23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23"/>
      <c r="BQ295" s="23"/>
      <c r="BR295" s="23"/>
      <c r="BS295" s="23"/>
      <c r="BT295" s="23"/>
      <c r="BU295" s="23"/>
      <c r="BV295" s="23"/>
      <c r="BW295" s="23"/>
      <c r="BX295" s="23"/>
      <c r="BY295" s="23"/>
      <c r="BZ295" s="23"/>
      <c r="CA295" s="23"/>
      <c r="CB295" s="23"/>
      <c r="CC295" s="23"/>
      <c r="CD295" s="23"/>
      <c r="CE295" s="23"/>
      <c r="CF295" s="23"/>
      <c r="CG295" s="23"/>
      <c r="CH295" s="23"/>
      <c r="CI295" s="23"/>
      <c r="CJ295" s="23"/>
      <c r="CK295" s="23"/>
      <c r="CL295" s="23"/>
      <c r="CM295" s="23"/>
      <c r="CN295" s="23"/>
      <c r="CO295" s="23"/>
      <c r="CP295" s="23"/>
      <c r="CQ295" s="23"/>
      <c r="CR295" s="23"/>
      <c r="CS295" s="23"/>
      <c r="CT295" s="23"/>
      <c r="CU295" s="23"/>
      <c r="CV295" s="23"/>
    </row>
    <row r="296" spans="1:100" ht="15.75" customHeight="1" x14ac:dyDescent="0.2">
      <c r="A296" s="3"/>
      <c r="B296" s="4"/>
      <c r="C296" s="4"/>
      <c r="D296" s="4"/>
      <c r="E296" s="23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23"/>
      <c r="BQ296" s="23"/>
      <c r="BR296" s="23"/>
      <c r="BS296" s="23"/>
      <c r="BT296" s="23"/>
      <c r="BU296" s="23"/>
      <c r="BV296" s="23"/>
      <c r="BW296" s="23"/>
      <c r="BX296" s="23"/>
      <c r="BY296" s="23"/>
      <c r="BZ296" s="23"/>
      <c r="CA296" s="23"/>
      <c r="CB296" s="23"/>
      <c r="CC296" s="23"/>
      <c r="CD296" s="23"/>
      <c r="CE296" s="23"/>
      <c r="CF296" s="23"/>
      <c r="CG296" s="23"/>
      <c r="CH296" s="23"/>
      <c r="CI296" s="23"/>
      <c r="CJ296" s="23"/>
      <c r="CK296" s="23"/>
      <c r="CL296" s="23"/>
      <c r="CM296" s="23"/>
      <c r="CN296" s="23"/>
      <c r="CO296" s="23"/>
      <c r="CP296" s="23"/>
      <c r="CQ296" s="23"/>
      <c r="CR296" s="23"/>
      <c r="CS296" s="23"/>
      <c r="CT296" s="23"/>
      <c r="CU296" s="23"/>
      <c r="CV296" s="23"/>
    </row>
    <row r="297" spans="1:100" ht="15.75" customHeight="1" x14ac:dyDescent="0.2">
      <c r="A297" s="3"/>
      <c r="B297" s="4"/>
      <c r="C297" s="4"/>
      <c r="D297" s="4"/>
      <c r="E297" s="23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23"/>
      <c r="BQ297" s="23"/>
      <c r="BR297" s="23"/>
      <c r="BS297" s="23"/>
      <c r="BT297" s="23"/>
      <c r="BU297" s="23"/>
      <c r="BV297" s="23"/>
      <c r="BW297" s="23"/>
      <c r="BX297" s="23"/>
      <c r="BY297" s="23"/>
      <c r="BZ297" s="23"/>
      <c r="CA297" s="23"/>
      <c r="CB297" s="23"/>
      <c r="CC297" s="23"/>
      <c r="CD297" s="23"/>
      <c r="CE297" s="23"/>
      <c r="CF297" s="23"/>
      <c r="CG297" s="23"/>
      <c r="CH297" s="23"/>
      <c r="CI297" s="23"/>
      <c r="CJ297" s="23"/>
      <c r="CK297" s="23"/>
      <c r="CL297" s="23"/>
      <c r="CM297" s="23"/>
      <c r="CN297" s="23"/>
      <c r="CO297" s="23"/>
      <c r="CP297" s="23"/>
      <c r="CQ297" s="23"/>
      <c r="CR297" s="23"/>
      <c r="CS297" s="23"/>
      <c r="CT297" s="23"/>
      <c r="CU297" s="23"/>
      <c r="CV297" s="23"/>
    </row>
    <row r="298" spans="1:100" ht="15.75" customHeight="1" x14ac:dyDescent="0.2">
      <c r="A298" s="3"/>
      <c r="B298" s="4"/>
      <c r="C298" s="4"/>
      <c r="D298" s="4"/>
      <c r="E298" s="23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23"/>
      <c r="BQ298" s="23"/>
      <c r="BR298" s="23"/>
      <c r="BS298" s="23"/>
      <c r="BT298" s="23"/>
      <c r="BU298" s="23"/>
      <c r="BV298" s="23"/>
      <c r="BW298" s="23"/>
      <c r="BX298" s="23"/>
      <c r="BY298" s="23"/>
      <c r="BZ298" s="23"/>
      <c r="CA298" s="23"/>
      <c r="CB298" s="23"/>
      <c r="CC298" s="23"/>
      <c r="CD298" s="23"/>
      <c r="CE298" s="23"/>
      <c r="CF298" s="23"/>
      <c r="CG298" s="23"/>
      <c r="CH298" s="23"/>
      <c r="CI298" s="23"/>
      <c r="CJ298" s="23"/>
      <c r="CK298" s="23"/>
      <c r="CL298" s="23"/>
      <c r="CM298" s="23"/>
      <c r="CN298" s="23"/>
      <c r="CO298" s="23"/>
      <c r="CP298" s="23"/>
      <c r="CQ298" s="23"/>
      <c r="CR298" s="23"/>
      <c r="CS298" s="23"/>
      <c r="CT298" s="23"/>
      <c r="CU298" s="23"/>
      <c r="CV298" s="23"/>
    </row>
    <row r="299" spans="1:100" ht="15.75" customHeight="1" x14ac:dyDescent="0.2">
      <c r="A299" s="3"/>
      <c r="B299" s="4"/>
      <c r="C299" s="4"/>
      <c r="D299" s="4"/>
      <c r="E299" s="23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23"/>
      <c r="BQ299" s="23"/>
      <c r="BR299" s="23"/>
      <c r="BS299" s="23"/>
      <c r="BT299" s="23"/>
      <c r="BU299" s="23"/>
      <c r="BV299" s="23"/>
      <c r="BW299" s="23"/>
      <c r="BX299" s="23"/>
      <c r="BY299" s="23"/>
      <c r="BZ299" s="23"/>
      <c r="CA299" s="23"/>
      <c r="CB299" s="23"/>
      <c r="CC299" s="23"/>
      <c r="CD299" s="23"/>
      <c r="CE299" s="23"/>
      <c r="CF299" s="23"/>
      <c r="CG299" s="23"/>
      <c r="CH299" s="23"/>
      <c r="CI299" s="23"/>
      <c r="CJ299" s="23"/>
      <c r="CK299" s="23"/>
      <c r="CL299" s="23"/>
      <c r="CM299" s="23"/>
      <c r="CN299" s="23"/>
      <c r="CO299" s="23"/>
      <c r="CP299" s="23"/>
      <c r="CQ299" s="23"/>
      <c r="CR299" s="23"/>
      <c r="CS299" s="23"/>
      <c r="CT299" s="23"/>
      <c r="CU299" s="23"/>
      <c r="CV299" s="23"/>
    </row>
    <row r="300" spans="1:100" ht="15.75" customHeight="1" x14ac:dyDescent="0.2">
      <c r="A300" s="3"/>
      <c r="B300" s="4"/>
      <c r="C300" s="4"/>
      <c r="D300" s="4"/>
      <c r="E300" s="23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23"/>
      <c r="BQ300" s="23"/>
      <c r="BR300" s="23"/>
      <c r="BS300" s="23"/>
      <c r="BT300" s="23"/>
      <c r="BU300" s="23"/>
      <c r="BV300" s="23"/>
      <c r="BW300" s="23"/>
      <c r="BX300" s="23"/>
      <c r="BY300" s="23"/>
      <c r="BZ300" s="23"/>
      <c r="CA300" s="23"/>
      <c r="CB300" s="23"/>
      <c r="CC300" s="23"/>
      <c r="CD300" s="23"/>
      <c r="CE300" s="23"/>
      <c r="CF300" s="23"/>
      <c r="CG300" s="23"/>
      <c r="CH300" s="23"/>
      <c r="CI300" s="23"/>
      <c r="CJ300" s="23"/>
      <c r="CK300" s="23"/>
      <c r="CL300" s="23"/>
      <c r="CM300" s="23"/>
      <c r="CN300" s="23"/>
      <c r="CO300" s="23"/>
      <c r="CP300" s="23"/>
      <c r="CQ300" s="23"/>
      <c r="CR300" s="23"/>
      <c r="CS300" s="23"/>
      <c r="CT300" s="23"/>
      <c r="CU300" s="23"/>
      <c r="CV300" s="23"/>
    </row>
    <row r="301" spans="1:100" ht="15.75" customHeight="1" x14ac:dyDescent="0.2">
      <c r="A301" s="3"/>
      <c r="B301" s="4"/>
      <c r="C301" s="4"/>
      <c r="D301" s="4"/>
      <c r="E301" s="23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23"/>
      <c r="BQ301" s="23"/>
      <c r="BR301" s="23"/>
      <c r="BS301" s="23"/>
      <c r="BT301" s="23"/>
      <c r="BU301" s="23"/>
      <c r="BV301" s="23"/>
      <c r="BW301" s="23"/>
      <c r="BX301" s="23"/>
      <c r="BY301" s="23"/>
      <c r="BZ301" s="23"/>
      <c r="CA301" s="23"/>
      <c r="CB301" s="23"/>
      <c r="CC301" s="23"/>
      <c r="CD301" s="23"/>
      <c r="CE301" s="23"/>
      <c r="CF301" s="23"/>
      <c r="CG301" s="23"/>
      <c r="CH301" s="23"/>
      <c r="CI301" s="23"/>
      <c r="CJ301" s="23"/>
      <c r="CK301" s="23"/>
      <c r="CL301" s="23"/>
      <c r="CM301" s="23"/>
      <c r="CN301" s="23"/>
      <c r="CO301" s="23"/>
      <c r="CP301" s="23"/>
      <c r="CQ301" s="23"/>
      <c r="CR301" s="23"/>
      <c r="CS301" s="23"/>
      <c r="CT301" s="23"/>
      <c r="CU301" s="23"/>
      <c r="CV301" s="23"/>
    </row>
    <row r="302" spans="1:100" ht="15.75" customHeight="1" x14ac:dyDescent="0.2">
      <c r="A302" s="3"/>
      <c r="B302" s="4"/>
      <c r="C302" s="4"/>
      <c r="D302" s="4"/>
      <c r="E302" s="23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23"/>
      <c r="BQ302" s="23"/>
      <c r="BR302" s="23"/>
      <c r="BS302" s="23"/>
      <c r="BT302" s="23"/>
      <c r="BU302" s="23"/>
      <c r="BV302" s="23"/>
      <c r="BW302" s="23"/>
      <c r="BX302" s="23"/>
      <c r="BY302" s="23"/>
      <c r="BZ302" s="23"/>
      <c r="CA302" s="23"/>
      <c r="CB302" s="23"/>
      <c r="CC302" s="23"/>
      <c r="CD302" s="23"/>
      <c r="CE302" s="23"/>
      <c r="CF302" s="23"/>
      <c r="CG302" s="23"/>
      <c r="CH302" s="23"/>
      <c r="CI302" s="23"/>
      <c r="CJ302" s="23"/>
      <c r="CK302" s="23"/>
      <c r="CL302" s="23"/>
      <c r="CM302" s="23"/>
      <c r="CN302" s="23"/>
      <c r="CO302" s="23"/>
      <c r="CP302" s="23"/>
      <c r="CQ302" s="23"/>
      <c r="CR302" s="23"/>
      <c r="CS302" s="23"/>
      <c r="CT302" s="23"/>
      <c r="CU302" s="23"/>
      <c r="CV302" s="23"/>
    </row>
    <row r="303" spans="1:100" ht="15.75" customHeight="1" x14ac:dyDescent="0.2">
      <c r="A303" s="3"/>
      <c r="B303" s="4"/>
      <c r="C303" s="4"/>
      <c r="D303" s="4"/>
      <c r="E303" s="23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23"/>
      <c r="BQ303" s="23"/>
      <c r="BR303" s="23"/>
      <c r="BS303" s="23"/>
      <c r="BT303" s="23"/>
      <c r="BU303" s="23"/>
      <c r="BV303" s="23"/>
      <c r="BW303" s="23"/>
      <c r="BX303" s="23"/>
      <c r="BY303" s="23"/>
      <c r="BZ303" s="23"/>
      <c r="CA303" s="23"/>
      <c r="CB303" s="23"/>
      <c r="CC303" s="23"/>
      <c r="CD303" s="23"/>
      <c r="CE303" s="23"/>
      <c r="CF303" s="23"/>
      <c r="CG303" s="23"/>
      <c r="CH303" s="23"/>
      <c r="CI303" s="23"/>
      <c r="CJ303" s="23"/>
      <c r="CK303" s="23"/>
      <c r="CL303" s="23"/>
      <c r="CM303" s="23"/>
      <c r="CN303" s="23"/>
      <c r="CO303" s="23"/>
      <c r="CP303" s="23"/>
      <c r="CQ303" s="23"/>
      <c r="CR303" s="23"/>
      <c r="CS303" s="23"/>
      <c r="CT303" s="23"/>
      <c r="CU303" s="23"/>
      <c r="CV303" s="23"/>
    </row>
    <row r="304" spans="1:100" ht="15.75" customHeight="1" x14ac:dyDescent="0.2">
      <c r="A304" s="3"/>
      <c r="B304" s="4"/>
      <c r="C304" s="4"/>
      <c r="D304" s="4"/>
      <c r="E304" s="23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23"/>
      <c r="BQ304" s="23"/>
      <c r="BR304" s="23"/>
      <c r="BS304" s="23"/>
      <c r="BT304" s="23"/>
      <c r="BU304" s="23"/>
      <c r="BV304" s="23"/>
      <c r="BW304" s="23"/>
      <c r="BX304" s="23"/>
      <c r="BY304" s="23"/>
      <c r="BZ304" s="23"/>
      <c r="CA304" s="23"/>
      <c r="CB304" s="23"/>
      <c r="CC304" s="23"/>
      <c r="CD304" s="23"/>
      <c r="CE304" s="23"/>
      <c r="CF304" s="23"/>
      <c r="CG304" s="23"/>
      <c r="CH304" s="23"/>
      <c r="CI304" s="23"/>
      <c r="CJ304" s="23"/>
      <c r="CK304" s="23"/>
      <c r="CL304" s="23"/>
      <c r="CM304" s="23"/>
      <c r="CN304" s="23"/>
      <c r="CO304" s="23"/>
      <c r="CP304" s="23"/>
      <c r="CQ304" s="23"/>
      <c r="CR304" s="23"/>
      <c r="CS304" s="23"/>
      <c r="CT304" s="23"/>
      <c r="CU304" s="23"/>
      <c r="CV304" s="23"/>
    </row>
    <row r="305" spans="1:100" ht="15.75" customHeight="1" x14ac:dyDescent="0.2">
      <c r="A305" s="3"/>
      <c r="B305" s="4"/>
      <c r="C305" s="4"/>
      <c r="D305" s="4"/>
      <c r="E305" s="23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23"/>
      <c r="BQ305" s="23"/>
      <c r="BR305" s="23"/>
      <c r="BS305" s="23"/>
      <c r="BT305" s="23"/>
      <c r="BU305" s="23"/>
      <c r="BV305" s="23"/>
      <c r="BW305" s="23"/>
      <c r="BX305" s="23"/>
      <c r="BY305" s="23"/>
      <c r="BZ305" s="23"/>
      <c r="CA305" s="23"/>
      <c r="CB305" s="23"/>
      <c r="CC305" s="23"/>
      <c r="CD305" s="23"/>
      <c r="CE305" s="23"/>
      <c r="CF305" s="23"/>
      <c r="CG305" s="23"/>
      <c r="CH305" s="23"/>
      <c r="CI305" s="23"/>
      <c r="CJ305" s="23"/>
      <c r="CK305" s="23"/>
      <c r="CL305" s="23"/>
      <c r="CM305" s="23"/>
      <c r="CN305" s="23"/>
      <c r="CO305" s="23"/>
      <c r="CP305" s="23"/>
      <c r="CQ305" s="23"/>
      <c r="CR305" s="23"/>
      <c r="CS305" s="23"/>
      <c r="CT305" s="23"/>
      <c r="CU305" s="23"/>
      <c r="CV305" s="23"/>
    </row>
    <row r="306" spans="1:100" ht="15.75" customHeight="1" x14ac:dyDescent="0.2">
      <c r="A306" s="3"/>
      <c r="B306" s="4"/>
      <c r="C306" s="4"/>
      <c r="D306" s="4"/>
      <c r="E306" s="23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23"/>
      <c r="BQ306" s="23"/>
      <c r="BR306" s="23"/>
      <c r="BS306" s="23"/>
      <c r="BT306" s="23"/>
      <c r="BU306" s="23"/>
      <c r="BV306" s="23"/>
      <c r="BW306" s="23"/>
      <c r="BX306" s="23"/>
      <c r="BY306" s="23"/>
      <c r="BZ306" s="23"/>
      <c r="CA306" s="23"/>
      <c r="CB306" s="23"/>
      <c r="CC306" s="23"/>
      <c r="CD306" s="23"/>
      <c r="CE306" s="23"/>
      <c r="CF306" s="23"/>
      <c r="CG306" s="23"/>
      <c r="CH306" s="23"/>
      <c r="CI306" s="23"/>
      <c r="CJ306" s="23"/>
      <c r="CK306" s="23"/>
      <c r="CL306" s="23"/>
      <c r="CM306" s="23"/>
      <c r="CN306" s="23"/>
      <c r="CO306" s="23"/>
      <c r="CP306" s="23"/>
      <c r="CQ306" s="23"/>
      <c r="CR306" s="23"/>
      <c r="CS306" s="23"/>
      <c r="CT306" s="23"/>
      <c r="CU306" s="23"/>
      <c r="CV306" s="23"/>
    </row>
    <row r="307" spans="1:100" ht="15.75" customHeight="1" x14ac:dyDescent="0.2">
      <c r="A307" s="3"/>
      <c r="B307" s="4"/>
      <c r="C307" s="4"/>
      <c r="D307" s="4"/>
      <c r="E307" s="23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23"/>
      <c r="BQ307" s="23"/>
      <c r="BR307" s="23"/>
      <c r="BS307" s="23"/>
      <c r="BT307" s="23"/>
      <c r="BU307" s="23"/>
      <c r="BV307" s="23"/>
      <c r="BW307" s="23"/>
      <c r="BX307" s="23"/>
      <c r="BY307" s="23"/>
      <c r="BZ307" s="23"/>
      <c r="CA307" s="23"/>
      <c r="CB307" s="23"/>
      <c r="CC307" s="23"/>
      <c r="CD307" s="23"/>
      <c r="CE307" s="23"/>
      <c r="CF307" s="23"/>
      <c r="CG307" s="23"/>
      <c r="CH307" s="23"/>
      <c r="CI307" s="23"/>
      <c r="CJ307" s="23"/>
      <c r="CK307" s="23"/>
      <c r="CL307" s="23"/>
      <c r="CM307" s="23"/>
      <c r="CN307" s="23"/>
      <c r="CO307" s="23"/>
      <c r="CP307" s="23"/>
      <c r="CQ307" s="23"/>
      <c r="CR307" s="23"/>
      <c r="CS307" s="23"/>
      <c r="CT307" s="23"/>
      <c r="CU307" s="23"/>
      <c r="CV307" s="23"/>
    </row>
    <row r="308" spans="1:100" ht="15.75" customHeight="1" x14ac:dyDescent="0.2">
      <c r="A308" s="3"/>
      <c r="B308" s="4"/>
      <c r="C308" s="4"/>
      <c r="D308" s="4"/>
      <c r="E308" s="23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23"/>
      <c r="BQ308" s="23"/>
      <c r="BR308" s="23"/>
      <c r="BS308" s="23"/>
      <c r="BT308" s="23"/>
      <c r="BU308" s="23"/>
      <c r="BV308" s="23"/>
      <c r="BW308" s="23"/>
      <c r="BX308" s="23"/>
      <c r="BY308" s="23"/>
      <c r="BZ308" s="23"/>
      <c r="CA308" s="23"/>
      <c r="CB308" s="23"/>
      <c r="CC308" s="23"/>
      <c r="CD308" s="23"/>
      <c r="CE308" s="23"/>
      <c r="CF308" s="23"/>
      <c r="CG308" s="23"/>
      <c r="CH308" s="23"/>
      <c r="CI308" s="23"/>
      <c r="CJ308" s="23"/>
      <c r="CK308" s="23"/>
      <c r="CL308" s="23"/>
      <c r="CM308" s="23"/>
      <c r="CN308" s="23"/>
      <c r="CO308" s="23"/>
      <c r="CP308" s="23"/>
      <c r="CQ308" s="23"/>
      <c r="CR308" s="23"/>
      <c r="CS308" s="23"/>
      <c r="CT308" s="23"/>
      <c r="CU308" s="23"/>
      <c r="CV308" s="23"/>
    </row>
    <row r="309" spans="1:100" ht="15.75" customHeight="1" x14ac:dyDescent="0.2">
      <c r="A309" s="3"/>
      <c r="B309" s="4"/>
      <c r="C309" s="4"/>
      <c r="D309" s="4"/>
      <c r="E309" s="23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23"/>
      <c r="BQ309" s="23"/>
      <c r="BR309" s="23"/>
      <c r="BS309" s="23"/>
      <c r="BT309" s="23"/>
      <c r="BU309" s="23"/>
      <c r="BV309" s="23"/>
      <c r="BW309" s="23"/>
      <c r="BX309" s="23"/>
      <c r="BY309" s="23"/>
      <c r="BZ309" s="23"/>
      <c r="CA309" s="23"/>
      <c r="CB309" s="23"/>
      <c r="CC309" s="23"/>
      <c r="CD309" s="23"/>
      <c r="CE309" s="23"/>
      <c r="CF309" s="23"/>
      <c r="CG309" s="23"/>
      <c r="CH309" s="23"/>
      <c r="CI309" s="23"/>
      <c r="CJ309" s="23"/>
      <c r="CK309" s="23"/>
      <c r="CL309" s="23"/>
      <c r="CM309" s="23"/>
      <c r="CN309" s="23"/>
      <c r="CO309" s="23"/>
      <c r="CP309" s="23"/>
      <c r="CQ309" s="23"/>
      <c r="CR309" s="23"/>
      <c r="CS309" s="23"/>
      <c r="CT309" s="23"/>
      <c r="CU309" s="23"/>
      <c r="CV309" s="23"/>
    </row>
    <row r="310" spans="1:100" ht="15.75" customHeight="1" x14ac:dyDescent="0.2">
      <c r="A310" s="3"/>
      <c r="B310" s="4"/>
      <c r="C310" s="4"/>
      <c r="D310" s="4"/>
      <c r="E310" s="23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23"/>
      <c r="BQ310" s="23"/>
      <c r="BR310" s="23"/>
      <c r="BS310" s="23"/>
      <c r="BT310" s="23"/>
      <c r="BU310" s="23"/>
      <c r="BV310" s="23"/>
      <c r="BW310" s="23"/>
      <c r="BX310" s="23"/>
      <c r="BY310" s="23"/>
      <c r="BZ310" s="23"/>
      <c r="CA310" s="23"/>
      <c r="CB310" s="23"/>
      <c r="CC310" s="23"/>
      <c r="CD310" s="23"/>
      <c r="CE310" s="23"/>
      <c r="CF310" s="23"/>
      <c r="CG310" s="23"/>
      <c r="CH310" s="23"/>
      <c r="CI310" s="23"/>
      <c r="CJ310" s="23"/>
      <c r="CK310" s="23"/>
      <c r="CL310" s="23"/>
      <c r="CM310" s="23"/>
      <c r="CN310" s="23"/>
      <c r="CO310" s="23"/>
      <c r="CP310" s="23"/>
      <c r="CQ310" s="23"/>
      <c r="CR310" s="23"/>
      <c r="CS310" s="23"/>
      <c r="CT310" s="23"/>
      <c r="CU310" s="23"/>
      <c r="CV310" s="23"/>
    </row>
    <row r="311" spans="1:100" ht="15.75" customHeight="1" x14ac:dyDescent="0.2">
      <c r="A311" s="3"/>
      <c r="B311" s="4"/>
      <c r="C311" s="4"/>
      <c r="D311" s="4"/>
      <c r="E311" s="23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23"/>
      <c r="BQ311" s="23"/>
      <c r="BR311" s="23"/>
      <c r="BS311" s="23"/>
      <c r="BT311" s="23"/>
      <c r="BU311" s="23"/>
      <c r="BV311" s="23"/>
      <c r="BW311" s="23"/>
      <c r="BX311" s="23"/>
      <c r="BY311" s="23"/>
      <c r="BZ311" s="23"/>
      <c r="CA311" s="23"/>
      <c r="CB311" s="23"/>
      <c r="CC311" s="23"/>
      <c r="CD311" s="23"/>
      <c r="CE311" s="23"/>
      <c r="CF311" s="23"/>
      <c r="CG311" s="23"/>
      <c r="CH311" s="23"/>
      <c r="CI311" s="23"/>
      <c r="CJ311" s="23"/>
      <c r="CK311" s="23"/>
      <c r="CL311" s="23"/>
      <c r="CM311" s="23"/>
      <c r="CN311" s="23"/>
      <c r="CO311" s="23"/>
      <c r="CP311" s="23"/>
      <c r="CQ311" s="23"/>
      <c r="CR311" s="23"/>
      <c r="CS311" s="23"/>
      <c r="CT311" s="23"/>
      <c r="CU311" s="23"/>
      <c r="CV311" s="23"/>
    </row>
    <row r="312" spans="1:100" ht="15.75" customHeight="1" x14ac:dyDescent="0.2">
      <c r="A312" s="3"/>
      <c r="B312" s="4"/>
      <c r="C312" s="4"/>
      <c r="D312" s="4"/>
      <c r="E312" s="23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23"/>
      <c r="BQ312" s="23"/>
      <c r="BR312" s="23"/>
      <c r="BS312" s="23"/>
      <c r="BT312" s="23"/>
      <c r="BU312" s="23"/>
      <c r="BV312" s="23"/>
      <c r="BW312" s="23"/>
      <c r="BX312" s="23"/>
      <c r="BY312" s="23"/>
      <c r="BZ312" s="23"/>
      <c r="CA312" s="23"/>
      <c r="CB312" s="23"/>
      <c r="CC312" s="23"/>
      <c r="CD312" s="23"/>
      <c r="CE312" s="23"/>
      <c r="CF312" s="23"/>
      <c r="CG312" s="23"/>
      <c r="CH312" s="23"/>
      <c r="CI312" s="23"/>
      <c r="CJ312" s="23"/>
      <c r="CK312" s="23"/>
      <c r="CL312" s="23"/>
      <c r="CM312" s="23"/>
      <c r="CN312" s="23"/>
      <c r="CO312" s="23"/>
      <c r="CP312" s="23"/>
      <c r="CQ312" s="23"/>
      <c r="CR312" s="23"/>
      <c r="CS312" s="23"/>
      <c r="CT312" s="23"/>
      <c r="CU312" s="23"/>
      <c r="CV312" s="23"/>
    </row>
    <row r="313" spans="1:100" ht="15.75" customHeight="1" x14ac:dyDescent="0.2">
      <c r="A313" s="3"/>
      <c r="B313" s="4"/>
      <c r="C313" s="4"/>
      <c r="D313" s="4"/>
      <c r="E313" s="23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23"/>
      <c r="BQ313" s="23"/>
      <c r="BR313" s="23"/>
      <c r="BS313" s="23"/>
      <c r="BT313" s="23"/>
      <c r="BU313" s="23"/>
      <c r="BV313" s="23"/>
      <c r="BW313" s="23"/>
      <c r="BX313" s="23"/>
      <c r="BY313" s="23"/>
      <c r="BZ313" s="23"/>
      <c r="CA313" s="23"/>
      <c r="CB313" s="23"/>
      <c r="CC313" s="23"/>
      <c r="CD313" s="23"/>
      <c r="CE313" s="23"/>
      <c r="CF313" s="23"/>
      <c r="CG313" s="23"/>
      <c r="CH313" s="23"/>
      <c r="CI313" s="23"/>
      <c r="CJ313" s="23"/>
      <c r="CK313" s="23"/>
      <c r="CL313" s="23"/>
      <c r="CM313" s="23"/>
      <c r="CN313" s="23"/>
      <c r="CO313" s="23"/>
      <c r="CP313" s="23"/>
      <c r="CQ313" s="23"/>
      <c r="CR313" s="23"/>
      <c r="CS313" s="23"/>
      <c r="CT313" s="23"/>
      <c r="CU313" s="23"/>
      <c r="CV313" s="23"/>
    </row>
    <row r="314" spans="1:100" ht="15.75" customHeight="1" x14ac:dyDescent="0.2">
      <c r="A314" s="3"/>
      <c r="B314" s="4"/>
      <c r="C314" s="4"/>
      <c r="D314" s="4"/>
      <c r="E314" s="23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23"/>
      <c r="BQ314" s="23"/>
      <c r="BR314" s="23"/>
      <c r="BS314" s="23"/>
      <c r="BT314" s="23"/>
      <c r="BU314" s="23"/>
      <c r="BV314" s="23"/>
      <c r="BW314" s="23"/>
      <c r="BX314" s="23"/>
      <c r="BY314" s="23"/>
      <c r="BZ314" s="23"/>
      <c r="CA314" s="23"/>
      <c r="CB314" s="23"/>
      <c r="CC314" s="23"/>
      <c r="CD314" s="23"/>
      <c r="CE314" s="23"/>
      <c r="CF314" s="23"/>
      <c r="CG314" s="23"/>
      <c r="CH314" s="23"/>
      <c r="CI314" s="23"/>
      <c r="CJ314" s="23"/>
      <c r="CK314" s="23"/>
      <c r="CL314" s="23"/>
      <c r="CM314" s="23"/>
      <c r="CN314" s="23"/>
      <c r="CO314" s="23"/>
      <c r="CP314" s="23"/>
      <c r="CQ314" s="23"/>
      <c r="CR314" s="23"/>
      <c r="CS314" s="23"/>
      <c r="CT314" s="23"/>
      <c r="CU314" s="23"/>
      <c r="CV314" s="23"/>
    </row>
    <row r="315" spans="1:100" ht="15.75" customHeight="1" x14ac:dyDescent="0.2">
      <c r="A315" s="3"/>
      <c r="B315" s="4"/>
      <c r="C315" s="4"/>
      <c r="D315" s="4"/>
      <c r="E315" s="23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23"/>
      <c r="BQ315" s="23"/>
      <c r="BR315" s="23"/>
      <c r="BS315" s="23"/>
      <c r="BT315" s="23"/>
      <c r="BU315" s="23"/>
      <c r="BV315" s="23"/>
      <c r="BW315" s="23"/>
      <c r="BX315" s="23"/>
      <c r="BY315" s="23"/>
      <c r="BZ315" s="23"/>
      <c r="CA315" s="23"/>
      <c r="CB315" s="23"/>
      <c r="CC315" s="23"/>
      <c r="CD315" s="23"/>
      <c r="CE315" s="23"/>
      <c r="CF315" s="23"/>
      <c r="CG315" s="23"/>
      <c r="CH315" s="23"/>
      <c r="CI315" s="23"/>
      <c r="CJ315" s="23"/>
      <c r="CK315" s="23"/>
      <c r="CL315" s="23"/>
      <c r="CM315" s="23"/>
      <c r="CN315" s="23"/>
      <c r="CO315" s="23"/>
      <c r="CP315" s="23"/>
      <c r="CQ315" s="23"/>
      <c r="CR315" s="23"/>
      <c r="CS315" s="23"/>
      <c r="CT315" s="23"/>
      <c r="CU315" s="23"/>
      <c r="CV315" s="23"/>
    </row>
    <row r="316" spans="1:100" ht="15.75" customHeight="1" x14ac:dyDescent="0.2">
      <c r="A316" s="3"/>
      <c r="B316" s="4"/>
      <c r="C316" s="4"/>
      <c r="D316" s="4"/>
      <c r="E316" s="23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23"/>
      <c r="BQ316" s="23"/>
      <c r="BR316" s="23"/>
      <c r="BS316" s="23"/>
      <c r="BT316" s="23"/>
      <c r="BU316" s="23"/>
      <c r="BV316" s="23"/>
      <c r="BW316" s="23"/>
      <c r="BX316" s="23"/>
      <c r="BY316" s="23"/>
      <c r="BZ316" s="23"/>
      <c r="CA316" s="23"/>
      <c r="CB316" s="23"/>
      <c r="CC316" s="23"/>
      <c r="CD316" s="23"/>
      <c r="CE316" s="23"/>
      <c r="CF316" s="23"/>
      <c r="CG316" s="23"/>
      <c r="CH316" s="23"/>
      <c r="CI316" s="23"/>
      <c r="CJ316" s="23"/>
      <c r="CK316" s="23"/>
      <c r="CL316" s="23"/>
      <c r="CM316" s="23"/>
      <c r="CN316" s="23"/>
      <c r="CO316" s="23"/>
      <c r="CP316" s="23"/>
      <c r="CQ316" s="23"/>
      <c r="CR316" s="23"/>
      <c r="CS316" s="23"/>
      <c r="CT316" s="23"/>
      <c r="CU316" s="23"/>
      <c r="CV316" s="23"/>
    </row>
    <row r="317" spans="1:100" ht="15.75" customHeight="1" x14ac:dyDescent="0.2">
      <c r="A317" s="3"/>
      <c r="B317" s="4"/>
      <c r="C317" s="4"/>
      <c r="D317" s="4"/>
      <c r="E317" s="23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23"/>
      <c r="BQ317" s="23"/>
      <c r="BR317" s="23"/>
      <c r="BS317" s="23"/>
      <c r="BT317" s="23"/>
      <c r="BU317" s="23"/>
      <c r="BV317" s="23"/>
      <c r="BW317" s="23"/>
      <c r="BX317" s="23"/>
      <c r="BY317" s="23"/>
      <c r="BZ317" s="23"/>
      <c r="CA317" s="23"/>
      <c r="CB317" s="23"/>
      <c r="CC317" s="23"/>
      <c r="CD317" s="23"/>
      <c r="CE317" s="23"/>
      <c r="CF317" s="23"/>
      <c r="CG317" s="23"/>
      <c r="CH317" s="23"/>
      <c r="CI317" s="23"/>
      <c r="CJ317" s="23"/>
      <c r="CK317" s="23"/>
      <c r="CL317" s="23"/>
      <c r="CM317" s="23"/>
      <c r="CN317" s="23"/>
      <c r="CO317" s="23"/>
      <c r="CP317" s="23"/>
      <c r="CQ317" s="23"/>
      <c r="CR317" s="23"/>
      <c r="CS317" s="23"/>
      <c r="CT317" s="23"/>
      <c r="CU317" s="23"/>
      <c r="CV317" s="23"/>
    </row>
    <row r="318" spans="1:100" ht="15.75" customHeight="1" x14ac:dyDescent="0.2">
      <c r="A318" s="3"/>
      <c r="B318" s="4"/>
      <c r="C318" s="4"/>
      <c r="D318" s="4"/>
      <c r="E318" s="23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23"/>
      <c r="BQ318" s="23"/>
      <c r="BR318" s="23"/>
      <c r="BS318" s="23"/>
      <c r="BT318" s="23"/>
      <c r="BU318" s="23"/>
      <c r="BV318" s="23"/>
      <c r="BW318" s="23"/>
      <c r="BX318" s="23"/>
      <c r="BY318" s="23"/>
      <c r="BZ318" s="23"/>
      <c r="CA318" s="23"/>
      <c r="CB318" s="23"/>
      <c r="CC318" s="23"/>
      <c r="CD318" s="23"/>
      <c r="CE318" s="23"/>
      <c r="CF318" s="23"/>
      <c r="CG318" s="23"/>
      <c r="CH318" s="23"/>
      <c r="CI318" s="23"/>
      <c r="CJ318" s="23"/>
      <c r="CK318" s="23"/>
      <c r="CL318" s="23"/>
      <c r="CM318" s="23"/>
      <c r="CN318" s="23"/>
      <c r="CO318" s="23"/>
      <c r="CP318" s="23"/>
      <c r="CQ318" s="23"/>
      <c r="CR318" s="23"/>
      <c r="CS318" s="23"/>
      <c r="CT318" s="23"/>
      <c r="CU318" s="23"/>
      <c r="CV318" s="23"/>
    </row>
    <row r="319" spans="1:100" ht="15.75" customHeight="1" x14ac:dyDescent="0.2">
      <c r="A319" s="3"/>
      <c r="B319" s="4"/>
      <c r="C319" s="4"/>
      <c r="D319" s="4"/>
      <c r="E319" s="23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23"/>
      <c r="BQ319" s="23"/>
      <c r="BR319" s="23"/>
      <c r="BS319" s="23"/>
      <c r="BT319" s="23"/>
      <c r="BU319" s="23"/>
      <c r="BV319" s="23"/>
      <c r="BW319" s="23"/>
      <c r="BX319" s="23"/>
      <c r="BY319" s="23"/>
      <c r="BZ319" s="23"/>
      <c r="CA319" s="23"/>
      <c r="CB319" s="23"/>
      <c r="CC319" s="23"/>
      <c r="CD319" s="23"/>
      <c r="CE319" s="23"/>
      <c r="CF319" s="23"/>
      <c r="CG319" s="23"/>
      <c r="CH319" s="23"/>
      <c r="CI319" s="23"/>
      <c r="CJ319" s="23"/>
      <c r="CK319" s="23"/>
      <c r="CL319" s="23"/>
      <c r="CM319" s="23"/>
      <c r="CN319" s="23"/>
      <c r="CO319" s="23"/>
      <c r="CP319" s="23"/>
      <c r="CQ319" s="23"/>
      <c r="CR319" s="23"/>
      <c r="CS319" s="23"/>
      <c r="CT319" s="23"/>
      <c r="CU319" s="23"/>
      <c r="CV319" s="23"/>
    </row>
    <row r="320" spans="1:100" ht="15.75" customHeight="1" x14ac:dyDescent="0.2">
      <c r="A320" s="3"/>
      <c r="B320" s="4"/>
      <c r="C320" s="4"/>
      <c r="D320" s="4"/>
      <c r="E320" s="23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23"/>
      <c r="BQ320" s="23"/>
      <c r="BR320" s="23"/>
      <c r="BS320" s="23"/>
      <c r="BT320" s="23"/>
      <c r="BU320" s="23"/>
      <c r="BV320" s="23"/>
      <c r="BW320" s="23"/>
      <c r="BX320" s="23"/>
      <c r="BY320" s="23"/>
      <c r="BZ320" s="23"/>
      <c r="CA320" s="23"/>
      <c r="CB320" s="23"/>
      <c r="CC320" s="23"/>
      <c r="CD320" s="23"/>
      <c r="CE320" s="23"/>
      <c r="CF320" s="23"/>
      <c r="CG320" s="23"/>
      <c r="CH320" s="23"/>
      <c r="CI320" s="23"/>
      <c r="CJ320" s="23"/>
      <c r="CK320" s="23"/>
      <c r="CL320" s="23"/>
      <c r="CM320" s="23"/>
      <c r="CN320" s="23"/>
      <c r="CO320" s="23"/>
      <c r="CP320" s="23"/>
      <c r="CQ320" s="23"/>
      <c r="CR320" s="23"/>
      <c r="CS320" s="23"/>
      <c r="CT320" s="23"/>
      <c r="CU320" s="23"/>
      <c r="CV320" s="23"/>
    </row>
    <row r="321" spans="1:100" ht="15.75" customHeight="1" x14ac:dyDescent="0.2">
      <c r="A321" s="3"/>
      <c r="B321" s="4"/>
      <c r="C321" s="4"/>
      <c r="D321" s="4"/>
      <c r="E321" s="23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23"/>
      <c r="BQ321" s="23"/>
      <c r="BR321" s="23"/>
      <c r="BS321" s="23"/>
      <c r="BT321" s="23"/>
      <c r="BU321" s="23"/>
      <c r="BV321" s="23"/>
      <c r="BW321" s="23"/>
      <c r="BX321" s="23"/>
      <c r="BY321" s="23"/>
      <c r="BZ321" s="23"/>
      <c r="CA321" s="23"/>
      <c r="CB321" s="23"/>
      <c r="CC321" s="23"/>
      <c r="CD321" s="23"/>
      <c r="CE321" s="23"/>
      <c r="CF321" s="23"/>
      <c r="CG321" s="23"/>
      <c r="CH321" s="23"/>
      <c r="CI321" s="23"/>
      <c r="CJ321" s="23"/>
      <c r="CK321" s="23"/>
      <c r="CL321" s="23"/>
      <c r="CM321" s="23"/>
      <c r="CN321" s="23"/>
      <c r="CO321" s="23"/>
      <c r="CP321" s="23"/>
      <c r="CQ321" s="23"/>
      <c r="CR321" s="23"/>
      <c r="CS321" s="23"/>
      <c r="CT321" s="23"/>
      <c r="CU321" s="23"/>
      <c r="CV321" s="23"/>
    </row>
    <row r="322" spans="1:100" ht="15.75" customHeight="1" x14ac:dyDescent="0.2">
      <c r="A322" s="3"/>
      <c r="B322" s="4"/>
      <c r="C322" s="4"/>
      <c r="D322" s="4"/>
      <c r="E322" s="23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23"/>
      <c r="BQ322" s="23"/>
      <c r="BR322" s="23"/>
      <c r="BS322" s="23"/>
      <c r="BT322" s="23"/>
      <c r="BU322" s="23"/>
      <c r="BV322" s="23"/>
      <c r="BW322" s="23"/>
      <c r="BX322" s="23"/>
      <c r="BY322" s="23"/>
      <c r="BZ322" s="23"/>
      <c r="CA322" s="23"/>
      <c r="CB322" s="23"/>
      <c r="CC322" s="23"/>
      <c r="CD322" s="23"/>
      <c r="CE322" s="23"/>
      <c r="CF322" s="23"/>
      <c r="CG322" s="23"/>
      <c r="CH322" s="23"/>
      <c r="CI322" s="23"/>
      <c r="CJ322" s="23"/>
      <c r="CK322" s="23"/>
      <c r="CL322" s="23"/>
      <c r="CM322" s="23"/>
      <c r="CN322" s="23"/>
      <c r="CO322" s="23"/>
      <c r="CP322" s="23"/>
      <c r="CQ322" s="23"/>
      <c r="CR322" s="23"/>
      <c r="CS322" s="23"/>
      <c r="CT322" s="23"/>
      <c r="CU322" s="23"/>
      <c r="CV322" s="23"/>
    </row>
    <row r="323" spans="1:100" ht="15.75" customHeight="1" x14ac:dyDescent="0.2">
      <c r="A323" s="3"/>
      <c r="B323" s="4"/>
      <c r="C323" s="4"/>
      <c r="D323" s="4"/>
      <c r="E323" s="23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23"/>
      <c r="BQ323" s="23"/>
      <c r="BR323" s="23"/>
      <c r="BS323" s="23"/>
      <c r="BT323" s="23"/>
      <c r="BU323" s="23"/>
      <c r="BV323" s="23"/>
      <c r="BW323" s="23"/>
      <c r="BX323" s="23"/>
      <c r="BY323" s="23"/>
      <c r="BZ323" s="23"/>
      <c r="CA323" s="23"/>
      <c r="CB323" s="23"/>
      <c r="CC323" s="23"/>
      <c r="CD323" s="23"/>
      <c r="CE323" s="23"/>
      <c r="CF323" s="23"/>
      <c r="CG323" s="23"/>
      <c r="CH323" s="23"/>
      <c r="CI323" s="23"/>
      <c r="CJ323" s="23"/>
      <c r="CK323" s="23"/>
      <c r="CL323" s="23"/>
      <c r="CM323" s="23"/>
      <c r="CN323" s="23"/>
      <c r="CO323" s="23"/>
      <c r="CP323" s="23"/>
      <c r="CQ323" s="23"/>
      <c r="CR323" s="23"/>
      <c r="CS323" s="23"/>
      <c r="CT323" s="23"/>
      <c r="CU323" s="23"/>
      <c r="CV323" s="23"/>
    </row>
    <row r="324" spans="1:100" ht="15.75" customHeight="1" x14ac:dyDescent="0.2">
      <c r="A324" s="3"/>
      <c r="B324" s="4"/>
      <c r="C324" s="4"/>
      <c r="D324" s="4"/>
      <c r="E324" s="23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23"/>
      <c r="BQ324" s="23"/>
      <c r="BR324" s="23"/>
      <c r="BS324" s="23"/>
      <c r="BT324" s="23"/>
      <c r="BU324" s="23"/>
      <c r="BV324" s="23"/>
      <c r="BW324" s="23"/>
      <c r="BX324" s="23"/>
      <c r="BY324" s="23"/>
      <c r="BZ324" s="23"/>
      <c r="CA324" s="23"/>
      <c r="CB324" s="23"/>
      <c r="CC324" s="23"/>
      <c r="CD324" s="23"/>
      <c r="CE324" s="23"/>
      <c r="CF324" s="23"/>
      <c r="CG324" s="23"/>
      <c r="CH324" s="23"/>
      <c r="CI324" s="23"/>
      <c r="CJ324" s="23"/>
      <c r="CK324" s="23"/>
      <c r="CL324" s="23"/>
      <c r="CM324" s="23"/>
      <c r="CN324" s="23"/>
      <c r="CO324" s="23"/>
      <c r="CP324" s="23"/>
      <c r="CQ324" s="23"/>
      <c r="CR324" s="23"/>
      <c r="CS324" s="23"/>
      <c r="CT324" s="23"/>
      <c r="CU324" s="23"/>
      <c r="CV324" s="23"/>
    </row>
    <row r="325" spans="1:100" ht="15.75" customHeight="1" x14ac:dyDescent="0.2">
      <c r="A325" s="3"/>
      <c r="B325" s="4"/>
      <c r="C325" s="4"/>
      <c r="D325" s="4"/>
      <c r="E325" s="23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23"/>
      <c r="BQ325" s="23"/>
      <c r="BR325" s="23"/>
      <c r="BS325" s="23"/>
      <c r="BT325" s="23"/>
      <c r="BU325" s="23"/>
      <c r="BV325" s="23"/>
      <c r="BW325" s="23"/>
      <c r="BX325" s="23"/>
      <c r="BY325" s="23"/>
      <c r="BZ325" s="23"/>
      <c r="CA325" s="23"/>
      <c r="CB325" s="23"/>
      <c r="CC325" s="23"/>
      <c r="CD325" s="23"/>
      <c r="CE325" s="23"/>
      <c r="CF325" s="23"/>
      <c r="CG325" s="23"/>
      <c r="CH325" s="23"/>
      <c r="CI325" s="23"/>
      <c r="CJ325" s="23"/>
      <c r="CK325" s="23"/>
      <c r="CL325" s="23"/>
      <c r="CM325" s="23"/>
      <c r="CN325" s="23"/>
      <c r="CO325" s="23"/>
      <c r="CP325" s="23"/>
      <c r="CQ325" s="23"/>
      <c r="CR325" s="23"/>
      <c r="CS325" s="23"/>
      <c r="CT325" s="23"/>
      <c r="CU325" s="23"/>
      <c r="CV325" s="23"/>
    </row>
    <row r="326" spans="1:100" ht="15.75" customHeight="1" x14ac:dyDescent="0.2">
      <c r="A326" s="3"/>
      <c r="B326" s="4"/>
      <c r="C326" s="4"/>
      <c r="D326" s="4"/>
      <c r="E326" s="23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23"/>
      <c r="BQ326" s="23"/>
      <c r="BR326" s="23"/>
      <c r="BS326" s="23"/>
      <c r="BT326" s="23"/>
      <c r="BU326" s="23"/>
      <c r="BV326" s="23"/>
      <c r="BW326" s="23"/>
      <c r="BX326" s="23"/>
      <c r="BY326" s="23"/>
      <c r="BZ326" s="23"/>
      <c r="CA326" s="23"/>
      <c r="CB326" s="23"/>
      <c r="CC326" s="23"/>
      <c r="CD326" s="23"/>
      <c r="CE326" s="23"/>
      <c r="CF326" s="23"/>
      <c r="CG326" s="23"/>
      <c r="CH326" s="23"/>
      <c r="CI326" s="23"/>
      <c r="CJ326" s="23"/>
      <c r="CK326" s="23"/>
      <c r="CL326" s="23"/>
      <c r="CM326" s="23"/>
      <c r="CN326" s="23"/>
      <c r="CO326" s="23"/>
      <c r="CP326" s="23"/>
      <c r="CQ326" s="23"/>
      <c r="CR326" s="23"/>
      <c r="CS326" s="23"/>
      <c r="CT326" s="23"/>
      <c r="CU326" s="23"/>
      <c r="CV326" s="23"/>
    </row>
    <row r="327" spans="1:100" ht="15.75" customHeight="1" x14ac:dyDescent="0.2">
      <c r="A327" s="3"/>
      <c r="B327" s="4"/>
      <c r="C327" s="4"/>
      <c r="D327" s="4"/>
      <c r="E327" s="23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23"/>
      <c r="BQ327" s="23"/>
      <c r="BR327" s="23"/>
      <c r="BS327" s="23"/>
      <c r="BT327" s="23"/>
      <c r="BU327" s="23"/>
      <c r="BV327" s="23"/>
      <c r="BW327" s="23"/>
      <c r="BX327" s="23"/>
      <c r="BY327" s="23"/>
      <c r="BZ327" s="23"/>
      <c r="CA327" s="23"/>
      <c r="CB327" s="23"/>
      <c r="CC327" s="23"/>
      <c r="CD327" s="23"/>
      <c r="CE327" s="23"/>
      <c r="CF327" s="23"/>
      <c r="CG327" s="23"/>
      <c r="CH327" s="23"/>
      <c r="CI327" s="23"/>
      <c r="CJ327" s="23"/>
      <c r="CK327" s="23"/>
      <c r="CL327" s="23"/>
      <c r="CM327" s="23"/>
      <c r="CN327" s="23"/>
      <c r="CO327" s="23"/>
      <c r="CP327" s="23"/>
      <c r="CQ327" s="23"/>
      <c r="CR327" s="23"/>
      <c r="CS327" s="23"/>
      <c r="CT327" s="23"/>
      <c r="CU327" s="23"/>
      <c r="CV327" s="23"/>
    </row>
    <row r="328" spans="1:100" ht="15.75" customHeight="1" x14ac:dyDescent="0.2">
      <c r="A328" s="3"/>
      <c r="B328" s="4"/>
      <c r="C328" s="4"/>
      <c r="D328" s="4"/>
      <c r="E328" s="23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23"/>
      <c r="BQ328" s="23"/>
      <c r="BR328" s="23"/>
      <c r="BS328" s="23"/>
      <c r="BT328" s="23"/>
      <c r="BU328" s="23"/>
      <c r="BV328" s="23"/>
      <c r="BW328" s="23"/>
      <c r="BX328" s="23"/>
      <c r="BY328" s="23"/>
      <c r="BZ328" s="23"/>
      <c r="CA328" s="23"/>
      <c r="CB328" s="23"/>
      <c r="CC328" s="23"/>
      <c r="CD328" s="23"/>
      <c r="CE328" s="23"/>
      <c r="CF328" s="23"/>
      <c r="CG328" s="23"/>
      <c r="CH328" s="23"/>
      <c r="CI328" s="23"/>
      <c r="CJ328" s="23"/>
      <c r="CK328" s="23"/>
      <c r="CL328" s="23"/>
      <c r="CM328" s="23"/>
      <c r="CN328" s="23"/>
      <c r="CO328" s="23"/>
      <c r="CP328" s="23"/>
      <c r="CQ328" s="23"/>
      <c r="CR328" s="23"/>
      <c r="CS328" s="23"/>
      <c r="CT328" s="23"/>
      <c r="CU328" s="23"/>
      <c r="CV328" s="23"/>
    </row>
    <row r="329" spans="1:100" ht="15.75" customHeight="1" x14ac:dyDescent="0.2">
      <c r="A329" s="3"/>
      <c r="B329" s="4"/>
      <c r="C329" s="4"/>
      <c r="D329" s="4"/>
      <c r="E329" s="23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23"/>
      <c r="BQ329" s="23"/>
      <c r="BR329" s="23"/>
      <c r="BS329" s="23"/>
      <c r="BT329" s="23"/>
      <c r="BU329" s="23"/>
      <c r="BV329" s="23"/>
      <c r="BW329" s="23"/>
      <c r="BX329" s="23"/>
      <c r="BY329" s="23"/>
      <c r="BZ329" s="23"/>
      <c r="CA329" s="23"/>
      <c r="CB329" s="23"/>
      <c r="CC329" s="23"/>
      <c r="CD329" s="23"/>
      <c r="CE329" s="23"/>
      <c r="CF329" s="23"/>
      <c r="CG329" s="23"/>
      <c r="CH329" s="23"/>
      <c r="CI329" s="23"/>
      <c r="CJ329" s="23"/>
      <c r="CK329" s="23"/>
      <c r="CL329" s="23"/>
      <c r="CM329" s="23"/>
      <c r="CN329" s="23"/>
      <c r="CO329" s="23"/>
      <c r="CP329" s="23"/>
      <c r="CQ329" s="23"/>
      <c r="CR329" s="23"/>
      <c r="CS329" s="23"/>
      <c r="CT329" s="23"/>
      <c r="CU329" s="23"/>
      <c r="CV329" s="23"/>
    </row>
    <row r="330" spans="1:100" ht="15.75" customHeight="1" x14ac:dyDescent="0.2">
      <c r="A330" s="3"/>
      <c r="B330" s="4"/>
      <c r="C330" s="4"/>
      <c r="D330" s="4"/>
      <c r="E330" s="23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23"/>
      <c r="BQ330" s="23"/>
      <c r="BR330" s="23"/>
      <c r="BS330" s="23"/>
      <c r="BT330" s="23"/>
      <c r="BU330" s="23"/>
      <c r="BV330" s="23"/>
      <c r="BW330" s="23"/>
      <c r="BX330" s="23"/>
      <c r="BY330" s="23"/>
      <c r="BZ330" s="23"/>
      <c r="CA330" s="23"/>
      <c r="CB330" s="23"/>
      <c r="CC330" s="23"/>
      <c r="CD330" s="23"/>
      <c r="CE330" s="23"/>
      <c r="CF330" s="23"/>
      <c r="CG330" s="23"/>
      <c r="CH330" s="23"/>
      <c r="CI330" s="23"/>
      <c r="CJ330" s="23"/>
      <c r="CK330" s="23"/>
      <c r="CL330" s="23"/>
      <c r="CM330" s="23"/>
      <c r="CN330" s="23"/>
      <c r="CO330" s="23"/>
      <c r="CP330" s="23"/>
      <c r="CQ330" s="23"/>
      <c r="CR330" s="23"/>
      <c r="CS330" s="23"/>
      <c r="CT330" s="23"/>
      <c r="CU330" s="23"/>
      <c r="CV330" s="23"/>
    </row>
    <row r="331" spans="1:100" ht="15.75" customHeight="1" x14ac:dyDescent="0.2">
      <c r="A331" s="3"/>
      <c r="B331" s="4"/>
      <c r="C331" s="4"/>
      <c r="D331" s="4"/>
      <c r="E331" s="23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23"/>
      <c r="BQ331" s="23"/>
      <c r="BR331" s="23"/>
      <c r="BS331" s="23"/>
      <c r="BT331" s="23"/>
      <c r="BU331" s="23"/>
      <c r="BV331" s="23"/>
      <c r="BW331" s="23"/>
      <c r="BX331" s="23"/>
      <c r="BY331" s="23"/>
      <c r="BZ331" s="23"/>
      <c r="CA331" s="23"/>
      <c r="CB331" s="23"/>
      <c r="CC331" s="23"/>
      <c r="CD331" s="23"/>
      <c r="CE331" s="23"/>
      <c r="CF331" s="23"/>
      <c r="CG331" s="23"/>
      <c r="CH331" s="23"/>
      <c r="CI331" s="23"/>
      <c r="CJ331" s="23"/>
      <c r="CK331" s="23"/>
      <c r="CL331" s="23"/>
      <c r="CM331" s="23"/>
      <c r="CN331" s="23"/>
      <c r="CO331" s="23"/>
      <c r="CP331" s="23"/>
      <c r="CQ331" s="23"/>
      <c r="CR331" s="23"/>
      <c r="CS331" s="23"/>
      <c r="CT331" s="23"/>
      <c r="CU331" s="23"/>
      <c r="CV331" s="23"/>
    </row>
    <row r="332" spans="1:100" ht="15.75" customHeight="1" x14ac:dyDescent="0.2">
      <c r="A332" s="3"/>
      <c r="B332" s="4"/>
      <c r="C332" s="4"/>
      <c r="D332" s="4"/>
      <c r="E332" s="23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23"/>
      <c r="BQ332" s="23"/>
      <c r="BR332" s="23"/>
      <c r="BS332" s="23"/>
      <c r="BT332" s="23"/>
      <c r="BU332" s="23"/>
      <c r="BV332" s="23"/>
      <c r="BW332" s="23"/>
      <c r="BX332" s="23"/>
      <c r="BY332" s="23"/>
      <c r="BZ332" s="23"/>
      <c r="CA332" s="23"/>
      <c r="CB332" s="23"/>
      <c r="CC332" s="23"/>
      <c r="CD332" s="23"/>
      <c r="CE332" s="23"/>
      <c r="CF332" s="23"/>
      <c r="CG332" s="23"/>
      <c r="CH332" s="23"/>
      <c r="CI332" s="23"/>
      <c r="CJ332" s="23"/>
      <c r="CK332" s="23"/>
      <c r="CL332" s="23"/>
      <c r="CM332" s="23"/>
      <c r="CN332" s="23"/>
      <c r="CO332" s="23"/>
      <c r="CP332" s="23"/>
      <c r="CQ332" s="23"/>
      <c r="CR332" s="23"/>
      <c r="CS332" s="23"/>
      <c r="CT332" s="23"/>
      <c r="CU332" s="23"/>
      <c r="CV332" s="23"/>
    </row>
    <row r="333" spans="1:100" ht="15.75" customHeight="1" x14ac:dyDescent="0.2">
      <c r="A333" s="3"/>
      <c r="B333" s="4"/>
      <c r="C333" s="4"/>
      <c r="D333" s="4"/>
      <c r="E333" s="23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23"/>
      <c r="BQ333" s="23"/>
      <c r="BR333" s="23"/>
      <c r="BS333" s="23"/>
      <c r="BT333" s="23"/>
      <c r="BU333" s="23"/>
      <c r="BV333" s="23"/>
      <c r="BW333" s="23"/>
      <c r="BX333" s="23"/>
      <c r="BY333" s="23"/>
      <c r="BZ333" s="23"/>
      <c r="CA333" s="23"/>
      <c r="CB333" s="23"/>
      <c r="CC333" s="23"/>
      <c r="CD333" s="23"/>
      <c r="CE333" s="23"/>
      <c r="CF333" s="23"/>
      <c r="CG333" s="23"/>
      <c r="CH333" s="23"/>
      <c r="CI333" s="23"/>
      <c r="CJ333" s="23"/>
      <c r="CK333" s="23"/>
      <c r="CL333" s="23"/>
      <c r="CM333" s="23"/>
      <c r="CN333" s="23"/>
      <c r="CO333" s="23"/>
      <c r="CP333" s="23"/>
      <c r="CQ333" s="23"/>
      <c r="CR333" s="23"/>
      <c r="CS333" s="23"/>
      <c r="CT333" s="23"/>
      <c r="CU333" s="23"/>
      <c r="CV333" s="23"/>
    </row>
    <row r="334" spans="1:100" ht="15.75" customHeight="1" x14ac:dyDescent="0.2">
      <c r="A334" s="3"/>
      <c r="B334" s="4"/>
      <c r="C334" s="4"/>
      <c r="D334" s="4"/>
      <c r="E334" s="23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23"/>
      <c r="BQ334" s="23"/>
      <c r="BR334" s="23"/>
      <c r="BS334" s="23"/>
      <c r="BT334" s="23"/>
      <c r="BU334" s="23"/>
      <c r="BV334" s="23"/>
      <c r="BW334" s="23"/>
      <c r="BX334" s="23"/>
      <c r="BY334" s="23"/>
      <c r="BZ334" s="23"/>
      <c r="CA334" s="23"/>
      <c r="CB334" s="23"/>
      <c r="CC334" s="23"/>
      <c r="CD334" s="23"/>
      <c r="CE334" s="23"/>
      <c r="CF334" s="23"/>
      <c r="CG334" s="23"/>
      <c r="CH334" s="23"/>
      <c r="CI334" s="23"/>
      <c r="CJ334" s="23"/>
      <c r="CK334" s="23"/>
      <c r="CL334" s="23"/>
      <c r="CM334" s="23"/>
      <c r="CN334" s="23"/>
      <c r="CO334" s="23"/>
      <c r="CP334" s="23"/>
      <c r="CQ334" s="23"/>
      <c r="CR334" s="23"/>
      <c r="CS334" s="23"/>
      <c r="CT334" s="23"/>
      <c r="CU334" s="23"/>
      <c r="CV334" s="23"/>
    </row>
    <row r="335" spans="1:100" ht="15.75" customHeight="1" x14ac:dyDescent="0.2">
      <c r="A335" s="3"/>
      <c r="B335" s="4"/>
      <c r="C335" s="4"/>
      <c r="D335" s="4"/>
      <c r="E335" s="23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23"/>
      <c r="BQ335" s="23"/>
      <c r="BR335" s="23"/>
      <c r="BS335" s="23"/>
      <c r="BT335" s="23"/>
      <c r="BU335" s="23"/>
      <c r="BV335" s="23"/>
      <c r="BW335" s="23"/>
      <c r="BX335" s="23"/>
      <c r="BY335" s="23"/>
      <c r="BZ335" s="23"/>
      <c r="CA335" s="23"/>
      <c r="CB335" s="23"/>
      <c r="CC335" s="23"/>
      <c r="CD335" s="23"/>
      <c r="CE335" s="23"/>
      <c r="CF335" s="23"/>
      <c r="CG335" s="23"/>
      <c r="CH335" s="23"/>
      <c r="CI335" s="23"/>
      <c r="CJ335" s="23"/>
      <c r="CK335" s="23"/>
      <c r="CL335" s="23"/>
      <c r="CM335" s="23"/>
      <c r="CN335" s="23"/>
      <c r="CO335" s="23"/>
      <c r="CP335" s="23"/>
      <c r="CQ335" s="23"/>
      <c r="CR335" s="23"/>
      <c r="CS335" s="23"/>
      <c r="CT335" s="23"/>
      <c r="CU335" s="23"/>
      <c r="CV335" s="23"/>
    </row>
    <row r="336" spans="1:100" ht="15.75" customHeight="1" x14ac:dyDescent="0.2">
      <c r="A336" s="3"/>
      <c r="B336" s="4"/>
      <c r="C336" s="4"/>
      <c r="D336" s="4"/>
      <c r="E336" s="23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23"/>
      <c r="BQ336" s="23"/>
      <c r="BR336" s="23"/>
      <c r="BS336" s="23"/>
      <c r="BT336" s="23"/>
      <c r="BU336" s="23"/>
      <c r="BV336" s="23"/>
      <c r="BW336" s="23"/>
      <c r="BX336" s="23"/>
      <c r="BY336" s="23"/>
      <c r="BZ336" s="23"/>
      <c r="CA336" s="23"/>
      <c r="CB336" s="23"/>
      <c r="CC336" s="23"/>
      <c r="CD336" s="23"/>
      <c r="CE336" s="23"/>
      <c r="CF336" s="23"/>
      <c r="CG336" s="23"/>
      <c r="CH336" s="23"/>
      <c r="CI336" s="23"/>
      <c r="CJ336" s="23"/>
      <c r="CK336" s="23"/>
      <c r="CL336" s="23"/>
      <c r="CM336" s="23"/>
      <c r="CN336" s="23"/>
      <c r="CO336" s="23"/>
      <c r="CP336" s="23"/>
      <c r="CQ336" s="23"/>
      <c r="CR336" s="23"/>
      <c r="CS336" s="23"/>
      <c r="CT336" s="23"/>
      <c r="CU336" s="23"/>
      <c r="CV336" s="23"/>
    </row>
    <row r="337" spans="1:67" ht="15.75" customHeight="1" x14ac:dyDescent="0.2">
      <c r="A337" s="3"/>
      <c r="B337" s="3"/>
      <c r="C337" s="3"/>
      <c r="D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</row>
    <row r="338" spans="1:67" ht="15.75" customHeight="1" x14ac:dyDescent="0.2">
      <c r="A338" s="3"/>
      <c r="B338" s="3"/>
      <c r="C338" s="3"/>
      <c r="D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</row>
    <row r="339" spans="1:67" ht="15.75" customHeight="1" x14ac:dyDescent="0.2">
      <c r="A339" s="3"/>
      <c r="B339" s="3"/>
      <c r="C339" s="3"/>
      <c r="D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</row>
    <row r="340" spans="1:67" ht="15.75" customHeight="1" x14ac:dyDescent="0.2">
      <c r="A340" s="3"/>
      <c r="B340" s="3"/>
      <c r="C340" s="3"/>
      <c r="D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</row>
    <row r="341" spans="1:67" ht="15.75" customHeight="1" x14ac:dyDescent="0.2">
      <c r="A341" s="3"/>
      <c r="B341" s="3"/>
      <c r="C341" s="3"/>
      <c r="D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</row>
    <row r="342" spans="1:67" ht="15.75" customHeight="1" x14ac:dyDescent="0.2">
      <c r="A342" s="3"/>
      <c r="B342" s="3"/>
      <c r="C342" s="3"/>
      <c r="D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</row>
    <row r="343" spans="1:67" ht="15.75" customHeight="1" x14ac:dyDescent="0.2">
      <c r="A343" s="3"/>
      <c r="B343" s="3"/>
      <c r="C343" s="3"/>
      <c r="D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</row>
    <row r="344" spans="1:67" ht="15.75" customHeight="1" x14ac:dyDescent="0.2">
      <c r="A344" s="3"/>
      <c r="B344" s="3"/>
      <c r="C344" s="3"/>
      <c r="D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</row>
    <row r="345" spans="1:67" ht="15.75" customHeight="1" x14ac:dyDescent="0.2">
      <c r="A345" s="3"/>
      <c r="B345" s="3"/>
      <c r="C345" s="3"/>
      <c r="D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</row>
    <row r="346" spans="1:67" ht="15.75" customHeight="1" x14ac:dyDescent="0.2">
      <c r="A346" s="3"/>
      <c r="B346" s="3"/>
      <c r="C346" s="3"/>
      <c r="D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</row>
    <row r="347" spans="1:67" ht="15.75" customHeight="1" x14ac:dyDescent="0.2">
      <c r="A347" s="3"/>
      <c r="B347" s="3"/>
      <c r="C347" s="3"/>
      <c r="D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</row>
    <row r="348" spans="1:67" ht="15.75" customHeight="1" x14ac:dyDescent="0.2">
      <c r="A348" s="3"/>
      <c r="B348" s="3"/>
      <c r="C348" s="3"/>
      <c r="D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</row>
    <row r="349" spans="1:67" ht="15.75" customHeight="1" x14ac:dyDescent="0.2">
      <c r="A349" s="3"/>
      <c r="B349" s="3"/>
      <c r="C349" s="3"/>
      <c r="D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</row>
    <row r="350" spans="1:67" ht="15.75" customHeight="1" x14ac:dyDescent="0.2">
      <c r="A350" s="3"/>
      <c r="B350" s="3"/>
      <c r="C350" s="3"/>
      <c r="D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</row>
    <row r="351" spans="1:67" ht="15.75" customHeight="1" x14ac:dyDescent="0.2">
      <c r="A351" s="3"/>
      <c r="B351" s="3"/>
      <c r="C351" s="3"/>
      <c r="D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</row>
    <row r="352" spans="1:67" ht="15.75" customHeight="1" x14ac:dyDescent="0.2">
      <c r="A352" s="3"/>
      <c r="B352" s="3"/>
      <c r="C352" s="3"/>
      <c r="D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</row>
    <row r="353" spans="1:67" ht="15.75" customHeight="1" x14ac:dyDescent="0.2">
      <c r="A353" s="3"/>
      <c r="B353" s="3"/>
      <c r="C353" s="3"/>
      <c r="D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</row>
    <row r="354" spans="1:67" ht="15.75" customHeight="1" x14ac:dyDescent="0.2">
      <c r="A354" s="3"/>
      <c r="B354" s="3"/>
      <c r="C354" s="3"/>
      <c r="D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</row>
    <row r="355" spans="1:67" ht="15.75" customHeight="1" x14ac:dyDescent="0.2">
      <c r="A355" s="3"/>
      <c r="B355" s="3"/>
      <c r="C355" s="3"/>
      <c r="D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</row>
    <row r="356" spans="1:67" ht="15.75" customHeight="1" x14ac:dyDescent="0.2">
      <c r="A356" s="3"/>
      <c r="B356" s="3"/>
      <c r="C356" s="3"/>
      <c r="D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</row>
    <row r="357" spans="1:67" ht="15.75" customHeight="1" x14ac:dyDescent="0.2">
      <c r="A357" s="3"/>
      <c r="B357" s="3"/>
      <c r="C357" s="3"/>
      <c r="D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</row>
    <row r="358" spans="1:67" ht="15.75" customHeight="1" x14ac:dyDescent="0.2">
      <c r="A358" s="3"/>
      <c r="B358" s="3"/>
      <c r="C358" s="3"/>
      <c r="D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</row>
    <row r="359" spans="1:67" ht="15.75" customHeight="1" x14ac:dyDescent="0.2">
      <c r="A359" s="3"/>
      <c r="B359" s="3"/>
      <c r="C359" s="3"/>
      <c r="D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</row>
    <row r="360" spans="1:67" ht="15.75" customHeight="1" x14ac:dyDescent="0.2">
      <c r="A360" s="3"/>
      <c r="B360" s="3"/>
      <c r="C360" s="3"/>
      <c r="D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</row>
    <row r="361" spans="1:67" ht="15.75" customHeight="1" x14ac:dyDescent="0.2">
      <c r="A361" s="3"/>
      <c r="B361" s="3"/>
      <c r="C361" s="3"/>
      <c r="D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</row>
    <row r="362" spans="1:67" ht="15.75" customHeight="1" x14ac:dyDescent="0.2">
      <c r="A362" s="3"/>
      <c r="B362" s="3"/>
      <c r="C362" s="3"/>
      <c r="D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</row>
    <row r="363" spans="1:67" ht="15.75" customHeight="1" x14ac:dyDescent="0.2">
      <c r="A363" s="3"/>
      <c r="B363" s="3"/>
      <c r="C363" s="3"/>
      <c r="D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</row>
    <row r="364" spans="1:67" ht="15.75" customHeight="1" x14ac:dyDescent="0.2">
      <c r="A364" s="3"/>
      <c r="B364" s="3"/>
      <c r="C364" s="3"/>
      <c r="D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</row>
    <row r="365" spans="1:67" ht="15.75" customHeight="1" x14ac:dyDescent="0.2">
      <c r="A365" s="3"/>
      <c r="B365" s="3"/>
      <c r="C365" s="3"/>
      <c r="D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</row>
    <row r="366" spans="1:67" ht="15.75" customHeight="1" x14ac:dyDescent="0.2">
      <c r="A366" s="3"/>
      <c r="B366" s="3"/>
      <c r="C366" s="3"/>
      <c r="D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</row>
    <row r="367" spans="1:67" ht="15.75" customHeight="1" x14ac:dyDescent="0.2">
      <c r="A367" s="3"/>
      <c r="B367" s="3"/>
      <c r="C367" s="3"/>
      <c r="D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</row>
    <row r="368" spans="1:67" ht="15.75" customHeight="1" x14ac:dyDescent="0.2">
      <c r="A368" s="3"/>
      <c r="B368" s="3"/>
      <c r="C368" s="3"/>
      <c r="D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</row>
    <row r="369" spans="1:67" ht="15.75" customHeight="1" x14ac:dyDescent="0.2">
      <c r="A369" s="3"/>
      <c r="B369" s="3"/>
      <c r="C369" s="3"/>
      <c r="D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</row>
    <row r="370" spans="1:67" ht="15.75" customHeight="1" x14ac:dyDescent="0.2">
      <c r="A370" s="3"/>
      <c r="B370" s="3"/>
      <c r="C370" s="3"/>
      <c r="D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</row>
    <row r="371" spans="1:67" ht="15.75" customHeight="1" x14ac:dyDescent="0.2">
      <c r="A371" s="3"/>
      <c r="B371" s="3"/>
      <c r="C371" s="3"/>
      <c r="D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</row>
    <row r="372" spans="1:67" ht="15.75" customHeight="1" x14ac:dyDescent="0.2">
      <c r="A372" s="3"/>
      <c r="B372" s="3"/>
      <c r="C372" s="3"/>
      <c r="D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</row>
    <row r="373" spans="1:67" ht="15.75" customHeight="1" x14ac:dyDescent="0.2">
      <c r="A373" s="3"/>
      <c r="B373" s="3"/>
      <c r="C373" s="3"/>
      <c r="D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</row>
    <row r="374" spans="1:67" ht="15.75" customHeight="1" x14ac:dyDescent="0.2">
      <c r="A374" s="3"/>
      <c r="B374" s="3"/>
      <c r="C374" s="3"/>
      <c r="D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</row>
    <row r="375" spans="1:67" ht="15.75" customHeight="1" x14ac:dyDescent="0.2">
      <c r="A375" s="3"/>
      <c r="B375" s="3"/>
      <c r="C375" s="3"/>
      <c r="D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</row>
    <row r="376" spans="1:67" ht="15.75" customHeight="1" x14ac:dyDescent="0.2">
      <c r="A376" s="3"/>
      <c r="B376" s="3"/>
      <c r="C376" s="3"/>
      <c r="D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</row>
    <row r="377" spans="1:67" ht="15.75" customHeight="1" x14ac:dyDescent="0.2">
      <c r="A377" s="3"/>
      <c r="B377" s="3"/>
      <c r="C377" s="3"/>
      <c r="D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</row>
    <row r="378" spans="1:67" ht="15.75" customHeight="1" x14ac:dyDescent="0.2">
      <c r="A378" s="3"/>
      <c r="B378" s="3"/>
      <c r="C378" s="3"/>
      <c r="D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</row>
    <row r="379" spans="1:67" ht="15.75" customHeight="1" x14ac:dyDescent="0.2">
      <c r="A379" s="3"/>
      <c r="B379" s="3"/>
      <c r="C379" s="3"/>
      <c r="D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</row>
    <row r="380" spans="1:67" ht="15.75" customHeight="1" x14ac:dyDescent="0.2">
      <c r="A380" s="3"/>
      <c r="B380" s="3"/>
      <c r="C380" s="3"/>
      <c r="D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</row>
    <row r="381" spans="1:67" ht="15.75" customHeight="1" x14ac:dyDescent="0.2">
      <c r="A381" s="3"/>
      <c r="B381" s="3"/>
      <c r="C381" s="3"/>
      <c r="D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</row>
    <row r="382" spans="1:67" ht="15.75" customHeight="1" x14ac:dyDescent="0.2">
      <c r="A382" s="3"/>
      <c r="B382" s="3"/>
      <c r="C382" s="3"/>
      <c r="D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</row>
    <row r="383" spans="1:67" ht="15.75" customHeight="1" x14ac:dyDescent="0.2">
      <c r="A383" s="3"/>
      <c r="B383" s="3"/>
      <c r="C383" s="3"/>
      <c r="D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</row>
    <row r="384" spans="1:67" ht="15.75" customHeight="1" x14ac:dyDescent="0.2">
      <c r="A384" s="3"/>
      <c r="B384" s="3"/>
      <c r="C384" s="3"/>
      <c r="D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</row>
    <row r="385" spans="1:67" ht="15.75" customHeight="1" x14ac:dyDescent="0.2">
      <c r="A385" s="3"/>
      <c r="B385" s="3"/>
      <c r="C385" s="3"/>
      <c r="D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</row>
    <row r="386" spans="1:67" ht="15.75" customHeight="1" x14ac:dyDescent="0.2">
      <c r="A386" s="3"/>
      <c r="B386" s="3"/>
      <c r="C386" s="3"/>
      <c r="D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</row>
    <row r="387" spans="1:67" ht="15.75" customHeight="1" x14ac:dyDescent="0.2">
      <c r="A387" s="3"/>
      <c r="B387" s="3"/>
      <c r="C387" s="3"/>
      <c r="D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</row>
    <row r="388" spans="1:67" ht="15.75" customHeight="1" x14ac:dyDescent="0.2">
      <c r="A388" s="3"/>
      <c r="B388" s="3"/>
      <c r="C388" s="3"/>
      <c r="D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</row>
    <row r="389" spans="1:67" ht="15.75" customHeight="1" x14ac:dyDescent="0.2">
      <c r="A389" s="3"/>
      <c r="B389" s="3"/>
      <c r="C389" s="3"/>
      <c r="D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</row>
    <row r="390" spans="1:67" ht="15.75" customHeight="1" x14ac:dyDescent="0.2">
      <c r="A390" s="3"/>
      <c r="B390" s="3"/>
      <c r="C390" s="3"/>
      <c r="D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</row>
    <row r="391" spans="1:67" ht="15.75" customHeight="1" x14ac:dyDescent="0.2">
      <c r="A391" s="3"/>
      <c r="B391" s="3"/>
      <c r="C391" s="3"/>
      <c r="D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</row>
    <row r="392" spans="1:67" ht="15.75" customHeight="1" x14ac:dyDescent="0.2">
      <c r="A392" s="3"/>
      <c r="B392" s="3"/>
      <c r="C392" s="3"/>
      <c r="D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</row>
    <row r="393" spans="1:67" ht="15.75" customHeight="1" x14ac:dyDescent="0.2">
      <c r="A393" s="3"/>
      <c r="B393" s="3"/>
      <c r="C393" s="3"/>
      <c r="D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</row>
    <row r="394" spans="1:67" ht="15.75" customHeight="1" x14ac:dyDescent="0.2">
      <c r="A394" s="3"/>
      <c r="B394" s="3"/>
      <c r="C394" s="3"/>
      <c r="D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</row>
    <row r="395" spans="1:67" ht="15.75" customHeight="1" x14ac:dyDescent="0.2">
      <c r="A395" s="3"/>
      <c r="B395" s="3"/>
      <c r="C395" s="3"/>
      <c r="D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</row>
    <row r="396" spans="1:67" ht="15.75" customHeight="1" x14ac:dyDescent="0.2">
      <c r="A396" s="3"/>
      <c r="B396" s="3"/>
      <c r="C396" s="3"/>
      <c r="D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</row>
    <row r="397" spans="1:67" ht="15.75" customHeight="1" x14ac:dyDescent="0.2">
      <c r="A397" s="3"/>
      <c r="B397" s="3"/>
      <c r="C397" s="3"/>
      <c r="D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</row>
    <row r="398" spans="1:67" ht="15.75" customHeight="1" x14ac:dyDescent="0.2">
      <c r="A398" s="3"/>
      <c r="B398" s="3"/>
      <c r="C398" s="3"/>
      <c r="D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</row>
    <row r="399" spans="1:67" ht="15.75" customHeight="1" x14ac:dyDescent="0.2">
      <c r="A399" s="3"/>
      <c r="B399" s="3"/>
      <c r="C399" s="3"/>
      <c r="D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</row>
    <row r="400" spans="1:67" ht="15.75" customHeight="1" x14ac:dyDescent="0.2">
      <c r="A400" s="3"/>
      <c r="B400" s="3"/>
      <c r="C400" s="3"/>
      <c r="D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</row>
    <row r="401" spans="1:67" ht="15.75" customHeight="1" x14ac:dyDescent="0.2">
      <c r="A401" s="3"/>
      <c r="B401" s="3"/>
      <c r="C401" s="3"/>
      <c r="D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</row>
    <row r="402" spans="1:67" ht="15.75" customHeight="1" x14ac:dyDescent="0.2">
      <c r="A402" s="3"/>
      <c r="B402" s="3"/>
      <c r="C402" s="3"/>
      <c r="D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</row>
    <row r="403" spans="1:67" ht="15.75" customHeight="1" x14ac:dyDescent="0.2">
      <c r="A403" s="3"/>
      <c r="B403" s="3"/>
      <c r="C403" s="3"/>
      <c r="D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</row>
    <row r="404" spans="1:67" ht="15.75" customHeight="1" x14ac:dyDescent="0.2">
      <c r="A404" s="3"/>
      <c r="B404" s="3"/>
      <c r="C404" s="3"/>
      <c r="D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</row>
    <row r="405" spans="1:67" ht="15.75" customHeight="1" x14ac:dyDescent="0.2">
      <c r="A405" s="3"/>
      <c r="B405" s="3"/>
      <c r="C405" s="3"/>
      <c r="D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</row>
    <row r="406" spans="1:67" ht="15.75" customHeight="1" x14ac:dyDescent="0.2">
      <c r="A406" s="3"/>
      <c r="B406" s="3"/>
      <c r="C406" s="3"/>
      <c r="D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</row>
    <row r="407" spans="1:67" ht="15.75" customHeight="1" x14ac:dyDescent="0.2">
      <c r="A407" s="3"/>
      <c r="B407" s="3"/>
      <c r="C407" s="3"/>
      <c r="D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</row>
    <row r="408" spans="1:67" ht="15.75" customHeight="1" x14ac:dyDescent="0.2">
      <c r="A408" s="3"/>
      <c r="B408" s="3"/>
      <c r="C408" s="3"/>
      <c r="D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</row>
    <row r="409" spans="1:67" ht="15.75" customHeight="1" x14ac:dyDescent="0.2">
      <c r="A409" s="3"/>
      <c r="B409" s="3"/>
      <c r="C409" s="3"/>
      <c r="D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</row>
    <row r="410" spans="1:67" ht="15.75" customHeight="1" x14ac:dyDescent="0.2">
      <c r="A410" s="3"/>
      <c r="B410" s="3"/>
      <c r="C410" s="3"/>
      <c r="D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</row>
    <row r="411" spans="1:67" ht="15.75" customHeight="1" x14ac:dyDescent="0.2">
      <c r="A411" s="3"/>
      <c r="B411" s="3"/>
      <c r="C411" s="3"/>
      <c r="D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</row>
    <row r="412" spans="1:67" ht="15.75" customHeight="1" x14ac:dyDescent="0.2">
      <c r="A412" s="3"/>
      <c r="B412" s="3"/>
      <c r="C412" s="3"/>
      <c r="D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</row>
    <row r="413" spans="1:67" ht="15.75" customHeight="1" x14ac:dyDescent="0.2">
      <c r="A413" s="3"/>
      <c r="B413" s="3"/>
      <c r="C413" s="3"/>
      <c r="D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</row>
    <row r="414" spans="1:67" ht="15.75" customHeight="1" x14ac:dyDescent="0.2">
      <c r="A414" s="3"/>
      <c r="B414" s="3"/>
      <c r="C414" s="3"/>
      <c r="D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</row>
    <row r="415" spans="1:67" ht="15.75" customHeight="1" x14ac:dyDescent="0.2">
      <c r="A415" s="3"/>
      <c r="B415" s="3"/>
      <c r="C415" s="3"/>
      <c r="D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</row>
    <row r="416" spans="1:67" ht="15.75" customHeight="1" x14ac:dyDescent="0.2">
      <c r="A416" s="3"/>
      <c r="B416" s="3"/>
      <c r="C416" s="3"/>
      <c r="D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</row>
    <row r="417" spans="1:67" ht="15.75" customHeight="1" x14ac:dyDescent="0.2">
      <c r="A417" s="3"/>
      <c r="B417" s="3"/>
      <c r="C417" s="3"/>
      <c r="D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</row>
    <row r="418" spans="1:67" ht="15.75" customHeight="1" x14ac:dyDescent="0.2">
      <c r="A418" s="3"/>
      <c r="B418" s="3"/>
      <c r="C418" s="3"/>
      <c r="D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</row>
    <row r="419" spans="1:67" ht="15.75" customHeight="1" x14ac:dyDescent="0.2">
      <c r="A419" s="3"/>
      <c r="B419" s="3"/>
      <c r="C419" s="3"/>
      <c r="D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</row>
    <row r="420" spans="1:67" ht="15.75" customHeight="1" x14ac:dyDescent="0.2">
      <c r="A420" s="3"/>
      <c r="B420" s="3"/>
      <c r="C420" s="3"/>
      <c r="D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</row>
    <row r="421" spans="1:67" ht="15.75" customHeight="1" x14ac:dyDescent="0.2">
      <c r="A421" s="3"/>
      <c r="B421" s="3"/>
      <c r="C421" s="3"/>
      <c r="D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/>
      <c r="BO421" s="3"/>
    </row>
    <row r="422" spans="1:67" ht="15.75" customHeight="1" x14ac:dyDescent="0.2">
      <c r="A422" s="3"/>
      <c r="B422" s="3"/>
      <c r="C422" s="3"/>
      <c r="D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</row>
    <row r="423" spans="1:67" ht="15.75" customHeight="1" x14ac:dyDescent="0.2">
      <c r="A423" s="3"/>
      <c r="B423" s="3"/>
      <c r="C423" s="3"/>
      <c r="D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  <c r="BN423" s="3"/>
      <c r="BO423" s="3"/>
    </row>
    <row r="424" spans="1:67" ht="15.75" customHeight="1" x14ac:dyDescent="0.2">
      <c r="A424" s="3"/>
      <c r="B424" s="3"/>
      <c r="C424" s="3"/>
      <c r="D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</row>
    <row r="425" spans="1:67" ht="15.75" customHeight="1" x14ac:dyDescent="0.2">
      <c r="A425" s="3"/>
      <c r="B425" s="3"/>
      <c r="C425" s="3"/>
      <c r="D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</row>
    <row r="426" spans="1:67" ht="15.75" customHeight="1" x14ac:dyDescent="0.2">
      <c r="A426" s="3"/>
      <c r="B426" s="3"/>
      <c r="C426" s="3"/>
      <c r="D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  <c r="BN426" s="3"/>
      <c r="BO426" s="3"/>
    </row>
    <row r="427" spans="1:67" ht="15.75" customHeight="1" x14ac:dyDescent="0.2">
      <c r="A427" s="3"/>
      <c r="B427" s="3"/>
      <c r="C427" s="3"/>
      <c r="D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  <c r="BN427" s="3"/>
      <c r="BO427" s="3"/>
    </row>
    <row r="428" spans="1:67" ht="15.75" customHeight="1" x14ac:dyDescent="0.2">
      <c r="A428" s="3"/>
      <c r="B428" s="3"/>
      <c r="C428" s="3"/>
      <c r="D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</row>
    <row r="429" spans="1:67" ht="15.75" customHeight="1" x14ac:dyDescent="0.2">
      <c r="A429" s="3"/>
      <c r="B429" s="3"/>
      <c r="C429" s="3"/>
      <c r="D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</row>
    <row r="430" spans="1:67" ht="15.75" customHeight="1" x14ac:dyDescent="0.2">
      <c r="A430" s="3"/>
      <c r="B430" s="3"/>
      <c r="C430" s="3"/>
      <c r="D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  <c r="BN430" s="3"/>
      <c r="BO430" s="3"/>
    </row>
    <row r="431" spans="1:67" ht="15.75" customHeight="1" x14ac:dyDescent="0.2">
      <c r="A431" s="3"/>
      <c r="B431" s="3"/>
      <c r="C431" s="3"/>
      <c r="D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</row>
    <row r="432" spans="1:67" ht="15.75" customHeight="1" x14ac:dyDescent="0.2">
      <c r="A432" s="3"/>
      <c r="B432" s="3"/>
      <c r="C432" s="3"/>
      <c r="D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</row>
    <row r="433" spans="1:67" ht="15.75" customHeight="1" x14ac:dyDescent="0.2">
      <c r="A433" s="3"/>
      <c r="B433" s="3"/>
      <c r="C433" s="3"/>
      <c r="D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</row>
    <row r="434" spans="1:67" ht="15.75" customHeight="1" x14ac:dyDescent="0.2">
      <c r="A434" s="3"/>
      <c r="B434" s="3"/>
      <c r="C434" s="3"/>
      <c r="D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</row>
    <row r="435" spans="1:67" ht="15.75" customHeight="1" x14ac:dyDescent="0.2">
      <c r="A435" s="3"/>
      <c r="B435" s="3"/>
      <c r="C435" s="3"/>
      <c r="D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</row>
    <row r="436" spans="1:67" ht="15.75" customHeight="1" x14ac:dyDescent="0.2">
      <c r="A436" s="3"/>
      <c r="B436" s="3"/>
      <c r="C436" s="3"/>
      <c r="D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</row>
    <row r="437" spans="1:67" ht="15.75" customHeight="1" x14ac:dyDescent="0.2">
      <c r="A437" s="3"/>
      <c r="B437" s="3"/>
      <c r="C437" s="3"/>
      <c r="D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</row>
    <row r="438" spans="1:67" ht="15.75" customHeight="1" x14ac:dyDescent="0.2">
      <c r="A438" s="3"/>
      <c r="B438" s="3"/>
      <c r="C438" s="3"/>
      <c r="D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</row>
    <row r="439" spans="1:67" ht="15.75" customHeight="1" x14ac:dyDescent="0.2">
      <c r="A439" s="3"/>
      <c r="B439" s="3"/>
      <c r="C439" s="3"/>
      <c r="D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</row>
    <row r="440" spans="1:67" ht="15.75" customHeight="1" x14ac:dyDescent="0.2">
      <c r="A440" s="3"/>
      <c r="B440" s="3"/>
      <c r="C440" s="3"/>
      <c r="D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</row>
    <row r="441" spans="1:67" ht="15.75" customHeight="1" x14ac:dyDescent="0.2">
      <c r="A441" s="3"/>
      <c r="B441" s="3"/>
      <c r="C441" s="3"/>
      <c r="D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</row>
    <row r="442" spans="1:67" ht="15.75" customHeight="1" x14ac:dyDescent="0.2">
      <c r="A442" s="3"/>
      <c r="B442" s="3"/>
      <c r="C442" s="3"/>
      <c r="D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  <c r="BN442" s="3"/>
      <c r="BO442" s="3"/>
    </row>
    <row r="443" spans="1:67" ht="15.75" customHeight="1" x14ac:dyDescent="0.2">
      <c r="A443" s="3"/>
      <c r="B443" s="3"/>
      <c r="C443" s="3"/>
      <c r="D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</row>
    <row r="444" spans="1:67" ht="15.75" customHeight="1" x14ac:dyDescent="0.2">
      <c r="A444" s="3"/>
      <c r="B444" s="3"/>
      <c r="C444" s="3"/>
      <c r="D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</row>
    <row r="445" spans="1:67" ht="15.75" customHeight="1" x14ac:dyDescent="0.2">
      <c r="A445" s="3"/>
      <c r="B445" s="3"/>
      <c r="C445" s="3"/>
      <c r="D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</row>
    <row r="446" spans="1:67" ht="15.75" customHeight="1" x14ac:dyDescent="0.2">
      <c r="A446" s="3"/>
      <c r="B446" s="3"/>
      <c r="C446" s="3"/>
      <c r="D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</row>
    <row r="447" spans="1:67" ht="15.75" customHeight="1" x14ac:dyDescent="0.2">
      <c r="A447" s="3"/>
      <c r="B447" s="3"/>
      <c r="C447" s="3"/>
      <c r="D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</row>
    <row r="448" spans="1:67" ht="15.75" customHeight="1" x14ac:dyDescent="0.2">
      <c r="A448" s="3"/>
      <c r="B448" s="3"/>
      <c r="C448" s="3"/>
      <c r="D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</row>
    <row r="449" spans="1:67" ht="15.75" customHeight="1" x14ac:dyDescent="0.2">
      <c r="A449" s="3"/>
      <c r="B449" s="3"/>
      <c r="C449" s="3"/>
      <c r="D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</row>
    <row r="450" spans="1:67" ht="15.75" customHeight="1" x14ac:dyDescent="0.2">
      <c r="A450" s="3"/>
      <c r="B450" s="3"/>
      <c r="C450" s="3"/>
      <c r="D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</row>
    <row r="451" spans="1:67" ht="15.75" customHeight="1" x14ac:dyDescent="0.2">
      <c r="A451" s="3"/>
      <c r="B451" s="3"/>
      <c r="C451" s="3"/>
      <c r="D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</row>
    <row r="452" spans="1:67" ht="15.75" customHeight="1" x14ac:dyDescent="0.2">
      <c r="A452" s="3"/>
      <c r="B452" s="3"/>
      <c r="C452" s="3"/>
      <c r="D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</row>
    <row r="453" spans="1:67" ht="15.75" customHeight="1" x14ac:dyDescent="0.2">
      <c r="A453" s="3"/>
      <c r="B453" s="3"/>
      <c r="C453" s="3"/>
      <c r="D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</row>
    <row r="454" spans="1:67" ht="15.75" customHeight="1" x14ac:dyDescent="0.2">
      <c r="A454" s="3"/>
      <c r="B454" s="3"/>
      <c r="C454" s="3"/>
      <c r="D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</row>
    <row r="455" spans="1:67" ht="15.75" customHeight="1" x14ac:dyDescent="0.2">
      <c r="A455" s="3"/>
      <c r="B455" s="3"/>
      <c r="C455" s="3"/>
      <c r="D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</row>
    <row r="456" spans="1:67" ht="15.75" customHeight="1" x14ac:dyDescent="0.2">
      <c r="A456" s="3"/>
      <c r="B456" s="3"/>
      <c r="C456" s="3"/>
      <c r="D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</row>
    <row r="457" spans="1:67" ht="15.75" customHeight="1" x14ac:dyDescent="0.2">
      <c r="A457" s="3"/>
      <c r="B457" s="3"/>
      <c r="C457" s="3"/>
      <c r="D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  <c r="BN457" s="3"/>
      <c r="BO457" s="3"/>
    </row>
    <row r="458" spans="1:67" ht="15.75" customHeight="1" x14ac:dyDescent="0.2">
      <c r="A458" s="3"/>
      <c r="B458" s="3"/>
      <c r="C458" s="3"/>
      <c r="D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</row>
    <row r="459" spans="1:67" ht="15.75" customHeight="1" x14ac:dyDescent="0.2">
      <c r="A459" s="3"/>
      <c r="B459" s="3"/>
      <c r="C459" s="3"/>
      <c r="D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/>
    </row>
    <row r="460" spans="1:67" ht="15.75" customHeight="1" x14ac:dyDescent="0.2">
      <c r="A460" s="3"/>
      <c r="B460" s="3"/>
      <c r="C460" s="3"/>
      <c r="D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</row>
    <row r="461" spans="1:67" ht="15.75" customHeight="1" x14ac:dyDescent="0.2">
      <c r="A461" s="3"/>
      <c r="B461" s="3"/>
      <c r="C461" s="3"/>
      <c r="D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</row>
    <row r="462" spans="1:67" ht="15.75" customHeight="1" x14ac:dyDescent="0.2">
      <c r="A462" s="3"/>
      <c r="B462" s="3"/>
      <c r="C462" s="3"/>
      <c r="D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  <c r="BN462" s="3"/>
      <c r="BO462" s="3"/>
    </row>
    <row r="463" spans="1:67" ht="15.75" customHeight="1" x14ac:dyDescent="0.2">
      <c r="A463" s="3"/>
      <c r="B463" s="3"/>
      <c r="C463" s="3"/>
      <c r="D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</row>
    <row r="464" spans="1:67" ht="15.75" customHeight="1" x14ac:dyDescent="0.2">
      <c r="A464" s="3"/>
      <c r="B464" s="3"/>
      <c r="C464" s="3"/>
      <c r="D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</row>
    <row r="465" spans="1:67" ht="15.75" customHeight="1" x14ac:dyDescent="0.2">
      <c r="A465" s="3"/>
      <c r="B465" s="3"/>
      <c r="C465" s="3"/>
      <c r="D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</row>
    <row r="466" spans="1:67" ht="15.75" customHeight="1" x14ac:dyDescent="0.2">
      <c r="A466" s="3"/>
      <c r="B466" s="3"/>
      <c r="C466" s="3"/>
      <c r="D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  <c r="BN466" s="3"/>
      <c r="BO466" s="3"/>
    </row>
    <row r="467" spans="1:67" ht="15.75" customHeight="1" x14ac:dyDescent="0.2">
      <c r="A467" s="3"/>
      <c r="B467" s="3"/>
      <c r="C467" s="3"/>
      <c r="D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</row>
    <row r="468" spans="1:67" ht="15.75" customHeight="1" x14ac:dyDescent="0.2">
      <c r="A468" s="3"/>
      <c r="B468" s="3"/>
      <c r="C468" s="3"/>
      <c r="D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  <c r="BN468" s="3"/>
      <c r="BO468" s="3"/>
    </row>
    <row r="469" spans="1:67" ht="15.75" customHeight="1" x14ac:dyDescent="0.2">
      <c r="A469" s="3"/>
      <c r="B469" s="3"/>
      <c r="C469" s="3"/>
      <c r="D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</row>
    <row r="470" spans="1:67" ht="15.75" customHeight="1" x14ac:dyDescent="0.2">
      <c r="A470" s="3"/>
      <c r="B470" s="3"/>
      <c r="C470" s="3"/>
      <c r="D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</row>
    <row r="471" spans="1:67" ht="15.75" customHeight="1" x14ac:dyDescent="0.2">
      <c r="A471" s="3"/>
      <c r="B471" s="3"/>
      <c r="C471" s="3"/>
      <c r="D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</row>
    <row r="472" spans="1:67" ht="15.75" customHeight="1" x14ac:dyDescent="0.2">
      <c r="A472" s="3"/>
      <c r="B472" s="3"/>
      <c r="C472" s="3"/>
      <c r="D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</row>
    <row r="473" spans="1:67" ht="15.75" customHeight="1" x14ac:dyDescent="0.2">
      <c r="A473" s="3"/>
      <c r="B473" s="3"/>
      <c r="C473" s="3"/>
      <c r="D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  <c r="BN473" s="3"/>
      <c r="BO473" s="3"/>
    </row>
    <row r="474" spans="1:67" ht="15.75" customHeight="1" x14ac:dyDescent="0.2">
      <c r="A474" s="3"/>
      <c r="B474" s="3"/>
      <c r="C474" s="3"/>
      <c r="D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</row>
    <row r="475" spans="1:67" ht="15.75" customHeight="1" x14ac:dyDescent="0.2">
      <c r="A475" s="3"/>
      <c r="B475" s="3"/>
      <c r="C475" s="3"/>
      <c r="D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</row>
    <row r="476" spans="1:67" ht="15.75" customHeight="1" x14ac:dyDescent="0.2">
      <c r="A476" s="3"/>
      <c r="B476" s="3"/>
      <c r="C476" s="3"/>
      <c r="D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</row>
    <row r="477" spans="1:67" ht="15.75" customHeight="1" x14ac:dyDescent="0.2">
      <c r="A477" s="3"/>
      <c r="B477" s="3"/>
      <c r="C477" s="3"/>
      <c r="D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</row>
    <row r="478" spans="1:67" ht="15.75" customHeight="1" x14ac:dyDescent="0.2">
      <c r="A478" s="3"/>
      <c r="B478" s="3"/>
      <c r="C478" s="3"/>
      <c r="D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  <c r="BN478" s="3"/>
      <c r="BO478" s="3"/>
    </row>
    <row r="479" spans="1:67" ht="15.75" customHeight="1" x14ac:dyDescent="0.2">
      <c r="A479" s="3"/>
      <c r="B479" s="3"/>
      <c r="C479" s="3"/>
      <c r="D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</row>
    <row r="480" spans="1:67" ht="15.75" customHeight="1" x14ac:dyDescent="0.2">
      <c r="A480" s="3"/>
      <c r="B480" s="3"/>
      <c r="C480" s="3"/>
      <c r="D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</row>
    <row r="481" spans="1:67" ht="15.75" customHeight="1" x14ac:dyDescent="0.2">
      <c r="A481" s="3"/>
      <c r="B481" s="3"/>
      <c r="C481" s="3"/>
      <c r="D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</row>
    <row r="482" spans="1:67" ht="15.75" customHeight="1" x14ac:dyDescent="0.2">
      <c r="A482" s="3"/>
      <c r="B482" s="3"/>
      <c r="C482" s="3"/>
      <c r="D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</row>
    <row r="483" spans="1:67" ht="15.75" customHeight="1" x14ac:dyDescent="0.2">
      <c r="A483" s="3"/>
      <c r="B483" s="3"/>
      <c r="C483" s="3"/>
      <c r="D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</row>
    <row r="484" spans="1:67" ht="15.75" customHeight="1" x14ac:dyDescent="0.2">
      <c r="A484" s="3"/>
      <c r="B484" s="3"/>
      <c r="C484" s="3"/>
      <c r="D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  <c r="BN484" s="3"/>
      <c r="BO484" s="3"/>
    </row>
    <row r="485" spans="1:67" ht="15.75" customHeight="1" x14ac:dyDescent="0.2">
      <c r="A485" s="3"/>
      <c r="B485" s="3"/>
      <c r="C485" s="3"/>
      <c r="D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</row>
    <row r="486" spans="1:67" ht="15.75" customHeight="1" x14ac:dyDescent="0.2">
      <c r="A486" s="3"/>
      <c r="B486" s="3"/>
      <c r="C486" s="3"/>
      <c r="D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</row>
    <row r="487" spans="1:67" ht="15.75" customHeight="1" x14ac:dyDescent="0.2">
      <c r="A487" s="3"/>
      <c r="B487" s="3"/>
      <c r="C487" s="3"/>
      <c r="D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</row>
    <row r="488" spans="1:67" ht="15.75" customHeight="1" x14ac:dyDescent="0.2">
      <c r="A488" s="3"/>
      <c r="B488" s="3"/>
      <c r="C488" s="3"/>
      <c r="D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</row>
    <row r="489" spans="1:67" ht="15.75" customHeight="1" x14ac:dyDescent="0.2">
      <c r="A489" s="3"/>
      <c r="B489" s="3"/>
      <c r="C489" s="3"/>
      <c r="D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</row>
    <row r="490" spans="1:67" ht="15.75" customHeight="1" x14ac:dyDescent="0.2">
      <c r="A490" s="3"/>
      <c r="B490" s="3"/>
      <c r="C490" s="3"/>
      <c r="D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</row>
    <row r="491" spans="1:67" ht="15.75" customHeight="1" x14ac:dyDescent="0.2">
      <c r="A491" s="3"/>
      <c r="B491" s="3"/>
      <c r="C491" s="3"/>
      <c r="D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</row>
    <row r="492" spans="1:67" ht="15.75" customHeight="1" x14ac:dyDescent="0.2">
      <c r="A492" s="3"/>
      <c r="B492" s="3"/>
      <c r="C492" s="3"/>
      <c r="D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  <c r="BN492" s="3"/>
      <c r="BO492" s="3"/>
    </row>
    <row r="493" spans="1:67" ht="15.75" customHeight="1" x14ac:dyDescent="0.2">
      <c r="A493" s="3"/>
      <c r="B493" s="3"/>
      <c r="C493" s="3"/>
      <c r="D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</row>
    <row r="494" spans="1:67" ht="15.75" customHeight="1" x14ac:dyDescent="0.2">
      <c r="A494" s="3"/>
      <c r="B494" s="3"/>
      <c r="C494" s="3"/>
      <c r="D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</row>
    <row r="495" spans="1:67" ht="15.75" customHeight="1" x14ac:dyDescent="0.2">
      <c r="A495" s="3"/>
      <c r="B495" s="3"/>
      <c r="C495" s="3"/>
      <c r="D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  <c r="BN495" s="3"/>
      <c r="BO495" s="3"/>
    </row>
    <row r="496" spans="1:67" ht="15.75" customHeight="1" x14ac:dyDescent="0.2">
      <c r="A496" s="3"/>
      <c r="B496" s="3"/>
      <c r="C496" s="3"/>
      <c r="D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  <c r="BN496" s="3"/>
      <c r="BO496" s="3"/>
    </row>
    <row r="497" spans="1:67" ht="15.75" customHeight="1" x14ac:dyDescent="0.2">
      <c r="A497" s="3"/>
      <c r="B497" s="3"/>
      <c r="C497" s="3"/>
      <c r="D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  <c r="BN497" s="3"/>
      <c r="BO497" s="3"/>
    </row>
    <row r="498" spans="1:67" ht="15.75" customHeight="1" x14ac:dyDescent="0.2">
      <c r="A498" s="3"/>
      <c r="B498" s="3"/>
      <c r="C498" s="3"/>
      <c r="D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</row>
    <row r="499" spans="1:67" ht="15.75" customHeight="1" x14ac:dyDescent="0.2">
      <c r="A499" s="3"/>
      <c r="B499" s="3"/>
      <c r="C499" s="3"/>
      <c r="D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</row>
    <row r="500" spans="1:67" ht="15.75" customHeight="1" x14ac:dyDescent="0.2">
      <c r="A500" s="3"/>
      <c r="B500" s="3"/>
      <c r="C500" s="3"/>
      <c r="D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  <c r="BN500" s="3"/>
      <c r="BO500" s="3"/>
    </row>
    <row r="501" spans="1:67" ht="15.75" customHeight="1" x14ac:dyDescent="0.2">
      <c r="A501" s="3"/>
      <c r="B501" s="3"/>
      <c r="C501" s="3"/>
      <c r="D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  <c r="BN501" s="3"/>
      <c r="BO501" s="3"/>
    </row>
    <row r="502" spans="1:67" ht="15.75" customHeight="1" x14ac:dyDescent="0.2">
      <c r="A502" s="3"/>
      <c r="B502" s="3"/>
      <c r="C502" s="3"/>
      <c r="D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  <c r="BN502" s="3"/>
      <c r="BO502" s="3"/>
    </row>
    <row r="503" spans="1:67" ht="15.75" customHeight="1" x14ac:dyDescent="0.2">
      <c r="A503" s="3"/>
      <c r="B503" s="3"/>
      <c r="C503" s="3"/>
      <c r="D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  <c r="BN503" s="3"/>
      <c r="BO503" s="3"/>
    </row>
    <row r="504" spans="1:67" ht="15.75" customHeight="1" x14ac:dyDescent="0.2">
      <c r="A504" s="3"/>
      <c r="B504" s="3"/>
      <c r="C504" s="3"/>
      <c r="D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  <c r="BN504" s="3"/>
      <c r="BO504" s="3"/>
    </row>
    <row r="505" spans="1:67" ht="15.75" customHeight="1" x14ac:dyDescent="0.2">
      <c r="A505" s="3"/>
      <c r="B505" s="3"/>
      <c r="C505" s="3"/>
      <c r="D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  <c r="BN505" s="3"/>
      <c r="BO505" s="3"/>
    </row>
    <row r="506" spans="1:67" ht="15.75" customHeight="1" x14ac:dyDescent="0.2">
      <c r="A506" s="3"/>
      <c r="B506" s="3"/>
      <c r="C506" s="3"/>
      <c r="D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  <c r="BN506" s="3"/>
      <c r="BO506" s="3"/>
    </row>
    <row r="507" spans="1:67" ht="15.75" customHeight="1" x14ac:dyDescent="0.2">
      <c r="A507" s="3"/>
      <c r="B507" s="3"/>
      <c r="C507" s="3"/>
      <c r="D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  <c r="BN507" s="3"/>
      <c r="BO507" s="3"/>
    </row>
    <row r="508" spans="1:67" ht="15.75" customHeight="1" x14ac:dyDescent="0.2">
      <c r="A508" s="3"/>
      <c r="B508" s="3"/>
      <c r="C508" s="3"/>
      <c r="D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  <c r="BN508" s="3"/>
      <c r="BO508" s="3"/>
    </row>
    <row r="509" spans="1:67" ht="15.75" customHeight="1" x14ac:dyDescent="0.2">
      <c r="A509" s="3"/>
      <c r="B509" s="3"/>
      <c r="C509" s="3"/>
      <c r="D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  <c r="BN509" s="3"/>
      <c r="BO509" s="3"/>
    </row>
    <row r="510" spans="1:67" ht="15.75" customHeight="1" x14ac:dyDescent="0.2">
      <c r="A510" s="3"/>
      <c r="B510" s="3"/>
      <c r="C510" s="3"/>
      <c r="D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  <c r="BN510" s="3"/>
      <c r="BO510" s="3"/>
    </row>
    <row r="511" spans="1:67" ht="15.75" customHeight="1" x14ac:dyDescent="0.2">
      <c r="A511" s="3"/>
      <c r="B511" s="3"/>
      <c r="C511" s="3"/>
      <c r="D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  <c r="BN511" s="3"/>
      <c r="BO511" s="3"/>
    </row>
    <row r="512" spans="1:67" ht="15.75" customHeight="1" x14ac:dyDescent="0.2">
      <c r="A512" s="3"/>
      <c r="B512" s="3"/>
      <c r="C512" s="3"/>
      <c r="D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  <c r="BN512" s="3"/>
      <c r="BO512" s="3"/>
    </row>
    <row r="513" spans="1:67" ht="15.75" customHeight="1" x14ac:dyDescent="0.2">
      <c r="A513" s="3"/>
      <c r="B513" s="3"/>
      <c r="C513" s="3"/>
      <c r="D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  <c r="BN513" s="3"/>
      <c r="BO513" s="3"/>
    </row>
    <row r="514" spans="1:67" ht="15.75" customHeight="1" x14ac:dyDescent="0.2">
      <c r="A514" s="3"/>
      <c r="B514" s="3"/>
      <c r="C514" s="3"/>
      <c r="D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  <c r="BN514" s="3"/>
      <c r="BO514" s="3"/>
    </row>
    <row r="515" spans="1:67" ht="15.75" customHeight="1" x14ac:dyDescent="0.2">
      <c r="A515" s="3"/>
      <c r="B515" s="3"/>
      <c r="C515" s="3"/>
      <c r="D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  <c r="BN515" s="3"/>
      <c r="BO515" s="3"/>
    </row>
    <row r="516" spans="1:67" ht="15.75" customHeight="1" x14ac:dyDescent="0.2">
      <c r="A516" s="3"/>
      <c r="B516" s="3"/>
      <c r="C516" s="3"/>
      <c r="D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  <c r="BN516" s="3"/>
      <c r="BO516" s="3"/>
    </row>
    <row r="517" spans="1:67" ht="15.75" customHeight="1" x14ac:dyDescent="0.2">
      <c r="A517" s="3"/>
      <c r="B517" s="3"/>
      <c r="C517" s="3"/>
      <c r="D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  <c r="BN517" s="3"/>
      <c r="BO517" s="3"/>
    </row>
    <row r="518" spans="1:67" ht="15.75" customHeight="1" x14ac:dyDescent="0.2">
      <c r="A518" s="3"/>
      <c r="B518" s="3"/>
      <c r="C518" s="3"/>
      <c r="D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  <c r="BN518" s="3"/>
      <c r="BO518" s="3"/>
    </row>
    <row r="519" spans="1:67" ht="15.75" customHeight="1" x14ac:dyDescent="0.2">
      <c r="A519" s="3"/>
      <c r="B519" s="3"/>
      <c r="C519" s="3"/>
      <c r="D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  <c r="BN519" s="3"/>
      <c r="BO519" s="3"/>
    </row>
    <row r="520" spans="1:67" ht="15.75" customHeight="1" x14ac:dyDescent="0.2">
      <c r="A520" s="3"/>
      <c r="B520" s="3"/>
      <c r="C520" s="3"/>
      <c r="D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  <c r="BN520" s="3"/>
      <c r="BO520" s="3"/>
    </row>
    <row r="521" spans="1:67" ht="15.75" customHeight="1" x14ac:dyDescent="0.2">
      <c r="A521" s="3"/>
      <c r="B521" s="3"/>
      <c r="C521" s="3"/>
      <c r="D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  <c r="BN521" s="3"/>
      <c r="BO521" s="3"/>
    </row>
    <row r="522" spans="1:67" ht="15.75" customHeight="1" x14ac:dyDescent="0.2">
      <c r="A522" s="3"/>
      <c r="B522" s="3"/>
      <c r="C522" s="3"/>
      <c r="D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  <c r="BN522" s="3"/>
      <c r="BO522" s="3"/>
    </row>
    <row r="523" spans="1:67" ht="15.75" customHeight="1" x14ac:dyDescent="0.2">
      <c r="A523" s="3"/>
      <c r="B523" s="3"/>
      <c r="C523" s="3"/>
      <c r="D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  <c r="BN523" s="3"/>
      <c r="BO523" s="3"/>
    </row>
    <row r="524" spans="1:67" ht="15.75" customHeight="1" x14ac:dyDescent="0.2">
      <c r="A524" s="3"/>
      <c r="B524" s="3"/>
      <c r="C524" s="3"/>
      <c r="D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  <c r="BN524" s="3"/>
      <c r="BO524" s="3"/>
    </row>
    <row r="525" spans="1:67" ht="15.75" customHeight="1" x14ac:dyDescent="0.2">
      <c r="A525" s="3"/>
      <c r="B525" s="3"/>
      <c r="C525" s="3"/>
      <c r="D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  <c r="BN525" s="3"/>
      <c r="BO525" s="3"/>
    </row>
    <row r="526" spans="1:67" ht="15.75" customHeight="1" x14ac:dyDescent="0.2">
      <c r="A526" s="3"/>
      <c r="B526" s="3"/>
      <c r="C526" s="3"/>
      <c r="D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  <c r="BN526" s="3"/>
      <c r="BO526" s="3"/>
    </row>
    <row r="527" spans="1:67" ht="15.75" customHeight="1" x14ac:dyDescent="0.2">
      <c r="A527" s="3"/>
      <c r="B527" s="3"/>
      <c r="C527" s="3"/>
      <c r="D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  <c r="BN527" s="3"/>
      <c r="BO527" s="3"/>
    </row>
    <row r="528" spans="1:67" ht="15.75" customHeight="1" x14ac:dyDescent="0.2">
      <c r="A528" s="3"/>
      <c r="B528" s="3"/>
      <c r="C528" s="3"/>
      <c r="D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  <c r="BN528" s="3"/>
      <c r="BO528" s="3"/>
    </row>
    <row r="529" spans="1:67" ht="15.75" customHeight="1" x14ac:dyDescent="0.2">
      <c r="A529" s="3"/>
      <c r="B529" s="3"/>
      <c r="C529" s="3"/>
      <c r="D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  <c r="BN529" s="3"/>
      <c r="BO529" s="3"/>
    </row>
    <row r="530" spans="1:67" ht="15.75" customHeight="1" x14ac:dyDescent="0.2">
      <c r="A530" s="3"/>
      <c r="B530" s="3"/>
      <c r="C530" s="3"/>
      <c r="D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  <c r="BN530" s="3"/>
      <c r="BO530" s="3"/>
    </row>
    <row r="531" spans="1:67" ht="15.75" customHeight="1" x14ac:dyDescent="0.2">
      <c r="A531" s="3"/>
      <c r="B531" s="3"/>
      <c r="C531" s="3"/>
      <c r="D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  <c r="BN531" s="3"/>
      <c r="BO531" s="3"/>
    </row>
    <row r="532" spans="1:67" ht="15.75" customHeight="1" x14ac:dyDescent="0.2">
      <c r="A532" s="3"/>
      <c r="B532" s="3"/>
      <c r="C532" s="3"/>
      <c r="D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  <c r="BN532" s="3"/>
      <c r="BO532" s="3"/>
    </row>
    <row r="533" spans="1:67" ht="15.75" customHeight="1" x14ac:dyDescent="0.2">
      <c r="A533" s="3"/>
      <c r="B533" s="3"/>
      <c r="C533" s="3"/>
      <c r="D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  <c r="BN533" s="3"/>
      <c r="BO533" s="3"/>
    </row>
    <row r="534" spans="1:67" ht="15.75" customHeight="1" x14ac:dyDescent="0.2">
      <c r="A534" s="3"/>
      <c r="B534" s="3"/>
      <c r="C534" s="3"/>
      <c r="D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  <c r="BN534" s="3"/>
      <c r="BO534" s="3"/>
    </row>
    <row r="535" spans="1:67" ht="15.75" customHeight="1" x14ac:dyDescent="0.2">
      <c r="A535" s="3"/>
      <c r="B535" s="3"/>
      <c r="C535" s="3"/>
      <c r="D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  <c r="BN535" s="3"/>
      <c r="BO535" s="3"/>
    </row>
    <row r="536" spans="1:67" ht="15.75" customHeight="1" x14ac:dyDescent="0.2">
      <c r="A536" s="3"/>
      <c r="B536" s="3"/>
      <c r="C536" s="3"/>
      <c r="D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  <c r="BN536" s="3"/>
      <c r="BO536" s="3"/>
    </row>
    <row r="537" spans="1:67" ht="15.75" customHeight="1" x14ac:dyDescent="0.2">
      <c r="A537" s="3"/>
      <c r="B537" s="3"/>
      <c r="C537" s="3"/>
      <c r="D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  <c r="BN537" s="3"/>
      <c r="BO537" s="3"/>
    </row>
    <row r="538" spans="1:67" ht="15.75" customHeight="1" x14ac:dyDescent="0.2">
      <c r="A538" s="3"/>
      <c r="B538" s="3"/>
      <c r="C538" s="3"/>
      <c r="D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  <c r="BN538" s="3"/>
      <c r="BO538" s="3"/>
    </row>
    <row r="539" spans="1:67" ht="15.75" customHeight="1" x14ac:dyDescent="0.2">
      <c r="A539" s="3"/>
      <c r="B539" s="3"/>
      <c r="C539" s="3"/>
      <c r="D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  <c r="BN539" s="3"/>
      <c r="BO539" s="3"/>
    </row>
    <row r="540" spans="1:67" ht="15.75" customHeight="1" x14ac:dyDescent="0.2">
      <c r="A540" s="3"/>
      <c r="B540" s="3"/>
      <c r="C540" s="3"/>
      <c r="D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  <c r="BN540" s="3"/>
      <c r="BO540" s="3"/>
    </row>
    <row r="541" spans="1:67" ht="15.75" customHeight="1" x14ac:dyDescent="0.2">
      <c r="A541" s="3"/>
      <c r="B541" s="3"/>
      <c r="C541" s="3"/>
      <c r="D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  <c r="BN541" s="3"/>
      <c r="BO541" s="3"/>
    </row>
    <row r="542" spans="1:67" ht="15.75" customHeight="1" x14ac:dyDescent="0.2">
      <c r="A542" s="3"/>
      <c r="B542" s="3"/>
      <c r="C542" s="3"/>
      <c r="D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  <c r="BN542" s="3"/>
      <c r="BO542" s="3"/>
    </row>
    <row r="543" spans="1:67" ht="15.75" customHeight="1" x14ac:dyDescent="0.2">
      <c r="A543" s="3"/>
      <c r="B543" s="3"/>
      <c r="C543" s="3"/>
      <c r="D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  <c r="BN543" s="3"/>
      <c r="BO543" s="3"/>
    </row>
    <row r="544" spans="1:67" ht="15.75" customHeight="1" x14ac:dyDescent="0.2">
      <c r="A544" s="3"/>
      <c r="B544" s="3"/>
      <c r="C544" s="3"/>
      <c r="D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  <c r="BN544" s="3"/>
      <c r="BO544" s="3"/>
    </row>
    <row r="545" spans="1:67" ht="15.75" customHeight="1" x14ac:dyDescent="0.2">
      <c r="A545" s="3"/>
      <c r="B545" s="3"/>
      <c r="C545" s="3"/>
      <c r="D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  <c r="BN545" s="3"/>
      <c r="BO545" s="3"/>
    </row>
    <row r="546" spans="1:67" ht="15.75" customHeight="1" x14ac:dyDescent="0.2">
      <c r="A546" s="3"/>
      <c r="B546" s="3"/>
      <c r="C546" s="3"/>
      <c r="D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  <c r="BN546" s="3"/>
      <c r="BO546" s="3"/>
    </row>
    <row r="547" spans="1:67" ht="15.75" customHeight="1" x14ac:dyDescent="0.2">
      <c r="A547" s="3"/>
      <c r="B547" s="3"/>
      <c r="C547" s="3"/>
      <c r="D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  <c r="BN547" s="3"/>
      <c r="BO547" s="3"/>
    </row>
    <row r="548" spans="1:67" ht="15.75" customHeight="1" x14ac:dyDescent="0.2">
      <c r="A548" s="3"/>
      <c r="B548" s="3"/>
      <c r="C548" s="3"/>
      <c r="D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  <c r="BN548" s="3"/>
      <c r="BO548" s="3"/>
    </row>
    <row r="549" spans="1:67" ht="15.75" customHeight="1" x14ac:dyDescent="0.2">
      <c r="A549" s="3"/>
      <c r="B549" s="3"/>
      <c r="C549" s="3"/>
      <c r="D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  <c r="BN549" s="3"/>
      <c r="BO549" s="3"/>
    </row>
    <row r="550" spans="1:67" ht="15.75" customHeight="1" x14ac:dyDescent="0.2">
      <c r="A550" s="3"/>
      <c r="B550" s="3"/>
      <c r="C550" s="3"/>
      <c r="D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  <c r="BN550" s="3"/>
      <c r="BO550" s="3"/>
    </row>
    <row r="551" spans="1:67" ht="15.75" customHeight="1" x14ac:dyDescent="0.2">
      <c r="A551" s="3"/>
      <c r="B551" s="3"/>
      <c r="C551" s="3"/>
      <c r="D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  <c r="BN551" s="3"/>
      <c r="BO551" s="3"/>
    </row>
    <row r="552" spans="1:67" ht="15.75" customHeight="1" x14ac:dyDescent="0.2">
      <c r="A552" s="3"/>
      <c r="B552" s="3"/>
      <c r="C552" s="3"/>
      <c r="D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  <c r="BN552" s="3"/>
      <c r="BO552" s="3"/>
    </row>
    <row r="553" spans="1:67" ht="15.75" customHeight="1" x14ac:dyDescent="0.2">
      <c r="A553" s="3"/>
      <c r="B553" s="3"/>
      <c r="C553" s="3"/>
      <c r="D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  <c r="BN553" s="3"/>
      <c r="BO553" s="3"/>
    </row>
    <row r="554" spans="1:67" ht="15.75" customHeight="1" x14ac:dyDescent="0.2">
      <c r="A554" s="3"/>
      <c r="B554" s="3"/>
      <c r="C554" s="3"/>
      <c r="D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  <c r="BN554" s="3"/>
      <c r="BO554" s="3"/>
    </row>
    <row r="555" spans="1:67" ht="15.75" customHeight="1" x14ac:dyDescent="0.2">
      <c r="A555" s="3"/>
      <c r="B555" s="3"/>
      <c r="C555" s="3"/>
      <c r="D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  <c r="BN555" s="3"/>
      <c r="BO555" s="3"/>
    </row>
    <row r="556" spans="1:67" ht="15.75" customHeight="1" x14ac:dyDescent="0.2">
      <c r="A556" s="3"/>
      <c r="B556" s="3"/>
      <c r="C556" s="3"/>
      <c r="D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  <c r="BN556" s="3"/>
      <c r="BO556" s="3"/>
    </row>
    <row r="557" spans="1:67" ht="15.75" customHeight="1" x14ac:dyDescent="0.2">
      <c r="A557" s="3"/>
      <c r="B557" s="3"/>
      <c r="C557" s="3"/>
      <c r="D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  <c r="BN557" s="3"/>
      <c r="BO557" s="3"/>
    </row>
    <row r="558" spans="1:67" ht="15.75" customHeight="1" x14ac:dyDescent="0.2">
      <c r="A558" s="3"/>
      <c r="B558" s="3"/>
      <c r="C558" s="3"/>
      <c r="D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  <c r="BN558" s="3"/>
      <c r="BO558" s="3"/>
    </row>
    <row r="559" spans="1:67" ht="15.75" customHeight="1" x14ac:dyDescent="0.2">
      <c r="A559" s="3"/>
      <c r="B559" s="3"/>
      <c r="C559" s="3"/>
      <c r="D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  <c r="BN559" s="3"/>
      <c r="BO559" s="3"/>
    </row>
    <row r="560" spans="1:67" ht="15.75" customHeight="1" x14ac:dyDescent="0.2">
      <c r="A560" s="3"/>
      <c r="B560" s="3"/>
      <c r="C560" s="3"/>
      <c r="D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  <c r="BN560" s="3"/>
      <c r="BO560" s="3"/>
    </row>
    <row r="561" spans="1:67" ht="15.75" customHeight="1" x14ac:dyDescent="0.2">
      <c r="A561" s="3"/>
      <c r="B561" s="3"/>
      <c r="C561" s="3"/>
      <c r="D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  <c r="BN561" s="3"/>
      <c r="BO561" s="3"/>
    </row>
    <row r="562" spans="1:67" ht="15.75" customHeight="1" x14ac:dyDescent="0.2">
      <c r="A562" s="3"/>
      <c r="B562" s="3"/>
      <c r="C562" s="3"/>
      <c r="D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  <c r="BN562" s="3"/>
      <c r="BO562" s="3"/>
    </row>
    <row r="563" spans="1:67" ht="15.75" customHeight="1" x14ac:dyDescent="0.2">
      <c r="A563" s="3"/>
      <c r="B563" s="3"/>
      <c r="C563" s="3"/>
      <c r="D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  <c r="BN563" s="3"/>
      <c r="BO563" s="3"/>
    </row>
    <row r="564" spans="1:67" ht="15.75" customHeight="1" x14ac:dyDescent="0.2">
      <c r="A564" s="3"/>
      <c r="B564" s="3"/>
      <c r="C564" s="3"/>
      <c r="D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  <c r="BN564" s="3"/>
      <c r="BO564" s="3"/>
    </row>
    <row r="565" spans="1:67" ht="15.75" customHeight="1" x14ac:dyDescent="0.2">
      <c r="A565" s="3"/>
      <c r="B565" s="3"/>
      <c r="C565" s="3"/>
      <c r="D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  <c r="BN565" s="3"/>
      <c r="BO565" s="3"/>
    </row>
    <row r="566" spans="1:67" ht="15.75" customHeight="1" x14ac:dyDescent="0.2">
      <c r="A566" s="3"/>
      <c r="B566" s="3"/>
      <c r="C566" s="3"/>
      <c r="D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  <c r="BN566" s="3"/>
      <c r="BO566" s="3"/>
    </row>
    <row r="567" spans="1:67" ht="15.75" customHeight="1" x14ac:dyDescent="0.2">
      <c r="A567" s="3"/>
      <c r="B567" s="3"/>
      <c r="C567" s="3"/>
      <c r="D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  <c r="BN567" s="3"/>
      <c r="BO567" s="3"/>
    </row>
    <row r="568" spans="1:67" ht="15.75" customHeight="1" x14ac:dyDescent="0.2">
      <c r="A568" s="3"/>
      <c r="B568" s="3"/>
      <c r="C568" s="3"/>
      <c r="D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  <c r="BN568" s="3"/>
      <c r="BO568" s="3"/>
    </row>
    <row r="569" spans="1:67" ht="15.75" customHeight="1" x14ac:dyDescent="0.2">
      <c r="A569" s="3"/>
      <c r="B569" s="3"/>
      <c r="C569" s="3"/>
      <c r="D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  <c r="BN569" s="3"/>
      <c r="BO569" s="3"/>
    </row>
    <row r="570" spans="1:67" ht="15.75" customHeight="1" x14ac:dyDescent="0.2">
      <c r="A570" s="3"/>
      <c r="B570" s="3"/>
      <c r="C570" s="3"/>
      <c r="D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  <c r="BN570" s="3"/>
      <c r="BO570" s="3"/>
    </row>
    <row r="571" spans="1:67" ht="15.75" customHeight="1" x14ac:dyDescent="0.2">
      <c r="A571" s="3"/>
      <c r="B571" s="3"/>
      <c r="C571" s="3"/>
      <c r="D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  <c r="BN571" s="3"/>
      <c r="BO571" s="3"/>
    </row>
    <row r="572" spans="1:67" ht="15.75" customHeight="1" x14ac:dyDescent="0.2">
      <c r="A572" s="3"/>
      <c r="B572" s="3"/>
      <c r="C572" s="3"/>
      <c r="D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  <c r="BN572" s="3"/>
      <c r="BO572" s="3"/>
    </row>
    <row r="573" spans="1:67" ht="15.75" customHeight="1" x14ac:dyDescent="0.2">
      <c r="A573" s="3"/>
      <c r="B573" s="3"/>
      <c r="C573" s="3"/>
      <c r="D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  <c r="BN573" s="3"/>
      <c r="BO573" s="3"/>
    </row>
    <row r="574" spans="1:67" ht="15.75" customHeight="1" x14ac:dyDescent="0.2">
      <c r="A574" s="3"/>
      <c r="B574" s="3"/>
      <c r="C574" s="3"/>
      <c r="D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  <c r="BN574" s="3"/>
      <c r="BO574" s="3"/>
    </row>
    <row r="575" spans="1:67" ht="15.75" customHeight="1" x14ac:dyDescent="0.2">
      <c r="A575" s="3"/>
      <c r="B575" s="3"/>
      <c r="C575" s="3"/>
      <c r="D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  <c r="BN575" s="3"/>
      <c r="BO575" s="3"/>
    </row>
    <row r="576" spans="1:67" ht="15.75" customHeight="1" x14ac:dyDescent="0.2">
      <c r="A576" s="3"/>
      <c r="B576" s="3"/>
      <c r="C576" s="3"/>
      <c r="D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  <c r="BN576" s="3"/>
      <c r="BO576" s="3"/>
    </row>
    <row r="577" spans="1:67" ht="15.75" customHeight="1" x14ac:dyDescent="0.2">
      <c r="A577" s="3"/>
      <c r="B577" s="3"/>
      <c r="C577" s="3"/>
      <c r="D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  <c r="BN577" s="3"/>
      <c r="BO577" s="3"/>
    </row>
    <row r="578" spans="1:67" ht="15.75" customHeight="1" x14ac:dyDescent="0.2">
      <c r="A578" s="3"/>
      <c r="B578" s="3"/>
      <c r="C578" s="3"/>
      <c r="D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  <c r="BN578" s="3"/>
      <c r="BO578" s="3"/>
    </row>
    <row r="579" spans="1:67" ht="15.75" customHeight="1" x14ac:dyDescent="0.2">
      <c r="A579" s="3"/>
      <c r="B579" s="3"/>
      <c r="C579" s="3"/>
      <c r="D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  <c r="BN579" s="3"/>
      <c r="BO579" s="3"/>
    </row>
    <row r="580" spans="1:67" ht="15.75" customHeight="1" x14ac:dyDescent="0.2">
      <c r="A580" s="3"/>
      <c r="B580" s="3"/>
      <c r="C580" s="3"/>
      <c r="D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  <c r="BN580" s="3"/>
      <c r="BO580" s="3"/>
    </row>
    <row r="581" spans="1:67" ht="15.75" customHeight="1" x14ac:dyDescent="0.2">
      <c r="A581" s="3"/>
      <c r="B581" s="3"/>
      <c r="C581" s="3"/>
      <c r="D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  <c r="BN581" s="3"/>
      <c r="BO581" s="3"/>
    </row>
    <row r="582" spans="1:67" ht="15.75" customHeight="1" x14ac:dyDescent="0.2">
      <c r="A582" s="3"/>
      <c r="B582" s="3"/>
      <c r="C582" s="3"/>
      <c r="D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  <c r="BN582" s="3"/>
      <c r="BO582" s="3"/>
    </row>
    <row r="583" spans="1:67" ht="15.75" customHeight="1" x14ac:dyDescent="0.2">
      <c r="A583" s="3"/>
      <c r="B583" s="3"/>
      <c r="C583" s="3"/>
      <c r="D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  <c r="BN583" s="3"/>
      <c r="BO583" s="3"/>
    </row>
    <row r="584" spans="1:67" ht="15.75" customHeight="1" x14ac:dyDescent="0.2">
      <c r="A584" s="3"/>
      <c r="B584" s="3"/>
      <c r="C584" s="3"/>
      <c r="D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  <c r="BN584" s="3"/>
      <c r="BO584" s="3"/>
    </row>
    <row r="585" spans="1:67" ht="15.75" customHeight="1" x14ac:dyDescent="0.2">
      <c r="A585" s="3"/>
      <c r="B585" s="3"/>
      <c r="C585" s="3"/>
      <c r="D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  <c r="BN585" s="3"/>
      <c r="BO585" s="3"/>
    </row>
    <row r="586" spans="1:67" ht="15.75" customHeight="1" x14ac:dyDescent="0.2">
      <c r="A586" s="3"/>
      <c r="B586" s="3"/>
      <c r="C586" s="3"/>
      <c r="D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  <c r="BN586" s="3"/>
      <c r="BO586" s="3"/>
    </row>
    <row r="587" spans="1:67" ht="15.75" customHeight="1" x14ac:dyDescent="0.2">
      <c r="A587" s="3"/>
      <c r="B587" s="3"/>
      <c r="C587" s="3"/>
      <c r="D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  <c r="BN587" s="3"/>
      <c r="BO587" s="3"/>
    </row>
    <row r="588" spans="1:67" ht="15.75" customHeight="1" x14ac:dyDescent="0.2">
      <c r="A588" s="3"/>
      <c r="B588" s="3"/>
      <c r="C588" s="3"/>
      <c r="D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  <c r="BN588" s="3"/>
      <c r="BO588" s="3"/>
    </row>
    <row r="589" spans="1:67" ht="15.75" customHeight="1" x14ac:dyDescent="0.2">
      <c r="A589" s="3"/>
      <c r="B589" s="3"/>
      <c r="C589" s="3"/>
      <c r="D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  <c r="BN589" s="3"/>
      <c r="BO589" s="3"/>
    </row>
    <row r="590" spans="1:67" ht="15.75" customHeight="1" x14ac:dyDescent="0.2">
      <c r="A590" s="3"/>
      <c r="B590" s="3"/>
      <c r="C590" s="3"/>
      <c r="D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  <c r="BN590" s="3"/>
      <c r="BO590" s="3"/>
    </row>
    <row r="591" spans="1:67" ht="15.75" customHeight="1" x14ac:dyDescent="0.2">
      <c r="A591" s="3"/>
      <c r="B591" s="3"/>
      <c r="C591" s="3"/>
      <c r="D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  <c r="BN591" s="3"/>
      <c r="BO591" s="3"/>
    </row>
    <row r="592" spans="1:67" ht="15.75" customHeight="1" x14ac:dyDescent="0.2">
      <c r="A592" s="3"/>
      <c r="B592" s="3"/>
      <c r="C592" s="3"/>
      <c r="D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  <c r="BN592" s="3"/>
      <c r="BO592" s="3"/>
    </row>
    <row r="593" spans="1:67" ht="15.75" customHeight="1" x14ac:dyDescent="0.2">
      <c r="A593" s="3"/>
      <c r="B593" s="3"/>
      <c r="C593" s="3"/>
      <c r="D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  <c r="BN593" s="3"/>
      <c r="BO593" s="3"/>
    </row>
    <row r="594" spans="1:67" ht="15.75" customHeight="1" x14ac:dyDescent="0.2">
      <c r="A594" s="3"/>
      <c r="B594" s="3"/>
      <c r="C594" s="3"/>
      <c r="D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  <c r="BN594" s="3"/>
      <c r="BO594" s="3"/>
    </row>
    <row r="595" spans="1:67" ht="15.75" customHeight="1" x14ac:dyDescent="0.2">
      <c r="A595" s="3"/>
      <c r="B595" s="3"/>
      <c r="C595" s="3"/>
      <c r="D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  <c r="BN595" s="3"/>
      <c r="BO595" s="3"/>
    </row>
    <row r="596" spans="1:67" ht="15.75" customHeight="1" x14ac:dyDescent="0.2">
      <c r="A596" s="3"/>
      <c r="B596" s="3"/>
      <c r="C596" s="3"/>
      <c r="D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  <c r="BN596" s="3"/>
      <c r="BO596" s="3"/>
    </row>
    <row r="597" spans="1:67" ht="15.75" customHeight="1" x14ac:dyDescent="0.2">
      <c r="A597" s="3"/>
      <c r="B597" s="3"/>
      <c r="C597" s="3"/>
      <c r="D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  <c r="BN597" s="3"/>
      <c r="BO597" s="3"/>
    </row>
    <row r="598" spans="1:67" ht="15.75" customHeight="1" x14ac:dyDescent="0.2">
      <c r="A598" s="3"/>
      <c r="B598" s="3"/>
      <c r="C598" s="3"/>
      <c r="D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  <c r="BN598" s="3"/>
      <c r="BO598" s="3"/>
    </row>
    <row r="599" spans="1:67" ht="15.75" customHeight="1" x14ac:dyDescent="0.2">
      <c r="A599" s="3"/>
      <c r="B599" s="3"/>
      <c r="C599" s="3"/>
      <c r="D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  <c r="BN599" s="3"/>
      <c r="BO599" s="3"/>
    </row>
    <row r="600" spans="1:67" ht="15.75" customHeight="1" x14ac:dyDescent="0.2">
      <c r="A600" s="3"/>
      <c r="B600" s="3"/>
      <c r="C600" s="3"/>
      <c r="D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  <c r="BN600" s="3"/>
      <c r="BO600" s="3"/>
    </row>
    <row r="601" spans="1:67" ht="15.75" customHeight="1" x14ac:dyDescent="0.2">
      <c r="A601" s="3"/>
      <c r="B601" s="3"/>
      <c r="C601" s="3"/>
      <c r="D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  <c r="BN601" s="3"/>
      <c r="BO601" s="3"/>
    </row>
    <row r="602" spans="1:67" ht="15.75" customHeight="1" x14ac:dyDescent="0.2">
      <c r="A602" s="3"/>
      <c r="B602" s="3"/>
      <c r="C602" s="3"/>
      <c r="D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  <c r="BN602" s="3"/>
      <c r="BO602" s="3"/>
    </row>
    <row r="603" spans="1:67" ht="15.75" customHeight="1" x14ac:dyDescent="0.2">
      <c r="A603" s="3"/>
      <c r="B603" s="3"/>
      <c r="C603" s="3"/>
      <c r="D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  <c r="BN603" s="3"/>
      <c r="BO603" s="3"/>
    </row>
    <row r="604" spans="1:67" ht="15.75" customHeight="1" x14ac:dyDescent="0.2">
      <c r="A604" s="3"/>
      <c r="B604" s="3"/>
      <c r="C604" s="3"/>
      <c r="D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  <c r="BN604" s="3"/>
      <c r="BO604" s="3"/>
    </row>
    <row r="605" spans="1:67" ht="15.75" customHeight="1" x14ac:dyDescent="0.2">
      <c r="A605" s="3"/>
      <c r="B605" s="3"/>
      <c r="C605" s="3"/>
      <c r="D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  <c r="BN605" s="3"/>
      <c r="BO605" s="3"/>
    </row>
    <row r="606" spans="1:67" ht="15.75" customHeight="1" x14ac:dyDescent="0.2">
      <c r="A606" s="3"/>
      <c r="B606" s="3"/>
      <c r="C606" s="3"/>
      <c r="D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  <c r="BN606" s="3"/>
      <c r="BO606" s="3"/>
    </row>
    <row r="607" spans="1:67" ht="15.75" customHeight="1" x14ac:dyDescent="0.2">
      <c r="A607" s="3"/>
      <c r="B607" s="3"/>
      <c r="C607" s="3"/>
      <c r="D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  <c r="BN607" s="3"/>
      <c r="BO607" s="3"/>
    </row>
    <row r="608" spans="1:67" ht="15.75" customHeight="1" x14ac:dyDescent="0.2">
      <c r="A608" s="3"/>
      <c r="B608" s="3"/>
      <c r="C608" s="3"/>
      <c r="D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  <c r="BN608" s="3"/>
      <c r="BO608" s="3"/>
    </row>
    <row r="609" spans="1:67" ht="15.75" customHeight="1" x14ac:dyDescent="0.2">
      <c r="A609" s="3"/>
      <c r="B609" s="3"/>
      <c r="C609" s="3"/>
      <c r="D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  <c r="BN609" s="3"/>
      <c r="BO609" s="3"/>
    </row>
    <row r="610" spans="1:67" ht="15.75" customHeight="1" x14ac:dyDescent="0.2">
      <c r="A610" s="3"/>
      <c r="B610" s="3"/>
      <c r="C610" s="3"/>
      <c r="D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  <c r="BN610" s="3"/>
      <c r="BO610" s="3"/>
    </row>
    <row r="611" spans="1:67" ht="15.75" customHeight="1" x14ac:dyDescent="0.2">
      <c r="A611" s="3"/>
      <c r="B611" s="3"/>
      <c r="C611" s="3"/>
      <c r="D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  <c r="BN611" s="3"/>
      <c r="BO611" s="3"/>
    </row>
    <row r="612" spans="1:67" ht="15.75" customHeight="1" x14ac:dyDescent="0.2">
      <c r="A612" s="3"/>
      <c r="B612" s="3"/>
      <c r="C612" s="3"/>
      <c r="D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  <c r="BN612" s="3"/>
      <c r="BO612" s="3"/>
    </row>
    <row r="613" spans="1:67" ht="15.75" customHeight="1" x14ac:dyDescent="0.2">
      <c r="A613" s="3"/>
      <c r="B613" s="3"/>
      <c r="C613" s="3"/>
      <c r="D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  <c r="BN613" s="3"/>
      <c r="BO613" s="3"/>
    </row>
    <row r="614" spans="1:67" ht="15.75" customHeight="1" x14ac:dyDescent="0.2">
      <c r="A614" s="3"/>
      <c r="B614" s="3"/>
      <c r="C614" s="3"/>
      <c r="D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  <c r="BN614" s="3"/>
      <c r="BO614" s="3"/>
    </row>
    <row r="615" spans="1:67" ht="15.75" customHeight="1" x14ac:dyDescent="0.2">
      <c r="A615" s="3"/>
      <c r="B615" s="3"/>
      <c r="C615" s="3"/>
      <c r="D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  <c r="BN615" s="3"/>
      <c r="BO615" s="3"/>
    </row>
    <row r="616" spans="1:67" ht="15.75" customHeight="1" x14ac:dyDescent="0.2">
      <c r="A616" s="3"/>
      <c r="B616" s="3"/>
      <c r="C616" s="3"/>
      <c r="D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  <c r="BN616" s="3"/>
      <c r="BO616" s="3"/>
    </row>
    <row r="617" spans="1:67" ht="15.75" customHeight="1" x14ac:dyDescent="0.2">
      <c r="A617" s="3"/>
      <c r="B617" s="3"/>
      <c r="C617" s="3"/>
      <c r="D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  <c r="BN617" s="3"/>
      <c r="BO617" s="3"/>
    </row>
    <row r="618" spans="1:67" ht="15.75" customHeight="1" x14ac:dyDescent="0.2">
      <c r="A618" s="3"/>
      <c r="B618" s="3"/>
      <c r="C618" s="3"/>
      <c r="D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  <c r="BN618" s="3"/>
      <c r="BO618" s="3"/>
    </row>
    <row r="619" spans="1:67" ht="15.75" customHeight="1" x14ac:dyDescent="0.2">
      <c r="A619" s="3"/>
      <c r="B619" s="3"/>
      <c r="C619" s="3"/>
      <c r="D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  <c r="BN619" s="3"/>
      <c r="BO619" s="3"/>
    </row>
    <row r="620" spans="1:67" ht="15.75" customHeight="1" x14ac:dyDescent="0.2">
      <c r="A620" s="3"/>
      <c r="B620" s="3"/>
      <c r="C620" s="3"/>
      <c r="D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  <c r="BN620" s="3"/>
      <c r="BO620" s="3"/>
    </row>
    <row r="621" spans="1:67" ht="15.75" customHeight="1" x14ac:dyDescent="0.2">
      <c r="A621" s="3"/>
      <c r="B621" s="3"/>
      <c r="C621" s="3"/>
      <c r="D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  <c r="BN621" s="3"/>
      <c r="BO621" s="3"/>
    </row>
    <row r="622" spans="1:67" ht="15.75" customHeight="1" x14ac:dyDescent="0.2">
      <c r="A622" s="3"/>
      <c r="B622" s="3"/>
      <c r="C622" s="3"/>
      <c r="D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  <c r="BN622" s="3"/>
      <c r="BO622" s="3"/>
    </row>
    <row r="623" spans="1:67" ht="15.75" customHeight="1" x14ac:dyDescent="0.2">
      <c r="A623" s="3"/>
      <c r="B623" s="3"/>
      <c r="C623" s="3"/>
      <c r="D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  <c r="BN623" s="3"/>
      <c r="BO623" s="3"/>
    </row>
    <row r="624" spans="1:67" ht="15.75" customHeight="1" x14ac:dyDescent="0.2">
      <c r="A624" s="3"/>
      <c r="B624" s="3"/>
      <c r="C624" s="3"/>
      <c r="D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  <c r="BN624" s="3"/>
      <c r="BO624" s="3"/>
    </row>
    <row r="625" spans="1:67" ht="15.75" customHeight="1" x14ac:dyDescent="0.2">
      <c r="A625" s="3"/>
      <c r="B625" s="3"/>
      <c r="C625" s="3"/>
      <c r="D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  <c r="BN625" s="3"/>
      <c r="BO625" s="3"/>
    </row>
    <row r="626" spans="1:67" ht="15.75" customHeight="1" x14ac:dyDescent="0.2">
      <c r="A626" s="3"/>
      <c r="B626" s="3"/>
      <c r="C626" s="3"/>
      <c r="D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  <c r="BN626" s="3"/>
      <c r="BO626" s="3"/>
    </row>
    <row r="627" spans="1:67" ht="15.75" customHeight="1" x14ac:dyDescent="0.2">
      <c r="A627" s="3"/>
      <c r="B627" s="3"/>
      <c r="C627" s="3"/>
      <c r="D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  <c r="BN627" s="3"/>
      <c r="BO627" s="3"/>
    </row>
    <row r="628" spans="1:67" ht="15.75" customHeight="1" x14ac:dyDescent="0.2">
      <c r="A628" s="3"/>
      <c r="B628" s="3"/>
      <c r="C628" s="3"/>
      <c r="D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  <c r="BN628" s="3"/>
      <c r="BO628" s="3"/>
    </row>
    <row r="629" spans="1:67" ht="15.75" customHeight="1" x14ac:dyDescent="0.2">
      <c r="A629" s="3"/>
      <c r="B629" s="3"/>
      <c r="C629" s="3"/>
      <c r="D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  <c r="BN629" s="3"/>
      <c r="BO629" s="3"/>
    </row>
    <row r="630" spans="1:67" ht="15.75" customHeight="1" x14ac:dyDescent="0.2">
      <c r="A630" s="3"/>
      <c r="B630" s="3"/>
      <c r="C630" s="3"/>
      <c r="D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  <c r="BN630" s="3"/>
      <c r="BO630" s="3"/>
    </row>
    <row r="631" spans="1:67" ht="15.75" customHeight="1" x14ac:dyDescent="0.2">
      <c r="A631" s="3"/>
      <c r="B631" s="3"/>
      <c r="C631" s="3"/>
      <c r="D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  <c r="BN631" s="3"/>
      <c r="BO631" s="3"/>
    </row>
    <row r="632" spans="1:67" ht="15.75" customHeight="1" x14ac:dyDescent="0.2">
      <c r="A632" s="3"/>
      <c r="B632" s="3"/>
      <c r="C632" s="3"/>
      <c r="D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  <c r="BN632" s="3"/>
      <c r="BO632" s="3"/>
    </row>
    <row r="633" spans="1:67" ht="15.75" customHeight="1" x14ac:dyDescent="0.2">
      <c r="A633" s="3"/>
      <c r="B633" s="3"/>
      <c r="C633" s="3"/>
      <c r="D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  <c r="BN633" s="3"/>
      <c r="BO633" s="3"/>
    </row>
    <row r="634" spans="1:67" ht="15.75" customHeight="1" x14ac:dyDescent="0.2">
      <c r="A634" s="3"/>
      <c r="B634" s="3"/>
      <c r="C634" s="3"/>
      <c r="D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  <c r="BN634" s="3"/>
      <c r="BO634" s="3"/>
    </row>
    <row r="635" spans="1:67" ht="15.75" customHeight="1" x14ac:dyDescent="0.2">
      <c r="A635" s="3"/>
      <c r="B635" s="3"/>
      <c r="C635" s="3"/>
      <c r="D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  <c r="BN635" s="3"/>
      <c r="BO635" s="3"/>
    </row>
    <row r="636" spans="1:67" ht="15.75" customHeight="1" x14ac:dyDescent="0.2">
      <c r="A636" s="3"/>
      <c r="B636" s="3"/>
      <c r="C636" s="3"/>
      <c r="D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  <c r="BN636" s="3"/>
      <c r="BO636" s="3"/>
    </row>
    <row r="637" spans="1:67" ht="15.75" customHeight="1" x14ac:dyDescent="0.2">
      <c r="A637" s="3"/>
      <c r="B637" s="3"/>
      <c r="C637" s="3"/>
      <c r="D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  <c r="BN637" s="3"/>
      <c r="BO637" s="3"/>
    </row>
    <row r="638" spans="1:67" ht="15.75" customHeight="1" x14ac:dyDescent="0.2">
      <c r="A638" s="3"/>
      <c r="B638" s="3"/>
      <c r="C638" s="3"/>
      <c r="D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  <c r="BN638" s="3"/>
      <c r="BO638" s="3"/>
    </row>
    <row r="639" spans="1:67" ht="15.75" customHeight="1" x14ac:dyDescent="0.2">
      <c r="A639" s="3"/>
      <c r="B639" s="3"/>
      <c r="C639" s="3"/>
      <c r="D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  <c r="BN639" s="3"/>
      <c r="BO639" s="3"/>
    </row>
    <row r="640" spans="1:67" ht="15.75" customHeight="1" x14ac:dyDescent="0.2">
      <c r="A640" s="3"/>
      <c r="B640" s="3"/>
      <c r="C640" s="3"/>
      <c r="D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  <c r="BN640" s="3"/>
      <c r="BO640" s="3"/>
    </row>
    <row r="641" spans="1:67" ht="15.75" customHeight="1" x14ac:dyDescent="0.2">
      <c r="A641" s="3"/>
      <c r="B641" s="3"/>
      <c r="C641" s="3"/>
      <c r="D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  <c r="BN641" s="3"/>
      <c r="BO641" s="3"/>
    </row>
    <row r="642" spans="1:67" ht="15.75" customHeight="1" x14ac:dyDescent="0.2">
      <c r="A642" s="3"/>
      <c r="B642" s="3"/>
      <c r="C642" s="3"/>
      <c r="D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  <c r="BN642" s="3"/>
      <c r="BO642" s="3"/>
    </row>
    <row r="643" spans="1:67" ht="15.75" customHeight="1" x14ac:dyDescent="0.2">
      <c r="A643" s="3"/>
      <c r="B643" s="3"/>
      <c r="C643" s="3"/>
      <c r="D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  <c r="BN643" s="3"/>
      <c r="BO643" s="3"/>
    </row>
    <row r="644" spans="1:67" ht="15.75" customHeight="1" x14ac:dyDescent="0.2">
      <c r="A644" s="3"/>
      <c r="B644" s="3"/>
      <c r="C644" s="3"/>
      <c r="D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  <c r="BN644" s="3"/>
      <c r="BO644" s="3"/>
    </row>
    <row r="645" spans="1:67" ht="15.75" customHeight="1" x14ac:dyDescent="0.2">
      <c r="A645" s="3"/>
      <c r="B645" s="3"/>
      <c r="C645" s="3"/>
      <c r="D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  <c r="BN645" s="3"/>
      <c r="BO645" s="3"/>
    </row>
    <row r="646" spans="1:67" ht="15.75" customHeight="1" x14ac:dyDescent="0.2">
      <c r="A646" s="3"/>
      <c r="B646" s="3"/>
      <c r="C646" s="3"/>
      <c r="D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  <c r="BN646" s="3"/>
      <c r="BO646" s="3"/>
    </row>
    <row r="647" spans="1:67" ht="15.75" customHeight="1" x14ac:dyDescent="0.2">
      <c r="A647" s="3"/>
      <c r="B647" s="3"/>
      <c r="C647" s="3"/>
      <c r="D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  <c r="BN647" s="3"/>
      <c r="BO647" s="3"/>
    </row>
    <row r="648" spans="1:67" ht="15.75" customHeight="1" x14ac:dyDescent="0.2">
      <c r="A648" s="3"/>
      <c r="B648" s="3"/>
      <c r="C648" s="3"/>
      <c r="D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  <c r="BN648" s="3"/>
      <c r="BO648" s="3"/>
    </row>
    <row r="649" spans="1:67" ht="15.75" customHeight="1" x14ac:dyDescent="0.2">
      <c r="A649" s="3"/>
      <c r="B649" s="3"/>
      <c r="C649" s="3"/>
      <c r="D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  <c r="BN649" s="3"/>
      <c r="BO649" s="3"/>
    </row>
    <row r="650" spans="1:67" ht="15.75" customHeight="1" x14ac:dyDescent="0.2">
      <c r="A650" s="3"/>
      <c r="B650" s="3"/>
      <c r="C650" s="3"/>
      <c r="D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  <c r="BN650" s="3"/>
      <c r="BO650" s="3"/>
    </row>
    <row r="651" spans="1:67" ht="15.75" customHeight="1" x14ac:dyDescent="0.2">
      <c r="A651" s="3"/>
      <c r="B651" s="3"/>
      <c r="C651" s="3"/>
      <c r="D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  <c r="BN651" s="3"/>
      <c r="BO651" s="3"/>
    </row>
    <row r="652" spans="1:67" ht="15.75" customHeight="1" x14ac:dyDescent="0.2">
      <c r="A652" s="3"/>
      <c r="B652" s="3"/>
      <c r="C652" s="3"/>
      <c r="D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  <c r="BN652" s="3"/>
      <c r="BO652" s="3"/>
    </row>
    <row r="653" spans="1:67" ht="15.75" customHeight="1" x14ac:dyDescent="0.2">
      <c r="A653" s="3"/>
      <c r="B653" s="3"/>
      <c r="C653" s="3"/>
      <c r="D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  <c r="BN653" s="3"/>
      <c r="BO653" s="3"/>
    </row>
    <row r="654" spans="1:67" ht="15.75" customHeight="1" x14ac:dyDescent="0.2">
      <c r="A654" s="3"/>
      <c r="B654" s="3"/>
      <c r="C654" s="3"/>
      <c r="D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  <c r="BN654" s="3"/>
      <c r="BO654" s="3"/>
    </row>
    <row r="655" spans="1:67" ht="15.75" customHeight="1" x14ac:dyDescent="0.2">
      <c r="A655" s="3"/>
      <c r="B655" s="3"/>
      <c r="C655" s="3"/>
      <c r="D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  <c r="BN655" s="3"/>
      <c r="BO655" s="3"/>
    </row>
    <row r="656" spans="1:67" ht="15.75" customHeight="1" x14ac:dyDescent="0.2">
      <c r="A656" s="3"/>
      <c r="B656" s="3"/>
      <c r="C656" s="3"/>
      <c r="D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  <c r="BN656" s="3"/>
      <c r="BO656" s="3"/>
    </row>
    <row r="657" spans="1:67" ht="15.75" customHeight="1" x14ac:dyDescent="0.2">
      <c r="A657" s="3"/>
      <c r="B657" s="3"/>
      <c r="C657" s="3"/>
      <c r="D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  <c r="BN657" s="3"/>
      <c r="BO657" s="3"/>
    </row>
    <row r="658" spans="1:67" ht="15.75" customHeight="1" x14ac:dyDescent="0.2">
      <c r="A658" s="3"/>
      <c r="B658" s="3"/>
      <c r="C658" s="3"/>
      <c r="D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  <c r="BN658" s="3"/>
      <c r="BO658" s="3"/>
    </row>
    <row r="659" spans="1:67" ht="15.75" customHeight="1" x14ac:dyDescent="0.2">
      <c r="A659" s="3"/>
      <c r="B659" s="3"/>
      <c r="C659" s="3"/>
      <c r="D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  <c r="BN659" s="3"/>
      <c r="BO659" s="3"/>
    </row>
    <row r="660" spans="1:67" ht="15.75" customHeight="1" x14ac:dyDescent="0.2">
      <c r="A660" s="3"/>
      <c r="B660" s="3"/>
      <c r="C660" s="3"/>
      <c r="D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  <c r="BN660" s="3"/>
      <c r="BO660" s="3"/>
    </row>
    <row r="661" spans="1:67" ht="15.75" customHeight="1" x14ac:dyDescent="0.2">
      <c r="A661" s="3"/>
      <c r="B661" s="3"/>
      <c r="C661" s="3"/>
      <c r="D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  <c r="BN661" s="3"/>
      <c r="BO661" s="3"/>
    </row>
    <row r="662" spans="1:67" ht="15.75" customHeight="1" x14ac:dyDescent="0.2">
      <c r="A662" s="3"/>
      <c r="B662" s="3"/>
      <c r="C662" s="3"/>
      <c r="D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  <c r="BN662" s="3"/>
      <c r="BO662" s="3"/>
    </row>
    <row r="663" spans="1:67" ht="15.75" customHeight="1" x14ac:dyDescent="0.2">
      <c r="A663" s="3"/>
      <c r="B663" s="3"/>
      <c r="C663" s="3"/>
      <c r="D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  <c r="BN663" s="3"/>
      <c r="BO663" s="3"/>
    </row>
    <row r="664" spans="1:67" ht="15.75" customHeight="1" x14ac:dyDescent="0.2">
      <c r="A664" s="3"/>
      <c r="B664" s="3"/>
      <c r="C664" s="3"/>
      <c r="D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  <c r="BN664" s="3"/>
      <c r="BO664" s="3"/>
    </row>
    <row r="665" spans="1:67" ht="15.75" customHeight="1" x14ac:dyDescent="0.2">
      <c r="A665" s="3"/>
      <c r="B665" s="3"/>
      <c r="C665" s="3"/>
      <c r="D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  <c r="BN665" s="3"/>
      <c r="BO665" s="3"/>
    </row>
    <row r="666" spans="1:67" ht="15.75" customHeight="1" x14ac:dyDescent="0.2">
      <c r="A666" s="3"/>
      <c r="B666" s="3"/>
      <c r="C666" s="3"/>
      <c r="D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  <c r="BN666" s="3"/>
      <c r="BO666" s="3"/>
    </row>
    <row r="667" spans="1:67" ht="15.75" customHeight="1" x14ac:dyDescent="0.2">
      <c r="A667" s="3"/>
      <c r="B667" s="3"/>
      <c r="C667" s="3"/>
      <c r="D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  <c r="BN667" s="3"/>
      <c r="BO667" s="3"/>
    </row>
    <row r="668" spans="1:67" ht="15.75" customHeight="1" x14ac:dyDescent="0.2">
      <c r="A668" s="3"/>
      <c r="B668" s="3"/>
      <c r="C668" s="3"/>
      <c r="D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  <c r="BN668" s="3"/>
      <c r="BO668" s="3"/>
    </row>
    <row r="669" spans="1:67" ht="15.75" customHeight="1" x14ac:dyDescent="0.2">
      <c r="A669" s="3"/>
      <c r="B669" s="3"/>
      <c r="C669" s="3"/>
      <c r="D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  <c r="BN669" s="3"/>
      <c r="BO669" s="3"/>
    </row>
    <row r="670" spans="1:67" ht="15.75" customHeight="1" x14ac:dyDescent="0.2">
      <c r="A670" s="3"/>
      <c r="B670" s="3"/>
      <c r="C670" s="3"/>
      <c r="D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  <c r="BN670" s="3"/>
      <c r="BO670" s="3"/>
    </row>
    <row r="671" spans="1:67" ht="15.75" customHeight="1" x14ac:dyDescent="0.2">
      <c r="A671" s="3"/>
      <c r="B671" s="3"/>
      <c r="C671" s="3"/>
      <c r="D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  <c r="BD671" s="3"/>
      <c r="BE671" s="3"/>
      <c r="BF671" s="3"/>
      <c r="BG671" s="3"/>
      <c r="BH671" s="3"/>
      <c r="BI671" s="3"/>
      <c r="BJ671" s="3"/>
      <c r="BK671" s="3"/>
      <c r="BL671" s="3"/>
      <c r="BM671" s="3"/>
      <c r="BN671" s="3"/>
      <c r="BO671" s="3"/>
    </row>
    <row r="672" spans="1:67" ht="15.75" customHeight="1" x14ac:dyDescent="0.2">
      <c r="A672" s="3"/>
      <c r="B672" s="3"/>
      <c r="C672" s="3"/>
      <c r="D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  <c r="BC672" s="3"/>
      <c r="BD672" s="3"/>
      <c r="BE672" s="3"/>
      <c r="BF672" s="3"/>
      <c r="BG672" s="3"/>
      <c r="BH672" s="3"/>
      <c r="BI672" s="3"/>
      <c r="BJ672" s="3"/>
      <c r="BK672" s="3"/>
      <c r="BL672" s="3"/>
      <c r="BM672" s="3"/>
      <c r="BN672" s="3"/>
      <c r="BO672" s="3"/>
    </row>
    <row r="673" spans="1:67" ht="15.75" customHeight="1" x14ac:dyDescent="0.2">
      <c r="A673" s="3"/>
      <c r="B673" s="3"/>
      <c r="C673" s="3"/>
      <c r="D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  <c r="BB673" s="3"/>
      <c r="BC673" s="3"/>
      <c r="BD673" s="3"/>
      <c r="BE673" s="3"/>
      <c r="BF673" s="3"/>
      <c r="BG673" s="3"/>
      <c r="BH673" s="3"/>
      <c r="BI673" s="3"/>
      <c r="BJ673" s="3"/>
      <c r="BK673" s="3"/>
      <c r="BL673" s="3"/>
      <c r="BM673" s="3"/>
      <c r="BN673" s="3"/>
      <c r="BO673" s="3"/>
    </row>
    <row r="674" spans="1:67" ht="15.75" customHeight="1" x14ac:dyDescent="0.2">
      <c r="A674" s="3"/>
      <c r="B674" s="3"/>
      <c r="C674" s="3"/>
      <c r="D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  <c r="BD674" s="3"/>
      <c r="BE674" s="3"/>
      <c r="BF674" s="3"/>
      <c r="BG674" s="3"/>
      <c r="BH674" s="3"/>
      <c r="BI674" s="3"/>
      <c r="BJ674" s="3"/>
      <c r="BK674" s="3"/>
      <c r="BL674" s="3"/>
      <c r="BM674" s="3"/>
      <c r="BN674" s="3"/>
      <c r="BO674" s="3"/>
    </row>
    <row r="675" spans="1:67" ht="15.75" customHeight="1" x14ac:dyDescent="0.2">
      <c r="A675" s="3"/>
      <c r="B675" s="3"/>
      <c r="C675" s="3"/>
      <c r="D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  <c r="BD675" s="3"/>
      <c r="BE675" s="3"/>
      <c r="BF675" s="3"/>
      <c r="BG675" s="3"/>
      <c r="BH675" s="3"/>
      <c r="BI675" s="3"/>
      <c r="BJ675" s="3"/>
      <c r="BK675" s="3"/>
      <c r="BL675" s="3"/>
      <c r="BM675" s="3"/>
      <c r="BN675" s="3"/>
      <c r="BO675" s="3"/>
    </row>
    <row r="676" spans="1:67" ht="15.75" customHeight="1" x14ac:dyDescent="0.2">
      <c r="A676" s="3"/>
      <c r="B676" s="3"/>
      <c r="C676" s="3"/>
      <c r="D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  <c r="BD676" s="3"/>
      <c r="BE676" s="3"/>
      <c r="BF676" s="3"/>
      <c r="BG676" s="3"/>
      <c r="BH676" s="3"/>
      <c r="BI676" s="3"/>
      <c r="BJ676" s="3"/>
      <c r="BK676" s="3"/>
      <c r="BL676" s="3"/>
      <c r="BM676" s="3"/>
      <c r="BN676" s="3"/>
      <c r="BO676" s="3"/>
    </row>
    <row r="677" spans="1:67" ht="15.75" customHeight="1" x14ac:dyDescent="0.2">
      <c r="A677" s="3"/>
      <c r="B677" s="3"/>
      <c r="C677" s="3"/>
      <c r="D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  <c r="BD677" s="3"/>
      <c r="BE677" s="3"/>
      <c r="BF677" s="3"/>
      <c r="BG677" s="3"/>
      <c r="BH677" s="3"/>
      <c r="BI677" s="3"/>
      <c r="BJ677" s="3"/>
      <c r="BK677" s="3"/>
      <c r="BL677" s="3"/>
      <c r="BM677" s="3"/>
      <c r="BN677" s="3"/>
      <c r="BO677" s="3"/>
    </row>
    <row r="678" spans="1:67" ht="15.75" customHeight="1" x14ac:dyDescent="0.2">
      <c r="A678" s="3"/>
      <c r="B678" s="3"/>
      <c r="C678" s="3"/>
      <c r="D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  <c r="BD678" s="3"/>
      <c r="BE678" s="3"/>
      <c r="BF678" s="3"/>
      <c r="BG678" s="3"/>
      <c r="BH678" s="3"/>
      <c r="BI678" s="3"/>
      <c r="BJ678" s="3"/>
      <c r="BK678" s="3"/>
      <c r="BL678" s="3"/>
      <c r="BM678" s="3"/>
      <c r="BN678" s="3"/>
      <c r="BO678" s="3"/>
    </row>
    <row r="679" spans="1:67" ht="15.75" customHeight="1" x14ac:dyDescent="0.2">
      <c r="A679" s="3"/>
      <c r="B679" s="3"/>
      <c r="C679" s="3"/>
      <c r="D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  <c r="BD679" s="3"/>
      <c r="BE679" s="3"/>
      <c r="BF679" s="3"/>
      <c r="BG679" s="3"/>
      <c r="BH679" s="3"/>
      <c r="BI679" s="3"/>
      <c r="BJ679" s="3"/>
      <c r="BK679" s="3"/>
      <c r="BL679" s="3"/>
      <c r="BM679" s="3"/>
      <c r="BN679" s="3"/>
      <c r="BO679" s="3"/>
    </row>
    <row r="680" spans="1:67" ht="15.75" customHeight="1" x14ac:dyDescent="0.2">
      <c r="A680" s="3"/>
      <c r="B680" s="3"/>
      <c r="C680" s="3"/>
      <c r="D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  <c r="BD680" s="3"/>
      <c r="BE680" s="3"/>
      <c r="BF680" s="3"/>
      <c r="BG680" s="3"/>
      <c r="BH680" s="3"/>
      <c r="BI680" s="3"/>
      <c r="BJ680" s="3"/>
      <c r="BK680" s="3"/>
      <c r="BL680" s="3"/>
      <c r="BM680" s="3"/>
      <c r="BN680" s="3"/>
      <c r="BO680" s="3"/>
    </row>
    <row r="681" spans="1:67" ht="15.75" customHeight="1" x14ac:dyDescent="0.2">
      <c r="A681" s="3"/>
      <c r="B681" s="3"/>
      <c r="C681" s="3"/>
      <c r="D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  <c r="BD681" s="3"/>
      <c r="BE681" s="3"/>
      <c r="BF681" s="3"/>
      <c r="BG681" s="3"/>
      <c r="BH681" s="3"/>
      <c r="BI681" s="3"/>
      <c r="BJ681" s="3"/>
      <c r="BK681" s="3"/>
      <c r="BL681" s="3"/>
      <c r="BM681" s="3"/>
      <c r="BN681" s="3"/>
      <c r="BO681" s="3"/>
    </row>
    <row r="682" spans="1:67" ht="15.75" customHeight="1" x14ac:dyDescent="0.2">
      <c r="A682" s="3"/>
      <c r="B682" s="3"/>
      <c r="C682" s="3"/>
      <c r="D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  <c r="BD682" s="3"/>
      <c r="BE682" s="3"/>
      <c r="BF682" s="3"/>
      <c r="BG682" s="3"/>
      <c r="BH682" s="3"/>
      <c r="BI682" s="3"/>
      <c r="BJ682" s="3"/>
      <c r="BK682" s="3"/>
      <c r="BL682" s="3"/>
      <c r="BM682" s="3"/>
      <c r="BN682" s="3"/>
      <c r="BO682" s="3"/>
    </row>
    <row r="683" spans="1:67" ht="15.75" customHeight="1" x14ac:dyDescent="0.2">
      <c r="A683" s="3"/>
      <c r="B683" s="3"/>
      <c r="C683" s="3"/>
      <c r="D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  <c r="BD683" s="3"/>
      <c r="BE683" s="3"/>
      <c r="BF683" s="3"/>
      <c r="BG683" s="3"/>
      <c r="BH683" s="3"/>
      <c r="BI683" s="3"/>
      <c r="BJ683" s="3"/>
      <c r="BK683" s="3"/>
      <c r="BL683" s="3"/>
      <c r="BM683" s="3"/>
      <c r="BN683" s="3"/>
      <c r="BO683" s="3"/>
    </row>
    <row r="684" spans="1:67" ht="15.75" customHeight="1" x14ac:dyDescent="0.2">
      <c r="A684" s="3"/>
      <c r="B684" s="3"/>
      <c r="C684" s="3"/>
      <c r="D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  <c r="BD684" s="3"/>
      <c r="BE684" s="3"/>
      <c r="BF684" s="3"/>
      <c r="BG684" s="3"/>
      <c r="BH684" s="3"/>
      <c r="BI684" s="3"/>
      <c r="BJ684" s="3"/>
      <c r="BK684" s="3"/>
      <c r="BL684" s="3"/>
      <c r="BM684" s="3"/>
      <c r="BN684" s="3"/>
      <c r="BO684" s="3"/>
    </row>
    <row r="685" spans="1:67" ht="15.75" customHeight="1" x14ac:dyDescent="0.2">
      <c r="A685" s="3"/>
      <c r="B685" s="3"/>
      <c r="C685" s="3"/>
      <c r="D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  <c r="BD685" s="3"/>
      <c r="BE685" s="3"/>
      <c r="BF685" s="3"/>
      <c r="BG685" s="3"/>
      <c r="BH685" s="3"/>
      <c r="BI685" s="3"/>
      <c r="BJ685" s="3"/>
      <c r="BK685" s="3"/>
      <c r="BL685" s="3"/>
      <c r="BM685" s="3"/>
      <c r="BN685" s="3"/>
      <c r="BO685" s="3"/>
    </row>
    <row r="686" spans="1:67" ht="15.75" customHeight="1" x14ac:dyDescent="0.2">
      <c r="A686" s="3"/>
      <c r="B686" s="3"/>
      <c r="C686" s="3"/>
      <c r="D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  <c r="BE686" s="3"/>
      <c r="BF686" s="3"/>
      <c r="BG686" s="3"/>
      <c r="BH686" s="3"/>
      <c r="BI686" s="3"/>
      <c r="BJ686" s="3"/>
      <c r="BK686" s="3"/>
      <c r="BL686" s="3"/>
      <c r="BM686" s="3"/>
      <c r="BN686" s="3"/>
      <c r="BO686" s="3"/>
    </row>
    <row r="687" spans="1:67" ht="15.75" customHeight="1" x14ac:dyDescent="0.2">
      <c r="A687" s="3"/>
      <c r="B687" s="3"/>
      <c r="C687" s="3"/>
      <c r="D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  <c r="BD687" s="3"/>
      <c r="BE687" s="3"/>
      <c r="BF687" s="3"/>
      <c r="BG687" s="3"/>
      <c r="BH687" s="3"/>
      <c r="BI687" s="3"/>
      <c r="BJ687" s="3"/>
      <c r="BK687" s="3"/>
      <c r="BL687" s="3"/>
      <c r="BM687" s="3"/>
      <c r="BN687" s="3"/>
      <c r="BO687" s="3"/>
    </row>
    <row r="688" spans="1:67" ht="15.75" customHeight="1" x14ac:dyDescent="0.2">
      <c r="A688" s="3"/>
      <c r="B688" s="3"/>
      <c r="C688" s="3"/>
      <c r="D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  <c r="BD688" s="3"/>
      <c r="BE688" s="3"/>
      <c r="BF688" s="3"/>
      <c r="BG688" s="3"/>
      <c r="BH688" s="3"/>
      <c r="BI688" s="3"/>
      <c r="BJ688" s="3"/>
      <c r="BK688" s="3"/>
      <c r="BL688" s="3"/>
      <c r="BM688" s="3"/>
      <c r="BN688" s="3"/>
      <c r="BO688" s="3"/>
    </row>
    <row r="689" spans="1:67" ht="15.75" customHeight="1" x14ac:dyDescent="0.2">
      <c r="A689" s="3"/>
      <c r="B689" s="3"/>
      <c r="C689" s="3"/>
      <c r="D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  <c r="BD689" s="3"/>
      <c r="BE689" s="3"/>
      <c r="BF689" s="3"/>
      <c r="BG689" s="3"/>
      <c r="BH689" s="3"/>
      <c r="BI689" s="3"/>
      <c r="BJ689" s="3"/>
      <c r="BK689" s="3"/>
      <c r="BL689" s="3"/>
      <c r="BM689" s="3"/>
      <c r="BN689" s="3"/>
      <c r="BO689" s="3"/>
    </row>
    <row r="690" spans="1:67" ht="15.75" customHeight="1" x14ac:dyDescent="0.2">
      <c r="A690" s="3"/>
      <c r="B690" s="3"/>
      <c r="C690" s="3"/>
      <c r="D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  <c r="BD690" s="3"/>
      <c r="BE690" s="3"/>
      <c r="BF690" s="3"/>
      <c r="BG690" s="3"/>
      <c r="BH690" s="3"/>
      <c r="BI690" s="3"/>
      <c r="BJ690" s="3"/>
      <c r="BK690" s="3"/>
      <c r="BL690" s="3"/>
      <c r="BM690" s="3"/>
      <c r="BN690" s="3"/>
      <c r="BO690" s="3"/>
    </row>
    <row r="691" spans="1:67" ht="15.75" customHeight="1" x14ac:dyDescent="0.2">
      <c r="A691" s="3"/>
      <c r="B691" s="3"/>
      <c r="C691" s="3"/>
      <c r="D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  <c r="BD691" s="3"/>
      <c r="BE691" s="3"/>
      <c r="BF691" s="3"/>
      <c r="BG691" s="3"/>
      <c r="BH691" s="3"/>
      <c r="BI691" s="3"/>
      <c r="BJ691" s="3"/>
      <c r="BK691" s="3"/>
      <c r="BL691" s="3"/>
      <c r="BM691" s="3"/>
      <c r="BN691" s="3"/>
      <c r="BO691" s="3"/>
    </row>
    <row r="692" spans="1:67" ht="15.75" customHeight="1" x14ac:dyDescent="0.2">
      <c r="A692" s="3"/>
      <c r="B692" s="3"/>
      <c r="C692" s="3"/>
      <c r="D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  <c r="BD692" s="3"/>
      <c r="BE692" s="3"/>
      <c r="BF692" s="3"/>
      <c r="BG692" s="3"/>
      <c r="BH692" s="3"/>
      <c r="BI692" s="3"/>
      <c r="BJ692" s="3"/>
      <c r="BK692" s="3"/>
      <c r="BL692" s="3"/>
      <c r="BM692" s="3"/>
      <c r="BN692" s="3"/>
      <c r="BO692" s="3"/>
    </row>
    <row r="693" spans="1:67" ht="15.75" customHeight="1" x14ac:dyDescent="0.2">
      <c r="A693" s="3"/>
      <c r="B693" s="3"/>
      <c r="C693" s="3"/>
      <c r="D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  <c r="BD693" s="3"/>
      <c r="BE693" s="3"/>
      <c r="BF693" s="3"/>
      <c r="BG693" s="3"/>
      <c r="BH693" s="3"/>
      <c r="BI693" s="3"/>
      <c r="BJ693" s="3"/>
      <c r="BK693" s="3"/>
      <c r="BL693" s="3"/>
      <c r="BM693" s="3"/>
      <c r="BN693" s="3"/>
      <c r="BO693" s="3"/>
    </row>
    <row r="694" spans="1:67" ht="15.75" customHeight="1" x14ac:dyDescent="0.2">
      <c r="A694" s="3"/>
      <c r="B694" s="3"/>
      <c r="C694" s="3"/>
      <c r="D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  <c r="BD694" s="3"/>
      <c r="BE694" s="3"/>
      <c r="BF694" s="3"/>
      <c r="BG694" s="3"/>
      <c r="BH694" s="3"/>
      <c r="BI694" s="3"/>
      <c r="BJ694" s="3"/>
      <c r="BK694" s="3"/>
      <c r="BL694" s="3"/>
      <c r="BM694" s="3"/>
      <c r="BN694" s="3"/>
      <c r="BO694" s="3"/>
    </row>
    <row r="695" spans="1:67" ht="15.75" customHeight="1" x14ac:dyDescent="0.2">
      <c r="A695" s="3"/>
      <c r="B695" s="3"/>
      <c r="C695" s="3"/>
      <c r="D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  <c r="BD695" s="3"/>
      <c r="BE695" s="3"/>
      <c r="BF695" s="3"/>
      <c r="BG695" s="3"/>
      <c r="BH695" s="3"/>
      <c r="BI695" s="3"/>
      <c r="BJ695" s="3"/>
      <c r="BK695" s="3"/>
      <c r="BL695" s="3"/>
      <c r="BM695" s="3"/>
      <c r="BN695" s="3"/>
      <c r="BO695" s="3"/>
    </row>
    <row r="696" spans="1:67" ht="15.75" customHeight="1" x14ac:dyDescent="0.2">
      <c r="A696" s="3"/>
      <c r="B696" s="3"/>
      <c r="C696" s="3"/>
      <c r="D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  <c r="BD696" s="3"/>
      <c r="BE696" s="3"/>
      <c r="BF696" s="3"/>
      <c r="BG696" s="3"/>
      <c r="BH696" s="3"/>
      <c r="BI696" s="3"/>
      <c r="BJ696" s="3"/>
      <c r="BK696" s="3"/>
      <c r="BL696" s="3"/>
      <c r="BM696" s="3"/>
      <c r="BN696" s="3"/>
      <c r="BO696" s="3"/>
    </row>
    <row r="697" spans="1:67" ht="15.75" customHeight="1" x14ac:dyDescent="0.2">
      <c r="A697" s="3"/>
      <c r="B697" s="3"/>
      <c r="C697" s="3"/>
      <c r="D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  <c r="BD697" s="3"/>
      <c r="BE697" s="3"/>
      <c r="BF697" s="3"/>
      <c r="BG697" s="3"/>
      <c r="BH697" s="3"/>
      <c r="BI697" s="3"/>
      <c r="BJ697" s="3"/>
      <c r="BK697" s="3"/>
      <c r="BL697" s="3"/>
      <c r="BM697" s="3"/>
      <c r="BN697" s="3"/>
      <c r="BO697" s="3"/>
    </row>
    <row r="698" spans="1:67" ht="15.75" customHeight="1" x14ac:dyDescent="0.2">
      <c r="A698" s="3"/>
      <c r="B698" s="3"/>
      <c r="C698" s="3"/>
      <c r="D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  <c r="BD698" s="3"/>
      <c r="BE698" s="3"/>
      <c r="BF698" s="3"/>
      <c r="BG698" s="3"/>
      <c r="BH698" s="3"/>
      <c r="BI698" s="3"/>
      <c r="BJ698" s="3"/>
      <c r="BK698" s="3"/>
      <c r="BL698" s="3"/>
      <c r="BM698" s="3"/>
      <c r="BN698" s="3"/>
      <c r="BO698" s="3"/>
    </row>
    <row r="699" spans="1:67" ht="15.75" customHeight="1" x14ac:dyDescent="0.2">
      <c r="A699" s="3"/>
      <c r="B699" s="3"/>
      <c r="C699" s="3"/>
      <c r="D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  <c r="BD699" s="3"/>
      <c r="BE699" s="3"/>
      <c r="BF699" s="3"/>
      <c r="BG699" s="3"/>
      <c r="BH699" s="3"/>
      <c r="BI699" s="3"/>
      <c r="BJ699" s="3"/>
      <c r="BK699" s="3"/>
      <c r="BL699" s="3"/>
      <c r="BM699" s="3"/>
      <c r="BN699" s="3"/>
      <c r="BO699" s="3"/>
    </row>
    <row r="700" spans="1:67" ht="15.75" customHeight="1" x14ac:dyDescent="0.2">
      <c r="A700" s="3"/>
      <c r="B700" s="3"/>
      <c r="C700" s="3"/>
      <c r="D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  <c r="BC700" s="3"/>
      <c r="BD700" s="3"/>
      <c r="BE700" s="3"/>
      <c r="BF700" s="3"/>
      <c r="BG700" s="3"/>
      <c r="BH700" s="3"/>
      <c r="BI700" s="3"/>
      <c r="BJ700" s="3"/>
      <c r="BK700" s="3"/>
      <c r="BL700" s="3"/>
      <c r="BM700" s="3"/>
      <c r="BN700" s="3"/>
      <c r="BO700" s="3"/>
    </row>
    <row r="701" spans="1:67" ht="15.75" customHeight="1" x14ac:dyDescent="0.2">
      <c r="A701" s="3"/>
      <c r="B701" s="3"/>
      <c r="C701" s="3"/>
      <c r="D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  <c r="BB701" s="3"/>
      <c r="BC701" s="3"/>
      <c r="BD701" s="3"/>
      <c r="BE701" s="3"/>
      <c r="BF701" s="3"/>
      <c r="BG701" s="3"/>
      <c r="BH701" s="3"/>
      <c r="BI701" s="3"/>
      <c r="BJ701" s="3"/>
      <c r="BK701" s="3"/>
      <c r="BL701" s="3"/>
      <c r="BM701" s="3"/>
      <c r="BN701" s="3"/>
      <c r="BO701" s="3"/>
    </row>
    <row r="702" spans="1:67" ht="15.75" customHeight="1" x14ac:dyDescent="0.2">
      <c r="A702" s="3"/>
      <c r="B702" s="3"/>
      <c r="C702" s="3"/>
      <c r="D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  <c r="BD702" s="3"/>
      <c r="BE702" s="3"/>
      <c r="BF702" s="3"/>
      <c r="BG702" s="3"/>
      <c r="BH702" s="3"/>
      <c r="BI702" s="3"/>
      <c r="BJ702" s="3"/>
      <c r="BK702" s="3"/>
      <c r="BL702" s="3"/>
      <c r="BM702" s="3"/>
      <c r="BN702" s="3"/>
      <c r="BO702" s="3"/>
    </row>
    <row r="703" spans="1:67" ht="15.75" customHeight="1" x14ac:dyDescent="0.2">
      <c r="A703" s="3"/>
      <c r="B703" s="3"/>
      <c r="C703" s="3"/>
      <c r="D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  <c r="BD703" s="3"/>
      <c r="BE703" s="3"/>
      <c r="BF703" s="3"/>
      <c r="BG703" s="3"/>
      <c r="BH703" s="3"/>
      <c r="BI703" s="3"/>
      <c r="BJ703" s="3"/>
      <c r="BK703" s="3"/>
      <c r="BL703" s="3"/>
      <c r="BM703" s="3"/>
      <c r="BN703" s="3"/>
      <c r="BO703" s="3"/>
    </row>
    <row r="704" spans="1:67" ht="15.75" customHeight="1" x14ac:dyDescent="0.2">
      <c r="A704" s="3"/>
      <c r="B704" s="3"/>
      <c r="C704" s="3"/>
      <c r="D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  <c r="BD704" s="3"/>
      <c r="BE704" s="3"/>
      <c r="BF704" s="3"/>
      <c r="BG704" s="3"/>
      <c r="BH704" s="3"/>
      <c r="BI704" s="3"/>
      <c r="BJ704" s="3"/>
      <c r="BK704" s="3"/>
      <c r="BL704" s="3"/>
      <c r="BM704" s="3"/>
      <c r="BN704" s="3"/>
      <c r="BO704" s="3"/>
    </row>
    <row r="705" spans="1:67" ht="15.75" customHeight="1" x14ac:dyDescent="0.2">
      <c r="A705" s="3"/>
      <c r="B705" s="3"/>
      <c r="C705" s="3"/>
      <c r="D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  <c r="BD705" s="3"/>
      <c r="BE705" s="3"/>
      <c r="BF705" s="3"/>
      <c r="BG705" s="3"/>
      <c r="BH705" s="3"/>
      <c r="BI705" s="3"/>
      <c r="BJ705" s="3"/>
      <c r="BK705" s="3"/>
      <c r="BL705" s="3"/>
      <c r="BM705" s="3"/>
      <c r="BN705" s="3"/>
      <c r="BO705" s="3"/>
    </row>
    <row r="706" spans="1:67" ht="15.75" customHeight="1" x14ac:dyDescent="0.2">
      <c r="A706" s="3"/>
      <c r="B706" s="3"/>
      <c r="C706" s="3"/>
      <c r="D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  <c r="BD706" s="3"/>
      <c r="BE706" s="3"/>
      <c r="BF706" s="3"/>
      <c r="BG706" s="3"/>
      <c r="BH706" s="3"/>
      <c r="BI706" s="3"/>
      <c r="BJ706" s="3"/>
      <c r="BK706" s="3"/>
      <c r="BL706" s="3"/>
      <c r="BM706" s="3"/>
      <c r="BN706" s="3"/>
      <c r="BO706" s="3"/>
    </row>
    <row r="707" spans="1:67" ht="15.75" customHeight="1" x14ac:dyDescent="0.2">
      <c r="A707" s="3"/>
      <c r="B707" s="3"/>
      <c r="C707" s="3"/>
      <c r="D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  <c r="BD707" s="3"/>
      <c r="BE707" s="3"/>
      <c r="BF707" s="3"/>
      <c r="BG707" s="3"/>
      <c r="BH707" s="3"/>
      <c r="BI707" s="3"/>
      <c r="BJ707" s="3"/>
      <c r="BK707" s="3"/>
      <c r="BL707" s="3"/>
      <c r="BM707" s="3"/>
      <c r="BN707" s="3"/>
      <c r="BO707" s="3"/>
    </row>
    <row r="708" spans="1:67" ht="15.75" customHeight="1" x14ac:dyDescent="0.2">
      <c r="A708" s="3"/>
      <c r="B708" s="3"/>
      <c r="C708" s="3"/>
      <c r="D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  <c r="BD708" s="3"/>
      <c r="BE708" s="3"/>
      <c r="BF708" s="3"/>
      <c r="BG708" s="3"/>
      <c r="BH708" s="3"/>
      <c r="BI708" s="3"/>
      <c r="BJ708" s="3"/>
      <c r="BK708" s="3"/>
      <c r="BL708" s="3"/>
      <c r="BM708" s="3"/>
      <c r="BN708" s="3"/>
      <c r="BO708" s="3"/>
    </row>
    <row r="709" spans="1:67" ht="15.75" customHeight="1" x14ac:dyDescent="0.2">
      <c r="A709" s="3"/>
      <c r="B709" s="3"/>
      <c r="C709" s="3"/>
      <c r="D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  <c r="BD709" s="3"/>
      <c r="BE709" s="3"/>
      <c r="BF709" s="3"/>
      <c r="BG709" s="3"/>
      <c r="BH709" s="3"/>
      <c r="BI709" s="3"/>
      <c r="BJ709" s="3"/>
      <c r="BK709" s="3"/>
      <c r="BL709" s="3"/>
      <c r="BM709" s="3"/>
      <c r="BN709" s="3"/>
      <c r="BO709" s="3"/>
    </row>
    <row r="710" spans="1:67" ht="15.75" customHeight="1" x14ac:dyDescent="0.2">
      <c r="A710" s="3"/>
      <c r="B710" s="3"/>
      <c r="C710" s="3"/>
      <c r="D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  <c r="BD710" s="3"/>
      <c r="BE710" s="3"/>
      <c r="BF710" s="3"/>
      <c r="BG710" s="3"/>
      <c r="BH710" s="3"/>
      <c r="BI710" s="3"/>
      <c r="BJ710" s="3"/>
      <c r="BK710" s="3"/>
      <c r="BL710" s="3"/>
      <c r="BM710" s="3"/>
      <c r="BN710" s="3"/>
      <c r="BO710" s="3"/>
    </row>
    <row r="711" spans="1:67" ht="15.75" customHeight="1" x14ac:dyDescent="0.2">
      <c r="A711" s="3"/>
      <c r="B711" s="3"/>
      <c r="C711" s="3"/>
      <c r="D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  <c r="BD711" s="3"/>
      <c r="BE711" s="3"/>
      <c r="BF711" s="3"/>
      <c r="BG711" s="3"/>
      <c r="BH711" s="3"/>
      <c r="BI711" s="3"/>
      <c r="BJ711" s="3"/>
      <c r="BK711" s="3"/>
      <c r="BL711" s="3"/>
      <c r="BM711" s="3"/>
      <c r="BN711" s="3"/>
      <c r="BO711" s="3"/>
    </row>
    <row r="712" spans="1:67" ht="15.75" customHeight="1" x14ac:dyDescent="0.2">
      <c r="A712" s="3"/>
      <c r="B712" s="3"/>
      <c r="C712" s="3"/>
      <c r="D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  <c r="BD712" s="3"/>
      <c r="BE712" s="3"/>
      <c r="BF712" s="3"/>
      <c r="BG712" s="3"/>
      <c r="BH712" s="3"/>
      <c r="BI712" s="3"/>
      <c r="BJ712" s="3"/>
      <c r="BK712" s="3"/>
      <c r="BL712" s="3"/>
      <c r="BM712" s="3"/>
      <c r="BN712" s="3"/>
      <c r="BO712" s="3"/>
    </row>
    <row r="713" spans="1:67" ht="15.75" customHeight="1" x14ac:dyDescent="0.2">
      <c r="A713" s="3"/>
      <c r="B713" s="3"/>
      <c r="C713" s="3"/>
      <c r="D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  <c r="BD713" s="3"/>
      <c r="BE713" s="3"/>
      <c r="BF713" s="3"/>
      <c r="BG713" s="3"/>
      <c r="BH713" s="3"/>
      <c r="BI713" s="3"/>
      <c r="BJ713" s="3"/>
      <c r="BK713" s="3"/>
      <c r="BL713" s="3"/>
      <c r="BM713" s="3"/>
      <c r="BN713" s="3"/>
      <c r="BO713" s="3"/>
    </row>
    <row r="714" spans="1:67" ht="15.75" customHeight="1" x14ac:dyDescent="0.2">
      <c r="A714" s="3"/>
      <c r="B714" s="3"/>
      <c r="C714" s="3"/>
      <c r="D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  <c r="BC714" s="3"/>
      <c r="BD714" s="3"/>
      <c r="BE714" s="3"/>
      <c r="BF714" s="3"/>
      <c r="BG714" s="3"/>
      <c r="BH714" s="3"/>
      <c r="BI714" s="3"/>
      <c r="BJ714" s="3"/>
      <c r="BK714" s="3"/>
      <c r="BL714" s="3"/>
      <c r="BM714" s="3"/>
      <c r="BN714" s="3"/>
      <c r="BO714" s="3"/>
    </row>
    <row r="715" spans="1:67" ht="15.75" customHeight="1" x14ac:dyDescent="0.2">
      <c r="A715" s="3"/>
      <c r="B715" s="3"/>
      <c r="C715" s="3"/>
      <c r="D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  <c r="BC715" s="3"/>
      <c r="BD715" s="3"/>
      <c r="BE715" s="3"/>
      <c r="BF715" s="3"/>
      <c r="BG715" s="3"/>
      <c r="BH715" s="3"/>
      <c r="BI715" s="3"/>
      <c r="BJ715" s="3"/>
      <c r="BK715" s="3"/>
      <c r="BL715" s="3"/>
      <c r="BM715" s="3"/>
      <c r="BN715" s="3"/>
      <c r="BO715" s="3"/>
    </row>
    <row r="716" spans="1:67" ht="15.75" customHeight="1" x14ac:dyDescent="0.2">
      <c r="A716" s="3"/>
      <c r="B716" s="3"/>
      <c r="C716" s="3"/>
      <c r="D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  <c r="BD716" s="3"/>
      <c r="BE716" s="3"/>
      <c r="BF716" s="3"/>
      <c r="BG716" s="3"/>
      <c r="BH716" s="3"/>
      <c r="BI716" s="3"/>
      <c r="BJ716" s="3"/>
      <c r="BK716" s="3"/>
      <c r="BL716" s="3"/>
      <c r="BM716" s="3"/>
      <c r="BN716" s="3"/>
      <c r="BO716" s="3"/>
    </row>
    <row r="717" spans="1:67" ht="15.75" customHeight="1" x14ac:dyDescent="0.2">
      <c r="A717" s="3"/>
      <c r="B717" s="3"/>
      <c r="C717" s="3"/>
      <c r="D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  <c r="BD717" s="3"/>
      <c r="BE717" s="3"/>
      <c r="BF717" s="3"/>
      <c r="BG717" s="3"/>
      <c r="BH717" s="3"/>
      <c r="BI717" s="3"/>
      <c r="BJ717" s="3"/>
      <c r="BK717" s="3"/>
      <c r="BL717" s="3"/>
      <c r="BM717" s="3"/>
      <c r="BN717" s="3"/>
      <c r="BO717" s="3"/>
    </row>
    <row r="718" spans="1:67" ht="15.75" customHeight="1" x14ac:dyDescent="0.2">
      <c r="A718" s="3"/>
      <c r="B718" s="3"/>
      <c r="C718" s="3"/>
      <c r="D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  <c r="BD718" s="3"/>
      <c r="BE718" s="3"/>
      <c r="BF718" s="3"/>
      <c r="BG718" s="3"/>
      <c r="BH718" s="3"/>
      <c r="BI718" s="3"/>
      <c r="BJ718" s="3"/>
      <c r="BK718" s="3"/>
      <c r="BL718" s="3"/>
      <c r="BM718" s="3"/>
      <c r="BN718" s="3"/>
      <c r="BO718" s="3"/>
    </row>
    <row r="719" spans="1:67" ht="15.75" customHeight="1" x14ac:dyDescent="0.2">
      <c r="A719" s="3"/>
      <c r="B719" s="3"/>
      <c r="C719" s="3"/>
      <c r="D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  <c r="BD719" s="3"/>
      <c r="BE719" s="3"/>
      <c r="BF719" s="3"/>
      <c r="BG719" s="3"/>
      <c r="BH719" s="3"/>
      <c r="BI719" s="3"/>
      <c r="BJ719" s="3"/>
      <c r="BK719" s="3"/>
      <c r="BL719" s="3"/>
      <c r="BM719" s="3"/>
      <c r="BN719" s="3"/>
      <c r="BO719" s="3"/>
    </row>
    <row r="720" spans="1:67" ht="15.75" customHeight="1" x14ac:dyDescent="0.2">
      <c r="A720" s="3"/>
      <c r="B720" s="3"/>
      <c r="C720" s="3"/>
      <c r="D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  <c r="BD720" s="3"/>
      <c r="BE720" s="3"/>
      <c r="BF720" s="3"/>
      <c r="BG720" s="3"/>
      <c r="BH720" s="3"/>
      <c r="BI720" s="3"/>
      <c r="BJ720" s="3"/>
      <c r="BK720" s="3"/>
      <c r="BL720" s="3"/>
      <c r="BM720" s="3"/>
      <c r="BN720" s="3"/>
      <c r="BO720" s="3"/>
    </row>
    <row r="721" spans="1:67" ht="15.75" customHeight="1" x14ac:dyDescent="0.2">
      <c r="A721" s="3"/>
      <c r="B721" s="3"/>
      <c r="C721" s="3"/>
      <c r="D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  <c r="BD721" s="3"/>
      <c r="BE721" s="3"/>
      <c r="BF721" s="3"/>
      <c r="BG721" s="3"/>
      <c r="BH721" s="3"/>
      <c r="BI721" s="3"/>
      <c r="BJ721" s="3"/>
      <c r="BK721" s="3"/>
      <c r="BL721" s="3"/>
      <c r="BM721" s="3"/>
      <c r="BN721" s="3"/>
      <c r="BO721" s="3"/>
    </row>
    <row r="722" spans="1:67" ht="15.75" customHeight="1" x14ac:dyDescent="0.2">
      <c r="A722" s="3"/>
      <c r="B722" s="3"/>
      <c r="C722" s="3"/>
      <c r="D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  <c r="BD722" s="3"/>
      <c r="BE722" s="3"/>
      <c r="BF722" s="3"/>
      <c r="BG722" s="3"/>
      <c r="BH722" s="3"/>
      <c r="BI722" s="3"/>
      <c r="BJ722" s="3"/>
      <c r="BK722" s="3"/>
      <c r="BL722" s="3"/>
      <c r="BM722" s="3"/>
      <c r="BN722" s="3"/>
      <c r="BO722" s="3"/>
    </row>
    <row r="723" spans="1:67" ht="15.75" customHeight="1" x14ac:dyDescent="0.2">
      <c r="A723" s="3"/>
      <c r="B723" s="3"/>
      <c r="C723" s="3"/>
      <c r="D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  <c r="BD723" s="3"/>
      <c r="BE723" s="3"/>
      <c r="BF723" s="3"/>
      <c r="BG723" s="3"/>
      <c r="BH723" s="3"/>
      <c r="BI723" s="3"/>
      <c r="BJ723" s="3"/>
      <c r="BK723" s="3"/>
      <c r="BL723" s="3"/>
      <c r="BM723" s="3"/>
      <c r="BN723" s="3"/>
      <c r="BO723" s="3"/>
    </row>
    <row r="724" spans="1:67" ht="15.75" customHeight="1" x14ac:dyDescent="0.2">
      <c r="A724" s="3"/>
      <c r="B724" s="3"/>
      <c r="C724" s="3"/>
      <c r="D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  <c r="BD724" s="3"/>
      <c r="BE724" s="3"/>
      <c r="BF724" s="3"/>
      <c r="BG724" s="3"/>
      <c r="BH724" s="3"/>
      <c r="BI724" s="3"/>
      <c r="BJ724" s="3"/>
      <c r="BK724" s="3"/>
      <c r="BL724" s="3"/>
      <c r="BM724" s="3"/>
      <c r="BN724" s="3"/>
      <c r="BO724" s="3"/>
    </row>
    <row r="725" spans="1:67" ht="15.75" customHeight="1" x14ac:dyDescent="0.2">
      <c r="A725" s="3"/>
      <c r="B725" s="3"/>
      <c r="C725" s="3"/>
      <c r="D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  <c r="BD725" s="3"/>
      <c r="BE725" s="3"/>
      <c r="BF725" s="3"/>
      <c r="BG725" s="3"/>
      <c r="BH725" s="3"/>
      <c r="BI725" s="3"/>
      <c r="BJ725" s="3"/>
      <c r="BK725" s="3"/>
      <c r="BL725" s="3"/>
      <c r="BM725" s="3"/>
      <c r="BN725" s="3"/>
      <c r="BO725" s="3"/>
    </row>
    <row r="726" spans="1:67" ht="15.75" customHeight="1" x14ac:dyDescent="0.2">
      <c r="A726" s="3"/>
      <c r="B726" s="3"/>
      <c r="C726" s="3"/>
      <c r="D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  <c r="BD726" s="3"/>
      <c r="BE726" s="3"/>
      <c r="BF726" s="3"/>
      <c r="BG726" s="3"/>
      <c r="BH726" s="3"/>
      <c r="BI726" s="3"/>
      <c r="BJ726" s="3"/>
      <c r="BK726" s="3"/>
      <c r="BL726" s="3"/>
      <c r="BM726" s="3"/>
      <c r="BN726" s="3"/>
      <c r="BO726" s="3"/>
    </row>
    <row r="727" spans="1:67" ht="15.75" customHeight="1" x14ac:dyDescent="0.2">
      <c r="A727" s="3"/>
      <c r="B727" s="3"/>
      <c r="C727" s="3"/>
      <c r="D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  <c r="BD727" s="3"/>
      <c r="BE727" s="3"/>
      <c r="BF727" s="3"/>
      <c r="BG727" s="3"/>
      <c r="BH727" s="3"/>
      <c r="BI727" s="3"/>
      <c r="BJ727" s="3"/>
      <c r="BK727" s="3"/>
      <c r="BL727" s="3"/>
      <c r="BM727" s="3"/>
      <c r="BN727" s="3"/>
      <c r="BO727" s="3"/>
    </row>
    <row r="728" spans="1:67" ht="15.75" customHeight="1" x14ac:dyDescent="0.2">
      <c r="A728" s="3"/>
      <c r="B728" s="3"/>
      <c r="C728" s="3"/>
      <c r="D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  <c r="BB728" s="3"/>
      <c r="BC728" s="3"/>
      <c r="BD728" s="3"/>
      <c r="BE728" s="3"/>
      <c r="BF728" s="3"/>
      <c r="BG728" s="3"/>
      <c r="BH728" s="3"/>
      <c r="BI728" s="3"/>
      <c r="BJ728" s="3"/>
      <c r="BK728" s="3"/>
      <c r="BL728" s="3"/>
      <c r="BM728" s="3"/>
      <c r="BN728" s="3"/>
      <c r="BO728" s="3"/>
    </row>
    <row r="729" spans="1:67" ht="15.75" customHeight="1" x14ac:dyDescent="0.2">
      <c r="A729" s="3"/>
      <c r="B729" s="3"/>
      <c r="C729" s="3"/>
      <c r="D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  <c r="BB729" s="3"/>
      <c r="BC729" s="3"/>
      <c r="BD729" s="3"/>
      <c r="BE729" s="3"/>
      <c r="BF729" s="3"/>
      <c r="BG729" s="3"/>
      <c r="BH729" s="3"/>
      <c r="BI729" s="3"/>
      <c r="BJ729" s="3"/>
      <c r="BK729" s="3"/>
      <c r="BL729" s="3"/>
      <c r="BM729" s="3"/>
      <c r="BN729" s="3"/>
      <c r="BO729" s="3"/>
    </row>
    <row r="730" spans="1:67" ht="15.75" customHeight="1" x14ac:dyDescent="0.2">
      <c r="A730" s="3"/>
      <c r="B730" s="3"/>
      <c r="C730" s="3"/>
      <c r="D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  <c r="BD730" s="3"/>
      <c r="BE730" s="3"/>
      <c r="BF730" s="3"/>
      <c r="BG730" s="3"/>
      <c r="BH730" s="3"/>
      <c r="BI730" s="3"/>
      <c r="BJ730" s="3"/>
      <c r="BK730" s="3"/>
      <c r="BL730" s="3"/>
      <c r="BM730" s="3"/>
      <c r="BN730" s="3"/>
      <c r="BO730" s="3"/>
    </row>
    <row r="731" spans="1:67" ht="15.75" customHeight="1" x14ac:dyDescent="0.2">
      <c r="A731" s="3"/>
      <c r="B731" s="3"/>
      <c r="C731" s="3"/>
      <c r="D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  <c r="BD731" s="3"/>
      <c r="BE731" s="3"/>
      <c r="BF731" s="3"/>
      <c r="BG731" s="3"/>
      <c r="BH731" s="3"/>
      <c r="BI731" s="3"/>
      <c r="BJ731" s="3"/>
      <c r="BK731" s="3"/>
      <c r="BL731" s="3"/>
      <c r="BM731" s="3"/>
      <c r="BN731" s="3"/>
      <c r="BO731" s="3"/>
    </row>
    <row r="732" spans="1:67" ht="15.75" customHeight="1" x14ac:dyDescent="0.2">
      <c r="A732" s="3"/>
      <c r="B732" s="3"/>
      <c r="C732" s="3"/>
      <c r="D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  <c r="BD732" s="3"/>
      <c r="BE732" s="3"/>
      <c r="BF732" s="3"/>
      <c r="BG732" s="3"/>
      <c r="BH732" s="3"/>
      <c r="BI732" s="3"/>
      <c r="BJ732" s="3"/>
      <c r="BK732" s="3"/>
      <c r="BL732" s="3"/>
      <c r="BM732" s="3"/>
      <c r="BN732" s="3"/>
      <c r="BO732" s="3"/>
    </row>
    <row r="733" spans="1:67" ht="15.75" customHeight="1" x14ac:dyDescent="0.2">
      <c r="A733" s="3"/>
      <c r="B733" s="3"/>
      <c r="C733" s="3"/>
      <c r="D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  <c r="BD733" s="3"/>
      <c r="BE733" s="3"/>
      <c r="BF733" s="3"/>
      <c r="BG733" s="3"/>
      <c r="BH733" s="3"/>
      <c r="BI733" s="3"/>
      <c r="BJ733" s="3"/>
      <c r="BK733" s="3"/>
      <c r="BL733" s="3"/>
      <c r="BM733" s="3"/>
      <c r="BN733" s="3"/>
      <c r="BO733" s="3"/>
    </row>
    <row r="734" spans="1:67" ht="15.75" customHeight="1" x14ac:dyDescent="0.2">
      <c r="A734" s="3"/>
      <c r="B734" s="3"/>
      <c r="C734" s="3"/>
      <c r="D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  <c r="BD734" s="3"/>
      <c r="BE734" s="3"/>
      <c r="BF734" s="3"/>
      <c r="BG734" s="3"/>
      <c r="BH734" s="3"/>
      <c r="BI734" s="3"/>
      <c r="BJ734" s="3"/>
      <c r="BK734" s="3"/>
      <c r="BL734" s="3"/>
      <c r="BM734" s="3"/>
      <c r="BN734" s="3"/>
      <c r="BO734" s="3"/>
    </row>
    <row r="735" spans="1:67" ht="15.75" customHeight="1" x14ac:dyDescent="0.2">
      <c r="A735" s="3"/>
      <c r="B735" s="3"/>
      <c r="C735" s="3"/>
      <c r="D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  <c r="BD735" s="3"/>
      <c r="BE735" s="3"/>
      <c r="BF735" s="3"/>
      <c r="BG735" s="3"/>
      <c r="BH735" s="3"/>
      <c r="BI735" s="3"/>
      <c r="BJ735" s="3"/>
      <c r="BK735" s="3"/>
      <c r="BL735" s="3"/>
      <c r="BM735" s="3"/>
      <c r="BN735" s="3"/>
      <c r="BO735" s="3"/>
    </row>
    <row r="736" spans="1:67" ht="15.75" customHeight="1" x14ac:dyDescent="0.2">
      <c r="A736" s="3"/>
      <c r="B736" s="3"/>
      <c r="C736" s="3"/>
      <c r="D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  <c r="BD736" s="3"/>
      <c r="BE736" s="3"/>
      <c r="BF736" s="3"/>
      <c r="BG736" s="3"/>
      <c r="BH736" s="3"/>
      <c r="BI736" s="3"/>
      <c r="BJ736" s="3"/>
      <c r="BK736" s="3"/>
      <c r="BL736" s="3"/>
      <c r="BM736" s="3"/>
      <c r="BN736" s="3"/>
      <c r="BO736" s="3"/>
    </row>
    <row r="737" spans="1:67" ht="15.75" customHeight="1" x14ac:dyDescent="0.2">
      <c r="A737" s="3"/>
      <c r="B737" s="3"/>
      <c r="C737" s="3"/>
      <c r="D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  <c r="BD737" s="3"/>
      <c r="BE737" s="3"/>
      <c r="BF737" s="3"/>
      <c r="BG737" s="3"/>
      <c r="BH737" s="3"/>
      <c r="BI737" s="3"/>
      <c r="BJ737" s="3"/>
      <c r="BK737" s="3"/>
      <c r="BL737" s="3"/>
      <c r="BM737" s="3"/>
      <c r="BN737" s="3"/>
      <c r="BO737" s="3"/>
    </row>
    <row r="738" spans="1:67" ht="15.75" customHeight="1" x14ac:dyDescent="0.2">
      <c r="A738" s="3"/>
      <c r="B738" s="3"/>
      <c r="C738" s="3"/>
      <c r="D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  <c r="BD738" s="3"/>
      <c r="BE738" s="3"/>
      <c r="BF738" s="3"/>
      <c r="BG738" s="3"/>
      <c r="BH738" s="3"/>
      <c r="BI738" s="3"/>
      <c r="BJ738" s="3"/>
      <c r="BK738" s="3"/>
      <c r="BL738" s="3"/>
      <c r="BM738" s="3"/>
      <c r="BN738" s="3"/>
      <c r="BO738" s="3"/>
    </row>
    <row r="739" spans="1:67" ht="15.75" customHeight="1" x14ac:dyDescent="0.2">
      <c r="A739" s="3"/>
      <c r="B739" s="3"/>
      <c r="C739" s="3"/>
      <c r="D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  <c r="BD739" s="3"/>
      <c r="BE739" s="3"/>
      <c r="BF739" s="3"/>
      <c r="BG739" s="3"/>
      <c r="BH739" s="3"/>
      <c r="BI739" s="3"/>
      <c r="BJ739" s="3"/>
      <c r="BK739" s="3"/>
      <c r="BL739" s="3"/>
      <c r="BM739" s="3"/>
      <c r="BN739" s="3"/>
      <c r="BO739" s="3"/>
    </row>
    <row r="740" spans="1:67" ht="15.75" customHeight="1" x14ac:dyDescent="0.2">
      <c r="A740" s="3"/>
      <c r="B740" s="3"/>
      <c r="C740" s="3"/>
      <c r="D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  <c r="BD740" s="3"/>
      <c r="BE740" s="3"/>
      <c r="BF740" s="3"/>
      <c r="BG740" s="3"/>
      <c r="BH740" s="3"/>
      <c r="BI740" s="3"/>
      <c r="BJ740" s="3"/>
      <c r="BK740" s="3"/>
      <c r="BL740" s="3"/>
      <c r="BM740" s="3"/>
      <c r="BN740" s="3"/>
      <c r="BO740" s="3"/>
    </row>
    <row r="741" spans="1:67" ht="15.75" customHeight="1" x14ac:dyDescent="0.2">
      <c r="A741" s="3"/>
      <c r="B741" s="3"/>
      <c r="C741" s="3"/>
      <c r="D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  <c r="BD741" s="3"/>
      <c r="BE741" s="3"/>
      <c r="BF741" s="3"/>
      <c r="BG741" s="3"/>
      <c r="BH741" s="3"/>
      <c r="BI741" s="3"/>
      <c r="BJ741" s="3"/>
      <c r="BK741" s="3"/>
      <c r="BL741" s="3"/>
      <c r="BM741" s="3"/>
      <c r="BN741" s="3"/>
      <c r="BO741" s="3"/>
    </row>
    <row r="742" spans="1:67" ht="15.75" customHeight="1" x14ac:dyDescent="0.2">
      <c r="A742" s="3"/>
      <c r="B742" s="3"/>
      <c r="C742" s="3"/>
      <c r="D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  <c r="BC742" s="3"/>
      <c r="BD742" s="3"/>
      <c r="BE742" s="3"/>
      <c r="BF742" s="3"/>
      <c r="BG742" s="3"/>
      <c r="BH742" s="3"/>
      <c r="BI742" s="3"/>
      <c r="BJ742" s="3"/>
      <c r="BK742" s="3"/>
      <c r="BL742" s="3"/>
      <c r="BM742" s="3"/>
      <c r="BN742" s="3"/>
      <c r="BO742" s="3"/>
    </row>
    <row r="743" spans="1:67" ht="15.75" customHeight="1" x14ac:dyDescent="0.2">
      <c r="A743" s="3"/>
      <c r="B743" s="3"/>
      <c r="C743" s="3"/>
      <c r="D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  <c r="BB743" s="3"/>
      <c r="BC743" s="3"/>
      <c r="BD743" s="3"/>
      <c r="BE743" s="3"/>
      <c r="BF743" s="3"/>
      <c r="BG743" s="3"/>
      <c r="BH743" s="3"/>
      <c r="BI743" s="3"/>
      <c r="BJ743" s="3"/>
      <c r="BK743" s="3"/>
      <c r="BL743" s="3"/>
      <c r="BM743" s="3"/>
      <c r="BN743" s="3"/>
      <c r="BO743" s="3"/>
    </row>
    <row r="744" spans="1:67" ht="15.75" customHeight="1" x14ac:dyDescent="0.2">
      <c r="A744" s="3"/>
      <c r="B744" s="3"/>
      <c r="C744" s="3"/>
      <c r="D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  <c r="BD744" s="3"/>
      <c r="BE744" s="3"/>
      <c r="BF744" s="3"/>
      <c r="BG744" s="3"/>
      <c r="BH744" s="3"/>
      <c r="BI744" s="3"/>
      <c r="BJ744" s="3"/>
      <c r="BK744" s="3"/>
      <c r="BL744" s="3"/>
      <c r="BM744" s="3"/>
      <c r="BN744" s="3"/>
      <c r="BO744" s="3"/>
    </row>
    <row r="745" spans="1:67" ht="15.75" customHeight="1" x14ac:dyDescent="0.2">
      <c r="A745" s="3"/>
      <c r="B745" s="3"/>
      <c r="C745" s="3"/>
      <c r="D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  <c r="BD745" s="3"/>
      <c r="BE745" s="3"/>
      <c r="BF745" s="3"/>
      <c r="BG745" s="3"/>
      <c r="BH745" s="3"/>
      <c r="BI745" s="3"/>
      <c r="BJ745" s="3"/>
      <c r="BK745" s="3"/>
      <c r="BL745" s="3"/>
      <c r="BM745" s="3"/>
      <c r="BN745" s="3"/>
      <c r="BO745" s="3"/>
    </row>
    <row r="746" spans="1:67" ht="15.75" customHeight="1" x14ac:dyDescent="0.2">
      <c r="A746" s="3"/>
      <c r="B746" s="3"/>
      <c r="C746" s="3"/>
      <c r="D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  <c r="BD746" s="3"/>
      <c r="BE746" s="3"/>
      <c r="BF746" s="3"/>
      <c r="BG746" s="3"/>
      <c r="BH746" s="3"/>
      <c r="BI746" s="3"/>
      <c r="BJ746" s="3"/>
      <c r="BK746" s="3"/>
      <c r="BL746" s="3"/>
      <c r="BM746" s="3"/>
      <c r="BN746" s="3"/>
      <c r="BO746" s="3"/>
    </row>
    <row r="747" spans="1:67" ht="15.75" customHeight="1" x14ac:dyDescent="0.2">
      <c r="A747" s="3"/>
      <c r="B747" s="3"/>
      <c r="C747" s="3"/>
      <c r="D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  <c r="BD747" s="3"/>
      <c r="BE747" s="3"/>
      <c r="BF747" s="3"/>
      <c r="BG747" s="3"/>
      <c r="BH747" s="3"/>
      <c r="BI747" s="3"/>
      <c r="BJ747" s="3"/>
      <c r="BK747" s="3"/>
      <c r="BL747" s="3"/>
      <c r="BM747" s="3"/>
      <c r="BN747" s="3"/>
      <c r="BO747" s="3"/>
    </row>
    <row r="748" spans="1:67" ht="15.75" customHeight="1" x14ac:dyDescent="0.2">
      <c r="A748" s="3"/>
      <c r="B748" s="3"/>
      <c r="C748" s="3"/>
      <c r="D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  <c r="BD748" s="3"/>
      <c r="BE748" s="3"/>
      <c r="BF748" s="3"/>
      <c r="BG748" s="3"/>
      <c r="BH748" s="3"/>
      <c r="BI748" s="3"/>
      <c r="BJ748" s="3"/>
      <c r="BK748" s="3"/>
      <c r="BL748" s="3"/>
      <c r="BM748" s="3"/>
      <c r="BN748" s="3"/>
      <c r="BO748" s="3"/>
    </row>
    <row r="749" spans="1:67" ht="15.75" customHeight="1" x14ac:dyDescent="0.2">
      <c r="A749" s="3"/>
      <c r="B749" s="3"/>
      <c r="C749" s="3"/>
      <c r="D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  <c r="BD749" s="3"/>
      <c r="BE749" s="3"/>
      <c r="BF749" s="3"/>
      <c r="BG749" s="3"/>
      <c r="BH749" s="3"/>
      <c r="BI749" s="3"/>
      <c r="BJ749" s="3"/>
      <c r="BK749" s="3"/>
      <c r="BL749" s="3"/>
      <c r="BM749" s="3"/>
      <c r="BN749" s="3"/>
      <c r="BO749" s="3"/>
    </row>
    <row r="750" spans="1:67" ht="15.75" customHeight="1" x14ac:dyDescent="0.2">
      <c r="A750" s="3"/>
      <c r="B750" s="3"/>
      <c r="C750" s="3"/>
      <c r="D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  <c r="BD750" s="3"/>
      <c r="BE750" s="3"/>
      <c r="BF750" s="3"/>
      <c r="BG750" s="3"/>
      <c r="BH750" s="3"/>
      <c r="BI750" s="3"/>
      <c r="BJ750" s="3"/>
      <c r="BK750" s="3"/>
      <c r="BL750" s="3"/>
      <c r="BM750" s="3"/>
      <c r="BN750" s="3"/>
      <c r="BO750" s="3"/>
    </row>
    <row r="751" spans="1:67" ht="15.75" customHeight="1" x14ac:dyDescent="0.2">
      <c r="A751" s="3"/>
      <c r="B751" s="3"/>
      <c r="C751" s="3"/>
      <c r="D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  <c r="BD751" s="3"/>
      <c r="BE751" s="3"/>
      <c r="BF751" s="3"/>
      <c r="BG751" s="3"/>
      <c r="BH751" s="3"/>
      <c r="BI751" s="3"/>
      <c r="BJ751" s="3"/>
      <c r="BK751" s="3"/>
      <c r="BL751" s="3"/>
      <c r="BM751" s="3"/>
      <c r="BN751" s="3"/>
      <c r="BO751" s="3"/>
    </row>
    <row r="752" spans="1:67" ht="15.75" customHeight="1" x14ac:dyDescent="0.2">
      <c r="A752" s="3"/>
      <c r="B752" s="3"/>
      <c r="C752" s="3"/>
      <c r="D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  <c r="BD752" s="3"/>
      <c r="BE752" s="3"/>
      <c r="BF752" s="3"/>
      <c r="BG752" s="3"/>
      <c r="BH752" s="3"/>
      <c r="BI752" s="3"/>
      <c r="BJ752" s="3"/>
      <c r="BK752" s="3"/>
      <c r="BL752" s="3"/>
      <c r="BM752" s="3"/>
      <c r="BN752" s="3"/>
      <c r="BO752" s="3"/>
    </row>
    <row r="753" spans="1:67" ht="15.75" customHeight="1" x14ac:dyDescent="0.2">
      <c r="A753" s="3"/>
      <c r="B753" s="3"/>
      <c r="C753" s="3"/>
      <c r="D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  <c r="BD753" s="3"/>
      <c r="BE753" s="3"/>
      <c r="BF753" s="3"/>
      <c r="BG753" s="3"/>
      <c r="BH753" s="3"/>
      <c r="BI753" s="3"/>
      <c r="BJ753" s="3"/>
      <c r="BK753" s="3"/>
      <c r="BL753" s="3"/>
      <c r="BM753" s="3"/>
      <c r="BN753" s="3"/>
      <c r="BO753" s="3"/>
    </row>
    <row r="754" spans="1:67" ht="15.75" customHeight="1" x14ac:dyDescent="0.2">
      <c r="A754" s="3"/>
      <c r="B754" s="3"/>
      <c r="C754" s="3"/>
      <c r="D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  <c r="BD754" s="3"/>
      <c r="BE754" s="3"/>
      <c r="BF754" s="3"/>
      <c r="BG754" s="3"/>
      <c r="BH754" s="3"/>
      <c r="BI754" s="3"/>
      <c r="BJ754" s="3"/>
      <c r="BK754" s="3"/>
      <c r="BL754" s="3"/>
      <c r="BM754" s="3"/>
      <c r="BN754" s="3"/>
      <c r="BO754" s="3"/>
    </row>
    <row r="755" spans="1:67" ht="15.75" customHeight="1" x14ac:dyDescent="0.2">
      <c r="A755" s="3"/>
      <c r="B755" s="3"/>
      <c r="C755" s="3"/>
      <c r="D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  <c r="BD755" s="3"/>
      <c r="BE755" s="3"/>
      <c r="BF755" s="3"/>
      <c r="BG755" s="3"/>
      <c r="BH755" s="3"/>
      <c r="BI755" s="3"/>
      <c r="BJ755" s="3"/>
      <c r="BK755" s="3"/>
      <c r="BL755" s="3"/>
      <c r="BM755" s="3"/>
      <c r="BN755" s="3"/>
      <c r="BO755" s="3"/>
    </row>
    <row r="756" spans="1:67" ht="15.75" customHeight="1" x14ac:dyDescent="0.2">
      <c r="A756" s="3"/>
      <c r="B756" s="3"/>
      <c r="C756" s="3"/>
      <c r="D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  <c r="BB756" s="3"/>
      <c r="BC756" s="3"/>
      <c r="BD756" s="3"/>
      <c r="BE756" s="3"/>
      <c r="BF756" s="3"/>
      <c r="BG756" s="3"/>
      <c r="BH756" s="3"/>
      <c r="BI756" s="3"/>
      <c r="BJ756" s="3"/>
      <c r="BK756" s="3"/>
      <c r="BL756" s="3"/>
      <c r="BM756" s="3"/>
      <c r="BN756" s="3"/>
      <c r="BO756" s="3"/>
    </row>
    <row r="757" spans="1:67" ht="15.75" customHeight="1" x14ac:dyDescent="0.2">
      <c r="A757" s="3"/>
      <c r="B757" s="3"/>
      <c r="C757" s="3"/>
      <c r="D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  <c r="BD757" s="3"/>
      <c r="BE757" s="3"/>
      <c r="BF757" s="3"/>
      <c r="BG757" s="3"/>
      <c r="BH757" s="3"/>
      <c r="BI757" s="3"/>
      <c r="BJ757" s="3"/>
      <c r="BK757" s="3"/>
      <c r="BL757" s="3"/>
      <c r="BM757" s="3"/>
      <c r="BN757" s="3"/>
      <c r="BO757" s="3"/>
    </row>
    <row r="758" spans="1:67" ht="15.75" customHeight="1" x14ac:dyDescent="0.2">
      <c r="A758" s="3"/>
      <c r="B758" s="3"/>
      <c r="C758" s="3"/>
      <c r="D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  <c r="BD758" s="3"/>
      <c r="BE758" s="3"/>
      <c r="BF758" s="3"/>
      <c r="BG758" s="3"/>
      <c r="BH758" s="3"/>
      <c r="BI758" s="3"/>
      <c r="BJ758" s="3"/>
      <c r="BK758" s="3"/>
      <c r="BL758" s="3"/>
      <c r="BM758" s="3"/>
      <c r="BN758" s="3"/>
      <c r="BO758" s="3"/>
    </row>
    <row r="759" spans="1:67" ht="15.75" customHeight="1" x14ac:dyDescent="0.2">
      <c r="A759" s="3"/>
      <c r="B759" s="3"/>
      <c r="C759" s="3"/>
      <c r="D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  <c r="BD759" s="3"/>
      <c r="BE759" s="3"/>
      <c r="BF759" s="3"/>
      <c r="BG759" s="3"/>
      <c r="BH759" s="3"/>
      <c r="BI759" s="3"/>
      <c r="BJ759" s="3"/>
      <c r="BK759" s="3"/>
      <c r="BL759" s="3"/>
      <c r="BM759" s="3"/>
      <c r="BN759" s="3"/>
      <c r="BO759" s="3"/>
    </row>
    <row r="760" spans="1:67" ht="15.75" customHeight="1" x14ac:dyDescent="0.2">
      <c r="A760" s="3"/>
      <c r="B760" s="3"/>
      <c r="C760" s="3"/>
      <c r="D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  <c r="BD760" s="3"/>
      <c r="BE760" s="3"/>
      <c r="BF760" s="3"/>
      <c r="BG760" s="3"/>
      <c r="BH760" s="3"/>
      <c r="BI760" s="3"/>
      <c r="BJ760" s="3"/>
      <c r="BK760" s="3"/>
      <c r="BL760" s="3"/>
      <c r="BM760" s="3"/>
      <c r="BN760" s="3"/>
      <c r="BO760" s="3"/>
    </row>
    <row r="761" spans="1:67" ht="15.75" customHeight="1" x14ac:dyDescent="0.2">
      <c r="A761" s="3"/>
      <c r="B761" s="3"/>
      <c r="C761" s="3"/>
      <c r="D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  <c r="BD761" s="3"/>
      <c r="BE761" s="3"/>
      <c r="BF761" s="3"/>
      <c r="BG761" s="3"/>
      <c r="BH761" s="3"/>
      <c r="BI761" s="3"/>
      <c r="BJ761" s="3"/>
      <c r="BK761" s="3"/>
      <c r="BL761" s="3"/>
      <c r="BM761" s="3"/>
      <c r="BN761" s="3"/>
      <c r="BO761" s="3"/>
    </row>
    <row r="762" spans="1:67" ht="15.75" customHeight="1" x14ac:dyDescent="0.2">
      <c r="A762" s="3"/>
      <c r="B762" s="3"/>
      <c r="C762" s="3"/>
      <c r="D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  <c r="BD762" s="3"/>
      <c r="BE762" s="3"/>
      <c r="BF762" s="3"/>
      <c r="BG762" s="3"/>
      <c r="BH762" s="3"/>
      <c r="BI762" s="3"/>
      <c r="BJ762" s="3"/>
      <c r="BK762" s="3"/>
      <c r="BL762" s="3"/>
      <c r="BM762" s="3"/>
      <c r="BN762" s="3"/>
      <c r="BO762" s="3"/>
    </row>
    <row r="763" spans="1:67" ht="15.75" customHeight="1" x14ac:dyDescent="0.2">
      <c r="A763" s="3"/>
      <c r="B763" s="3"/>
      <c r="C763" s="3"/>
      <c r="D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  <c r="BD763" s="3"/>
      <c r="BE763" s="3"/>
      <c r="BF763" s="3"/>
      <c r="BG763" s="3"/>
      <c r="BH763" s="3"/>
      <c r="BI763" s="3"/>
      <c r="BJ763" s="3"/>
      <c r="BK763" s="3"/>
      <c r="BL763" s="3"/>
      <c r="BM763" s="3"/>
      <c r="BN763" s="3"/>
      <c r="BO763" s="3"/>
    </row>
    <row r="764" spans="1:67" ht="15.75" customHeight="1" x14ac:dyDescent="0.2">
      <c r="A764" s="3"/>
      <c r="B764" s="3"/>
      <c r="C764" s="3"/>
      <c r="D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  <c r="BD764" s="3"/>
      <c r="BE764" s="3"/>
      <c r="BF764" s="3"/>
      <c r="BG764" s="3"/>
      <c r="BH764" s="3"/>
      <c r="BI764" s="3"/>
      <c r="BJ764" s="3"/>
      <c r="BK764" s="3"/>
      <c r="BL764" s="3"/>
      <c r="BM764" s="3"/>
      <c r="BN764" s="3"/>
      <c r="BO764" s="3"/>
    </row>
    <row r="765" spans="1:67" ht="15.75" customHeight="1" x14ac:dyDescent="0.2">
      <c r="A765" s="3"/>
      <c r="B765" s="3"/>
      <c r="C765" s="3"/>
      <c r="D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  <c r="BD765" s="3"/>
      <c r="BE765" s="3"/>
      <c r="BF765" s="3"/>
      <c r="BG765" s="3"/>
      <c r="BH765" s="3"/>
      <c r="BI765" s="3"/>
      <c r="BJ765" s="3"/>
      <c r="BK765" s="3"/>
      <c r="BL765" s="3"/>
      <c r="BM765" s="3"/>
      <c r="BN765" s="3"/>
      <c r="BO765" s="3"/>
    </row>
    <row r="766" spans="1:67" ht="15.75" customHeight="1" x14ac:dyDescent="0.2">
      <c r="A766" s="3"/>
      <c r="B766" s="3"/>
      <c r="C766" s="3"/>
      <c r="D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  <c r="BD766" s="3"/>
      <c r="BE766" s="3"/>
      <c r="BF766" s="3"/>
      <c r="BG766" s="3"/>
      <c r="BH766" s="3"/>
      <c r="BI766" s="3"/>
      <c r="BJ766" s="3"/>
      <c r="BK766" s="3"/>
      <c r="BL766" s="3"/>
      <c r="BM766" s="3"/>
      <c r="BN766" s="3"/>
      <c r="BO766" s="3"/>
    </row>
    <row r="767" spans="1:67" ht="15.75" customHeight="1" x14ac:dyDescent="0.2">
      <c r="A767" s="3"/>
      <c r="B767" s="3"/>
      <c r="C767" s="3"/>
      <c r="D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  <c r="BD767" s="3"/>
      <c r="BE767" s="3"/>
      <c r="BF767" s="3"/>
      <c r="BG767" s="3"/>
      <c r="BH767" s="3"/>
      <c r="BI767" s="3"/>
      <c r="BJ767" s="3"/>
      <c r="BK767" s="3"/>
      <c r="BL767" s="3"/>
      <c r="BM767" s="3"/>
      <c r="BN767" s="3"/>
      <c r="BO767" s="3"/>
    </row>
    <row r="768" spans="1:67" ht="15.75" customHeight="1" x14ac:dyDescent="0.2">
      <c r="A768" s="3"/>
      <c r="B768" s="3"/>
      <c r="C768" s="3"/>
      <c r="D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  <c r="BD768" s="3"/>
      <c r="BE768" s="3"/>
      <c r="BF768" s="3"/>
      <c r="BG768" s="3"/>
      <c r="BH768" s="3"/>
      <c r="BI768" s="3"/>
      <c r="BJ768" s="3"/>
      <c r="BK768" s="3"/>
      <c r="BL768" s="3"/>
      <c r="BM768" s="3"/>
      <c r="BN768" s="3"/>
      <c r="BO768" s="3"/>
    </row>
    <row r="769" spans="1:67" ht="15.75" customHeight="1" x14ac:dyDescent="0.2">
      <c r="A769" s="3"/>
      <c r="B769" s="3"/>
      <c r="C769" s="3"/>
      <c r="D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  <c r="BD769" s="3"/>
      <c r="BE769" s="3"/>
      <c r="BF769" s="3"/>
      <c r="BG769" s="3"/>
      <c r="BH769" s="3"/>
      <c r="BI769" s="3"/>
      <c r="BJ769" s="3"/>
      <c r="BK769" s="3"/>
      <c r="BL769" s="3"/>
      <c r="BM769" s="3"/>
      <c r="BN769" s="3"/>
      <c r="BO769" s="3"/>
    </row>
    <row r="770" spans="1:67" ht="15.75" customHeight="1" x14ac:dyDescent="0.2">
      <c r="A770" s="3"/>
      <c r="B770" s="3"/>
      <c r="C770" s="3"/>
      <c r="D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  <c r="BC770" s="3"/>
      <c r="BD770" s="3"/>
      <c r="BE770" s="3"/>
      <c r="BF770" s="3"/>
      <c r="BG770" s="3"/>
      <c r="BH770" s="3"/>
      <c r="BI770" s="3"/>
      <c r="BJ770" s="3"/>
      <c r="BK770" s="3"/>
      <c r="BL770" s="3"/>
      <c r="BM770" s="3"/>
      <c r="BN770" s="3"/>
      <c r="BO770" s="3"/>
    </row>
    <row r="771" spans="1:67" ht="15.75" customHeight="1" x14ac:dyDescent="0.2">
      <c r="A771" s="3"/>
      <c r="B771" s="3"/>
      <c r="C771" s="3"/>
      <c r="D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  <c r="BC771" s="3"/>
      <c r="BD771" s="3"/>
      <c r="BE771" s="3"/>
      <c r="BF771" s="3"/>
      <c r="BG771" s="3"/>
      <c r="BH771" s="3"/>
      <c r="BI771" s="3"/>
      <c r="BJ771" s="3"/>
      <c r="BK771" s="3"/>
      <c r="BL771" s="3"/>
      <c r="BM771" s="3"/>
      <c r="BN771" s="3"/>
      <c r="BO771" s="3"/>
    </row>
    <row r="772" spans="1:67" ht="15.75" customHeight="1" x14ac:dyDescent="0.2">
      <c r="A772" s="3"/>
      <c r="B772" s="3"/>
      <c r="C772" s="3"/>
      <c r="D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  <c r="BD772" s="3"/>
      <c r="BE772" s="3"/>
      <c r="BF772" s="3"/>
      <c r="BG772" s="3"/>
      <c r="BH772" s="3"/>
      <c r="BI772" s="3"/>
      <c r="BJ772" s="3"/>
      <c r="BK772" s="3"/>
      <c r="BL772" s="3"/>
      <c r="BM772" s="3"/>
      <c r="BN772" s="3"/>
      <c r="BO772" s="3"/>
    </row>
    <row r="773" spans="1:67" ht="15.75" customHeight="1" x14ac:dyDescent="0.2">
      <c r="A773" s="3"/>
      <c r="B773" s="3"/>
      <c r="C773" s="3"/>
      <c r="D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  <c r="BD773" s="3"/>
      <c r="BE773" s="3"/>
      <c r="BF773" s="3"/>
      <c r="BG773" s="3"/>
      <c r="BH773" s="3"/>
      <c r="BI773" s="3"/>
      <c r="BJ773" s="3"/>
      <c r="BK773" s="3"/>
      <c r="BL773" s="3"/>
      <c r="BM773" s="3"/>
      <c r="BN773" s="3"/>
      <c r="BO773" s="3"/>
    </row>
    <row r="774" spans="1:67" ht="15.75" customHeight="1" x14ac:dyDescent="0.2">
      <c r="A774" s="3"/>
      <c r="B774" s="3"/>
      <c r="C774" s="3"/>
      <c r="D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  <c r="BD774" s="3"/>
      <c r="BE774" s="3"/>
      <c r="BF774" s="3"/>
      <c r="BG774" s="3"/>
      <c r="BH774" s="3"/>
      <c r="BI774" s="3"/>
      <c r="BJ774" s="3"/>
      <c r="BK774" s="3"/>
      <c r="BL774" s="3"/>
      <c r="BM774" s="3"/>
      <c r="BN774" s="3"/>
      <c r="BO774" s="3"/>
    </row>
    <row r="775" spans="1:67" ht="15.75" customHeight="1" x14ac:dyDescent="0.2">
      <c r="A775" s="3"/>
      <c r="B775" s="3"/>
      <c r="C775" s="3"/>
      <c r="D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  <c r="BD775" s="3"/>
      <c r="BE775" s="3"/>
      <c r="BF775" s="3"/>
      <c r="BG775" s="3"/>
      <c r="BH775" s="3"/>
      <c r="BI775" s="3"/>
      <c r="BJ775" s="3"/>
      <c r="BK775" s="3"/>
      <c r="BL775" s="3"/>
      <c r="BM775" s="3"/>
      <c r="BN775" s="3"/>
      <c r="BO775" s="3"/>
    </row>
    <row r="776" spans="1:67" ht="15.75" customHeight="1" x14ac:dyDescent="0.2">
      <c r="A776" s="3"/>
      <c r="B776" s="3"/>
      <c r="C776" s="3"/>
      <c r="D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  <c r="BD776" s="3"/>
      <c r="BE776" s="3"/>
      <c r="BF776" s="3"/>
      <c r="BG776" s="3"/>
      <c r="BH776" s="3"/>
      <c r="BI776" s="3"/>
      <c r="BJ776" s="3"/>
      <c r="BK776" s="3"/>
      <c r="BL776" s="3"/>
      <c r="BM776" s="3"/>
      <c r="BN776" s="3"/>
      <c r="BO776" s="3"/>
    </row>
    <row r="777" spans="1:67" ht="15.75" customHeight="1" x14ac:dyDescent="0.2">
      <c r="A777" s="3"/>
      <c r="B777" s="3"/>
      <c r="C777" s="3"/>
      <c r="D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  <c r="BD777" s="3"/>
      <c r="BE777" s="3"/>
      <c r="BF777" s="3"/>
      <c r="BG777" s="3"/>
      <c r="BH777" s="3"/>
      <c r="BI777" s="3"/>
      <c r="BJ777" s="3"/>
      <c r="BK777" s="3"/>
      <c r="BL777" s="3"/>
      <c r="BM777" s="3"/>
      <c r="BN777" s="3"/>
      <c r="BO777" s="3"/>
    </row>
    <row r="778" spans="1:67" ht="15.75" customHeight="1" x14ac:dyDescent="0.2">
      <c r="A778" s="3"/>
      <c r="B778" s="3"/>
      <c r="C778" s="3"/>
      <c r="D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  <c r="BD778" s="3"/>
      <c r="BE778" s="3"/>
      <c r="BF778" s="3"/>
      <c r="BG778" s="3"/>
      <c r="BH778" s="3"/>
      <c r="BI778" s="3"/>
      <c r="BJ778" s="3"/>
      <c r="BK778" s="3"/>
      <c r="BL778" s="3"/>
      <c r="BM778" s="3"/>
      <c r="BN778" s="3"/>
      <c r="BO778" s="3"/>
    </row>
    <row r="779" spans="1:67" ht="15.75" customHeight="1" x14ac:dyDescent="0.2">
      <c r="A779" s="3"/>
      <c r="B779" s="3"/>
      <c r="C779" s="3"/>
      <c r="D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  <c r="BD779" s="3"/>
      <c r="BE779" s="3"/>
      <c r="BF779" s="3"/>
      <c r="BG779" s="3"/>
      <c r="BH779" s="3"/>
      <c r="BI779" s="3"/>
      <c r="BJ779" s="3"/>
      <c r="BK779" s="3"/>
      <c r="BL779" s="3"/>
      <c r="BM779" s="3"/>
      <c r="BN779" s="3"/>
      <c r="BO779" s="3"/>
    </row>
    <row r="780" spans="1:67" ht="15.75" customHeight="1" x14ac:dyDescent="0.2">
      <c r="A780" s="3"/>
      <c r="B780" s="3"/>
      <c r="C780" s="3"/>
      <c r="D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  <c r="BD780" s="3"/>
      <c r="BE780" s="3"/>
      <c r="BF780" s="3"/>
      <c r="BG780" s="3"/>
      <c r="BH780" s="3"/>
      <c r="BI780" s="3"/>
      <c r="BJ780" s="3"/>
      <c r="BK780" s="3"/>
      <c r="BL780" s="3"/>
      <c r="BM780" s="3"/>
      <c r="BN780" s="3"/>
      <c r="BO780" s="3"/>
    </row>
    <row r="781" spans="1:67" ht="15.75" customHeight="1" x14ac:dyDescent="0.2">
      <c r="A781" s="3"/>
      <c r="B781" s="3"/>
      <c r="C781" s="3"/>
      <c r="D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  <c r="BD781" s="3"/>
      <c r="BE781" s="3"/>
      <c r="BF781" s="3"/>
      <c r="BG781" s="3"/>
      <c r="BH781" s="3"/>
      <c r="BI781" s="3"/>
      <c r="BJ781" s="3"/>
      <c r="BK781" s="3"/>
      <c r="BL781" s="3"/>
      <c r="BM781" s="3"/>
      <c r="BN781" s="3"/>
      <c r="BO781" s="3"/>
    </row>
    <row r="782" spans="1:67" ht="15.75" customHeight="1" x14ac:dyDescent="0.2">
      <c r="A782" s="3"/>
      <c r="B782" s="3"/>
      <c r="C782" s="3"/>
      <c r="D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  <c r="BD782" s="3"/>
      <c r="BE782" s="3"/>
      <c r="BF782" s="3"/>
      <c r="BG782" s="3"/>
      <c r="BH782" s="3"/>
      <c r="BI782" s="3"/>
      <c r="BJ782" s="3"/>
      <c r="BK782" s="3"/>
      <c r="BL782" s="3"/>
      <c r="BM782" s="3"/>
      <c r="BN782" s="3"/>
      <c r="BO782" s="3"/>
    </row>
    <row r="783" spans="1:67" ht="15.75" customHeight="1" x14ac:dyDescent="0.2">
      <c r="A783" s="3"/>
      <c r="B783" s="3"/>
      <c r="C783" s="3"/>
      <c r="D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  <c r="BD783" s="3"/>
      <c r="BE783" s="3"/>
      <c r="BF783" s="3"/>
      <c r="BG783" s="3"/>
      <c r="BH783" s="3"/>
      <c r="BI783" s="3"/>
      <c r="BJ783" s="3"/>
      <c r="BK783" s="3"/>
      <c r="BL783" s="3"/>
      <c r="BM783" s="3"/>
      <c r="BN783" s="3"/>
      <c r="BO783" s="3"/>
    </row>
    <row r="784" spans="1:67" ht="15.75" customHeight="1" x14ac:dyDescent="0.2">
      <c r="A784" s="3"/>
      <c r="B784" s="3"/>
      <c r="C784" s="3"/>
      <c r="D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  <c r="BC784" s="3"/>
      <c r="BD784" s="3"/>
      <c r="BE784" s="3"/>
      <c r="BF784" s="3"/>
      <c r="BG784" s="3"/>
      <c r="BH784" s="3"/>
      <c r="BI784" s="3"/>
      <c r="BJ784" s="3"/>
      <c r="BK784" s="3"/>
      <c r="BL784" s="3"/>
      <c r="BM784" s="3"/>
      <c r="BN784" s="3"/>
      <c r="BO784" s="3"/>
    </row>
    <row r="785" spans="1:67" ht="15.75" customHeight="1" x14ac:dyDescent="0.2">
      <c r="A785" s="3"/>
      <c r="B785" s="3"/>
      <c r="C785" s="3"/>
      <c r="D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  <c r="BC785" s="3"/>
      <c r="BD785" s="3"/>
      <c r="BE785" s="3"/>
      <c r="BF785" s="3"/>
      <c r="BG785" s="3"/>
      <c r="BH785" s="3"/>
      <c r="BI785" s="3"/>
      <c r="BJ785" s="3"/>
      <c r="BK785" s="3"/>
      <c r="BL785" s="3"/>
      <c r="BM785" s="3"/>
      <c r="BN785" s="3"/>
      <c r="BO785" s="3"/>
    </row>
    <row r="786" spans="1:67" ht="15.75" customHeight="1" x14ac:dyDescent="0.2">
      <c r="A786" s="3"/>
      <c r="B786" s="3"/>
      <c r="C786" s="3"/>
      <c r="D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  <c r="BD786" s="3"/>
      <c r="BE786" s="3"/>
      <c r="BF786" s="3"/>
      <c r="BG786" s="3"/>
      <c r="BH786" s="3"/>
      <c r="BI786" s="3"/>
      <c r="BJ786" s="3"/>
      <c r="BK786" s="3"/>
      <c r="BL786" s="3"/>
      <c r="BM786" s="3"/>
      <c r="BN786" s="3"/>
      <c r="BO786" s="3"/>
    </row>
    <row r="787" spans="1:67" ht="15.75" customHeight="1" x14ac:dyDescent="0.2">
      <c r="A787" s="3"/>
      <c r="B787" s="3"/>
      <c r="C787" s="3"/>
      <c r="D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  <c r="BD787" s="3"/>
      <c r="BE787" s="3"/>
      <c r="BF787" s="3"/>
      <c r="BG787" s="3"/>
      <c r="BH787" s="3"/>
      <c r="BI787" s="3"/>
      <c r="BJ787" s="3"/>
      <c r="BK787" s="3"/>
      <c r="BL787" s="3"/>
      <c r="BM787" s="3"/>
      <c r="BN787" s="3"/>
      <c r="BO787" s="3"/>
    </row>
    <row r="788" spans="1:67" ht="15.75" customHeight="1" x14ac:dyDescent="0.2">
      <c r="A788" s="3"/>
      <c r="B788" s="3"/>
      <c r="C788" s="3"/>
      <c r="D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  <c r="BD788" s="3"/>
      <c r="BE788" s="3"/>
      <c r="BF788" s="3"/>
      <c r="BG788" s="3"/>
      <c r="BH788" s="3"/>
      <c r="BI788" s="3"/>
      <c r="BJ788" s="3"/>
      <c r="BK788" s="3"/>
      <c r="BL788" s="3"/>
      <c r="BM788" s="3"/>
      <c r="BN788" s="3"/>
      <c r="BO788" s="3"/>
    </row>
    <row r="789" spans="1:67" ht="15.75" customHeight="1" x14ac:dyDescent="0.2">
      <c r="A789" s="3"/>
      <c r="B789" s="3"/>
      <c r="C789" s="3"/>
      <c r="D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  <c r="BD789" s="3"/>
      <c r="BE789" s="3"/>
      <c r="BF789" s="3"/>
      <c r="BG789" s="3"/>
      <c r="BH789" s="3"/>
      <c r="BI789" s="3"/>
      <c r="BJ789" s="3"/>
      <c r="BK789" s="3"/>
      <c r="BL789" s="3"/>
      <c r="BM789" s="3"/>
      <c r="BN789" s="3"/>
      <c r="BO789" s="3"/>
    </row>
    <row r="790" spans="1:67" ht="15.75" customHeight="1" x14ac:dyDescent="0.2">
      <c r="A790" s="3"/>
      <c r="B790" s="3"/>
      <c r="C790" s="3"/>
      <c r="D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  <c r="BD790" s="3"/>
      <c r="BE790" s="3"/>
      <c r="BF790" s="3"/>
      <c r="BG790" s="3"/>
      <c r="BH790" s="3"/>
      <c r="BI790" s="3"/>
      <c r="BJ790" s="3"/>
      <c r="BK790" s="3"/>
      <c r="BL790" s="3"/>
      <c r="BM790" s="3"/>
      <c r="BN790" s="3"/>
      <c r="BO790" s="3"/>
    </row>
    <row r="791" spans="1:67" ht="15.75" customHeight="1" x14ac:dyDescent="0.2">
      <c r="A791" s="3"/>
      <c r="B791" s="3"/>
      <c r="C791" s="3"/>
      <c r="D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  <c r="BD791" s="3"/>
      <c r="BE791" s="3"/>
      <c r="BF791" s="3"/>
      <c r="BG791" s="3"/>
      <c r="BH791" s="3"/>
      <c r="BI791" s="3"/>
      <c r="BJ791" s="3"/>
      <c r="BK791" s="3"/>
      <c r="BL791" s="3"/>
      <c r="BM791" s="3"/>
      <c r="BN791" s="3"/>
      <c r="BO791" s="3"/>
    </row>
    <row r="792" spans="1:67" ht="15.75" customHeight="1" x14ac:dyDescent="0.2">
      <c r="A792" s="3"/>
      <c r="B792" s="3"/>
      <c r="C792" s="3"/>
      <c r="D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  <c r="BD792" s="3"/>
      <c r="BE792" s="3"/>
      <c r="BF792" s="3"/>
      <c r="BG792" s="3"/>
      <c r="BH792" s="3"/>
      <c r="BI792" s="3"/>
      <c r="BJ792" s="3"/>
      <c r="BK792" s="3"/>
      <c r="BL792" s="3"/>
      <c r="BM792" s="3"/>
      <c r="BN792" s="3"/>
      <c r="BO792" s="3"/>
    </row>
    <row r="793" spans="1:67" ht="15.75" customHeight="1" x14ac:dyDescent="0.2">
      <c r="A793" s="3"/>
      <c r="B793" s="3"/>
      <c r="C793" s="3"/>
      <c r="D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  <c r="BD793" s="3"/>
      <c r="BE793" s="3"/>
      <c r="BF793" s="3"/>
      <c r="BG793" s="3"/>
      <c r="BH793" s="3"/>
      <c r="BI793" s="3"/>
      <c r="BJ793" s="3"/>
      <c r="BK793" s="3"/>
      <c r="BL793" s="3"/>
      <c r="BM793" s="3"/>
      <c r="BN793" s="3"/>
      <c r="BO793" s="3"/>
    </row>
    <row r="794" spans="1:67" ht="15.75" customHeight="1" x14ac:dyDescent="0.2">
      <c r="A794" s="3"/>
      <c r="B794" s="3"/>
      <c r="C794" s="3"/>
      <c r="D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  <c r="BD794" s="3"/>
      <c r="BE794" s="3"/>
      <c r="BF794" s="3"/>
      <c r="BG794" s="3"/>
      <c r="BH794" s="3"/>
      <c r="BI794" s="3"/>
      <c r="BJ794" s="3"/>
      <c r="BK794" s="3"/>
      <c r="BL794" s="3"/>
      <c r="BM794" s="3"/>
      <c r="BN794" s="3"/>
      <c r="BO794" s="3"/>
    </row>
    <row r="795" spans="1:67" ht="15.75" customHeight="1" x14ac:dyDescent="0.2">
      <c r="A795" s="3"/>
      <c r="B795" s="3"/>
      <c r="C795" s="3"/>
      <c r="D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  <c r="BD795" s="3"/>
      <c r="BE795" s="3"/>
      <c r="BF795" s="3"/>
      <c r="BG795" s="3"/>
      <c r="BH795" s="3"/>
      <c r="BI795" s="3"/>
      <c r="BJ795" s="3"/>
      <c r="BK795" s="3"/>
      <c r="BL795" s="3"/>
      <c r="BM795" s="3"/>
      <c r="BN795" s="3"/>
      <c r="BO795" s="3"/>
    </row>
    <row r="796" spans="1:67" ht="15.75" customHeight="1" x14ac:dyDescent="0.2">
      <c r="A796" s="3"/>
      <c r="B796" s="3"/>
      <c r="C796" s="3"/>
      <c r="D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  <c r="BD796" s="3"/>
      <c r="BE796" s="3"/>
      <c r="BF796" s="3"/>
      <c r="BG796" s="3"/>
      <c r="BH796" s="3"/>
      <c r="BI796" s="3"/>
      <c r="BJ796" s="3"/>
      <c r="BK796" s="3"/>
      <c r="BL796" s="3"/>
      <c r="BM796" s="3"/>
      <c r="BN796" s="3"/>
      <c r="BO796" s="3"/>
    </row>
    <row r="797" spans="1:67" ht="15.75" customHeight="1" x14ac:dyDescent="0.2">
      <c r="A797" s="3"/>
      <c r="B797" s="3"/>
      <c r="C797" s="3"/>
      <c r="D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  <c r="BD797" s="3"/>
      <c r="BE797" s="3"/>
      <c r="BF797" s="3"/>
      <c r="BG797" s="3"/>
      <c r="BH797" s="3"/>
      <c r="BI797" s="3"/>
      <c r="BJ797" s="3"/>
      <c r="BK797" s="3"/>
      <c r="BL797" s="3"/>
      <c r="BM797" s="3"/>
      <c r="BN797" s="3"/>
      <c r="BO797" s="3"/>
    </row>
    <row r="798" spans="1:67" ht="15.75" customHeight="1" x14ac:dyDescent="0.2">
      <c r="A798" s="3"/>
      <c r="B798" s="3"/>
      <c r="C798" s="3"/>
      <c r="D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  <c r="AY798" s="3"/>
      <c r="AZ798" s="3"/>
      <c r="BA798" s="3"/>
      <c r="BB798" s="3"/>
      <c r="BC798" s="3"/>
      <c r="BD798" s="3"/>
      <c r="BE798" s="3"/>
      <c r="BF798" s="3"/>
      <c r="BG798" s="3"/>
      <c r="BH798" s="3"/>
      <c r="BI798" s="3"/>
      <c r="BJ798" s="3"/>
      <c r="BK798" s="3"/>
      <c r="BL798" s="3"/>
      <c r="BM798" s="3"/>
      <c r="BN798" s="3"/>
      <c r="BO798" s="3"/>
    </row>
    <row r="799" spans="1:67" ht="15.75" customHeight="1" x14ac:dyDescent="0.2">
      <c r="A799" s="3"/>
      <c r="B799" s="3"/>
      <c r="C799" s="3"/>
      <c r="D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  <c r="AY799" s="3"/>
      <c r="AZ799" s="3"/>
      <c r="BA799" s="3"/>
      <c r="BB799" s="3"/>
      <c r="BC799" s="3"/>
      <c r="BD799" s="3"/>
      <c r="BE799" s="3"/>
      <c r="BF799" s="3"/>
      <c r="BG799" s="3"/>
      <c r="BH799" s="3"/>
      <c r="BI799" s="3"/>
      <c r="BJ799" s="3"/>
      <c r="BK799" s="3"/>
      <c r="BL799" s="3"/>
      <c r="BM799" s="3"/>
      <c r="BN799" s="3"/>
      <c r="BO799" s="3"/>
    </row>
    <row r="800" spans="1:67" ht="15.75" customHeight="1" x14ac:dyDescent="0.2">
      <c r="A800" s="3"/>
      <c r="B800" s="3"/>
      <c r="C800" s="3"/>
      <c r="D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  <c r="BD800" s="3"/>
      <c r="BE800" s="3"/>
      <c r="BF800" s="3"/>
      <c r="BG800" s="3"/>
      <c r="BH800" s="3"/>
      <c r="BI800" s="3"/>
      <c r="BJ800" s="3"/>
      <c r="BK800" s="3"/>
      <c r="BL800" s="3"/>
      <c r="BM800" s="3"/>
      <c r="BN800" s="3"/>
      <c r="BO800" s="3"/>
    </row>
    <row r="801" spans="1:67" ht="15.75" customHeight="1" x14ac:dyDescent="0.2">
      <c r="A801" s="3"/>
      <c r="B801" s="3"/>
      <c r="C801" s="3"/>
      <c r="D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  <c r="BD801" s="3"/>
      <c r="BE801" s="3"/>
      <c r="BF801" s="3"/>
      <c r="BG801" s="3"/>
      <c r="BH801" s="3"/>
      <c r="BI801" s="3"/>
      <c r="BJ801" s="3"/>
      <c r="BK801" s="3"/>
      <c r="BL801" s="3"/>
      <c r="BM801" s="3"/>
      <c r="BN801" s="3"/>
      <c r="BO801" s="3"/>
    </row>
    <row r="802" spans="1:67" ht="15.75" customHeight="1" x14ac:dyDescent="0.2">
      <c r="A802" s="3"/>
      <c r="B802" s="3"/>
      <c r="C802" s="3"/>
      <c r="D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  <c r="BD802" s="3"/>
      <c r="BE802" s="3"/>
      <c r="BF802" s="3"/>
      <c r="BG802" s="3"/>
      <c r="BH802" s="3"/>
      <c r="BI802" s="3"/>
      <c r="BJ802" s="3"/>
      <c r="BK802" s="3"/>
      <c r="BL802" s="3"/>
      <c r="BM802" s="3"/>
      <c r="BN802" s="3"/>
      <c r="BO802" s="3"/>
    </row>
    <row r="803" spans="1:67" ht="15.75" customHeight="1" x14ac:dyDescent="0.2">
      <c r="A803" s="3"/>
      <c r="B803" s="3"/>
      <c r="C803" s="3"/>
      <c r="D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  <c r="BD803" s="3"/>
      <c r="BE803" s="3"/>
      <c r="BF803" s="3"/>
      <c r="BG803" s="3"/>
      <c r="BH803" s="3"/>
      <c r="BI803" s="3"/>
      <c r="BJ803" s="3"/>
      <c r="BK803" s="3"/>
      <c r="BL803" s="3"/>
      <c r="BM803" s="3"/>
      <c r="BN803" s="3"/>
      <c r="BO803" s="3"/>
    </row>
    <row r="804" spans="1:67" ht="15.75" customHeight="1" x14ac:dyDescent="0.2">
      <c r="A804" s="3"/>
      <c r="B804" s="3"/>
      <c r="C804" s="3"/>
      <c r="D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  <c r="BD804" s="3"/>
      <c r="BE804" s="3"/>
      <c r="BF804" s="3"/>
      <c r="BG804" s="3"/>
      <c r="BH804" s="3"/>
      <c r="BI804" s="3"/>
      <c r="BJ804" s="3"/>
      <c r="BK804" s="3"/>
      <c r="BL804" s="3"/>
      <c r="BM804" s="3"/>
      <c r="BN804" s="3"/>
      <c r="BO804" s="3"/>
    </row>
    <row r="805" spans="1:67" ht="15.75" customHeight="1" x14ac:dyDescent="0.2">
      <c r="A805" s="3"/>
      <c r="B805" s="3"/>
      <c r="C805" s="3"/>
      <c r="D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  <c r="BK805" s="3"/>
      <c r="BL805" s="3"/>
      <c r="BM805" s="3"/>
      <c r="BN805" s="3"/>
      <c r="BO805" s="3"/>
    </row>
    <row r="806" spans="1:67" ht="15.75" customHeight="1" x14ac:dyDescent="0.2">
      <c r="A806" s="3"/>
      <c r="B806" s="3"/>
      <c r="C806" s="3"/>
      <c r="D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  <c r="BK806" s="3"/>
      <c r="BL806" s="3"/>
      <c r="BM806" s="3"/>
      <c r="BN806" s="3"/>
      <c r="BO806" s="3"/>
    </row>
    <row r="807" spans="1:67" ht="15.75" customHeight="1" x14ac:dyDescent="0.2">
      <c r="A807" s="3"/>
      <c r="B807" s="3"/>
      <c r="C807" s="3"/>
      <c r="D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  <c r="BK807" s="3"/>
      <c r="BL807" s="3"/>
      <c r="BM807" s="3"/>
      <c r="BN807" s="3"/>
      <c r="BO807" s="3"/>
    </row>
    <row r="808" spans="1:67" ht="15.75" customHeight="1" x14ac:dyDescent="0.2">
      <c r="A808" s="3"/>
      <c r="B808" s="3"/>
      <c r="C808" s="3"/>
      <c r="D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  <c r="BK808" s="3"/>
      <c r="BL808" s="3"/>
      <c r="BM808" s="3"/>
      <c r="BN808" s="3"/>
      <c r="BO808" s="3"/>
    </row>
    <row r="809" spans="1:67" ht="15.75" customHeight="1" x14ac:dyDescent="0.2">
      <c r="A809" s="3"/>
      <c r="B809" s="3"/>
      <c r="C809" s="3"/>
      <c r="D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  <c r="BK809" s="3"/>
      <c r="BL809" s="3"/>
      <c r="BM809" s="3"/>
      <c r="BN809" s="3"/>
      <c r="BO809" s="3"/>
    </row>
    <row r="810" spans="1:67" ht="15.75" customHeight="1" x14ac:dyDescent="0.2">
      <c r="A810" s="3"/>
      <c r="B810" s="3"/>
      <c r="C810" s="3"/>
      <c r="D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  <c r="BK810" s="3"/>
      <c r="BL810" s="3"/>
      <c r="BM810" s="3"/>
      <c r="BN810" s="3"/>
      <c r="BO810" s="3"/>
    </row>
    <row r="811" spans="1:67" ht="15.75" customHeight="1" x14ac:dyDescent="0.2">
      <c r="A811" s="3"/>
      <c r="B811" s="3"/>
      <c r="C811" s="3"/>
      <c r="D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  <c r="BK811" s="3"/>
      <c r="BL811" s="3"/>
      <c r="BM811" s="3"/>
      <c r="BN811" s="3"/>
      <c r="BO811" s="3"/>
    </row>
    <row r="812" spans="1:67" ht="15.75" customHeight="1" x14ac:dyDescent="0.2">
      <c r="A812" s="3"/>
      <c r="B812" s="3"/>
      <c r="C812" s="3"/>
      <c r="D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  <c r="BK812" s="3"/>
      <c r="BL812" s="3"/>
      <c r="BM812" s="3"/>
      <c r="BN812" s="3"/>
      <c r="BO812" s="3"/>
    </row>
    <row r="813" spans="1:67" ht="15.75" customHeight="1" x14ac:dyDescent="0.2">
      <c r="A813" s="3"/>
      <c r="B813" s="3"/>
      <c r="C813" s="3"/>
      <c r="D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  <c r="BK813" s="3"/>
      <c r="BL813" s="3"/>
      <c r="BM813" s="3"/>
      <c r="BN813" s="3"/>
      <c r="BO813" s="3"/>
    </row>
    <row r="814" spans="1:67" ht="15.75" customHeight="1" x14ac:dyDescent="0.2">
      <c r="A814" s="3"/>
      <c r="B814" s="3"/>
      <c r="C814" s="3"/>
      <c r="D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  <c r="BK814" s="3"/>
      <c r="BL814" s="3"/>
      <c r="BM814" s="3"/>
      <c r="BN814" s="3"/>
      <c r="BO814" s="3"/>
    </row>
    <row r="815" spans="1:67" ht="15.75" customHeight="1" x14ac:dyDescent="0.2">
      <c r="A815" s="3"/>
      <c r="B815" s="3"/>
      <c r="C815" s="3"/>
      <c r="D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  <c r="BK815" s="3"/>
      <c r="BL815" s="3"/>
      <c r="BM815" s="3"/>
      <c r="BN815" s="3"/>
      <c r="BO815" s="3"/>
    </row>
    <row r="816" spans="1:67" ht="15.75" customHeight="1" x14ac:dyDescent="0.2">
      <c r="A816" s="3"/>
      <c r="B816" s="3"/>
      <c r="C816" s="3"/>
      <c r="D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  <c r="BK816" s="3"/>
      <c r="BL816" s="3"/>
      <c r="BM816" s="3"/>
      <c r="BN816" s="3"/>
      <c r="BO816" s="3"/>
    </row>
    <row r="817" spans="1:67" ht="15.75" customHeight="1" x14ac:dyDescent="0.2">
      <c r="A817" s="3"/>
      <c r="B817" s="3"/>
      <c r="C817" s="3"/>
      <c r="D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  <c r="BK817" s="3"/>
      <c r="BL817" s="3"/>
      <c r="BM817" s="3"/>
      <c r="BN817" s="3"/>
      <c r="BO817" s="3"/>
    </row>
    <row r="818" spans="1:67" ht="15.75" customHeight="1" x14ac:dyDescent="0.2">
      <c r="A818" s="3"/>
      <c r="B818" s="3"/>
      <c r="C818" s="3"/>
      <c r="D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  <c r="BK818" s="3"/>
      <c r="BL818" s="3"/>
      <c r="BM818" s="3"/>
      <c r="BN818" s="3"/>
      <c r="BO818" s="3"/>
    </row>
    <row r="819" spans="1:67" ht="15.75" customHeight="1" x14ac:dyDescent="0.2">
      <c r="A819" s="3"/>
      <c r="B819" s="3"/>
      <c r="C819" s="3"/>
      <c r="D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  <c r="BK819" s="3"/>
      <c r="BL819" s="3"/>
      <c r="BM819" s="3"/>
      <c r="BN819" s="3"/>
      <c r="BO819" s="3"/>
    </row>
    <row r="820" spans="1:67" ht="15.75" customHeight="1" x14ac:dyDescent="0.2">
      <c r="A820" s="3"/>
      <c r="B820" s="3"/>
      <c r="C820" s="3"/>
      <c r="D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  <c r="BK820" s="3"/>
      <c r="BL820" s="3"/>
      <c r="BM820" s="3"/>
      <c r="BN820" s="3"/>
      <c r="BO820" s="3"/>
    </row>
    <row r="821" spans="1:67" ht="15.75" customHeight="1" x14ac:dyDescent="0.2">
      <c r="A821" s="3"/>
      <c r="B821" s="3"/>
      <c r="C821" s="3"/>
      <c r="D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  <c r="BK821" s="3"/>
      <c r="BL821" s="3"/>
      <c r="BM821" s="3"/>
      <c r="BN821" s="3"/>
      <c r="BO821" s="3"/>
    </row>
    <row r="822" spans="1:67" ht="15.75" customHeight="1" x14ac:dyDescent="0.2">
      <c r="A822" s="3"/>
      <c r="B822" s="3"/>
      <c r="C822" s="3"/>
      <c r="D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  <c r="BK822" s="3"/>
      <c r="BL822" s="3"/>
      <c r="BM822" s="3"/>
      <c r="BN822" s="3"/>
      <c r="BO822" s="3"/>
    </row>
    <row r="823" spans="1:67" ht="15.75" customHeight="1" x14ac:dyDescent="0.2">
      <c r="A823" s="3"/>
      <c r="B823" s="3"/>
      <c r="C823" s="3"/>
      <c r="D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  <c r="BK823" s="3"/>
      <c r="BL823" s="3"/>
      <c r="BM823" s="3"/>
      <c r="BN823" s="3"/>
      <c r="BO823" s="3"/>
    </row>
    <row r="824" spans="1:67" ht="15.75" customHeight="1" x14ac:dyDescent="0.2">
      <c r="A824" s="3"/>
      <c r="B824" s="3"/>
      <c r="C824" s="3"/>
      <c r="D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  <c r="BK824" s="3"/>
      <c r="BL824" s="3"/>
      <c r="BM824" s="3"/>
      <c r="BN824" s="3"/>
      <c r="BO824" s="3"/>
    </row>
    <row r="825" spans="1:67" ht="15.75" customHeight="1" x14ac:dyDescent="0.2">
      <c r="A825" s="3"/>
      <c r="B825" s="3"/>
      <c r="C825" s="3"/>
      <c r="D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  <c r="BK825" s="3"/>
      <c r="BL825" s="3"/>
      <c r="BM825" s="3"/>
      <c r="BN825" s="3"/>
      <c r="BO825" s="3"/>
    </row>
    <row r="826" spans="1:67" ht="15.75" customHeight="1" x14ac:dyDescent="0.2">
      <c r="A826" s="3"/>
      <c r="B826" s="3"/>
      <c r="C826" s="3"/>
      <c r="D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  <c r="BK826" s="3"/>
      <c r="BL826" s="3"/>
      <c r="BM826" s="3"/>
      <c r="BN826" s="3"/>
      <c r="BO826" s="3"/>
    </row>
    <row r="827" spans="1:67" ht="15.75" customHeight="1" x14ac:dyDescent="0.2">
      <c r="A827" s="3"/>
      <c r="B827" s="3"/>
      <c r="C827" s="3"/>
      <c r="D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  <c r="BK827" s="3"/>
      <c r="BL827" s="3"/>
      <c r="BM827" s="3"/>
      <c r="BN827" s="3"/>
      <c r="BO827" s="3"/>
    </row>
    <row r="828" spans="1:67" ht="15.75" customHeight="1" x14ac:dyDescent="0.2">
      <c r="A828" s="3"/>
      <c r="B828" s="3"/>
      <c r="C828" s="3"/>
      <c r="D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  <c r="BK828" s="3"/>
      <c r="BL828" s="3"/>
      <c r="BM828" s="3"/>
      <c r="BN828" s="3"/>
      <c r="BO828" s="3"/>
    </row>
    <row r="829" spans="1:67" ht="15.75" customHeight="1" x14ac:dyDescent="0.2">
      <c r="A829" s="3"/>
      <c r="B829" s="3"/>
      <c r="C829" s="3"/>
      <c r="D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  <c r="BK829" s="3"/>
      <c r="BL829" s="3"/>
      <c r="BM829" s="3"/>
      <c r="BN829" s="3"/>
      <c r="BO829" s="3"/>
    </row>
    <row r="830" spans="1:67" ht="15.75" customHeight="1" x14ac:dyDescent="0.2">
      <c r="A830" s="3"/>
      <c r="B830" s="3"/>
      <c r="C830" s="3"/>
      <c r="D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  <c r="BK830" s="3"/>
      <c r="BL830" s="3"/>
      <c r="BM830" s="3"/>
      <c r="BN830" s="3"/>
      <c r="BO830" s="3"/>
    </row>
    <row r="831" spans="1:67" ht="15.75" customHeight="1" x14ac:dyDescent="0.2">
      <c r="A831" s="3"/>
      <c r="B831" s="3"/>
      <c r="C831" s="3"/>
      <c r="D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  <c r="BK831" s="3"/>
      <c r="BL831" s="3"/>
      <c r="BM831" s="3"/>
      <c r="BN831" s="3"/>
      <c r="BO831" s="3"/>
    </row>
    <row r="832" spans="1:67" ht="15.75" customHeight="1" x14ac:dyDescent="0.2">
      <c r="A832" s="3"/>
      <c r="B832" s="3"/>
      <c r="C832" s="3"/>
      <c r="D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  <c r="BK832" s="3"/>
      <c r="BL832" s="3"/>
      <c r="BM832" s="3"/>
      <c r="BN832" s="3"/>
      <c r="BO832" s="3"/>
    </row>
    <row r="833" spans="1:67" ht="15.75" customHeight="1" x14ac:dyDescent="0.2">
      <c r="A833" s="3"/>
      <c r="B833" s="3"/>
      <c r="C833" s="3"/>
      <c r="D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  <c r="BK833" s="3"/>
      <c r="BL833" s="3"/>
      <c r="BM833" s="3"/>
      <c r="BN833" s="3"/>
      <c r="BO833" s="3"/>
    </row>
    <row r="834" spans="1:67" ht="15.75" customHeight="1" x14ac:dyDescent="0.2">
      <c r="A834" s="3"/>
      <c r="B834" s="3"/>
      <c r="C834" s="3"/>
      <c r="D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  <c r="BK834" s="3"/>
      <c r="BL834" s="3"/>
      <c r="BM834" s="3"/>
      <c r="BN834" s="3"/>
      <c r="BO834" s="3"/>
    </row>
    <row r="835" spans="1:67" ht="15.75" customHeight="1" x14ac:dyDescent="0.2">
      <c r="A835" s="3"/>
      <c r="B835" s="3"/>
      <c r="C835" s="3"/>
      <c r="D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  <c r="BK835" s="3"/>
      <c r="BL835" s="3"/>
      <c r="BM835" s="3"/>
      <c r="BN835" s="3"/>
      <c r="BO835" s="3"/>
    </row>
    <row r="836" spans="1:67" ht="15.75" customHeight="1" x14ac:dyDescent="0.2">
      <c r="A836" s="3"/>
      <c r="B836" s="3"/>
      <c r="C836" s="3"/>
      <c r="D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  <c r="BK836" s="3"/>
      <c r="BL836" s="3"/>
      <c r="BM836" s="3"/>
      <c r="BN836" s="3"/>
      <c r="BO836" s="3"/>
    </row>
    <row r="837" spans="1:67" ht="15.75" customHeight="1" x14ac:dyDescent="0.2">
      <c r="A837" s="3"/>
      <c r="B837" s="3"/>
      <c r="C837" s="3"/>
      <c r="D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  <c r="BK837" s="3"/>
      <c r="BL837" s="3"/>
      <c r="BM837" s="3"/>
      <c r="BN837" s="3"/>
      <c r="BO837" s="3"/>
    </row>
    <row r="838" spans="1:67" ht="15.75" customHeight="1" x14ac:dyDescent="0.2">
      <c r="A838" s="3"/>
      <c r="B838" s="3"/>
      <c r="C838" s="3"/>
      <c r="D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  <c r="BK838" s="3"/>
      <c r="BL838" s="3"/>
      <c r="BM838" s="3"/>
      <c r="BN838" s="3"/>
      <c r="BO838" s="3"/>
    </row>
    <row r="839" spans="1:67" ht="15.75" customHeight="1" x14ac:dyDescent="0.2">
      <c r="A839" s="3"/>
      <c r="B839" s="3"/>
      <c r="C839" s="3"/>
      <c r="D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  <c r="BK839" s="3"/>
      <c r="BL839" s="3"/>
      <c r="BM839" s="3"/>
      <c r="BN839" s="3"/>
      <c r="BO839" s="3"/>
    </row>
    <row r="840" spans="1:67" ht="15.75" customHeight="1" x14ac:dyDescent="0.2">
      <c r="A840" s="3"/>
      <c r="B840" s="3"/>
      <c r="C840" s="3"/>
      <c r="D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  <c r="BK840" s="3"/>
      <c r="BL840" s="3"/>
      <c r="BM840" s="3"/>
      <c r="BN840" s="3"/>
      <c r="BO840" s="3"/>
    </row>
    <row r="841" spans="1:67" ht="15.75" customHeight="1" x14ac:dyDescent="0.2">
      <c r="A841" s="3"/>
      <c r="B841" s="3"/>
      <c r="C841" s="3"/>
      <c r="D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  <c r="BK841" s="3"/>
      <c r="BL841" s="3"/>
      <c r="BM841" s="3"/>
      <c r="BN841" s="3"/>
      <c r="BO841" s="3"/>
    </row>
    <row r="842" spans="1:67" ht="15.75" customHeight="1" x14ac:dyDescent="0.2">
      <c r="A842" s="3"/>
      <c r="B842" s="3"/>
      <c r="C842" s="3"/>
      <c r="D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  <c r="BK842" s="3"/>
      <c r="BL842" s="3"/>
      <c r="BM842" s="3"/>
      <c r="BN842" s="3"/>
      <c r="BO842" s="3"/>
    </row>
    <row r="843" spans="1:67" ht="15.75" customHeight="1" x14ac:dyDescent="0.2">
      <c r="A843" s="3"/>
      <c r="B843" s="3"/>
      <c r="C843" s="3"/>
      <c r="D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  <c r="BK843" s="3"/>
      <c r="BL843" s="3"/>
      <c r="BM843" s="3"/>
      <c r="BN843" s="3"/>
      <c r="BO843" s="3"/>
    </row>
    <row r="844" spans="1:67" ht="15.75" customHeight="1" x14ac:dyDescent="0.2">
      <c r="A844" s="3"/>
      <c r="B844" s="3"/>
      <c r="C844" s="3"/>
      <c r="D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  <c r="BK844" s="3"/>
      <c r="BL844" s="3"/>
      <c r="BM844" s="3"/>
      <c r="BN844" s="3"/>
      <c r="BO844" s="3"/>
    </row>
    <row r="845" spans="1:67" ht="15.75" customHeight="1" x14ac:dyDescent="0.2">
      <c r="A845" s="3"/>
      <c r="B845" s="3"/>
      <c r="C845" s="3"/>
      <c r="D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  <c r="BK845" s="3"/>
      <c r="BL845" s="3"/>
      <c r="BM845" s="3"/>
      <c r="BN845" s="3"/>
      <c r="BO845" s="3"/>
    </row>
    <row r="846" spans="1:67" ht="15.75" customHeight="1" x14ac:dyDescent="0.2">
      <c r="A846" s="3"/>
      <c r="B846" s="3"/>
      <c r="C846" s="3"/>
      <c r="D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  <c r="BK846" s="3"/>
      <c r="BL846" s="3"/>
      <c r="BM846" s="3"/>
      <c r="BN846" s="3"/>
      <c r="BO846" s="3"/>
    </row>
    <row r="847" spans="1:67" ht="15.75" customHeight="1" x14ac:dyDescent="0.2">
      <c r="A847" s="3"/>
      <c r="B847" s="3"/>
      <c r="C847" s="3"/>
      <c r="D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  <c r="BK847" s="3"/>
      <c r="BL847" s="3"/>
      <c r="BM847" s="3"/>
      <c r="BN847" s="3"/>
      <c r="BO847" s="3"/>
    </row>
    <row r="848" spans="1:67" ht="15.75" customHeight="1" x14ac:dyDescent="0.2">
      <c r="A848" s="3"/>
      <c r="B848" s="3"/>
      <c r="C848" s="3"/>
      <c r="D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  <c r="BK848" s="3"/>
      <c r="BL848" s="3"/>
      <c r="BM848" s="3"/>
      <c r="BN848" s="3"/>
      <c r="BO848" s="3"/>
    </row>
    <row r="849" spans="1:67" ht="15.75" customHeight="1" x14ac:dyDescent="0.2">
      <c r="A849" s="3"/>
      <c r="B849" s="3"/>
      <c r="C849" s="3"/>
      <c r="D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  <c r="BK849" s="3"/>
      <c r="BL849" s="3"/>
      <c r="BM849" s="3"/>
      <c r="BN849" s="3"/>
      <c r="BO849" s="3"/>
    </row>
    <row r="850" spans="1:67" ht="15.75" customHeight="1" x14ac:dyDescent="0.2">
      <c r="A850" s="3"/>
      <c r="B850" s="3"/>
      <c r="C850" s="3"/>
      <c r="D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  <c r="BK850" s="3"/>
      <c r="BL850" s="3"/>
      <c r="BM850" s="3"/>
      <c r="BN850" s="3"/>
      <c r="BO850" s="3"/>
    </row>
    <row r="851" spans="1:67" ht="15.75" customHeight="1" x14ac:dyDescent="0.2">
      <c r="A851" s="3"/>
      <c r="B851" s="3"/>
      <c r="C851" s="3"/>
      <c r="D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  <c r="BK851" s="3"/>
      <c r="BL851" s="3"/>
      <c r="BM851" s="3"/>
      <c r="BN851" s="3"/>
      <c r="BO851" s="3"/>
    </row>
    <row r="852" spans="1:67" ht="15.75" customHeight="1" x14ac:dyDescent="0.2">
      <c r="A852" s="3"/>
      <c r="B852" s="3"/>
      <c r="C852" s="3"/>
      <c r="D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  <c r="BK852" s="3"/>
      <c r="BL852" s="3"/>
      <c r="BM852" s="3"/>
      <c r="BN852" s="3"/>
      <c r="BO852" s="3"/>
    </row>
    <row r="853" spans="1:67" ht="15.75" customHeight="1" x14ac:dyDescent="0.2">
      <c r="A853" s="3"/>
      <c r="B853" s="3"/>
      <c r="C853" s="3"/>
      <c r="D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  <c r="BK853" s="3"/>
      <c r="BL853" s="3"/>
      <c r="BM853" s="3"/>
      <c r="BN853" s="3"/>
      <c r="BO853" s="3"/>
    </row>
    <row r="854" spans="1:67" ht="15.75" customHeight="1" x14ac:dyDescent="0.2">
      <c r="A854" s="3"/>
      <c r="B854" s="3"/>
      <c r="C854" s="3"/>
      <c r="D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  <c r="BK854" s="3"/>
      <c r="BL854" s="3"/>
      <c r="BM854" s="3"/>
      <c r="BN854" s="3"/>
      <c r="BO854" s="3"/>
    </row>
    <row r="855" spans="1:67" ht="15.75" customHeight="1" x14ac:dyDescent="0.2">
      <c r="A855" s="3"/>
      <c r="B855" s="3"/>
      <c r="C855" s="3"/>
      <c r="D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  <c r="BK855" s="3"/>
      <c r="BL855" s="3"/>
      <c r="BM855" s="3"/>
      <c r="BN855" s="3"/>
      <c r="BO855" s="3"/>
    </row>
    <row r="856" spans="1:67" ht="15.75" customHeight="1" x14ac:dyDescent="0.2">
      <c r="A856" s="3"/>
      <c r="B856" s="3"/>
      <c r="C856" s="3"/>
      <c r="D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  <c r="BK856" s="3"/>
      <c r="BL856" s="3"/>
      <c r="BM856" s="3"/>
      <c r="BN856" s="3"/>
      <c r="BO856" s="3"/>
    </row>
    <row r="857" spans="1:67" ht="15.75" customHeight="1" x14ac:dyDescent="0.2">
      <c r="A857" s="3"/>
      <c r="B857" s="3"/>
      <c r="C857" s="3"/>
      <c r="D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  <c r="BK857" s="3"/>
      <c r="BL857" s="3"/>
      <c r="BM857" s="3"/>
      <c r="BN857" s="3"/>
      <c r="BO857" s="3"/>
    </row>
    <row r="858" spans="1:67" ht="15.75" customHeight="1" x14ac:dyDescent="0.2">
      <c r="A858" s="3"/>
      <c r="B858" s="3"/>
      <c r="C858" s="3"/>
      <c r="D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  <c r="BK858" s="3"/>
      <c r="BL858" s="3"/>
      <c r="BM858" s="3"/>
      <c r="BN858" s="3"/>
      <c r="BO858" s="3"/>
    </row>
    <row r="859" spans="1:67" ht="15.75" customHeight="1" x14ac:dyDescent="0.2">
      <c r="A859" s="3"/>
      <c r="B859" s="3"/>
      <c r="C859" s="3"/>
      <c r="D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  <c r="BK859" s="3"/>
      <c r="BL859" s="3"/>
      <c r="BM859" s="3"/>
      <c r="BN859" s="3"/>
      <c r="BO859" s="3"/>
    </row>
    <row r="860" spans="1:67" ht="15.75" customHeight="1" x14ac:dyDescent="0.2">
      <c r="A860" s="3"/>
      <c r="B860" s="3"/>
      <c r="C860" s="3"/>
      <c r="D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  <c r="BK860" s="3"/>
      <c r="BL860" s="3"/>
      <c r="BM860" s="3"/>
      <c r="BN860" s="3"/>
      <c r="BO860" s="3"/>
    </row>
    <row r="861" spans="1:67" ht="15.75" customHeight="1" x14ac:dyDescent="0.2">
      <c r="A861" s="3"/>
      <c r="B861" s="3"/>
      <c r="C861" s="3"/>
      <c r="D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  <c r="BK861" s="3"/>
      <c r="BL861" s="3"/>
      <c r="BM861" s="3"/>
      <c r="BN861" s="3"/>
      <c r="BO861" s="3"/>
    </row>
    <row r="862" spans="1:67" ht="15.75" customHeight="1" x14ac:dyDescent="0.2">
      <c r="A862" s="3"/>
      <c r="B862" s="3"/>
      <c r="C862" s="3"/>
      <c r="D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  <c r="BK862" s="3"/>
      <c r="BL862" s="3"/>
      <c r="BM862" s="3"/>
      <c r="BN862" s="3"/>
      <c r="BO862" s="3"/>
    </row>
    <row r="863" spans="1:67" ht="15.75" customHeight="1" x14ac:dyDescent="0.2">
      <c r="A863" s="3"/>
      <c r="B863" s="3"/>
      <c r="C863" s="3"/>
      <c r="D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  <c r="BK863" s="3"/>
      <c r="BL863" s="3"/>
      <c r="BM863" s="3"/>
      <c r="BN863" s="3"/>
      <c r="BO863" s="3"/>
    </row>
    <row r="864" spans="1:67" ht="15.75" customHeight="1" x14ac:dyDescent="0.2">
      <c r="A864" s="3"/>
      <c r="B864" s="3"/>
      <c r="C864" s="3"/>
      <c r="D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  <c r="BK864" s="3"/>
      <c r="BL864" s="3"/>
      <c r="BM864" s="3"/>
      <c r="BN864" s="3"/>
      <c r="BO864" s="3"/>
    </row>
    <row r="865" spans="1:67" ht="15.75" customHeight="1" x14ac:dyDescent="0.2">
      <c r="A865" s="3"/>
      <c r="B865" s="3"/>
      <c r="C865" s="3"/>
      <c r="D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  <c r="BK865" s="3"/>
      <c r="BL865" s="3"/>
      <c r="BM865" s="3"/>
      <c r="BN865" s="3"/>
      <c r="BO865" s="3"/>
    </row>
    <row r="866" spans="1:67" ht="15.75" customHeight="1" x14ac:dyDescent="0.2">
      <c r="A866" s="3"/>
      <c r="B866" s="3"/>
      <c r="C866" s="3"/>
      <c r="D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  <c r="BK866" s="3"/>
      <c r="BL866" s="3"/>
      <c r="BM866" s="3"/>
      <c r="BN866" s="3"/>
      <c r="BO866" s="3"/>
    </row>
    <row r="867" spans="1:67" ht="15.75" customHeight="1" x14ac:dyDescent="0.2">
      <c r="A867" s="3"/>
      <c r="B867" s="3"/>
      <c r="C867" s="3"/>
      <c r="D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  <c r="BK867" s="3"/>
      <c r="BL867" s="3"/>
      <c r="BM867" s="3"/>
      <c r="BN867" s="3"/>
      <c r="BO867" s="3"/>
    </row>
    <row r="868" spans="1:67" ht="15.75" customHeight="1" x14ac:dyDescent="0.2">
      <c r="A868" s="3"/>
      <c r="B868" s="3"/>
      <c r="C868" s="3"/>
      <c r="D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  <c r="BK868" s="3"/>
      <c r="BL868" s="3"/>
      <c r="BM868" s="3"/>
      <c r="BN868" s="3"/>
      <c r="BO868" s="3"/>
    </row>
    <row r="869" spans="1:67" ht="15.75" customHeight="1" x14ac:dyDescent="0.2">
      <c r="A869" s="3"/>
      <c r="B869" s="3"/>
      <c r="C869" s="3"/>
      <c r="D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  <c r="BK869" s="3"/>
      <c r="BL869" s="3"/>
      <c r="BM869" s="3"/>
      <c r="BN869" s="3"/>
      <c r="BO869" s="3"/>
    </row>
    <row r="870" spans="1:67" ht="15.75" customHeight="1" x14ac:dyDescent="0.2">
      <c r="A870" s="3"/>
      <c r="B870" s="3"/>
      <c r="C870" s="3"/>
      <c r="D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  <c r="BK870" s="3"/>
      <c r="BL870" s="3"/>
      <c r="BM870" s="3"/>
      <c r="BN870" s="3"/>
      <c r="BO870" s="3"/>
    </row>
    <row r="871" spans="1:67" ht="15.75" customHeight="1" x14ac:dyDescent="0.2">
      <c r="A871" s="3"/>
      <c r="B871" s="3"/>
      <c r="C871" s="3"/>
      <c r="D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  <c r="BK871" s="3"/>
      <c r="BL871" s="3"/>
      <c r="BM871" s="3"/>
      <c r="BN871" s="3"/>
      <c r="BO871" s="3"/>
    </row>
    <row r="872" spans="1:67" ht="15.75" customHeight="1" x14ac:dyDescent="0.2">
      <c r="A872" s="3"/>
      <c r="B872" s="3"/>
      <c r="C872" s="3"/>
      <c r="D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  <c r="BK872" s="3"/>
      <c r="BL872" s="3"/>
      <c r="BM872" s="3"/>
      <c r="BN872" s="3"/>
      <c r="BO872" s="3"/>
    </row>
    <row r="873" spans="1:67" ht="15.75" customHeight="1" x14ac:dyDescent="0.2">
      <c r="A873" s="3"/>
      <c r="B873" s="3"/>
      <c r="C873" s="3"/>
      <c r="D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  <c r="BK873" s="3"/>
      <c r="BL873" s="3"/>
      <c r="BM873" s="3"/>
      <c r="BN873" s="3"/>
      <c r="BO873" s="3"/>
    </row>
    <row r="874" spans="1:67" ht="15.75" customHeight="1" x14ac:dyDescent="0.2">
      <c r="A874" s="3"/>
      <c r="B874" s="3"/>
      <c r="C874" s="3"/>
      <c r="D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  <c r="BK874" s="3"/>
      <c r="BL874" s="3"/>
      <c r="BM874" s="3"/>
      <c r="BN874" s="3"/>
      <c r="BO874" s="3"/>
    </row>
    <row r="875" spans="1:67" ht="15.75" customHeight="1" x14ac:dyDescent="0.2">
      <c r="A875" s="3"/>
      <c r="B875" s="3"/>
      <c r="C875" s="3"/>
      <c r="D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  <c r="BK875" s="3"/>
      <c r="BL875" s="3"/>
      <c r="BM875" s="3"/>
      <c r="BN875" s="3"/>
      <c r="BO875" s="3"/>
    </row>
    <row r="876" spans="1:67" ht="15.75" customHeight="1" x14ac:dyDescent="0.2">
      <c r="A876" s="3"/>
      <c r="B876" s="3"/>
      <c r="C876" s="3"/>
      <c r="D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  <c r="BK876" s="3"/>
      <c r="BL876" s="3"/>
      <c r="BM876" s="3"/>
      <c r="BN876" s="3"/>
      <c r="BO876" s="3"/>
    </row>
    <row r="877" spans="1:67" ht="15.75" customHeight="1" x14ac:dyDescent="0.2">
      <c r="A877" s="3"/>
      <c r="B877" s="3"/>
      <c r="C877" s="3"/>
      <c r="D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  <c r="BK877" s="3"/>
      <c r="BL877" s="3"/>
      <c r="BM877" s="3"/>
      <c r="BN877" s="3"/>
      <c r="BO877" s="3"/>
    </row>
    <row r="878" spans="1:67" ht="15.75" customHeight="1" x14ac:dyDescent="0.2">
      <c r="A878" s="3"/>
      <c r="B878" s="3"/>
      <c r="C878" s="3"/>
      <c r="D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  <c r="BK878" s="3"/>
      <c r="BL878" s="3"/>
      <c r="BM878" s="3"/>
      <c r="BN878" s="3"/>
      <c r="BO878" s="3"/>
    </row>
    <row r="879" spans="1:67" ht="15.75" customHeight="1" x14ac:dyDescent="0.2">
      <c r="A879" s="3"/>
      <c r="B879" s="3"/>
      <c r="C879" s="3"/>
      <c r="D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  <c r="BK879" s="3"/>
      <c r="BL879" s="3"/>
      <c r="BM879" s="3"/>
      <c r="BN879" s="3"/>
      <c r="BO879" s="3"/>
    </row>
    <row r="880" spans="1:67" ht="15.75" customHeight="1" x14ac:dyDescent="0.2">
      <c r="A880" s="3"/>
      <c r="B880" s="3"/>
      <c r="C880" s="3"/>
      <c r="D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  <c r="BK880" s="3"/>
      <c r="BL880" s="3"/>
      <c r="BM880" s="3"/>
      <c r="BN880" s="3"/>
      <c r="BO880" s="3"/>
    </row>
    <row r="881" spans="1:67" ht="15.75" customHeight="1" x14ac:dyDescent="0.2">
      <c r="A881" s="3"/>
      <c r="B881" s="3"/>
      <c r="C881" s="3"/>
      <c r="D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  <c r="BK881" s="3"/>
      <c r="BL881" s="3"/>
      <c r="BM881" s="3"/>
      <c r="BN881" s="3"/>
      <c r="BO881" s="3"/>
    </row>
    <row r="882" spans="1:67" ht="15.75" customHeight="1" x14ac:dyDescent="0.2">
      <c r="A882" s="3"/>
      <c r="B882" s="3"/>
      <c r="C882" s="3"/>
      <c r="D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  <c r="BK882" s="3"/>
      <c r="BL882" s="3"/>
      <c r="BM882" s="3"/>
      <c r="BN882" s="3"/>
      <c r="BO882" s="3"/>
    </row>
    <row r="883" spans="1:67" ht="15.75" customHeight="1" x14ac:dyDescent="0.2">
      <c r="A883" s="3"/>
      <c r="B883" s="3"/>
      <c r="C883" s="3"/>
      <c r="D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  <c r="BK883" s="3"/>
      <c r="BL883" s="3"/>
      <c r="BM883" s="3"/>
      <c r="BN883" s="3"/>
      <c r="BO883" s="3"/>
    </row>
    <row r="884" spans="1:67" ht="15.75" customHeight="1" x14ac:dyDescent="0.2">
      <c r="A884" s="3"/>
      <c r="B884" s="3"/>
      <c r="C884" s="3"/>
      <c r="D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  <c r="BK884" s="3"/>
      <c r="BL884" s="3"/>
      <c r="BM884" s="3"/>
      <c r="BN884" s="3"/>
      <c r="BO884" s="3"/>
    </row>
    <row r="885" spans="1:67" ht="15.75" customHeight="1" x14ac:dyDescent="0.2">
      <c r="A885" s="3"/>
      <c r="B885" s="3"/>
      <c r="C885" s="3"/>
      <c r="D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  <c r="BK885" s="3"/>
      <c r="BL885" s="3"/>
      <c r="BM885" s="3"/>
      <c r="BN885" s="3"/>
      <c r="BO885" s="3"/>
    </row>
    <row r="886" spans="1:67" ht="15.75" customHeight="1" x14ac:dyDescent="0.2">
      <c r="A886" s="3"/>
      <c r="B886" s="3"/>
      <c r="C886" s="3"/>
      <c r="D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  <c r="BK886" s="3"/>
      <c r="BL886" s="3"/>
      <c r="BM886" s="3"/>
      <c r="BN886" s="3"/>
      <c r="BO886" s="3"/>
    </row>
    <row r="887" spans="1:67" ht="15.75" customHeight="1" x14ac:dyDescent="0.2">
      <c r="A887" s="3"/>
      <c r="B887" s="3"/>
      <c r="C887" s="3"/>
      <c r="D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  <c r="BK887" s="3"/>
      <c r="BL887" s="3"/>
      <c r="BM887" s="3"/>
      <c r="BN887" s="3"/>
      <c r="BO887" s="3"/>
    </row>
    <row r="888" spans="1:67" ht="15.75" customHeight="1" x14ac:dyDescent="0.2">
      <c r="A888" s="3"/>
      <c r="B888" s="3"/>
      <c r="C888" s="3"/>
      <c r="D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  <c r="BK888" s="3"/>
      <c r="BL888" s="3"/>
      <c r="BM888" s="3"/>
      <c r="BN888" s="3"/>
      <c r="BO888" s="3"/>
    </row>
    <row r="889" spans="1:67" ht="15.75" customHeight="1" x14ac:dyDescent="0.2">
      <c r="A889" s="3"/>
      <c r="B889" s="3"/>
      <c r="C889" s="3"/>
      <c r="D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  <c r="BK889" s="3"/>
      <c r="BL889" s="3"/>
      <c r="BM889" s="3"/>
      <c r="BN889" s="3"/>
      <c r="BO889" s="3"/>
    </row>
    <row r="890" spans="1:67" ht="15.75" customHeight="1" x14ac:dyDescent="0.2">
      <c r="A890" s="3"/>
      <c r="B890" s="3"/>
      <c r="C890" s="3"/>
      <c r="D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  <c r="BK890" s="3"/>
      <c r="BL890" s="3"/>
      <c r="BM890" s="3"/>
      <c r="BN890" s="3"/>
      <c r="BO890" s="3"/>
    </row>
    <row r="891" spans="1:67" ht="15.75" customHeight="1" x14ac:dyDescent="0.2">
      <c r="A891" s="3"/>
      <c r="B891" s="3"/>
      <c r="C891" s="3"/>
      <c r="D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  <c r="BK891" s="3"/>
      <c r="BL891" s="3"/>
      <c r="BM891" s="3"/>
      <c r="BN891" s="3"/>
      <c r="BO891" s="3"/>
    </row>
    <row r="892" spans="1:67" ht="15.75" customHeight="1" x14ac:dyDescent="0.2">
      <c r="A892" s="3"/>
      <c r="B892" s="3"/>
      <c r="C892" s="3"/>
      <c r="D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  <c r="BK892" s="3"/>
      <c r="BL892" s="3"/>
      <c r="BM892" s="3"/>
      <c r="BN892" s="3"/>
      <c r="BO892" s="3"/>
    </row>
    <row r="893" spans="1:67" ht="15.75" customHeight="1" x14ac:dyDescent="0.2">
      <c r="A893" s="3"/>
      <c r="B893" s="3"/>
      <c r="C893" s="3"/>
      <c r="D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  <c r="BK893" s="3"/>
      <c r="BL893" s="3"/>
      <c r="BM893" s="3"/>
      <c r="BN893" s="3"/>
      <c r="BO893" s="3"/>
    </row>
    <row r="894" spans="1:67" ht="15.75" customHeight="1" x14ac:dyDescent="0.2">
      <c r="A894" s="3"/>
      <c r="B894" s="3"/>
      <c r="C894" s="3"/>
      <c r="D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  <c r="BK894" s="3"/>
      <c r="BL894" s="3"/>
      <c r="BM894" s="3"/>
      <c r="BN894" s="3"/>
      <c r="BO894" s="3"/>
    </row>
    <row r="895" spans="1:67" ht="15.75" customHeight="1" x14ac:dyDescent="0.2">
      <c r="A895" s="3"/>
      <c r="B895" s="3"/>
      <c r="C895" s="3"/>
      <c r="D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  <c r="BK895" s="3"/>
      <c r="BL895" s="3"/>
      <c r="BM895" s="3"/>
      <c r="BN895" s="3"/>
      <c r="BO895" s="3"/>
    </row>
    <row r="896" spans="1:67" ht="15.75" customHeight="1" x14ac:dyDescent="0.2">
      <c r="A896" s="3"/>
      <c r="B896" s="3"/>
      <c r="C896" s="3"/>
      <c r="D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  <c r="BK896" s="3"/>
      <c r="BL896" s="3"/>
      <c r="BM896" s="3"/>
      <c r="BN896" s="3"/>
      <c r="BO896" s="3"/>
    </row>
    <row r="897" spans="1:67" ht="15.75" customHeight="1" x14ac:dyDescent="0.2">
      <c r="A897" s="3"/>
      <c r="B897" s="3"/>
      <c r="C897" s="3"/>
      <c r="D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  <c r="BK897" s="3"/>
      <c r="BL897" s="3"/>
      <c r="BM897" s="3"/>
      <c r="BN897" s="3"/>
      <c r="BO897" s="3"/>
    </row>
    <row r="898" spans="1:67" ht="15.75" customHeight="1" x14ac:dyDescent="0.2">
      <c r="A898" s="3"/>
      <c r="B898" s="3"/>
      <c r="C898" s="3"/>
      <c r="D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  <c r="BK898" s="3"/>
      <c r="BL898" s="3"/>
      <c r="BM898" s="3"/>
      <c r="BN898" s="3"/>
      <c r="BO898" s="3"/>
    </row>
    <row r="899" spans="1:67" ht="15.75" customHeight="1" x14ac:dyDescent="0.2">
      <c r="A899" s="3"/>
      <c r="B899" s="3"/>
      <c r="C899" s="3"/>
      <c r="D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  <c r="BK899" s="3"/>
      <c r="BL899" s="3"/>
      <c r="BM899" s="3"/>
      <c r="BN899" s="3"/>
      <c r="BO899" s="3"/>
    </row>
    <row r="900" spans="1:67" ht="15.75" customHeight="1" x14ac:dyDescent="0.2">
      <c r="A900" s="3"/>
      <c r="B900" s="3"/>
      <c r="C900" s="3"/>
      <c r="D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  <c r="BK900" s="3"/>
      <c r="BL900" s="3"/>
      <c r="BM900" s="3"/>
      <c r="BN900" s="3"/>
      <c r="BO900" s="3"/>
    </row>
    <row r="901" spans="1:67" ht="15.75" customHeight="1" x14ac:dyDescent="0.2">
      <c r="A901" s="3"/>
      <c r="B901" s="3"/>
      <c r="C901" s="3"/>
      <c r="D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  <c r="BK901" s="3"/>
      <c r="BL901" s="3"/>
      <c r="BM901" s="3"/>
      <c r="BN901" s="3"/>
      <c r="BO901" s="3"/>
    </row>
    <row r="902" spans="1:67" ht="15.75" customHeight="1" x14ac:dyDescent="0.2">
      <c r="A902" s="3"/>
      <c r="B902" s="3"/>
      <c r="C902" s="3"/>
      <c r="D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  <c r="BK902" s="3"/>
      <c r="BL902" s="3"/>
      <c r="BM902" s="3"/>
      <c r="BN902" s="3"/>
      <c r="BO902" s="3"/>
    </row>
    <row r="903" spans="1:67" ht="15.75" customHeight="1" x14ac:dyDescent="0.2">
      <c r="A903" s="3"/>
      <c r="B903" s="3"/>
      <c r="C903" s="3"/>
      <c r="D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  <c r="BK903" s="3"/>
      <c r="BL903" s="3"/>
      <c r="BM903" s="3"/>
      <c r="BN903" s="3"/>
      <c r="BO903" s="3"/>
    </row>
    <row r="904" spans="1:67" ht="15.75" customHeight="1" x14ac:dyDescent="0.2">
      <c r="A904" s="3"/>
      <c r="B904" s="3"/>
      <c r="C904" s="3"/>
      <c r="D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  <c r="BK904" s="3"/>
      <c r="BL904" s="3"/>
      <c r="BM904" s="3"/>
      <c r="BN904" s="3"/>
      <c r="BO904" s="3"/>
    </row>
    <row r="905" spans="1:67" ht="15.75" customHeight="1" x14ac:dyDescent="0.2">
      <c r="A905" s="3"/>
      <c r="B905" s="3"/>
      <c r="C905" s="3"/>
      <c r="D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  <c r="BK905" s="3"/>
      <c r="BL905" s="3"/>
      <c r="BM905" s="3"/>
      <c r="BN905" s="3"/>
      <c r="BO905" s="3"/>
    </row>
    <row r="906" spans="1:67" ht="15.75" customHeight="1" x14ac:dyDescent="0.2">
      <c r="A906" s="3"/>
      <c r="B906" s="3"/>
      <c r="C906" s="3"/>
      <c r="D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  <c r="BK906" s="3"/>
      <c r="BL906" s="3"/>
      <c r="BM906" s="3"/>
      <c r="BN906" s="3"/>
      <c r="BO906" s="3"/>
    </row>
    <row r="907" spans="1:67" ht="15.75" customHeight="1" x14ac:dyDescent="0.2">
      <c r="A907" s="3"/>
      <c r="B907" s="3"/>
      <c r="C907" s="3"/>
      <c r="D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  <c r="BK907" s="3"/>
      <c r="BL907" s="3"/>
      <c r="BM907" s="3"/>
      <c r="BN907" s="3"/>
      <c r="BO907" s="3"/>
    </row>
    <row r="908" spans="1:67" ht="15.75" customHeight="1" x14ac:dyDescent="0.2">
      <c r="A908" s="3"/>
      <c r="B908" s="3"/>
      <c r="C908" s="3"/>
      <c r="D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  <c r="BK908" s="3"/>
      <c r="BL908" s="3"/>
      <c r="BM908" s="3"/>
      <c r="BN908" s="3"/>
      <c r="BO908" s="3"/>
    </row>
    <row r="909" spans="1:67" ht="15.75" customHeight="1" x14ac:dyDescent="0.2">
      <c r="A909" s="3"/>
      <c r="B909" s="3"/>
      <c r="C909" s="3"/>
      <c r="D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  <c r="BK909" s="3"/>
      <c r="BL909" s="3"/>
      <c r="BM909" s="3"/>
      <c r="BN909" s="3"/>
      <c r="BO909" s="3"/>
    </row>
    <row r="910" spans="1:67" ht="15.75" customHeight="1" x14ac:dyDescent="0.2">
      <c r="A910" s="3"/>
      <c r="B910" s="3"/>
      <c r="C910" s="3"/>
      <c r="D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  <c r="BK910" s="3"/>
      <c r="BL910" s="3"/>
      <c r="BM910" s="3"/>
      <c r="BN910" s="3"/>
      <c r="BO910" s="3"/>
    </row>
    <row r="911" spans="1:67" ht="15.75" customHeight="1" x14ac:dyDescent="0.2">
      <c r="A911" s="3"/>
      <c r="B911" s="3"/>
      <c r="C911" s="3"/>
      <c r="D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  <c r="BK911" s="3"/>
      <c r="BL911" s="3"/>
      <c r="BM911" s="3"/>
      <c r="BN911" s="3"/>
      <c r="BO911" s="3"/>
    </row>
    <row r="912" spans="1:67" ht="15.75" customHeight="1" x14ac:dyDescent="0.2">
      <c r="A912" s="3"/>
      <c r="B912" s="3"/>
      <c r="C912" s="3"/>
      <c r="D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  <c r="BK912" s="3"/>
      <c r="BL912" s="3"/>
      <c r="BM912" s="3"/>
      <c r="BN912" s="3"/>
      <c r="BO912" s="3"/>
    </row>
    <row r="913" spans="1:67" ht="15.75" customHeight="1" x14ac:dyDescent="0.2">
      <c r="A913" s="3"/>
      <c r="B913" s="3"/>
      <c r="C913" s="3"/>
      <c r="D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  <c r="BK913" s="3"/>
      <c r="BL913" s="3"/>
      <c r="BM913" s="3"/>
      <c r="BN913" s="3"/>
      <c r="BO913" s="3"/>
    </row>
    <row r="914" spans="1:67" ht="15.75" customHeight="1" x14ac:dyDescent="0.2">
      <c r="A914" s="3"/>
      <c r="B914" s="3"/>
      <c r="C914" s="3"/>
      <c r="D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  <c r="BK914" s="3"/>
      <c r="BL914" s="3"/>
      <c r="BM914" s="3"/>
      <c r="BN914" s="3"/>
      <c r="BO914" s="3"/>
    </row>
    <row r="915" spans="1:67" ht="15.75" customHeight="1" x14ac:dyDescent="0.2">
      <c r="A915" s="3"/>
      <c r="B915" s="3"/>
      <c r="C915" s="3"/>
      <c r="D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  <c r="BK915" s="3"/>
      <c r="BL915" s="3"/>
      <c r="BM915" s="3"/>
      <c r="BN915" s="3"/>
      <c r="BO915" s="3"/>
    </row>
    <row r="916" spans="1:67" ht="15.75" customHeight="1" x14ac:dyDescent="0.2">
      <c r="A916" s="3"/>
      <c r="B916" s="3"/>
      <c r="C916" s="3"/>
      <c r="D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  <c r="BK916" s="3"/>
      <c r="BL916" s="3"/>
      <c r="BM916" s="3"/>
      <c r="BN916" s="3"/>
      <c r="BO916" s="3"/>
    </row>
    <row r="917" spans="1:67" ht="15.75" customHeight="1" x14ac:dyDescent="0.2">
      <c r="A917" s="3"/>
      <c r="B917" s="3"/>
      <c r="C917" s="3"/>
      <c r="D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  <c r="BK917" s="3"/>
      <c r="BL917" s="3"/>
      <c r="BM917" s="3"/>
      <c r="BN917" s="3"/>
      <c r="BO917" s="3"/>
    </row>
    <row r="918" spans="1:67" ht="15.75" customHeight="1" x14ac:dyDescent="0.2">
      <c r="A918" s="3"/>
      <c r="B918" s="3"/>
      <c r="C918" s="3"/>
      <c r="D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  <c r="BK918" s="3"/>
      <c r="BL918" s="3"/>
      <c r="BM918" s="3"/>
      <c r="BN918" s="3"/>
      <c r="BO918" s="3"/>
    </row>
    <row r="919" spans="1:67" ht="15.75" customHeight="1" x14ac:dyDescent="0.2">
      <c r="A919" s="3"/>
      <c r="B919" s="3"/>
      <c r="C919" s="3"/>
      <c r="D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  <c r="BK919" s="3"/>
      <c r="BL919" s="3"/>
      <c r="BM919" s="3"/>
      <c r="BN919" s="3"/>
      <c r="BO919" s="3"/>
    </row>
    <row r="920" spans="1:67" ht="15.75" customHeight="1" x14ac:dyDescent="0.2">
      <c r="A920" s="3"/>
      <c r="B920" s="3"/>
      <c r="C920" s="3"/>
      <c r="D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  <c r="BK920" s="3"/>
      <c r="BL920" s="3"/>
      <c r="BM920" s="3"/>
      <c r="BN920" s="3"/>
      <c r="BO920" s="3"/>
    </row>
    <row r="921" spans="1:67" ht="15.75" customHeight="1" x14ac:dyDescent="0.2">
      <c r="A921" s="3"/>
      <c r="B921" s="3"/>
      <c r="C921" s="3"/>
      <c r="D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  <c r="BK921" s="3"/>
      <c r="BL921" s="3"/>
      <c r="BM921" s="3"/>
      <c r="BN921" s="3"/>
      <c r="BO921" s="3"/>
    </row>
    <row r="922" spans="1:67" ht="15.75" customHeight="1" x14ac:dyDescent="0.2">
      <c r="A922" s="3"/>
      <c r="B922" s="3"/>
      <c r="C922" s="3"/>
      <c r="D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  <c r="BK922" s="3"/>
      <c r="BL922" s="3"/>
      <c r="BM922" s="3"/>
      <c r="BN922" s="3"/>
      <c r="BO922" s="3"/>
    </row>
    <row r="923" spans="1:67" ht="15.75" customHeight="1" x14ac:dyDescent="0.2">
      <c r="A923" s="3"/>
      <c r="B923" s="3"/>
      <c r="C923" s="3"/>
      <c r="D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  <c r="BK923" s="3"/>
      <c r="BL923" s="3"/>
      <c r="BM923" s="3"/>
      <c r="BN923" s="3"/>
      <c r="BO923" s="3"/>
    </row>
    <row r="924" spans="1:67" ht="15.75" customHeight="1" x14ac:dyDescent="0.2">
      <c r="A924" s="3"/>
      <c r="B924" s="3"/>
      <c r="C924" s="3"/>
      <c r="D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  <c r="BK924" s="3"/>
      <c r="BL924" s="3"/>
      <c r="BM924" s="3"/>
      <c r="BN924" s="3"/>
      <c r="BO924" s="3"/>
    </row>
    <row r="925" spans="1:67" ht="15.75" customHeight="1" x14ac:dyDescent="0.2">
      <c r="A925" s="3"/>
      <c r="B925" s="3"/>
      <c r="C925" s="3"/>
      <c r="D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  <c r="BK925" s="3"/>
      <c r="BL925" s="3"/>
      <c r="BM925" s="3"/>
      <c r="BN925" s="3"/>
      <c r="BO925" s="3"/>
    </row>
    <row r="926" spans="1:67" ht="15.75" customHeight="1" x14ac:dyDescent="0.2">
      <c r="A926" s="3"/>
      <c r="B926" s="3"/>
      <c r="C926" s="3"/>
      <c r="D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  <c r="BK926" s="3"/>
      <c r="BL926" s="3"/>
      <c r="BM926" s="3"/>
      <c r="BN926" s="3"/>
      <c r="BO926" s="3"/>
    </row>
    <row r="927" spans="1:67" ht="15.75" customHeight="1" x14ac:dyDescent="0.2">
      <c r="A927" s="3"/>
      <c r="B927" s="3"/>
      <c r="C927" s="3"/>
      <c r="D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  <c r="BK927" s="3"/>
      <c r="BL927" s="3"/>
      <c r="BM927" s="3"/>
      <c r="BN927" s="3"/>
      <c r="BO927" s="3"/>
    </row>
    <row r="928" spans="1:67" ht="15.75" customHeight="1" x14ac:dyDescent="0.2">
      <c r="A928" s="3"/>
      <c r="B928" s="3"/>
      <c r="C928" s="3"/>
      <c r="D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  <c r="BK928" s="3"/>
      <c r="BL928" s="3"/>
      <c r="BM928" s="3"/>
      <c r="BN928" s="3"/>
      <c r="BO928" s="3"/>
    </row>
    <row r="929" spans="1:67" ht="15.75" customHeight="1" x14ac:dyDescent="0.2">
      <c r="A929" s="3"/>
      <c r="B929" s="3"/>
      <c r="C929" s="3"/>
      <c r="D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  <c r="BK929" s="3"/>
      <c r="BL929" s="3"/>
      <c r="BM929" s="3"/>
      <c r="BN929" s="3"/>
      <c r="BO929" s="3"/>
    </row>
    <row r="930" spans="1:67" ht="15.75" customHeight="1" x14ac:dyDescent="0.2">
      <c r="A930" s="3"/>
      <c r="B930" s="3"/>
      <c r="C930" s="3"/>
      <c r="D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  <c r="BK930" s="3"/>
      <c r="BL930" s="3"/>
      <c r="BM930" s="3"/>
      <c r="BN930" s="3"/>
      <c r="BO930" s="3"/>
    </row>
    <row r="931" spans="1:67" ht="15.75" customHeight="1" x14ac:dyDescent="0.2">
      <c r="A931" s="3"/>
      <c r="B931" s="3"/>
      <c r="C931" s="3"/>
      <c r="D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  <c r="BK931" s="3"/>
      <c r="BL931" s="3"/>
      <c r="BM931" s="3"/>
      <c r="BN931" s="3"/>
      <c r="BO931" s="3"/>
    </row>
    <row r="932" spans="1:67" ht="15.75" customHeight="1" x14ac:dyDescent="0.2">
      <c r="A932" s="3"/>
      <c r="B932" s="3"/>
      <c r="C932" s="3"/>
      <c r="D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  <c r="BK932" s="3"/>
      <c r="BL932" s="3"/>
      <c r="BM932" s="3"/>
      <c r="BN932" s="3"/>
      <c r="BO932" s="3"/>
    </row>
    <row r="933" spans="1:67" ht="15.75" customHeight="1" x14ac:dyDescent="0.2">
      <c r="A933" s="3"/>
      <c r="B933" s="3"/>
      <c r="C933" s="3"/>
      <c r="D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  <c r="BK933" s="3"/>
      <c r="BL933" s="3"/>
      <c r="BM933" s="3"/>
      <c r="BN933" s="3"/>
      <c r="BO933" s="3"/>
    </row>
    <row r="934" spans="1:67" ht="15.75" customHeight="1" x14ac:dyDescent="0.2">
      <c r="A934" s="3"/>
      <c r="B934" s="3"/>
      <c r="C934" s="3"/>
      <c r="D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  <c r="BK934" s="3"/>
      <c r="BL934" s="3"/>
      <c r="BM934" s="3"/>
      <c r="BN934" s="3"/>
      <c r="BO934" s="3"/>
    </row>
    <row r="935" spans="1:67" ht="15.75" customHeight="1" x14ac:dyDescent="0.2">
      <c r="A935" s="3"/>
      <c r="B935" s="3"/>
      <c r="C935" s="3"/>
      <c r="D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  <c r="BK935" s="3"/>
      <c r="BL935" s="3"/>
      <c r="BM935" s="3"/>
      <c r="BN935" s="3"/>
      <c r="BO935" s="3"/>
    </row>
    <row r="936" spans="1:67" ht="15.75" customHeight="1" x14ac:dyDescent="0.2">
      <c r="A936" s="3"/>
      <c r="B936" s="3"/>
      <c r="C936" s="3"/>
      <c r="D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  <c r="BK936" s="3"/>
      <c r="BL936" s="3"/>
      <c r="BM936" s="3"/>
      <c r="BN936" s="3"/>
      <c r="BO936" s="3"/>
    </row>
    <row r="937" spans="1:67" ht="15.75" customHeight="1" x14ac:dyDescent="0.2">
      <c r="A937" s="3"/>
      <c r="B937" s="3"/>
      <c r="C937" s="3"/>
      <c r="D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  <c r="BK937" s="3"/>
      <c r="BL937" s="3"/>
      <c r="BM937" s="3"/>
      <c r="BN937" s="3"/>
      <c r="BO937" s="3"/>
    </row>
    <row r="938" spans="1:67" ht="15.75" customHeight="1" x14ac:dyDescent="0.2">
      <c r="A938" s="3"/>
      <c r="B938" s="3"/>
      <c r="C938" s="3"/>
      <c r="D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  <c r="BK938" s="3"/>
      <c r="BL938" s="3"/>
      <c r="BM938" s="3"/>
      <c r="BN938" s="3"/>
      <c r="BO938" s="3"/>
    </row>
    <row r="939" spans="1:67" ht="15.75" customHeight="1" x14ac:dyDescent="0.2">
      <c r="A939" s="3"/>
      <c r="B939" s="3"/>
      <c r="C939" s="3"/>
      <c r="D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  <c r="BK939" s="3"/>
      <c r="BL939" s="3"/>
      <c r="BM939" s="3"/>
      <c r="BN939" s="3"/>
      <c r="BO939" s="3"/>
    </row>
    <row r="940" spans="1:67" ht="15.75" customHeight="1" x14ac:dyDescent="0.2">
      <c r="A940" s="3"/>
      <c r="B940" s="3"/>
      <c r="C940" s="3"/>
      <c r="D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  <c r="BK940" s="3"/>
      <c r="BL940" s="3"/>
      <c r="BM940" s="3"/>
      <c r="BN940" s="3"/>
      <c r="BO940" s="3"/>
    </row>
    <row r="941" spans="1:67" ht="15.75" customHeight="1" x14ac:dyDescent="0.2">
      <c r="A941" s="3"/>
      <c r="B941" s="3"/>
      <c r="C941" s="3"/>
      <c r="D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  <c r="BK941" s="3"/>
      <c r="BL941" s="3"/>
      <c r="BM941" s="3"/>
      <c r="BN941" s="3"/>
      <c r="BO941" s="3"/>
    </row>
    <row r="942" spans="1:67" ht="15.75" customHeight="1" x14ac:dyDescent="0.2">
      <c r="A942" s="3"/>
      <c r="B942" s="3"/>
      <c r="C942" s="3"/>
      <c r="D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  <c r="BK942" s="3"/>
      <c r="BL942" s="3"/>
      <c r="BM942" s="3"/>
      <c r="BN942" s="3"/>
      <c r="BO942" s="3"/>
    </row>
    <row r="943" spans="1:67" ht="15.75" customHeight="1" x14ac:dyDescent="0.2">
      <c r="A943" s="3"/>
      <c r="B943" s="3"/>
      <c r="C943" s="3"/>
      <c r="D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  <c r="BK943" s="3"/>
      <c r="BL943" s="3"/>
      <c r="BM943" s="3"/>
      <c r="BN943" s="3"/>
      <c r="BO943" s="3"/>
    </row>
    <row r="944" spans="1:67" ht="15.75" customHeight="1" x14ac:dyDescent="0.2">
      <c r="A944" s="3"/>
      <c r="B944" s="3"/>
      <c r="C944" s="3"/>
      <c r="D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  <c r="BD944" s="3"/>
      <c r="BE944" s="3"/>
      <c r="BF944" s="3"/>
      <c r="BG944" s="3"/>
      <c r="BH944" s="3"/>
      <c r="BI944" s="3"/>
      <c r="BJ944" s="3"/>
      <c r="BK944" s="3"/>
      <c r="BL944" s="3"/>
      <c r="BM944" s="3"/>
      <c r="BN944" s="3"/>
      <c r="BO944" s="3"/>
    </row>
    <row r="945" spans="1:67" ht="15.75" customHeight="1" x14ac:dyDescent="0.2">
      <c r="A945" s="3"/>
      <c r="B945" s="3"/>
      <c r="C945" s="3"/>
      <c r="D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  <c r="BD945" s="3"/>
      <c r="BE945" s="3"/>
      <c r="BF945" s="3"/>
      <c r="BG945" s="3"/>
      <c r="BH945" s="3"/>
      <c r="BI945" s="3"/>
      <c r="BJ945" s="3"/>
      <c r="BK945" s="3"/>
      <c r="BL945" s="3"/>
      <c r="BM945" s="3"/>
      <c r="BN945" s="3"/>
      <c r="BO945" s="3"/>
    </row>
    <row r="946" spans="1:67" ht="15.75" customHeight="1" x14ac:dyDescent="0.2">
      <c r="A946" s="3"/>
      <c r="B946" s="3"/>
      <c r="C946" s="3"/>
      <c r="D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  <c r="BD946" s="3"/>
      <c r="BE946" s="3"/>
      <c r="BF946" s="3"/>
      <c r="BG946" s="3"/>
      <c r="BH946" s="3"/>
      <c r="BI946" s="3"/>
      <c r="BJ946" s="3"/>
      <c r="BK946" s="3"/>
      <c r="BL946" s="3"/>
      <c r="BM946" s="3"/>
      <c r="BN946" s="3"/>
      <c r="BO946" s="3"/>
    </row>
    <row r="947" spans="1:67" ht="15.75" customHeight="1" x14ac:dyDescent="0.2">
      <c r="A947" s="3"/>
      <c r="B947" s="3"/>
      <c r="C947" s="3"/>
      <c r="D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  <c r="BD947" s="3"/>
      <c r="BE947" s="3"/>
      <c r="BF947" s="3"/>
      <c r="BG947" s="3"/>
      <c r="BH947" s="3"/>
      <c r="BI947" s="3"/>
      <c r="BJ947" s="3"/>
      <c r="BK947" s="3"/>
      <c r="BL947" s="3"/>
      <c r="BM947" s="3"/>
      <c r="BN947" s="3"/>
      <c r="BO947" s="3"/>
    </row>
    <row r="948" spans="1:67" ht="15.75" customHeight="1" x14ac:dyDescent="0.2">
      <c r="A948" s="3"/>
      <c r="B948" s="3"/>
      <c r="C948" s="3"/>
      <c r="D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  <c r="BD948" s="3"/>
      <c r="BE948" s="3"/>
      <c r="BF948" s="3"/>
      <c r="BG948" s="3"/>
      <c r="BH948" s="3"/>
      <c r="BI948" s="3"/>
      <c r="BJ948" s="3"/>
      <c r="BK948" s="3"/>
      <c r="BL948" s="3"/>
      <c r="BM948" s="3"/>
      <c r="BN948" s="3"/>
      <c r="BO948" s="3"/>
    </row>
    <row r="949" spans="1:67" ht="15.75" customHeight="1" x14ac:dyDescent="0.2">
      <c r="A949" s="3"/>
      <c r="B949" s="3"/>
      <c r="C949" s="3"/>
      <c r="D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  <c r="BD949" s="3"/>
      <c r="BE949" s="3"/>
      <c r="BF949" s="3"/>
      <c r="BG949" s="3"/>
      <c r="BH949" s="3"/>
      <c r="BI949" s="3"/>
      <c r="BJ949" s="3"/>
      <c r="BK949" s="3"/>
      <c r="BL949" s="3"/>
      <c r="BM949" s="3"/>
      <c r="BN949" s="3"/>
      <c r="BO949" s="3"/>
    </row>
    <row r="950" spans="1:67" ht="15.75" customHeight="1" x14ac:dyDescent="0.2">
      <c r="A950" s="3"/>
      <c r="B950" s="3"/>
      <c r="C950" s="3"/>
      <c r="D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  <c r="BD950" s="3"/>
      <c r="BE950" s="3"/>
      <c r="BF950" s="3"/>
      <c r="BG950" s="3"/>
      <c r="BH950" s="3"/>
      <c r="BI950" s="3"/>
      <c r="BJ950" s="3"/>
      <c r="BK950" s="3"/>
      <c r="BL950" s="3"/>
      <c r="BM950" s="3"/>
      <c r="BN950" s="3"/>
      <c r="BO950" s="3"/>
    </row>
    <row r="951" spans="1:67" ht="15.75" customHeight="1" x14ac:dyDescent="0.2">
      <c r="A951" s="3"/>
      <c r="B951" s="3"/>
      <c r="C951" s="3"/>
      <c r="D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  <c r="BD951" s="3"/>
      <c r="BE951" s="3"/>
      <c r="BF951" s="3"/>
      <c r="BG951" s="3"/>
      <c r="BH951" s="3"/>
      <c r="BI951" s="3"/>
      <c r="BJ951" s="3"/>
      <c r="BK951" s="3"/>
      <c r="BL951" s="3"/>
      <c r="BM951" s="3"/>
      <c r="BN951" s="3"/>
      <c r="BO951" s="3"/>
    </row>
    <row r="952" spans="1:67" ht="15.75" customHeight="1" x14ac:dyDescent="0.2">
      <c r="A952" s="3"/>
      <c r="B952" s="3"/>
      <c r="C952" s="3"/>
      <c r="D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  <c r="BD952" s="3"/>
      <c r="BE952" s="3"/>
      <c r="BF952" s="3"/>
      <c r="BG952" s="3"/>
      <c r="BH952" s="3"/>
      <c r="BI952" s="3"/>
      <c r="BJ952" s="3"/>
      <c r="BK952" s="3"/>
      <c r="BL952" s="3"/>
      <c r="BM952" s="3"/>
      <c r="BN952" s="3"/>
      <c r="BO952" s="3"/>
    </row>
    <row r="953" spans="1:67" ht="15.75" customHeight="1" x14ac:dyDescent="0.2">
      <c r="A953" s="3"/>
      <c r="B953" s="3"/>
      <c r="C953" s="3"/>
      <c r="D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  <c r="BD953" s="3"/>
      <c r="BE953" s="3"/>
      <c r="BF953" s="3"/>
      <c r="BG953" s="3"/>
      <c r="BH953" s="3"/>
      <c r="BI953" s="3"/>
      <c r="BJ953" s="3"/>
      <c r="BK953" s="3"/>
      <c r="BL953" s="3"/>
      <c r="BM953" s="3"/>
      <c r="BN953" s="3"/>
      <c r="BO953" s="3"/>
    </row>
    <row r="954" spans="1:67" ht="15.75" customHeight="1" x14ac:dyDescent="0.2">
      <c r="A954" s="3"/>
      <c r="B954" s="3"/>
      <c r="C954" s="3"/>
      <c r="D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  <c r="BD954" s="3"/>
      <c r="BE954" s="3"/>
      <c r="BF954" s="3"/>
      <c r="BG954" s="3"/>
      <c r="BH954" s="3"/>
      <c r="BI954" s="3"/>
      <c r="BJ954" s="3"/>
      <c r="BK954" s="3"/>
      <c r="BL954" s="3"/>
      <c r="BM954" s="3"/>
      <c r="BN954" s="3"/>
      <c r="BO954" s="3"/>
    </row>
    <row r="955" spans="1:67" ht="15.75" customHeight="1" x14ac:dyDescent="0.2">
      <c r="A955" s="3"/>
      <c r="B955" s="3"/>
      <c r="C955" s="3"/>
      <c r="D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  <c r="BD955" s="3"/>
      <c r="BE955" s="3"/>
      <c r="BF955" s="3"/>
      <c r="BG955" s="3"/>
      <c r="BH955" s="3"/>
      <c r="BI955" s="3"/>
      <c r="BJ955" s="3"/>
      <c r="BK955" s="3"/>
      <c r="BL955" s="3"/>
      <c r="BM955" s="3"/>
      <c r="BN955" s="3"/>
      <c r="BO955" s="3"/>
    </row>
    <row r="956" spans="1:67" ht="15.75" customHeight="1" x14ac:dyDescent="0.2">
      <c r="A956" s="3"/>
      <c r="B956" s="3"/>
      <c r="C956" s="3"/>
      <c r="D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  <c r="BD956" s="3"/>
      <c r="BE956" s="3"/>
      <c r="BF956" s="3"/>
      <c r="BG956" s="3"/>
      <c r="BH956" s="3"/>
      <c r="BI956" s="3"/>
      <c r="BJ956" s="3"/>
      <c r="BK956" s="3"/>
      <c r="BL956" s="3"/>
      <c r="BM956" s="3"/>
      <c r="BN956" s="3"/>
      <c r="BO956" s="3"/>
    </row>
    <row r="957" spans="1:67" ht="15.75" customHeight="1" x14ac:dyDescent="0.2">
      <c r="A957" s="3"/>
      <c r="B957" s="3"/>
      <c r="C957" s="3"/>
      <c r="D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  <c r="BD957" s="3"/>
      <c r="BE957" s="3"/>
      <c r="BF957" s="3"/>
      <c r="BG957" s="3"/>
      <c r="BH957" s="3"/>
      <c r="BI957" s="3"/>
      <c r="BJ957" s="3"/>
      <c r="BK957" s="3"/>
      <c r="BL957" s="3"/>
      <c r="BM957" s="3"/>
      <c r="BN957" s="3"/>
      <c r="BO957" s="3"/>
    </row>
    <row r="958" spans="1:67" ht="15.75" customHeight="1" x14ac:dyDescent="0.2">
      <c r="A958" s="3"/>
      <c r="B958" s="3"/>
      <c r="C958" s="3"/>
      <c r="D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  <c r="BD958" s="3"/>
      <c r="BE958" s="3"/>
      <c r="BF958" s="3"/>
      <c r="BG958" s="3"/>
      <c r="BH958" s="3"/>
      <c r="BI958" s="3"/>
      <c r="BJ958" s="3"/>
      <c r="BK958" s="3"/>
      <c r="BL958" s="3"/>
      <c r="BM958" s="3"/>
      <c r="BN958" s="3"/>
      <c r="BO958" s="3"/>
    </row>
    <row r="959" spans="1:67" ht="15.75" customHeight="1" x14ac:dyDescent="0.2">
      <c r="A959" s="3"/>
      <c r="B959" s="3"/>
      <c r="C959" s="3"/>
      <c r="D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  <c r="BD959" s="3"/>
      <c r="BE959" s="3"/>
      <c r="BF959" s="3"/>
      <c r="BG959" s="3"/>
      <c r="BH959" s="3"/>
      <c r="BI959" s="3"/>
      <c r="BJ959" s="3"/>
      <c r="BK959" s="3"/>
      <c r="BL959" s="3"/>
      <c r="BM959" s="3"/>
      <c r="BN959" s="3"/>
      <c r="BO959" s="3"/>
    </row>
    <row r="960" spans="1:67" ht="15.75" customHeight="1" x14ac:dyDescent="0.2">
      <c r="A960" s="3"/>
      <c r="B960" s="3"/>
      <c r="C960" s="3"/>
      <c r="D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  <c r="BD960" s="3"/>
      <c r="BE960" s="3"/>
      <c r="BF960" s="3"/>
      <c r="BG960" s="3"/>
      <c r="BH960" s="3"/>
      <c r="BI960" s="3"/>
      <c r="BJ960" s="3"/>
      <c r="BK960" s="3"/>
      <c r="BL960" s="3"/>
      <c r="BM960" s="3"/>
      <c r="BN960" s="3"/>
      <c r="BO960" s="3"/>
    </row>
    <row r="961" spans="1:67" ht="15.75" customHeight="1" x14ac:dyDescent="0.2">
      <c r="A961" s="3"/>
      <c r="B961" s="3"/>
      <c r="C961" s="3"/>
      <c r="D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  <c r="BD961" s="3"/>
      <c r="BE961" s="3"/>
      <c r="BF961" s="3"/>
      <c r="BG961" s="3"/>
      <c r="BH961" s="3"/>
      <c r="BI961" s="3"/>
      <c r="BJ961" s="3"/>
      <c r="BK961" s="3"/>
      <c r="BL961" s="3"/>
      <c r="BM961" s="3"/>
      <c r="BN961" s="3"/>
      <c r="BO961" s="3"/>
    </row>
    <row r="962" spans="1:67" ht="15.75" customHeight="1" x14ac:dyDescent="0.2">
      <c r="A962" s="3"/>
      <c r="B962" s="3"/>
      <c r="C962" s="3"/>
      <c r="D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  <c r="BD962" s="3"/>
      <c r="BE962" s="3"/>
      <c r="BF962" s="3"/>
      <c r="BG962" s="3"/>
      <c r="BH962" s="3"/>
      <c r="BI962" s="3"/>
      <c r="BJ962" s="3"/>
      <c r="BK962" s="3"/>
      <c r="BL962" s="3"/>
      <c r="BM962" s="3"/>
      <c r="BN962" s="3"/>
      <c r="BO962" s="3"/>
    </row>
    <row r="963" spans="1:67" ht="15.75" customHeight="1" x14ac:dyDescent="0.2">
      <c r="A963" s="3"/>
      <c r="B963" s="3"/>
      <c r="C963" s="3"/>
      <c r="D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  <c r="BD963" s="3"/>
      <c r="BE963" s="3"/>
      <c r="BF963" s="3"/>
      <c r="BG963" s="3"/>
      <c r="BH963" s="3"/>
      <c r="BI963" s="3"/>
      <c r="BJ963" s="3"/>
      <c r="BK963" s="3"/>
      <c r="BL963" s="3"/>
      <c r="BM963" s="3"/>
      <c r="BN963" s="3"/>
      <c r="BO963" s="3"/>
    </row>
    <row r="964" spans="1:67" ht="15.75" customHeight="1" x14ac:dyDescent="0.2">
      <c r="A964" s="3"/>
      <c r="B964" s="3"/>
      <c r="C964" s="3"/>
      <c r="D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  <c r="BD964" s="3"/>
      <c r="BE964" s="3"/>
      <c r="BF964" s="3"/>
      <c r="BG964" s="3"/>
      <c r="BH964" s="3"/>
      <c r="BI964" s="3"/>
      <c r="BJ964" s="3"/>
      <c r="BK964" s="3"/>
      <c r="BL964" s="3"/>
      <c r="BM964" s="3"/>
      <c r="BN964" s="3"/>
      <c r="BO964" s="3"/>
    </row>
    <row r="965" spans="1:67" ht="15.75" customHeight="1" x14ac:dyDescent="0.2">
      <c r="A965" s="3"/>
      <c r="B965" s="3"/>
      <c r="C965" s="3"/>
      <c r="D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  <c r="BD965" s="3"/>
      <c r="BE965" s="3"/>
      <c r="BF965" s="3"/>
      <c r="BG965" s="3"/>
      <c r="BH965" s="3"/>
      <c r="BI965" s="3"/>
      <c r="BJ965" s="3"/>
      <c r="BK965" s="3"/>
      <c r="BL965" s="3"/>
      <c r="BM965" s="3"/>
      <c r="BN965" s="3"/>
      <c r="BO965" s="3"/>
    </row>
    <row r="966" spans="1:67" ht="15.75" customHeight="1" x14ac:dyDescent="0.2">
      <c r="A966" s="3"/>
      <c r="B966" s="3"/>
      <c r="C966" s="3"/>
      <c r="D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  <c r="BD966" s="3"/>
      <c r="BE966" s="3"/>
      <c r="BF966" s="3"/>
      <c r="BG966" s="3"/>
      <c r="BH966" s="3"/>
      <c r="BI966" s="3"/>
      <c r="BJ966" s="3"/>
      <c r="BK966" s="3"/>
      <c r="BL966" s="3"/>
      <c r="BM966" s="3"/>
      <c r="BN966" s="3"/>
      <c r="BO966" s="3"/>
    </row>
    <row r="967" spans="1:67" ht="15.75" customHeight="1" x14ac:dyDescent="0.2">
      <c r="A967" s="3"/>
      <c r="B967" s="3"/>
      <c r="C967" s="3"/>
      <c r="D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  <c r="BD967" s="3"/>
      <c r="BE967" s="3"/>
      <c r="BF967" s="3"/>
      <c r="BG967" s="3"/>
      <c r="BH967" s="3"/>
      <c r="BI967" s="3"/>
      <c r="BJ967" s="3"/>
      <c r="BK967" s="3"/>
      <c r="BL967" s="3"/>
      <c r="BM967" s="3"/>
      <c r="BN967" s="3"/>
      <c r="BO967" s="3"/>
    </row>
    <row r="968" spans="1:67" ht="15.75" customHeight="1" x14ac:dyDescent="0.2">
      <c r="A968" s="3"/>
      <c r="B968" s="3"/>
      <c r="C968" s="3"/>
      <c r="D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  <c r="BD968" s="3"/>
      <c r="BE968" s="3"/>
      <c r="BF968" s="3"/>
      <c r="BG968" s="3"/>
      <c r="BH968" s="3"/>
      <c r="BI968" s="3"/>
      <c r="BJ968" s="3"/>
      <c r="BK968" s="3"/>
      <c r="BL968" s="3"/>
      <c r="BM968" s="3"/>
      <c r="BN968" s="3"/>
      <c r="BO968" s="3"/>
    </row>
    <row r="969" spans="1:67" ht="15.75" customHeight="1" x14ac:dyDescent="0.2">
      <c r="A969" s="3"/>
      <c r="B969" s="3"/>
      <c r="C969" s="3"/>
      <c r="D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  <c r="BD969" s="3"/>
      <c r="BE969" s="3"/>
      <c r="BF969" s="3"/>
      <c r="BG969" s="3"/>
      <c r="BH969" s="3"/>
      <c r="BI969" s="3"/>
      <c r="BJ969" s="3"/>
      <c r="BK969" s="3"/>
      <c r="BL969" s="3"/>
      <c r="BM969" s="3"/>
      <c r="BN969" s="3"/>
      <c r="BO969" s="3"/>
    </row>
    <row r="970" spans="1:67" ht="15.75" customHeight="1" x14ac:dyDescent="0.2">
      <c r="A970" s="3"/>
      <c r="B970" s="3"/>
      <c r="C970" s="3"/>
      <c r="D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  <c r="BD970" s="3"/>
      <c r="BE970" s="3"/>
      <c r="BF970" s="3"/>
      <c r="BG970" s="3"/>
      <c r="BH970" s="3"/>
      <c r="BI970" s="3"/>
      <c r="BJ970" s="3"/>
      <c r="BK970" s="3"/>
      <c r="BL970" s="3"/>
      <c r="BM970" s="3"/>
      <c r="BN970" s="3"/>
      <c r="BO970" s="3"/>
    </row>
    <row r="971" spans="1:67" ht="15.75" customHeight="1" x14ac:dyDescent="0.2">
      <c r="A971" s="3"/>
      <c r="B971" s="3"/>
      <c r="C971" s="3"/>
      <c r="D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  <c r="BD971" s="3"/>
      <c r="BE971" s="3"/>
      <c r="BF971" s="3"/>
      <c r="BG971" s="3"/>
      <c r="BH971" s="3"/>
      <c r="BI971" s="3"/>
      <c r="BJ971" s="3"/>
      <c r="BK971" s="3"/>
      <c r="BL971" s="3"/>
      <c r="BM971" s="3"/>
      <c r="BN971" s="3"/>
      <c r="BO971" s="3"/>
    </row>
    <row r="972" spans="1:67" ht="15.75" customHeight="1" x14ac:dyDescent="0.2">
      <c r="A972" s="3"/>
      <c r="B972" s="3"/>
      <c r="C972" s="3"/>
      <c r="D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  <c r="BD972" s="3"/>
      <c r="BE972" s="3"/>
      <c r="BF972" s="3"/>
      <c r="BG972" s="3"/>
      <c r="BH972" s="3"/>
      <c r="BI972" s="3"/>
      <c r="BJ972" s="3"/>
      <c r="BK972" s="3"/>
      <c r="BL972" s="3"/>
      <c r="BM972" s="3"/>
      <c r="BN972" s="3"/>
      <c r="BO972" s="3"/>
    </row>
    <row r="973" spans="1:67" ht="15.75" customHeight="1" x14ac:dyDescent="0.2">
      <c r="A973" s="3"/>
      <c r="B973" s="3"/>
      <c r="C973" s="3"/>
      <c r="D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  <c r="BD973" s="3"/>
      <c r="BE973" s="3"/>
      <c r="BF973" s="3"/>
      <c r="BG973" s="3"/>
      <c r="BH973" s="3"/>
      <c r="BI973" s="3"/>
      <c r="BJ973" s="3"/>
      <c r="BK973" s="3"/>
      <c r="BL973" s="3"/>
      <c r="BM973" s="3"/>
      <c r="BN973" s="3"/>
      <c r="BO973" s="3"/>
    </row>
    <row r="974" spans="1:67" ht="15.75" customHeight="1" x14ac:dyDescent="0.2">
      <c r="A974" s="3"/>
      <c r="B974" s="3"/>
      <c r="C974" s="3"/>
      <c r="D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  <c r="BD974" s="3"/>
      <c r="BE974" s="3"/>
      <c r="BF974" s="3"/>
      <c r="BG974" s="3"/>
      <c r="BH974" s="3"/>
      <c r="BI974" s="3"/>
      <c r="BJ974" s="3"/>
      <c r="BK974" s="3"/>
      <c r="BL974" s="3"/>
      <c r="BM974" s="3"/>
      <c r="BN974" s="3"/>
      <c r="BO974" s="3"/>
    </row>
    <row r="975" spans="1:67" ht="15.75" customHeight="1" x14ac:dyDescent="0.2">
      <c r="A975" s="3"/>
      <c r="B975" s="3"/>
      <c r="C975" s="3"/>
      <c r="D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  <c r="BD975" s="3"/>
      <c r="BE975" s="3"/>
      <c r="BF975" s="3"/>
      <c r="BG975" s="3"/>
      <c r="BH975" s="3"/>
      <c r="BI975" s="3"/>
      <c r="BJ975" s="3"/>
      <c r="BK975" s="3"/>
      <c r="BL975" s="3"/>
      <c r="BM975" s="3"/>
      <c r="BN975" s="3"/>
      <c r="BO975" s="3"/>
    </row>
    <row r="976" spans="1:67" ht="15.75" customHeight="1" x14ac:dyDescent="0.2">
      <c r="A976" s="3"/>
      <c r="B976" s="3"/>
      <c r="C976" s="3"/>
      <c r="D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  <c r="BD976" s="3"/>
      <c r="BE976" s="3"/>
      <c r="BF976" s="3"/>
      <c r="BG976" s="3"/>
      <c r="BH976" s="3"/>
      <c r="BI976" s="3"/>
      <c r="BJ976" s="3"/>
      <c r="BK976" s="3"/>
      <c r="BL976" s="3"/>
      <c r="BM976" s="3"/>
      <c r="BN976" s="3"/>
      <c r="BO976" s="3"/>
    </row>
    <row r="977" spans="1:67" ht="15.75" customHeight="1" x14ac:dyDescent="0.2">
      <c r="A977" s="3"/>
      <c r="B977" s="3"/>
      <c r="C977" s="3"/>
      <c r="D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  <c r="BD977" s="3"/>
      <c r="BE977" s="3"/>
      <c r="BF977" s="3"/>
      <c r="BG977" s="3"/>
      <c r="BH977" s="3"/>
      <c r="BI977" s="3"/>
      <c r="BJ977" s="3"/>
      <c r="BK977" s="3"/>
      <c r="BL977" s="3"/>
      <c r="BM977" s="3"/>
      <c r="BN977" s="3"/>
      <c r="BO977" s="3"/>
    </row>
    <row r="978" spans="1:67" ht="15.75" customHeight="1" x14ac:dyDescent="0.2">
      <c r="A978" s="3"/>
      <c r="B978" s="3"/>
      <c r="C978" s="3"/>
      <c r="D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  <c r="BD978" s="3"/>
      <c r="BE978" s="3"/>
      <c r="BF978" s="3"/>
      <c r="BG978" s="3"/>
      <c r="BH978" s="3"/>
      <c r="BI978" s="3"/>
      <c r="BJ978" s="3"/>
      <c r="BK978" s="3"/>
      <c r="BL978" s="3"/>
      <c r="BM978" s="3"/>
      <c r="BN978" s="3"/>
      <c r="BO978" s="3"/>
    </row>
    <row r="979" spans="1:67" ht="15.75" customHeight="1" x14ac:dyDescent="0.2">
      <c r="A979" s="3"/>
      <c r="B979" s="3"/>
      <c r="C979" s="3"/>
      <c r="D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  <c r="BD979" s="3"/>
      <c r="BE979" s="3"/>
      <c r="BF979" s="3"/>
      <c r="BG979" s="3"/>
      <c r="BH979" s="3"/>
      <c r="BI979" s="3"/>
      <c r="BJ979" s="3"/>
      <c r="BK979" s="3"/>
      <c r="BL979" s="3"/>
      <c r="BM979" s="3"/>
      <c r="BN979" s="3"/>
      <c r="BO979" s="3"/>
    </row>
    <row r="980" spans="1:67" ht="15.75" customHeight="1" x14ac:dyDescent="0.2">
      <c r="A980" s="3"/>
      <c r="B980" s="3"/>
      <c r="C980" s="3"/>
      <c r="D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  <c r="AY980" s="3"/>
      <c r="AZ980" s="3"/>
      <c r="BA980" s="3"/>
      <c r="BB980" s="3"/>
      <c r="BC980" s="3"/>
      <c r="BD980" s="3"/>
      <c r="BE980" s="3"/>
      <c r="BF980" s="3"/>
      <c r="BG980" s="3"/>
      <c r="BH980" s="3"/>
      <c r="BI980" s="3"/>
      <c r="BJ980" s="3"/>
      <c r="BK980" s="3"/>
      <c r="BL980" s="3"/>
      <c r="BM980" s="3"/>
      <c r="BN980" s="3"/>
      <c r="BO980" s="3"/>
    </row>
    <row r="981" spans="1:67" ht="15.75" customHeight="1" x14ac:dyDescent="0.2">
      <c r="A981" s="3"/>
      <c r="B981" s="3"/>
      <c r="C981" s="3"/>
      <c r="D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  <c r="AY981" s="3"/>
      <c r="AZ981" s="3"/>
      <c r="BA981" s="3"/>
      <c r="BB981" s="3"/>
      <c r="BC981" s="3"/>
      <c r="BD981" s="3"/>
      <c r="BE981" s="3"/>
      <c r="BF981" s="3"/>
      <c r="BG981" s="3"/>
      <c r="BH981" s="3"/>
      <c r="BI981" s="3"/>
      <c r="BJ981" s="3"/>
      <c r="BK981" s="3"/>
      <c r="BL981" s="3"/>
      <c r="BM981" s="3"/>
      <c r="BN981" s="3"/>
      <c r="BO981" s="3"/>
    </row>
    <row r="982" spans="1:67" ht="15.75" customHeight="1" x14ac:dyDescent="0.2">
      <c r="A982" s="3"/>
      <c r="B982" s="3"/>
      <c r="C982" s="3"/>
      <c r="D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  <c r="BD982" s="3"/>
      <c r="BE982" s="3"/>
      <c r="BF982" s="3"/>
      <c r="BG982" s="3"/>
      <c r="BH982" s="3"/>
      <c r="BI982" s="3"/>
      <c r="BJ982" s="3"/>
      <c r="BK982" s="3"/>
      <c r="BL982" s="3"/>
      <c r="BM982" s="3"/>
      <c r="BN982" s="3"/>
      <c r="BO982" s="3"/>
    </row>
    <row r="983" spans="1:67" ht="15.75" customHeight="1" x14ac:dyDescent="0.2">
      <c r="A983" s="3"/>
      <c r="B983" s="3"/>
      <c r="C983" s="3"/>
      <c r="D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  <c r="BD983" s="3"/>
      <c r="BE983" s="3"/>
      <c r="BF983" s="3"/>
      <c r="BG983" s="3"/>
      <c r="BH983" s="3"/>
      <c r="BI983" s="3"/>
      <c r="BJ983" s="3"/>
      <c r="BK983" s="3"/>
      <c r="BL983" s="3"/>
      <c r="BM983" s="3"/>
      <c r="BN983" s="3"/>
      <c r="BO983" s="3"/>
    </row>
    <row r="984" spans="1:67" ht="15.75" customHeight="1" x14ac:dyDescent="0.2">
      <c r="A984" s="3"/>
      <c r="B984" s="3"/>
      <c r="C984" s="3"/>
      <c r="D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  <c r="BD984" s="3"/>
      <c r="BE984" s="3"/>
      <c r="BF984" s="3"/>
      <c r="BG984" s="3"/>
      <c r="BH984" s="3"/>
      <c r="BI984" s="3"/>
      <c r="BJ984" s="3"/>
      <c r="BK984" s="3"/>
      <c r="BL984" s="3"/>
      <c r="BM984" s="3"/>
      <c r="BN984" s="3"/>
      <c r="BO984" s="3"/>
    </row>
    <row r="985" spans="1:67" ht="15.75" customHeight="1" x14ac:dyDescent="0.2">
      <c r="A985" s="3"/>
      <c r="B985" s="3"/>
      <c r="C985" s="3"/>
      <c r="D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  <c r="BD985" s="3"/>
      <c r="BE985" s="3"/>
      <c r="BF985" s="3"/>
      <c r="BG985" s="3"/>
      <c r="BH985" s="3"/>
      <c r="BI985" s="3"/>
      <c r="BJ985" s="3"/>
      <c r="BK985" s="3"/>
      <c r="BL985" s="3"/>
      <c r="BM985" s="3"/>
      <c r="BN985" s="3"/>
      <c r="BO985" s="3"/>
    </row>
    <row r="986" spans="1:67" ht="15.75" customHeight="1" x14ac:dyDescent="0.2">
      <c r="A986" s="3"/>
      <c r="B986" s="3"/>
      <c r="C986" s="3"/>
      <c r="D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  <c r="BD986" s="3"/>
      <c r="BE986" s="3"/>
      <c r="BF986" s="3"/>
      <c r="BG986" s="3"/>
      <c r="BH986" s="3"/>
      <c r="BI986" s="3"/>
      <c r="BJ986" s="3"/>
      <c r="BK986" s="3"/>
      <c r="BL986" s="3"/>
      <c r="BM986" s="3"/>
      <c r="BN986" s="3"/>
      <c r="BO986" s="3"/>
    </row>
    <row r="987" spans="1:67" ht="15.75" customHeight="1" x14ac:dyDescent="0.2">
      <c r="A987" s="3"/>
      <c r="B987" s="3"/>
      <c r="C987" s="3"/>
      <c r="D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  <c r="BD987" s="3"/>
      <c r="BE987" s="3"/>
      <c r="BF987" s="3"/>
      <c r="BG987" s="3"/>
      <c r="BH987" s="3"/>
      <c r="BI987" s="3"/>
      <c r="BJ987" s="3"/>
      <c r="BK987" s="3"/>
      <c r="BL987" s="3"/>
      <c r="BM987" s="3"/>
      <c r="BN987" s="3"/>
      <c r="BO987" s="3"/>
    </row>
    <row r="988" spans="1:67" ht="15.75" customHeight="1" x14ac:dyDescent="0.2">
      <c r="A988" s="3"/>
      <c r="B988" s="3"/>
      <c r="C988" s="3"/>
      <c r="D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  <c r="BD988" s="3"/>
      <c r="BE988" s="3"/>
      <c r="BF988" s="3"/>
      <c r="BG988" s="3"/>
      <c r="BH988" s="3"/>
      <c r="BI988" s="3"/>
      <c r="BJ988" s="3"/>
      <c r="BK988" s="3"/>
      <c r="BL988" s="3"/>
      <c r="BM988" s="3"/>
      <c r="BN988" s="3"/>
      <c r="BO988" s="3"/>
    </row>
    <row r="989" spans="1:67" ht="15.75" customHeight="1" x14ac:dyDescent="0.2">
      <c r="A989" s="3"/>
      <c r="B989" s="3"/>
      <c r="C989" s="3"/>
      <c r="D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  <c r="BD989" s="3"/>
      <c r="BE989" s="3"/>
      <c r="BF989" s="3"/>
      <c r="BG989" s="3"/>
      <c r="BH989" s="3"/>
      <c r="BI989" s="3"/>
      <c r="BJ989" s="3"/>
      <c r="BK989" s="3"/>
      <c r="BL989" s="3"/>
      <c r="BM989" s="3"/>
      <c r="BN989" s="3"/>
      <c r="BO989" s="3"/>
    </row>
    <row r="990" spans="1:67" ht="15.75" customHeight="1" x14ac:dyDescent="0.2">
      <c r="A990" s="3"/>
      <c r="B990" s="3"/>
      <c r="C990" s="3"/>
      <c r="D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  <c r="BD990" s="3"/>
      <c r="BE990" s="3"/>
      <c r="BF990" s="3"/>
      <c r="BG990" s="3"/>
      <c r="BH990" s="3"/>
      <c r="BI990" s="3"/>
      <c r="BJ990" s="3"/>
      <c r="BK990" s="3"/>
      <c r="BL990" s="3"/>
      <c r="BM990" s="3"/>
      <c r="BN990" s="3"/>
      <c r="BO990" s="3"/>
    </row>
    <row r="991" spans="1:67" ht="15.75" customHeight="1" x14ac:dyDescent="0.2">
      <c r="A991" s="3"/>
      <c r="B991" s="3"/>
      <c r="C991" s="3"/>
      <c r="D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  <c r="BD991" s="3"/>
      <c r="BE991" s="3"/>
      <c r="BF991" s="3"/>
      <c r="BG991" s="3"/>
      <c r="BH991" s="3"/>
      <c r="BI991" s="3"/>
      <c r="BJ991" s="3"/>
      <c r="BK991" s="3"/>
      <c r="BL991" s="3"/>
      <c r="BM991" s="3"/>
      <c r="BN991" s="3"/>
      <c r="BO991" s="3"/>
    </row>
    <row r="992" spans="1:67" ht="15.75" customHeight="1" x14ac:dyDescent="0.2">
      <c r="A992" s="3"/>
      <c r="B992" s="3"/>
      <c r="C992" s="3"/>
      <c r="D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  <c r="BD992" s="3"/>
      <c r="BE992" s="3"/>
      <c r="BF992" s="3"/>
      <c r="BG992" s="3"/>
      <c r="BH992" s="3"/>
      <c r="BI992" s="3"/>
      <c r="BJ992" s="3"/>
      <c r="BK992" s="3"/>
      <c r="BL992" s="3"/>
      <c r="BM992" s="3"/>
      <c r="BN992" s="3"/>
      <c r="BO992" s="3"/>
    </row>
    <row r="993" spans="1:67" ht="15.75" customHeight="1" x14ac:dyDescent="0.2">
      <c r="A993" s="3"/>
      <c r="B993" s="3"/>
      <c r="C993" s="3"/>
      <c r="D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  <c r="BD993" s="3"/>
      <c r="BE993" s="3"/>
      <c r="BF993" s="3"/>
      <c r="BG993" s="3"/>
      <c r="BH993" s="3"/>
      <c r="BI993" s="3"/>
      <c r="BJ993" s="3"/>
      <c r="BK993" s="3"/>
      <c r="BL993" s="3"/>
      <c r="BM993" s="3"/>
      <c r="BN993" s="3"/>
      <c r="BO993" s="3"/>
    </row>
    <row r="994" spans="1:67" ht="15.75" customHeight="1" x14ac:dyDescent="0.2">
      <c r="A994" s="3"/>
      <c r="B994" s="3"/>
      <c r="C994" s="3"/>
      <c r="D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  <c r="AY994" s="3"/>
      <c r="AZ994" s="3"/>
      <c r="BA994" s="3"/>
      <c r="BB994" s="3"/>
      <c r="BC994" s="3"/>
      <c r="BD994" s="3"/>
      <c r="BE994" s="3"/>
      <c r="BF994" s="3"/>
      <c r="BG994" s="3"/>
      <c r="BH994" s="3"/>
      <c r="BI994" s="3"/>
      <c r="BJ994" s="3"/>
      <c r="BK994" s="3"/>
      <c r="BL994" s="3"/>
      <c r="BM994" s="3"/>
      <c r="BN994" s="3"/>
      <c r="BO994" s="3"/>
    </row>
    <row r="995" spans="1:67" ht="15.75" customHeight="1" x14ac:dyDescent="0.2">
      <c r="A995" s="3"/>
      <c r="B995" s="3"/>
      <c r="C995" s="3"/>
      <c r="D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  <c r="AY995" s="3"/>
      <c r="AZ995" s="3"/>
      <c r="BA995" s="3"/>
      <c r="BB995" s="3"/>
      <c r="BC995" s="3"/>
      <c r="BD995" s="3"/>
      <c r="BE995" s="3"/>
      <c r="BF995" s="3"/>
      <c r="BG995" s="3"/>
      <c r="BH995" s="3"/>
      <c r="BI995" s="3"/>
      <c r="BJ995" s="3"/>
      <c r="BK995" s="3"/>
      <c r="BL995" s="3"/>
      <c r="BM995" s="3"/>
      <c r="BN995" s="3"/>
      <c r="BO995" s="3"/>
    </row>
    <row r="996" spans="1:67" ht="15.75" customHeight="1" x14ac:dyDescent="0.2">
      <c r="A996" s="3"/>
      <c r="B996" s="3"/>
      <c r="C996" s="3"/>
      <c r="D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  <c r="BD996" s="3"/>
      <c r="BE996" s="3"/>
      <c r="BF996" s="3"/>
      <c r="BG996" s="3"/>
      <c r="BH996" s="3"/>
      <c r="BI996" s="3"/>
      <c r="BJ996" s="3"/>
      <c r="BK996" s="3"/>
      <c r="BL996" s="3"/>
      <c r="BM996" s="3"/>
      <c r="BN996" s="3"/>
      <c r="BO996" s="3"/>
    </row>
    <row r="997" spans="1:67" ht="15.75" customHeight="1" x14ac:dyDescent="0.2">
      <c r="A997" s="3"/>
      <c r="B997" s="3"/>
      <c r="C997" s="3"/>
      <c r="D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  <c r="BD997" s="3"/>
      <c r="BE997" s="3"/>
      <c r="BF997" s="3"/>
      <c r="BG997" s="3"/>
      <c r="BH997" s="3"/>
      <c r="BI997" s="3"/>
      <c r="BJ997" s="3"/>
      <c r="BK997" s="3"/>
      <c r="BL997" s="3"/>
      <c r="BM997" s="3"/>
      <c r="BN997" s="3"/>
      <c r="BO997" s="3"/>
    </row>
    <row r="998" spans="1:67" ht="15.75" customHeight="1" x14ac:dyDescent="0.2">
      <c r="A998" s="3"/>
      <c r="B998" s="3"/>
      <c r="C998" s="3"/>
      <c r="D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  <c r="BD998" s="3"/>
      <c r="BE998" s="3"/>
      <c r="BF998" s="3"/>
      <c r="BG998" s="3"/>
      <c r="BH998" s="3"/>
      <c r="BI998" s="3"/>
      <c r="BJ998" s="3"/>
      <c r="BK998" s="3"/>
      <c r="BL998" s="3"/>
      <c r="BM998" s="3"/>
      <c r="BN998" s="3"/>
      <c r="BO998" s="3"/>
    </row>
    <row r="999" spans="1:67" ht="15.75" customHeight="1" x14ac:dyDescent="0.2">
      <c r="A999" s="3"/>
      <c r="B999" s="3"/>
      <c r="C999" s="3"/>
      <c r="D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  <c r="BD999" s="3"/>
      <c r="BE999" s="3"/>
      <c r="BF999" s="3"/>
      <c r="BG999" s="3"/>
      <c r="BH999" s="3"/>
      <c r="BI999" s="3"/>
      <c r="BJ999" s="3"/>
      <c r="BK999" s="3"/>
      <c r="BL999" s="3"/>
      <c r="BM999" s="3"/>
      <c r="BN999" s="3"/>
      <c r="BO999" s="3"/>
    </row>
    <row r="1000" spans="1:67" ht="15.75" customHeight="1" x14ac:dyDescent="0.2">
      <c r="A1000" s="3"/>
      <c r="B1000" s="3"/>
      <c r="C1000" s="3"/>
      <c r="D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  <c r="BD1000" s="3"/>
      <c r="BE1000" s="3"/>
      <c r="BF1000" s="3"/>
      <c r="BG1000" s="3"/>
      <c r="BH1000" s="3"/>
      <c r="BI1000" s="3"/>
      <c r="BJ1000" s="3"/>
      <c r="BK1000" s="3"/>
      <c r="BL1000" s="3"/>
      <c r="BM1000" s="3"/>
      <c r="BN1000" s="3"/>
      <c r="BO1000" s="3"/>
    </row>
    <row r="1048576" ht="12.75" customHeight="1" x14ac:dyDescent="0.2"/>
  </sheetData>
  <pageMargins left="0.7" right="0.7" top="2.3250000000000002" bottom="2.3250000000000002" header="0.511811023622047" footer="0.511811023622047"/>
  <pageSetup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O1048576"/>
  <sheetViews>
    <sheetView tabSelected="1" zoomScale="60" zoomScaleNormal="60" workbookViewId="0">
      <selection activeCell="I110" sqref="I110"/>
    </sheetView>
  </sheetViews>
  <sheetFormatPr defaultColWidth="11.5703125" defaultRowHeight="15" customHeight="1" x14ac:dyDescent="0.25"/>
  <cols>
    <col min="1" max="1" width="10" customWidth="1"/>
    <col min="2" max="1024" width="10.85546875" customWidth="1"/>
  </cols>
  <sheetData>
    <row r="1" spans="1:67" ht="12.75" customHeight="1" x14ac:dyDescent="0.25">
      <c r="A1" s="26"/>
      <c r="B1" s="3" t="str">
        <f>rebio23_80ml!B2</f>
        <v>Alo.dadayi</v>
      </c>
      <c r="C1" s="3" t="str">
        <f>rebio23_80ml!C2</f>
        <v>Alo.hamulata</v>
      </c>
      <c r="D1" s="3" t="str">
        <f>rebio23_80ml!D2</f>
        <v>Alonella.sp</v>
      </c>
      <c r="E1" s="3" t="str">
        <f>rebio23_80ml!E2</f>
        <v>Bdelloidea</v>
      </c>
      <c r="F1" s="3" t="str">
        <f>rebio23_80ml!F2</f>
        <v>Bra.patulus</v>
      </c>
      <c r="G1" s="3" t="str">
        <f>rebio23_80ml!G2</f>
        <v>Cephalodella.sp</v>
      </c>
      <c r="H1" s="3" t="str">
        <f>rebio23_80ml!H2</f>
        <v>Colurella.sp</v>
      </c>
      <c r="I1" s="3" t="str">
        <f>rebio23_80ml!I2</f>
        <v>Copepodite</v>
      </c>
      <c r="J1" s="3" t="str">
        <f>rebio23_80ml!J2</f>
        <v>Chydorus.sp</v>
      </c>
      <c r="K1" s="3" t="str">
        <f>rebio23_80ml!K2</f>
        <v>Dicranophoroides.sp</v>
      </c>
      <c r="L1" s="3" t="str">
        <f>rebio23_80ml!L2</f>
        <v>Dia.birgei</v>
      </c>
      <c r="M1" s="3" t="str">
        <f>rebio23_80ml!M2</f>
        <v>Dia.spinulosum</v>
      </c>
      <c r="N1" s="3" t="str">
        <f>rebio23_80ml!N2</f>
        <v>Dis.aculeata</v>
      </c>
      <c r="O1" s="3" t="str">
        <f>rebio23_80ml!O2</f>
        <v>Euc.dilatata</v>
      </c>
      <c r="P1" s="3" t="str">
        <f>rebio23_80ml!P2</f>
        <v>Fil.longiseta</v>
      </c>
      <c r="Q1" s="3" t="str">
        <f>rebio23_80ml!Q2</f>
        <v>Ily.spinifer</v>
      </c>
      <c r="R1" s="3" t="str">
        <f>rebio23_80ml!R2</f>
        <v>Lec.aculeata</v>
      </c>
      <c r="S1" s="3" t="str">
        <f>rebio23_80ml!S2</f>
        <v>Lec.bulla</v>
      </c>
      <c r="T1" s="3" t="str">
        <f>rebio23_80ml!T2</f>
        <v>Lec.cornuta</v>
      </c>
      <c r="U1" s="3" t="str">
        <f>rebio23_80ml!U2</f>
        <v>Lec.crepida</v>
      </c>
      <c r="V1" s="3" t="str">
        <f>rebio23_80ml!V2</f>
        <v>Lec.curvicornis</v>
      </c>
      <c r="W1" s="3" t="str">
        <f>rebio23_80ml!W2</f>
        <v>Lec.furcata</v>
      </c>
      <c r="X1" s="3" t="str">
        <f>rebio23_80ml!X2</f>
        <v>Lecane.sp1</v>
      </c>
      <c r="Y1" s="3" t="str">
        <f>rebio23_80ml!Y2</f>
        <v>Lec.leontina</v>
      </c>
      <c r="Z1" s="3" t="str">
        <f>rebio23_80ml!Z2</f>
        <v>Lec.lunaris</v>
      </c>
      <c r="AA1" s="3" t="str">
        <f>rebio23_80ml!AA2</f>
        <v>Lec.luna</v>
      </c>
      <c r="AB1" s="3" t="str">
        <f>rebio23_80ml!AB2</f>
        <v>Lec.monostyla</v>
      </c>
      <c r="AC1" s="3" t="str">
        <f>rebio23_80ml!AC2</f>
        <v>Lecane.sp2</v>
      </c>
      <c r="AD1" s="3" t="str">
        <f>rebio23_80ml!AD2</f>
        <v>Lec.papuana</v>
      </c>
      <c r="AE1" s="3" t="str">
        <f>rebio23_80ml!AE2</f>
        <v>Lec.quadridentata</v>
      </c>
      <c r="AF1" s="3" t="str">
        <f>rebio23_80ml!AF2</f>
        <v>Lecane.sp3</v>
      </c>
      <c r="AG1" s="3" t="str">
        <f>rebio23_80ml!AG2</f>
        <v>Leydigia.sp</v>
      </c>
      <c r="AH1" s="3" t="str">
        <f>rebio23_80ml!AH2</f>
        <v>Lepadella.sp1</v>
      </c>
      <c r="AI1" s="3" t="str">
        <f>rebio23_80ml!AI2</f>
        <v>Lepadella.sp2</v>
      </c>
      <c r="AJ1" s="3" t="str">
        <f>rebio23_80ml!AJ2</f>
        <v>Lep.ovalis</v>
      </c>
      <c r="AK1" s="3" t="str">
        <f>rebio23_80ml!AK2</f>
        <v>Lep.patella</v>
      </c>
      <c r="AL1" s="3" t="str">
        <f>rebio23_80ml!AL2</f>
        <v>Mesocyclops.sp</v>
      </c>
      <c r="AM1" s="3" t="str">
        <f>rebio23_80ml!AM2</f>
        <v>Macrocyclops.sp</v>
      </c>
      <c r="AN1" s="3" t="str">
        <f>rebio23_80ml!AN2</f>
        <v>Macrochaetus.sp</v>
      </c>
      <c r="AO1" s="3" t="str">
        <f>rebio23_80ml!AO2</f>
        <v>Macrothrix.sp</v>
      </c>
      <c r="AP1" s="3" t="str">
        <f>rebio23_80ml!AP2</f>
        <v>Mac.mira</v>
      </c>
      <c r="AQ1" s="3" t="str">
        <f>rebio23_80ml!AQ2</f>
        <v>Mac.laticornis</v>
      </c>
      <c r="AR1" s="3" t="str">
        <f>rebio23_80ml!AR2</f>
        <v>Moi.minuta</v>
      </c>
      <c r="AS1" s="3" t="str">
        <f>rebio23_80ml!AS2</f>
        <v>Myt.crassipes</v>
      </c>
      <c r="AT1" s="3" t="str">
        <f>rebio23_80ml!AT2</f>
        <v>Mytilina.sp</v>
      </c>
      <c r="AU1" s="3" t="str">
        <f>rebio23_80ml!AU2</f>
        <v>Myt.bisulcata</v>
      </c>
      <c r="AV1" s="3" t="str">
        <f>rebio23_80ml!AV2</f>
        <v>Nauplii</v>
      </c>
      <c r="AW1" s="3" t="str">
        <f>rebio23_80ml!AW2</f>
        <v>Notodiaptomus.sp</v>
      </c>
      <c r="AX1" s="3" t="str">
        <f>rebio23_80ml!AX2</f>
        <v>Paracyclops.sp</v>
      </c>
      <c r="AY1" s="3" t="str">
        <f>rebio23_80ml!AY2</f>
        <v>Pla.quadricornis</v>
      </c>
      <c r="AZ1" s="3" t="str">
        <f>rebio23_80ml!AZ2</f>
        <v>Polyarthra.sp</v>
      </c>
      <c r="BA1" s="3" t="str">
        <f>rebio23_80ml!BA2</f>
        <v>Pol.bicerca</v>
      </c>
      <c r="BB1" s="3" t="str">
        <f>rebio23_80ml!BB2</f>
        <v>Pol.dolichoptera</v>
      </c>
      <c r="BC1" s="3" t="str">
        <f>rebio23_80ml!BC2</f>
        <v>Pol.vulgaris</v>
      </c>
      <c r="BD1" s="3" t="str">
        <f>rebio23_80ml!BD2</f>
        <v>Tes.patina</v>
      </c>
      <c r="BE1" s="3" t="str">
        <f>rebio23_80ml!BE2</f>
        <v>Tes.mucronata</v>
      </c>
      <c r="BF1" s="3" t="str">
        <f>rebio23_80ml!BF2</f>
        <v>Trichocerca.sp</v>
      </c>
      <c r="BG1" s="3" t="str">
        <f>rebio23_80ml!BG2</f>
        <v>Tri.tetractis</v>
      </c>
      <c r="BI1" s="3"/>
      <c r="BJ1" s="3"/>
      <c r="BK1" s="3"/>
      <c r="BL1" s="3"/>
      <c r="BM1" s="3"/>
      <c r="BN1" s="3"/>
      <c r="BO1" s="3"/>
    </row>
    <row r="2" spans="1:67" ht="12.75" customHeight="1" x14ac:dyDescent="0.25">
      <c r="A2" s="15" t="str">
        <f>rebio23_80ml!A3</f>
        <v>S-B-P05-H1</v>
      </c>
      <c r="B2" s="27">
        <f>rebio23_80ml!B3/50</f>
        <v>0</v>
      </c>
      <c r="C2" s="27">
        <f>rebio23_80ml!C3/50</f>
        <v>0</v>
      </c>
      <c r="D2" s="27">
        <f>rebio23_80ml!D3/50</f>
        <v>0</v>
      </c>
      <c r="E2" s="27">
        <f>rebio23_80ml!E3/50</f>
        <v>0.74</v>
      </c>
      <c r="F2" s="27">
        <f>rebio23_80ml!F3/50</f>
        <v>0</v>
      </c>
      <c r="G2" s="27">
        <f>rebio23_80ml!G3/50</f>
        <v>0</v>
      </c>
      <c r="H2" s="27">
        <f>rebio23_80ml!H3/50</f>
        <v>0</v>
      </c>
      <c r="I2" s="27">
        <f>rebio23_80ml!I3/50</f>
        <v>0</v>
      </c>
      <c r="J2" s="27">
        <f>rebio23_80ml!J3/50</f>
        <v>0</v>
      </c>
      <c r="K2" s="27">
        <f>rebio23_80ml!K3/50</f>
        <v>0</v>
      </c>
      <c r="L2" s="27">
        <f>rebio23_80ml!L3/50</f>
        <v>0</v>
      </c>
      <c r="M2" s="27">
        <f>rebio23_80ml!M3/50</f>
        <v>0</v>
      </c>
      <c r="N2" s="27">
        <f>rebio23_80ml!N3/50</f>
        <v>0</v>
      </c>
      <c r="O2" s="27">
        <f>rebio23_80ml!O3/50</f>
        <v>0</v>
      </c>
      <c r="P2" s="27">
        <f>rebio23_80ml!P3/50</f>
        <v>0</v>
      </c>
      <c r="Q2" s="27">
        <f>rebio23_80ml!Q3/50</f>
        <v>0</v>
      </c>
      <c r="R2" s="27">
        <f>rebio23_80ml!R3/50</f>
        <v>0</v>
      </c>
      <c r="S2" s="27">
        <f>rebio23_80ml!S3/50</f>
        <v>0.02</v>
      </c>
      <c r="T2" s="27">
        <f>rebio23_80ml!T3/50</f>
        <v>0</v>
      </c>
      <c r="U2" s="27">
        <f>rebio23_80ml!U3/50</f>
        <v>0</v>
      </c>
      <c r="V2" s="27">
        <f>rebio23_80ml!V3/50</f>
        <v>0</v>
      </c>
      <c r="W2" s="27">
        <f>rebio23_80ml!W3/50</f>
        <v>0</v>
      </c>
      <c r="X2" s="27">
        <f>rebio23_80ml!X3/50</f>
        <v>0</v>
      </c>
      <c r="Y2" s="27">
        <f>rebio23_80ml!Y3/50</f>
        <v>0</v>
      </c>
      <c r="Z2" s="27">
        <f>rebio23_80ml!Z3/50</f>
        <v>0</v>
      </c>
      <c r="AA2" s="27">
        <f>rebio23_80ml!AA3/50</f>
        <v>0</v>
      </c>
      <c r="AB2" s="27">
        <f>rebio23_80ml!AB3/50</f>
        <v>0</v>
      </c>
      <c r="AC2" s="27">
        <f>rebio23_80ml!AC3/50</f>
        <v>0</v>
      </c>
      <c r="AD2" s="27">
        <f>rebio23_80ml!AD3/50</f>
        <v>0</v>
      </c>
      <c r="AE2" s="27">
        <f>rebio23_80ml!AE3/50</f>
        <v>0</v>
      </c>
      <c r="AF2" s="27">
        <f>rebio23_80ml!AF3/50</f>
        <v>0</v>
      </c>
      <c r="AG2" s="27">
        <f>rebio23_80ml!AG3/50</f>
        <v>0</v>
      </c>
      <c r="AH2" s="27">
        <f>rebio23_80ml!AH3/50</f>
        <v>0</v>
      </c>
      <c r="AI2" s="27">
        <f>rebio23_80ml!AI3/50</f>
        <v>0</v>
      </c>
      <c r="AJ2" s="27">
        <f>rebio23_80ml!AJ3/50</f>
        <v>0</v>
      </c>
      <c r="AK2" s="27">
        <f>rebio23_80ml!AK3/50</f>
        <v>0</v>
      </c>
      <c r="AL2" s="27">
        <f>rebio23_80ml!AL3/50</f>
        <v>0</v>
      </c>
      <c r="AM2" s="27">
        <f>rebio23_80ml!AM3/50</f>
        <v>0</v>
      </c>
      <c r="AN2" s="27">
        <f>rebio23_80ml!AN3/50</f>
        <v>0</v>
      </c>
      <c r="AO2" s="27">
        <f>rebio23_80ml!AO3/50</f>
        <v>0</v>
      </c>
      <c r="AP2" s="27">
        <f>rebio23_80ml!AP3/50</f>
        <v>0</v>
      </c>
      <c r="AQ2" s="27">
        <f>rebio23_80ml!AQ3/50</f>
        <v>0</v>
      </c>
      <c r="AR2" s="27">
        <f>rebio23_80ml!AR3/50</f>
        <v>0</v>
      </c>
      <c r="AS2" s="27">
        <f>rebio23_80ml!AS3/50</f>
        <v>0</v>
      </c>
      <c r="AT2" s="27">
        <f>rebio23_80ml!AT3/50</f>
        <v>0</v>
      </c>
      <c r="AU2" s="27">
        <f>rebio23_80ml!AU3/50</f>
        <v>0</v>
      </c>
      <c r="AV2" s="27">
        <f>rebio23_80ml!AV3/50</f>
        <v>0.06</v>
      </c>
      <c r="AW2" s="27">
        <f>rebio23_80ml!AW3/50</f>
        <v>0</v>
      </c>
      <c r="AX2" s="27">
        <f>rebio23_80ml!AX3/50</f>
        <v>0.02</v>
      </c>
      <c r="AY2" s="27">
        <f>rebio23_80ml!AY3/50</f>
        <v>0</v>
      </c>
      <c r="AZ2" s="27">
        <f>rebio23_80ml!AZ3/50</f>
        <v>0.02</v>
      </c>
      <c r="BA2" s="27">
        <f>rebio23_80ml!BA3/50</f>
        <v>0</v>
      </c>
      <c r="BB2" s="27">
        <f>rebio23_80ml!BB3/50</f>
        <v>0.02</v>
      </c>
      <c r="BC2" s="27">
        <f>rebio23_80ml!BC3/50</f>
        <v>0</v>
      </c>
      <c r="BD2" s="27">
        <f>rebio23_80ml!BD3/50</f>
        <v>0</v>
      </c>
      <c r="BE2" s="27">
        <f>rebio23_80ml!BE3/50</f>
        <v>0</v>
      </c>
      <c r="BF2" s="27">
        <f>rebio23_80ml!BF3/50</f>
        <v>0</v>
      </c>
      <c r="BG2" s="27">
        <f>rebio23_80ml!BG3/50</f>
        <v>0</v>
      </c>
    </row>
    <row r="3" spans="1:67" ht="12.75" customHeight="1" x14ac:dyDescent="0.25">
      <c r="A3" s="15" t="str">
        <f>rebio23_80ml!A4</f>
        <v>S-B-P05-H2</v>
      </c>
      <c r="B3" s="27">
        <f>rebio23_80ml!B4/50</f>
        <v>0</v>
      </c>
      <c r="C3" s="27">
        <f>rebio23_80ml!C4/50</f>
        <v>0</v>
      </c>
      <c r="D3" s="27">
        <f>rebio23_80ml!D4/50</f>
        <v>0</v>
      </c>
      <c r="E3" s="27">
        <f>rebio23_80ml!E4/50</f>
        <v>0.46</v>
      </c>
      <c r="F3" s="27">
        <f>rebio23_80ml!F4/50</f>
        <v>0</v>
      </c>
      <c r="G3" s="27">
        <f>rebio23_80ml!G4/50</f>
        <v>0</v>
      </c>
      <c r="H3" s="27">
        <f>rebio23_80ml!H4/50</f>
        <v>0</v>
      </c>
      <c r="I3" s="27">
        <f>rebio23_80ml!I4/50</f>
        <v>0.08</v>
      </c>
      <c r="J3" s="27">
        <f>rebio23_80ml!J4/50</f>
        <v>0</v>
      </c>
      <c r="K3" s="27">
        <f>rebio23_80ml!K4/50</f>
        <v>0</v>
      </c>
      <c r="L3" s="27">
        <f>rebio23_80ml!L4/50</f>
        <v>0</v>
      </c>
      <c r="M3" s="27">
        <f>rebio23_80ml!M4/50</f>
        <v>0</v>
      </c>
      <c r="N3" s="27">
        <f>rebio23_80ml!N4/50</f>
        <v>0</v>
      </c>
      <c r="O3" s="27">
        <f>rebio23_80ml!O4/50</f>
        <v>0</v>
      </c>
      <c r="P3" s="27">
        <f>rebio23_80ml!P4/50</f>
        <v>0</v>
      </c>
      <c r="Q3" s="27">
        <f>rebio23_80ml!Q4/50</f>
        <v>0</v>
      </c>
      <c r="R3" s="27">
        <f>rebio23_80ml!R4/50</f>
        <v>0</v>
      </c>
      <c r="S3" s="27">
        <f>rebio23_80ml!S4/50</f>
        <v>0</v>
      </c>
      <c r="T3" s="27">
        <f>rebio23_80ml!T4/50</f>
        <v>0</v>
      </c>
      <c r="U3" s="27">
        <f>rebio23_80ml!U4/50</f>
        <v>0</v>
      </c>
      <c r="V3" s="27">
        <f>rebio23_80ml!V4/50</f>
        <v>0</v>
      </c>
      <c r="W3" s="27">
        <f>rebio23_80ml!W4/50</f>
        <v>0</v>
      </c>
      <c r="X3" s="27">
        <f>rebio23_80ml!X4/50</f>
        <v>0</v>
      </c>
      <c r="Y3" s="27">
        <f>rebio23_80ml!Y4/50</f>
        <v>0</v>
      </c>
      <c r="Z3" s="27">
        <f>rebio23_80ml!Z4/50</f>
        <v>0</v>
      </c>
      <c r="AA3" s="27">
        <f>rebio23_80ml!AA4/50</f>
        <v>0</v>
      </c>
      <c r="AB3" s="27">
        <f>rebio23_80ml!AB4/50</f>
        <v>0</v>
      </c>
      <c r="AC3" s="27">
        <f>rebio23_80ml!AC4/50</f>
        <v>0</v>
      </c>
      <c r="AD3" s="27">
        <f>rebio23_80ml!AD4/50</f>
        <v>0</v>
      </c>
      <c r="AE3" s="27">
        <f>rebio23_80ml!AE4/50</f>
        <v>0</v>
      </c>
      <c r="AF3" s="27">
        <f>rebio23_80ml!AF4/50</f>
        <v>0</v>
      </c>
      <c r="AG3" s="27">
        <f>rebio23_80ml!AG4/50</f>
        <v>0</v>
      </c>
      <c r="AH3" s="27">
        <f>rebio23_80ml!AH4/50</f>
        <v>0</v>
      </c>
      <c r="AI3" s="27">
        <f>rebio23_80ml!AI4/50</f>
        <v>0</v>
      </c>
      <c r="AJ3" s="27">
        <f>rebio23_80ml!AJ4/50</f>
        <v>0</v>
      </c>
      <c r="AK3" s="27">
        <f>rebio23_80ml!AK4/50</f>
        <v>0</v>
      </c>
      <c r="AL3" s="27">
        <f>rebio23_80ml!AL4/50</f>
        <v>0</v>
      </c>
      <c r="AM3" s="27">
        <f>rebio23_80ml!AM4/50</f>
        <v>0</v>
      </c>
      <c r="AN3" s="27">
        <f>rebio23_80ml!AN4/50</f>
        <v>0</v>
      </c>
      <c r="AO3" s="27">
        <f>rebio23_80ml!AO4/50</f>
        <v>0.02</v>
      </c>
      <c r="AP3" s="27">
        <f>rebio23_80ml!AP4/50</f>
        <v>0</v>
      </c>
      <c r="AQ3" s="27">
        <f>rebio23_80ml!AQ4/50</f>
        <v>0</v>
      </c>
      <c r="AR3" s="27">
        <f>rebio23_80ml!AR4/50</f>
        <v>0</v>
      </c>
      <c r="AS3" s="27">
        <f>rebio23_80ml!AS4/50</f>
        <v>0</v>
      </c>
      <c r="AT3" s="27">
        <f>rebio23_80ml!AT4/50</f>
        <v>0</v>
      </c>
      <c r="AU3" s="27">
        <f>rebio23_80ml!AU4/50</f>
        <v>0</v>
      </c>
      <c r="AV3" s="27">
        <f>rebio23_80ml!AV4/50</f>
        <v>0</v>
      </c>
      <c r="AW3" s="27">
        <f>rebio23_80ml!AW4/50</f>
        <v>0</v>
      </c>
      <c r="AX3" s="27">
        <f>rebio23_80ml!AX4/50</f>
        <v>0.02</v>
      </c>
      <c r="AY3" s="27">
        <f>rebio23_80ml!AY4/50</f>
        <v>0</v>
      </c>
      <c r="AZ3" s="27">
        <f>rebio23_80ml!AZ4/50</f>
        <v>0</v>
      </c>
      <c r="BA3" s="27">
        <f>rebio23_80ml!BA4/50</f>
        <v>0</v>
      </c>
      <c r="BB3" s="27">
        <f>rebio23_80ml!BB4/50</f>
        <v>0</v>
      </c>
      <c r="BC3" s="27">
        <f>rebio23_80ml!BC4/50</f>
        <v>0</v>
      </c>
      <c r="BD3" s="27">
        <f>rebio23_80ml!BD4/50</f>
        <v>0</v>
      </c>
      <c r="BE3" s="27">
        <f>rebio23_80ml!BE4/50</f>
        <v>0</v>
      </c>
      <c r="BF3" s="27">
        <f>rebio23_80ml!BF4/50</f>
        <v>0</v>
      </c>
      <c r="BG3" s="27">
        <f>rebio23_80ml!BG4/50</f>
        <v>0</v>
      </c>
    </row>
    <row r="4" spans="1:67" ht="12.75" customHeight="1" x14ac:dyDescent="0.25">
      <c r="A4" s="15" t="str">
        <f>rebio23_80ml!A5</f>
        <v>S-B-P05-H3</v>
      </c>
      <c r="B4" s="27">
        <f>rebio23_80ml!B5/50</f>
        <v>0</v>
      </c>
      <c r="C4" s="27">
        <f>rebio23_80ml!C5/50</f>
        <v>0</v>
      </c>
      <c r="D4" s="27">
        <f>rebio23_80ml!D5/50</f>
        <v>0</v>
      </c>
      <c r="E4" s="27">
        <f>rebio23_80ml!E5/50</f>
        <v>0.64</v>
      </c>
      <c r="F4" s="27">
        <f>rebio23_80ml!F5/50</f>
        <v>0</v>
      </c>
      <c r="G4" s="27">
        <f>rebio23_80ml!G5/50</f>
        <v>0</v>
      </c>
      <c r="H4" s="27">
        <f>rebio23_80ml!H5/50</f>
        <v>0</v>
      </c>
      <c r="I4" s="27">
        <f>rebio23_80ml!I5/50</f>
        <v>0.04</v>
      </c>
      <c r="J4" s="27">
        <f>rebio23_80ml!J5/50</f>
        <v>0</v>
      </c>
      <c r="K4" s="27">
        <f>rebio23_80ml!K5/50</f>
        <v>0</v>
      </c>
      <c r="L4" s="27">
        <f>rebio23_80ml!L5/50</f>
        <v>0</v>
      </c>
      <c r="M4" s="27">
        <f>rebio23_80ml!M5/50</f>
        <v>0</v>
      </c>
      <c r="N4" s="27">
        <f>rebio23_80ml!N5/50</f>
        <v>0</v>
      </c>
      <c r="O4" s="27">
        <f>rebio23_80ml!O5/50</f>
        <v>0</v>
      </c>
      <c r="P4" s="27">
        <f>rebio23_80ml!P5/50</f>
        <v>0</v>
      </c>
      <c r="Q4" s="27">
        <f>rebio23_80ml!Q5/50</f>
        <v>0</v>
      </c>
      <c r="R4" s="27">
        <f>rebio23_80ml!R5/50</f>
        <v>0</v>
      </c>
      <c r="S4" s="27">
        <f>rebio23_80ml!S5/50</f>
        <v>0.04</v>
      </c>
      <c r="T4" s="27">
        <f>rebio23_80ml!T5/50</f>
        <v>0</v>
      </c>
      <c r="U4" s="27">
        <f>rebio23_80ml!U5/50</f>
        <v>0</v>
      </c>
      <c r="V4" s="27">
        <f>rebio23_80ml!V5/50</f>
        <v>0</v>
      </c>
      <c r="W4" s="27">
        <f>rebio23_80ml!W5/50</f>
        <v>0</v>
      </c>
      <c r="X4" s="27">
        <f>rebio23_80ml!X5/50</f>
        <v>0</v>
      </c>
      <c r="Y4" s="27">
        <f>rebio23_80ml!Y5/50</f>
        <v>0</v>
      </c>
      <c r="Z4" s="27">
        <f>rebio23_80ml!Z5/50</f>
        <v>0</v>
      </c>
      <c r="AA4" s="27">
        <f>rebio23_80ml!AA5/50</f>
        <v>0</v>
      </c>
      <c r="AB4" s="27">
        <f>rebio23_80ml!AB5/50</f>
        <v>0</v>
      </c>
      <c r="AC4" s="27">
        <f>rebio23_80ml!AC5/50</f>
        <v>0</v>
      </c>
      <c r="AD4" s="27">
        <f>rebio23_80ml!AD5/50</f>
        <v>0</v>
      </c>
      <c r="AE4" s="27">
        <f>rebio23_80ml!AE5/50</f>
        <v>0</v>
      </c>
      <c r="AF4" s="27">
        <f>rebio23_80ml!AF5/50</f>
        <v>0</v>
      </c>
      <c r="AG4" s="27">
        <f>rebio23_80ml!AG5/50</f>
        <v>0</v>
      </c>
      <c r="AH4" s="27">
        <f>rebio23_80ml!AH5/50</f>
        <v>0</v>
      </c>
      <c r="AI4" s="27">
        <f>rebio23_80ml!AI5/50</f>
        <v>0</v>
      </c>
      <c r="AJ4" s="27">
        <f>rebio23_80ml!AJ5/50</f>
        <v>0</v>
      </c>
      <c r="AK4" s="27">
        <f>rebio23_80ml!AK5/50</f>
        <v>0</v>
      </c>
      <c r="AL4" s="27">
        <f>rebio23_80ml!AL5/50</f>
        <v>0</v>
      </c>
      <c r="AM4" s="27">
        <f>rebio23_80ml!AM5/50</f>
        <v>0</v>
      </c>
      <c r="AN4" s="27">
        <f>rebio23_80ml!AN5/50</f>
        <v>0</v>
      </c>
      <c r="AO4" s="27">
        <f>rebio23_80ml!AO5/50</f>
        <v>0</v>
      </c>
      <c r="AP4" s="27">
        <f>rebio23_80ml!AP5/50</f>
        <v>0</v>
      </c>
      <c r="AQ4" s="27">
        <f>rebio23_80ml!AQ5/50</f>
        <v>0</v>
      </c>
      <c r="AR4" s="27">
        <f>rebio23_80ml!AR5/50</f>
        <v>0</v>
      </c>
      <c r="AS4" s="27">
        <f>rebio23_80ml!AS5/50</f>
        <v>0</v>
      </c>
      <c r="AT4" s="27">
        <f>rebio23_80ml!AT5/50</f>
        <v>0</v>
      </c>
      <c r="AU4" s="27">
        <f>rebio23_80ml!AU5/50</f>
        <v>0</v>
      </c>
      <c r="AV4" s="27">
        <f>rebio23_80ml!AV5/50</f>
        <v>0.12</v>
      </c>
      <c r="AW4" s="27">
        <f>rebio23_80ml!AW5/50</f>
        <v>0</v>
      </c>
      <c r="AX4" s="27">
        <f>rebio23_80ml!AX5/50</f>
        <v>0</v>
      </c>
      <c r="AY4" s="27">
        <f>rebio23_80ml!AY5/50</f>
        <v>0</v>
      </c>
      <c r="AZ4" s="27">
        <f>rebio23_80ml!AZ5/50</f>
        <v>0</v>
      </c>
      <c r="BA4" s="27">
        <f>rebio23_80ml!BA5/50</f>
        <v>0</v>
      </c>
      <c r="BB4" s="27">
        <f>rebio23_80ml!BB5/50</f>
        <v>0</v>
      </c>
      <c r="BC4" s="27">
        <f>rebio23_80ml!BC5/50</f>
        <v>0</v>
      </c>
      <c r="BD4" s="27">
        <f>rebio23_80ml!BD5/50</f>
        <v>0</v>
      </c>
      <c r="BE4" s="27">
        <f>rebio23_80ml!BE5/50</f>
        <v>0</v>
      </c>
      <c r="BF4" s="27">
        <f>rebio23_80ml!BF5/50</f>
        <v>0</v>
      </c>
      <c r="BG4" s="27">
        <f>rebio23_80ml!BG5/50</f>
        <v>0</v>
      </c>
    </row>
    <row r="5" spans="1:67" ht="12.75" customHeight="1" x14ac:dyDescent="0.25">
      <c r="A5" s="15" t="str">
        <f>rebio23_80ml!A6</f>
        <v>S-B-P06-H1</v>
      </c>
      <c r="B5" s="27">
        <f>rebio23_80ml!B6/50</f>
        <v>0</v>
      </c>
      <c r="C5" s="27">
        <f>rebio23_80ml!C6/50</f>
        <v>0</v>
      </c>
      <c r="D5" s="27">
        <f>rebio23_80ml!D6/50</f>
        <v>0</v>
      </c>
      <c r="E5" s="27">
        <f>rebio23_80ml!E6/50</f>
        <v>0.64</v>
      </c>
      <c r="F5" s="27">
        <f>rebio23_80ml!F6/50</f>
        <v>0</v>
      </c>
      <c r="G5" s="27">
        <f>rebio23_80ml!G6/50</f>
        <v>0</v>
      </c>
      <c r="H5" s="27">
        <f>rebio23_80ml!H6/50</f>
        <v>0</v>
      </c>
      <c r="I5" s="27">
        <f>rebio23_80ml!I6/50</f>
        <v>0</v>
      </c>
      <c r="J5" s="27">
        <f>rebio23_80ml!J6/50</f>
        <v>0</v>
      </c>
      <c r="K5" s="27">
        <f>rebio23_80ml!K6/50</f>
        <v>0</v>
      </c>
      <c r="L5" s="27">
        <f>rebio23_80ml!L6/50</f>
        <v>0</v>
      </c>
      <c r="M5" s="27">
        <f>rebio23_80ml!M6/50</f>
        <v>0</v>
      </c>
      <c r="N5" s="27">
        <f>rebio23_80ml!N6/50</f>
        <v>0</v>
      </c>
      <c r="O5" s="27">
        <f>rebio23_80ml!O6/50</f>
        <v>0</v>
      </c>
      <c r="P5" s="27">
        <f>rebio23_80ml!P6/50</f>
        <v>0</v>
      </c>
      <c r="Q5" s="27">
        <f>rebio23_80ml!Q6/50</f>
        <v>0</v>
      </c>
      <c r="R5" s="27">
        <f>rebio23_80ml!R6/50</f>
        <v>0</v>
      </c>
      <c r="S5" s="27">
        <f>rebio23_80ml!S6/50</f>
        <v>0</v>
      </c>
      <c r="T5" s="27">
        <f>rebio23_80ml!T6/50</f>
        <v>0</v>
      </c>
      <c r="U5" s="27">
        <f>rebio23_80ml!U6/50</f>
        <v>0</v>
      </c>
      <c r="V5" s="27">
        <f>rebio23_80ml!V6/50</f>
        <v>0</v>
      </c>
      <c r="W5" s="27">
        <f>rebio23_80ml!W6/50</f>
        <v>0</v>
      </c>
      <c r="X5" s="27">
        <f>rebio23_80ml!X6/50</f>
        <v>0</v>
      </c>
      <c r="Y5" s="27">
        <f>rebio23_80ml!Y6/50</f>
        <v>0</v>
      </c>
      <c r="Z5" s="27">
        <f>rebio23_80ml!Z6/50</f>
        <v>0</v>
      </c>
      <c r="AA5" s="27">
        <f>rebio23_80ml!AA6/50</f>
        <v>0</v>
      </c>
      <c r="AB5" s="27">
        <f>rebio23_80ml!AB6/50</f>
        <v>0</v>
      </c>
      <c r="AC5" s="27">
        <f>rebio23_80ml!AC6/50</f>
        <v>0</v>
      </c>
      <c r="AD5" s="27">
        <f>rebio23_80ml!AD6/50</f>
        <v>0</v>
      </c>
      <c r="AE5" s="27">
        <f>rebio23_80ml!AE6/50</f>
        <v>0</v>
      </c>
      <c r="AF5" s="27">
        <f>rebio23_80ml!AF6/50</f>
        <v>0</v>
      </c>
      <c r="AG5" s="27">
        <f>rebio23_80ml!AG6/50</f>
        <v>0</v>
      </c>
      <c r="AH5" s="27">
        <f>rebio23_80ml!AH6/50</f>
        <v>0</v>
      </c>
      <c r="AI5" s="27">
        <f>rebio23_80ml!AI6/50</f>
        <v>0</v>
      </c>
      <c r="AJ5" s="27">
        <f>rebio23_80ml!AJ6/50</f>
        <v>0</v>
      </c>
      <c r="AK5" s="27">
        <f>rebio23_80ml!AK6/50</f>
        <v>0</v>
      </c>
      <c r="AL5" s="27">
        <f>rebio23_80ml!AL6/50</f>
        <v>0</v>
      </c>
      <c r="AM5" s="27">
        <f>rebio23_80ml!AM6/50</f>
        <v>0</v>
      </c>
      <c r="AN5" s="27">
        <f>rebio23_80ml!AN6/50</f>
        <v>0</v>
      </c>
      <c r="AO5" s="27">
        <f>rebio23_80ml!AO6/50</f>
        <v>0</v>
      </c>
      <c r="AP5" s="27">
        <f>rebio23_80ml!AP6/50</f>
        <v>0</v>
      </c>
      <c r="AQ5" s="27">
        <f>rebio23_80ml!AQ6/50</f>
        <v>0</v>
      </c>
      <c r="AR5" s="27">
        <f>rebio23_80ml!AR6/50</f>
        <v>0</v>
      </c>
      <c r="AS5" s="27">
        <f>rebio23_80ml!AS6/50</f>
        <v>0</v>
      </c>
      <c r="AT5" s="27">
        <f>rebio23_80ml!AT6/50</f>
        <v>0</v>
      </c>
      <c r="AU5" s="27">
        <f>rebio23_80ml!AU6/50</f>
        <v>0</v>
      </c>
      <c r="AV5" s="27">
        <f>rebio23_80ml!AV6/50</f>
        <v>0</v>
      </c>
      <c r="AW5" s="27">
        <f>rebio23_80ml!AW6/50</f>
        <v>0</v>
      </c>
      <c r="AX5" s="27">
        <f>rebio23_80ml!AX6/50</f>
        <v>0</v>
      </c>
      <c r="AY5" s="27">
        <f>rebio23_80ml!AY6/50</f>
        <v>0</v>
      </c>
      <c r="AZ5" s="27">
        <f>rebio23_80ml!AZ6/50</f>
        <v>0</v>
      </c>
      <c r="BA5" s="27">
        <f>rebio23_80ml!BA6/50</f>
        <v>0</v>
      </c>
      <c r="BB5" s="27">
        <f>rebio23_80ml!BB6/50</f>
        <v>0</v>
      </c>
      <c r="BC5" s="27">
        <f>rebio23_80ml!BC6/50</f>
        <v>0</v>
      </c>
      <c r="BD5" s="27">
        <f>rebio23_80ml!BD6/50</f>
        <v>0</v>
      </c>
      <c r="BE5" s="27">
        <f>rebio23_80ml!BE6/50</f>
        <v>0</v>
      </c>
      <c r="BF5" s="27">
        <f>rebio23_80ml!BF6/50</f>
        <v>0</v>
      </c>
      <c r="BG5" s="27">
        <f>rebio23_80ml!BG6/50</f>
        <v>0</v>
      </c>
    </row>
    <row r="6" spans="1:67" ht="12.75" customHeight="1" x14ac:dyDescent="0.25">
      <c r="A6" s="15" t="str">
        <f>rebio23_80ml!A7</f>
        <v>S-B-P06-H2</v>
      </c>
      <c r="B6" s="27">
        <f>rebio23_80ml!B7/50</f>
        <v>0.02</v>
      </c>
      <c r="C6" s="27">
        <f>rebio23_80ml!C7/50</f>
        <v>0</v>
      </c>
      <c r="D6" s="27">
        <f>rebio23_80ml!D7/50</f>
        <v>0</v>
      </c>
      <c r="E6" s="27">
        <f>rebio23_80ml!E7/50</f>
        <v>1.28</v>
      </c>
      <c r="F6" s="27">
        <f>rebio23_80ml!F7/50</f>
        <v>0</v>
      </c>
      <c r="G6" s="27">
        <f>rebio23_80ml!G7/50</f>
        <v>0</v>
      </c>
      <c r="H6" s="27">
        <f>rebio23_80ml!H7/50</f>
        <v>0</v>
      </c>
      <c r="I6" s="27">
        <f>rebio23_80ml!I7/50</f>
        <v>0.02</v>
      </c>
      <c r="J6" s="27">
        <f>rebio23_80ml!J7/50</f>
        <v>0</v>
      </c>
      <c r="K6" s="27">
        <f>rebio23_80ml!K7/50</f>
        <v>0</v>
      </c>
      <c r="L6" s="27">
        <f>rebio23_80ml!L7/50</f>
        <v>0</v>
      </c>
      <c r="M6" s="27">
        <f>rebio23_80ml!M7/50</f>
        <v>0</v>
      </c>
      <c r="N6" s="27">
        <f>rebio23_80ml!N7/50</f>
        <v>0</v>
      </c>
      <c r="O6" s="27">
        <f>rebio23_80ml!O7/50</f>
        <v>0</v>
      </c>
      <c r="P6" s="27">
        <f>rebio23_80ml!P7/50</f>
        <v>0</v>
      </c>
      <c r="Q6" s="27">
        <f>rebio23_80ml!Q7/50</f>
        <v>0</v>
      </c>
      <c r="R6" s="27">
        <f>rebio23_80ml!R7/50</f>
        <v>0</v>
      </c>
      <c r="S6" s="27">
        <f>rebio23_80ml!S7/50</f>
        <v>0</v>
      </c>
      <c r="T6" s="27">
        <f>rebio23_80ml!T7/50</f>
        <v>0</v>
      </c>
      <c r="U6" s="27">
        <f>rebio23_80ml!U7/50</f>
        <v>0</v>
      </c>
      <c r="V6" s="27">
        <f>rebio23_80ml!V7/50</f>
        <v>0</v>
      </c>
      <c r="W6" s="27">
        <f>rebio23_80ml!W7/50</f>
        <v>0</v>
      </c>
      <c r="X6" s="27">
        <f>rebio23_80ml!X7/50</f>
        <v>0</v>
      </c>
      <c r="Y6" s="27">
        <f>rebio23_80ml!Y7/50</f>
        <v>0</v>
      </c>
      <c r="Z6" s="27">
        <f>rebio23_80ml!Z7/50</f>
        <v>0</v>
      </c>
      <c r="AA6" s="27">
        <f>rebio23_80ml!AA7/50</f>
        <v>0</v>
      </c>
      <c r="AB6" s="27">
        <f>rebio23_80ml!AB7/50</f>
        <v>0</v>
      </c>
      <c r="AC6" s="27">
        <f>rebio23_80ml!AC7/50</f>
        <v>0</v>
      </c>
      <c r="AD6" s="27">
        <f>rebio23_80ml!AD7/50</f>
        <v>0</v>
      </c>
      <c r="AE6" s="27">
        <f>rebio23_80ml!AE7/50</f>
        <v>0</v>
      </c>
      <c r="AF6" s="27">
        <f>rebio23_80ml!AF7/50</f>
        <v>0</v>
      </c>
      <c r="AG6" s="27">
        <f>rebio23_80ml!AG7/50</f>
        <v>0</v>
      </c>
      <c r="AH6" s="27">
        <f>rebio23_80ml!AH7/50</f>
        <v>0</v>
      </c>
      <c r="AI6" s="27">
        <f>rebio23_80ml!AI7/50</f>
        <v>0</v>
      </c>
      <c r="AJ6" s="27">
        <f>rebio23_80ml!AJ7/50</f>
        <v>0</v>
      </c>
      <c r="AK6" s="27">
        <f>rebio23_80ml!AK7/50</f>
        <v>0</v>
      </c>
      <c r="AL6" s="27">
        <f>rebio23_80ml!AL7/50</f>
        <v>0</v>
      </c>
      <c r="AM6" s="27">
        <f>rebio23_80ml!AM7/50</f>
        <v>0</v>
      </c>
      <c r="AN6" s="27">
        <f>rebio23_80ml!AN7/50</f>
        <v>0</v>
      </c>
      <c r="AO6" s="27">
        <f>rebio23_80ml!AO7/50</f>
        <v>0</v>
      </c>
      <c r="AP6" s="27">
        <f>rebio23_80ml!AP7/50</f>
        <v>0</v>
      </c>
      <c r="AQ6" s="27">
        <f>rebio23_80ml!AQ7/50</f>
        <v>0</v>
      </c>
      <c r="AR6" s="27">
        <f>rebio23_80ml!AR7/50</f>
        <v>0</v>
      </c>
      <c r="AS6" s="27">
        <f>rebio23_80ml!AS7/50</f>
        <v>0</v>
      </c>
      <c r="AT6" s="27">
        <f>rebio23_80ml!AT7/50</f>
        <v>0</v>
      </c>
      <c r="AU6" s="27">
        <f>rebio23_80ml!AU7/50</f>
        <v>0</v>
      </c>
      <c r="AV6" s="27">
        <f>rebio23_80ml!AV7/50</f>
        <v>0.02</v>
      </c>
      <c r="AW6" s="27">
        <f>rebio23_80ml!AW7/50</f>
        <v>0</v>
      </c>
      <c r="AX6" s="27">
        <f>rebio23_80ml!AX7/50</f>
        <v>0</v>
      </c>
      <c r="AY6" s="27">
        <f>rebio23_80ml!AY7/50</f>
        <v>0</v>
      </c>
      <c r="AZ6" s="27">
        <f>rebio23_80ml!AZ7/50</f>
        <v>0</v>
      </c>
      <c r="BA6" s="27">
        <f>rebio23_80ml!BA7/50</f>
        <v>0</v>
      </c>
      <c r="BB6" s="27">
        <f>rebio23_80ml!BB7/50</f>
        <v>0</v>
      </c>
      <c r="BC6" s="27">
        <f>rebio23_80ml!BC7/50</f>
        <v>0</v>
      </c>
      <c r="BD6" s="27">
        <f>rebio23_80ml!BD7/50</f>
        <v>0</v>
      </c>
      <c r="BE6" s="27">
        <f>rebio23_80ml!BE7/50</f>
        <v>0</v>
      </c>
      <c r="BF6" s="27">
        <f>rebio23_80ml!BF7/50</f>
        <v>0</v>
      </c>
      <c r="BG6" s="27">
        <f>rebio23_80ml!BG7/50</f>
        <v>0</v>
      </c>
    </row>
    <row r="7" spans="1:67" ht="12.75" customHeight="1" x14ac:dyDescent="0.25">
      <c r="A7" s="15" t="str">
        <f>rebio23_80ml!A8</f>
        <v>S-B-P06-H3</v>
      </c>
      <c r="B7" s="27">
        <f>rebio23_80ml!B8/50</f>
        <v>0</v>
      </c>
      <c r="C7" s="27">
        <f>rebio23_80ml!C8/50</f>
        <v>0</v>
      </c>
      <c r="D7" s="27">
        <f>rebio23_80ml!D8/50</f>
        <v>0</v>
      </c>
      <c r="E7" s="27">
        <f>rebio23_80ml!E8/50</f>
        <v>1.54</v>
      </c>
      <c r="F7" s="27">
        <f>rebio23_80ml!F8/50</f>
        <v>0</v>
      </c>
      <c r="G7" s="27">
        <f>rebio23_80ml!G8/50</f>
        <v>0</v>
      </c>
      <c r="H7" s="27">
        <f>rebio23_80ml!H8/50</f>
        <v>0</v>
      </c>
      <c r="I7" s="27">
        <f>rebio23_80ml!I8/50</f>
        <v>0</v>
      </c>
      <c r="J7" s="27">
        <f>rebio23_80ml!J8/50</f>
        <v>0</v>
      </c>
      <c r="K7" s="27">
        <f>rebio23_80ml!K8/50</f>
        <v>0</v>
      </c>
      <c r="L7" s="27">
        <f>rebio23_80ml!L8/50</f>
        <v>0</v>
      </c>
      <c r="M7" s="27">
        <f>rebio23_80ml!M8/50</f>
        <v>0</v>
      </c>
      <c r="N7" s="27">
        <f>rebio23_80ml!N8/50</f>
        <v>0</v>
      </c>
      <c r="O7" s="27">
        <f>rebio23_80ml!O8/50</f>
        <v>0</v>
      </c>
      <c r="P7" s="27">
        <f>rebio23_80ml!P8/50</f>
        <v>0</v>
      </c>
      <c r="Q7" s="27">
        <f>rebio23_80ml!Q8/50</f>
        <v>0</v>
      </c>
      <c r="R7" s="27">
        <f>rebio23_80ml!R8/50</f>
        <v>0</v>
      </c>
      <c r="S7" s="27">
        <f>rebio23_80ml!S8/50</f>
        <v>0</v>
      </c>
      <c r="T7" s="27">
        <f>rebio23_80ml!T8/50</f>
        <v>0</v>
      </c>
      <c r="U7" s="27">
        <f>rebio23_80ml!U8/50</f>
        <v>0</v>
      </c>
      <c r="V7" s="27">
        <f>rebio23_80ml!V8/50</f>
        <v>0</v>
      </c>
      <c r="W7" s="27">
        <f>rebio23_80ml!W8/50</f>
        <v>0</v>
      </c>
      <c r="X7" s="27">
        <f>rebio23_80ml!X8/50</f>
        <v>0</v>
      </c>
      <c r="Y7" s="27">
        <f>rebio23_80ml!Y8/50</f>
        <v>0</v>
      </c>
      <c r="Z7" s="27">
        <f>rebio23_80ml!Z8/50</f>
        <v>0</v>
      </c>
      <c r="AA7" s="27">
        <f>rebio23_80ml!AA8/50</f>
        <v>0</v>
      </c>
      <c r="AB7" s="27">
        <f>rebio23_80ml!AB8/50</f>
        <v>0</v>
      </c>
      <c r="AC7" s="27">
        <f>rebio23_80ml!AC8/50</f>
        <v>0</v>
      </c>
      <c r="AD7" s="27">
        <f>rebio23_80ml!AD8/50</f>
        <v>0</v>
      </c>
      <c r="AE7" s="27">
        <f>rebio23_80ml!AE8/50</f>
        <v>0</v>
      </c>
      <c r="AF7" s="27">
        <f>rebio23_80ml!AF8/50</f>
        <v>0</v>
      </c>
      <c r="AG7" s="27">
        <f>rebio23_80ml!AG8/50</f>
        <v>0</v>
      </c>
      <c r="AH7" s="27">
        <f>rebio23_80ml!AH8/50</f>
        <v>0</v>
      </c>
      <c r="AI7" s="27">
        <f>rebio23_80ml!AI8/50</f>
        <v>0</v>
      </c>
      <c r="AJ7" s="27">
        <f>rebio23_80ml!AJ8/50</f>
        <v>0</v>
      </c>
      <c r="AK7" s="27">
        <f>rebio23_80ml!AK8/50</f>
        <v>0</v>
      </c>
      <c r="AL7" s="27">
        <f>rebio23_80ml!AL8/50</f>
        <v>0</v>
      </c>
      <c r="AM7" s="27">
        <f>rebio23_80ml!AM8/50</f>
        <v>0</v>
      </c>
      <c r="AN7" s="27">
        <f>rebio23_80ml!AN8/50</f>
        <v>0</v>
      </c>
      <c r="AO7" s="27">
        <f>rebio23_80ml!AO8/50</f>
        <v>0</v>
      </c>
      <c r="AP7" s="27">
        <f>rebio23_80ml!AP8/50</f>
        <v>0</v>
      </c>
      <c r="AQ7" s="27">
        <f>rebio23_80ml!AQ8/50</f>
        <v>0</v>
      </c>
      <c r="AR7" s="27">
        <f>rebio23_80ml!AR8/50</f>
        <v>0</v>
      </c>
      <c r="AS7" s="27">
        <f>rebio23_80ml!AS8/50</f>
        <v>0</v>
      </c>
      <c r="AT7" s="27">
        <f>rebio23_80ml!AT8/50</f>
        <v>0</v>
      </c>
      <c r="AU7" s="27">
        <f>rebio23_80ml!AU8/50</f>
        <v>0</v>
      </c>
      <c r="AV7" s="27">
        <f>rebio23_80ml!AV8/50</f>
        <v>0.06</v>
      </c>
      <c r="AW7" s="27">
        <f>rebio23_80ml!AW8/50</f>
        <v>0</v>
      </c>
      <c r="AX7" s="27">
        <f>rebio23_80ml!AX8/50</f>
        <v>0</v>
      </c>
      <c r="AY7" s="27">
        <f>rebio23_80ml!AY8/50</f>
        <v>0</v>
      </c>
      <c r="AZ7" s="27">
        <f>rebio23_80ml!AZ8/50</f>
        <v>0</v>
      </c>
      <c r="BA7" s="27">
        <f>rebio23_80ml!BA8/50</f>
        <v>0</v>
      </c>
      <c r="BB7" s="27">
        <f>rebio23_80ml!BB8/50</f>
        <v>0</v>
      </c>
      <c r="BC7" s="27">
        <f>rebio23_80ml!BC8/50</f>
        <v>0</v>
      </c>
      <c r="BD7" s="27">
        <f>rebio23_80ml!BD8/50</f>
        <v>0</v>
      </c>
      <c r="BE7" s="27">
        <f>rebio23_80ml!BE8/50</f>
        <v>0</v>
      </c>
      <c r="BF7" s="27">
        <f>rebio23_80ml!BF8/50</f>
        <v>0</v>
      </c>
      <c r="BG7" s="27">
        <f>rebio23_80ml!BG8/50</f>
        <v>0</v>
      </c>
    </row>
    <row r="8" spans="1:67" ht="12.75" customHeight="1" x14ac:dyDescent="0.25">
      <c r="A8" s="15" t="str">
        <f>rebio23_80ml!A9</f>
        <v>S-B-P07-H1</v>
      </c>
      <c r="B8" s="27">
        <f>rebio23_80ml!B9/50</f>
        <v>0</v>
      </c>
      <c r="C8" s="27">
        <f>rebio23_80ml!C9/50</f>
        <v>0</v>
      </c>
      <c r="D8" s="27">
        <f>rebio23_80ml!D9/50</f>
        <v>0</v>
      </c>
      <c r="E8" s="27">
        <f>rebio23_80ml!E9/50</f>
        <v>1.18</v>
      </c>
      <c r="F8" s="27">
        <f>rebio23_80ml!F9/50</f>
        <v>0</v>
      </c>
      <c r="G8" s="27">
        <f>rebio23_80ml!G9/50</f>
        <v>0</v>
      </c>
      <c r="H8" s="27">
        <f>rebio23_80ml!H9/50</f>
        <v>0</v>
      </c>
      <c r="I8" s="27">
        <f>rebio23_80ml!I9/50</f>
        <v>0.04</v>
      </c>
      <c r="J8" s="27">
        <f>rebio23_80ml!J9/50</f>
        <v>0</v>
      </c>
      <c r="K8" s="27">
        <f>rebio23_80ml!K9/50</f>
        <v>0</v>
      </c>
      <c r="L8" s="27">
        <f>rebio23_80ml!L9/50</f>
        <v>0</v>
      </c>
      <c r="M8" s="27">
        <f>rebio23_80ml!M9/50</f>
        <v>0</v>
      </c>
      <c r="N8" s="27">
        <f>rebio23_80ml!N9/50</f>
        <v>0</v>
      </c>
      <c r="O8" s="27">
        <f>rebio23_80ml!O9/50</f>
        <v>0</v>
      </c>
      <c r="P8" s="27">
        <f>rebio23_80ml!P9/50</f>
        <v>0</v>
      </c>
      <c r="Q8" s="27">
        <f>rebio23_80ml!Q9/50</f>
        <v>0</v>
      </c>
      <c r="R8" s="27">
        <f>rebio23_80ml!R9/50</f>
        <v>0</v>
      </c>
      <c r="S8" s="27">
        <f>rebio23_80ml!S9/50</f>
        <v>0</v>
      </c>
      <c r="T8" s="27">
        <f>rebio23_80ml!T9/50</f>
        <v>0</v>
      </c>
      <c r="U8" s="27">
        <f>rebio23_80ml!U9/50</f>
        <v>0</v>
      </c>
      <c r="V8" s="27">
        <f>rebio23_80ml!V9/50</f>
        <v>0</v>
      </c>
      <c r="W8" s="27">
        <f>rebio23_80ml!W9/50</f>
        <v>0</v>
      </c>
      <c r="X8" s="27">
        <f>rebio23_80ml!X9/50</f>
        <v>0</v>
      </c>
      <c r="Y8" s="27">
        <f>rebio23_80ml!Y9/50</f>
        <v>0</v>
      </c>
      <c r="Z8" s="27">
        <f>rebio23_80ml!Z9/50</f>
        <v>0</v>
      </c>
      <c r="AA8" s="27">
        <f>rebio23_80ml!AA9/50</f>
        <v>0</v>
      </c>
      <c r="AB8" s="27">
        <f>rebio23_80ml!AB9/50</f>
        <v>0</v>
      </c>
      <c r="AC8" s="27">
        <f>rebio23_80ml!AC9/50</f>
        <v>0</v>
      </c>
      <c r="AD8" s="27">
        <f>rebio23_80ml!AD9/50</f>
        <v>0</v>
      </c>
      <c r="AE8" s="27">
        <f>rebio23_80ml!AE9/50</f>
        <v>0</v>
      </c>
      <c r="AF8" s="27">
        <f>rebio23_80ml!AF9/50</f>
        <v>0</v>
      </c>
      <c r="AG8" s="27">
        <f>rebio23_80ml!AG9/50</f>
        <v>0</v>
      </c>
      <c r="AH8" s="27">
        <f>rebio23_80ml!AH9/50</f>
        <v>0</v>
      </c>
      <c r="AI8" s="27">
        <f>rebio23_80ml!AI9/50</f>
        <v>0</v>
      </c>
      <c r="AJ8" s="27">
        <f>rebio23_80ml!AJ9/50</f>
        <v>0</v>
      </c>
      <c r="AK8" s="27">
        <f>rebio23_80ml!AK9/50</f>
        <v>0</v>
      </c>
      <c r="AL8" s="27">
        <f>rebio23_80ml!AL9/50</f>
        <v>0</v>
      </c>
      <c r="AM8" s="27">
        <f>rebio23_80ml!AM9/50</f>
        <v>0</v>
      </c>
      <c r="AN8" s="27">
        <f>rebio23_80ml!AN9/50</f>
        <v>0</v>
      </c>
      <c r="AO8" s="27">
        <f>rebio23_80ml!AO9/50</f>
        <v>0</v>
      </c>
      <c r="AP8" s="27">
        <f>rebio23_80ml!AP9/50</f>
        <v>0</v>
      </c>
      <c r="AQ8" s="27">
        <f>rebio23_80ml!AQ9/50</f>
        <v>0</v>
      </c>
      <c r="AR8" s="27">
        <f>rebio23_80ml!AR9/50</f>
        <v>0</v>
      </c>
      <c r="AS8" s="27">
        <f>rebio23_80ml!AS9/50</f>
        <v>0</v>
      </c>
      <c r="AT8" s="27">
        <f>rebio23_80ml!AT9/50</f>
        <v>0</v>
      </c>
      <c r="AU8" s="27">
        <f>rebio23_80ml!AU9/50</f>
        <v>0</v>
      </c>
      <c r="AV8" s="27">
        <f>rebio23_80ml!AV9/50</f>
        <v>0.02</v>
      </c>
      <c r="AW8" s="27">
        <f>rebio23_80ml!AW9/50</f>
        <v>0</v>
      </c>
      <c r="AX8" s="27">
        <f>rebio23_80ml!AX9/50</f>
        <v>0</v>
      </c>
      <c r="AY8" s="27">
        <f>rebio23_80ml!AY9/50</f>
        <v>0</v>
      </c>
      <c r="AZ8" s="27">
        <f>rebio23_80ml!AZ9/50</f>
        <v>0</v>
      </c>
      <c r="BA8" s="27">
        <f>rebio23_80ml!BA9/50</f>
        <v>0</v>
      </c>
      <c r="BB8" s="27">
        <f>rebio23_80ml!BB9/50</f>
        <v>0</v>
      </c>
      <c r="BC8" s="27">
        <f>rebio23_80ml!BC9/50</f>
        <v>0</v>
      </c>
      <c r="BD8" s="27">
        <f>rebio23_80ml!BD9/50</f>
        <v>0</v>
      </c>
      <c r="BE8" s="27">
        <f>rebio23_80ml!BE9/50</f>
        <v>0</v>
      </c>
      <c r="BF8" s="27">
        <f>rebio23_80ml!BF9/50</f>
        <v>0</v>
      </c>
      <c r="BG8" s="27">
        <f>rebio23_80ml!BG9/50</f>
        <v>0</v>
      </c>
    </row>
    <row r="9" spans="1:67" ht="12.75" customHeight="1" x14ac:dyDescent="0.25">
      <c r="A9" s="15" t="str">
        <f>rebio23_80ml!A10</f>
        <v>S-B-P07-H2</v>
      </c>
      <c r="B9" s="27">
        <f>rebio23_80ml!B10/50</f>
        <v>0</v>
      </c>
      <c r="C9" s="27">
        <f>rebio23_80ml!C10/50</f>
        <v>0</v>
      </c>
      <c r="D9" s="27">
        <f>rebio23_80ml!D10/50</f>
        <v>0</v>
      </c>
      <c r="E9" s="27">
        <f>rebio23_80ml!E10/50</f>
        <v>0.88</v>
      </c>
      <c r="F9" s="27">
        <f>rebio23_80ml!F10/50</f>
        <v>0</v>
      </c>
      <c r="G9" s="27">
        <f>rebio23_80ml!G10/50</f>
        <v>0</v>
      </c>
      <c r="H9" s="27">
        <f>rebio23_80ml!H10/50</f>
        <v>0</v>
      </c>
      <c r="I9" s="27">
        <f>rebio23_80ml!I10/50</f>
        <v>0</v>
      </c>
      <c r="J9" s="27">
        <f>rebio23_80ml!J10/50</f>
        <v>0</v>
      </c>
      <c r="K9" s="27">
        <f>rebio23_80ml!K10/50</f>
        <v>0</v>
      </c>
      <c r="L9" s="27">
        <f>rebio23_80ml!L10/50</f>
        <v>0</v>
      </c>
      <c r="M9" s="27">
        <f>rebio23_80ml!M10/50</f>
        <v>0</v>
      </c>
      <c r="N9" s="27">
        <f>rebio23_80ml!N10/50</f>
        <v>0</v>
      </c>
      <c r="O9" s="27">
        <f>rebio23_80ml!O10/50</f>
        <v>0</v>
      </c>
      <c r="P9" s="27">
        <f>rebio23_80ml!P10/50</f>
        <v>0</v>
      </c>
      <c r="Q9" s="27">
        <f>rebio23_80ml!Q10/50</f>
        <v>0</v>
      </c>
      <c r="R9" s="27">
        <f>rebio23_80ml!R10/50</f>
        <v>0</v>
      </c>
      <c r="S9" s="27">
        <f>rebio23_80ml!S10/50</f>
        <v>0</v>
      </c>
      <c r="T9" s="27">
        <f>rebio23_80ml!T10/50</f>
        <v>0</v>
      </c>
      <c r="U9" s="27">
        <f>rebio23_80ml!U10/50</f>
        <v>0</v>
      </c>
      <c r="V9" s="27">
        <f>rebio23_80ml!V10/50</f>
        <v>0</v>
      </c>
      <c r="W9" s="27">
        <f>rebio23_80ml!W10/50</f>
        <v>0</v>
      </c>
      <c r="X9" s="27">
        <f>rebio23_80ml!X10/50</f>
        <v>0</v>
      </c>
      <c r="Y9" s="27">
        <f>rebio23_80ml!Y10/50</f>
        <v>0</v>
      </c>
      <c r="Z9" s="27">
        <f>rebio23_80ml!Z10/50</f>
        <v>0</v>
      </c>
      <c r="AA9" s="27">
        <f>rebio23_80ml!AA10/50</f>
        <v>0</v>
      </c>
      <c r="AB9" s="27">
        <f>rebio23_80ml!AB10/50</f>
        <v>0</v>
      </c>
      <c r="AC9" s="27">
        <f>rebio23_80ml!AC10/50</f>
        <v>0</v>
      </c>
      <c r="AD9" s="27">
        <f>rebio23_80ml!AD10/50</f>
        <v>0</v>
      </c>
      <c r="AE9" s="27">
        <f>rebio23_80ml!AE10/50</f>
        <v>0</v>
      </c>
      <c r="AF9" s="27">
        <f>rebio23_80ml!AF10/50</f>
        <v>0</v>
      </c>
      <c r="AG9" s="27">
        <f>rebio23_80ml!AG10/50</f>
        <v>0</v>
      </c>
      <c r="AH9" s="27">
        <f>rebio23_80ml!AH10/50</f>
        <v>0</v>
      </c>
      <c r="AI9" s="27">
        <f>rebio23_80ml!AI10/50</f>
        <v>0</v>
      </c>
      <c r="AJ9" s="27">
        <f>rebio23_80ml!AJ10/50</f>
        <v>0</v>
      </c>
      <c r="AK9" s="27">
        <f>rebio23_80ml!AK10/50</f>
        <v>0</v>
      </c>
      <c r="AL9" s="27">
        <f>rebio23_80ml!AL10/50</f>
        <v>0</v>
      </c>
      <c r="AM9" s="27">
        <f>rebio23_80ml!AM10/50</f>
        <v>0</v>
      </c>
      <c r="AN9" s="27">
        <f>rebio23_80ml!AN10/50</f>
        <v>0</v>
      </c>
      <c r="AO9" s="27">
        <f>rebio23_80ml!AO10/50</f>
        <v>0</v>
      </c>
      <c r="AP9" s="27">
        <f>rebio23_80ml!AP10/50</f>
        <v>0</v>
      </c>
      <c r="AQ9" s="27">
        <f>rebio23_80ml!AQ10/50</f>
        <v>0</v>
      </c>
      <c r="AR9" s="27">
        <f>rebio23_80ml!AR10/50</f>
        <v>0</v>
      </c>
      <c r="AS9" s="27">
        <f>rebio23_80ml!AS10/50</f>
        <v>0</v>
      </c>
      <c r="AT9" s="27">
        <f>rebio23_80ml!AT10/50</f>
        <v>0</v>
      </c>
      <c r="AU9" s="27">
        <f>rebio23_80ml!AU10/50</f>
        <v>0</v>
      </c>
      <c r="AV9" s="27">
        <f>rebio23_80ml!AV10/50</f>
        <v>0.04</v>
      </c>
      <c r="AW9" s="27">
        <f>rebio23_80ml!AW10/50</f>
        <v>0</v>
      </c>
      <c r="AX9" s="27">
        <f>rebio23_80ml!AX10/50</f>
        <v>0.02</v>
      </c>
      <c r="AY9" s="27">
        <f>rebio23_80ml!AY10/50</f>
        <v>0</v>
      </c>
      <c r="AZ9" s="27">
        <f>rebio23_80ml!AZ10/50</f>
        <v>0.02</v>
      </c>
      <c r="BA9" s="27">
        <f>rebio23_80ml!BA10/50</f>
        <v>0</v>
      </c>
      <c r="BB9" s="27">
        <f>rebio23_80ml!BB10/50</f>
        <v>0</v>
      </c>
      <c r="BC9" s="27">
        <f>rebio23_80ml!BC10/50</f>
        <v>0</v>
      </c>
      <c r="BD9" s="27">
        <f>rebio23_80ml!BD10/50</f>
        <v>0</v>
      </c>
      <c r="BE9" s="27">
        <f>rebio23_80ml!BE10/50</f>
        <v>0</v>
      </c>
      <c r="BF9" s="27">
        <f>rebio23_80ml!BF10/50</f>
        <v>0</v>
      </c>
      <c r="BG9" s="27">
        <f>rebio23_80ml!BG10/50</f>
        <v>0</v>
      </c>
    </row>
    <row r="10" spans="1:67" ht="12.75" customHeight="1" x14ac:dyDescent="0.25">
      <c r="A10" s="15" t="str">
        <f>rebio23_80ml!A11</f>
        <v>S-B-P07-H3</v>
      </c>
      <c r="B10" s="27">
        <f>rebio23_80ml!B11/50</f>
        <v>0</v>
      </c>
      <c r="C10" s="27">
        <f>rebio23_80ml!C11/50</f>
        <v>0</v>
      </c>
      <c r="D10" s="27">
        <f>rebio23_80ml!D11/50</f>
        <v>0</v>
      </c>
      <c r="E10" s="27">
        <f>rebio23_80ml!E11/50</f>
        <v>0.86</v>
      </c>
      <c r="F10" s="27">
        <f>rebio23_80ml!F11/50</f>
        <v>0</v>
      </c>
      <c r="G10" s="27">
        <f>rebio23_80ml!G11/50</f>
        <v>0</v>
      </c>
      <c r="H10" s="27">
        <f>rebio23_80ml!H11/50</f>
        <v>0</v>
      </c>
      <c r="I10" s="27">
        <f>rebio23_80ml!I11/50</f>
        <v>0</v>
      </c>
      <c r="J10" s="27">
        <f>rebio23_80ml!J11/50</f>
        <v>0</v>
      </c>
      <c r="K10" s="27">
        <f>rebio23_80ml!K11/50</f>
        <v>0</v>
      </c>
      <c r="L10" s="27">
        <f>rebio23_80ml!L11/50</f>
        <v>0</v>
      </c>
      <c r="M10" s="27">
        <f>rebio23_80ml!M11/50</f>
        <v>0</v>
      </c>
      <c r="N10" s="27">
        <f>rebio23_80ml!N11/50</f>
        <v>0</v>
      </c>
      <c r="O10" s="27">
        <f>rebio23_80ml!O11/50</f>
        <v>0</v>
      </c>
      <c r="P10" s="27">
        <f>rebio23_80ml!P11/50</f>
        <v>0</v>
      </c>
      <c r="Q10" s="27">
        <f>rebio23_80ml!Q11/50</f>
        <v>0</v>
      </c>
      <c r="R10" s="27">
        <f>rebio23_80ml!R11/50</f>
        <v>0</v>
      </c>
      <c r="S10" s="27">
        <f>rebio23_80ml!S11/50</f>
        <v>0.02</v>
      </c>
      <c r="T10" s="27">
        <f>rebio23_80ml!T11/50</f>
        <v>0</v>
      </c>
      <c r="U10" s="27">
        <f>rebio23_80ml!U11/50</f>
        <v>0</v>
      </c>
      <c r="V10" s="27">
        <f>rebio23_80ml!V11/50</f>
        <v>0</v>
      </c>
      <c r="W10" s="27">
        <f>rebio23_80ml!W11/50</f>
        <v>0</v>
      </c>
      <c r="X10" s="27">
        <f>rebio23_80ml!X11/50</f>
        <v>0</v>
      </c>
      <c r="Y10" s="27">
        <f>rebio23_80ml!Y11/50</f>
        <v>0</v>
      </c>
      <c r="Z10" s="27">
        <f>rebio23_80ml!Z11/50</f>
        <v>0</v>
      </c>
      <c r="AA10" s="27">
        <f>rebio23_80ml!AA11/50</f>
        <v>0</v>
      </c>
      <c r="AB10" s="27">
        <f>rebio23_80ml!AB11/50</f>
        <v>0</v>
      </c>
      <c r="AC10" s="27">
        <f>rebio23_80ml!AC11/50</f>
        <v>0</v>
      </c>
      <c r="AD10" s="27">
        <f>rebio23_80ml!AD11/50</f>
        <v>0</v>
      </c>
      <c r="AE10" s="27">
        <f>rebio23_80ml!AE11/50</f>
        <v>0</v>
      </c>
      <c r="AF10" s="27">
        <f>rebio23_80ml!AF11/50</f>
        <v>0.02</v>
      </c>
      <c r="AG10" s="27">
        <f>rebio23_80ml!AG11/50</f>
        <v>0</v>
      </c>
      <c r="AH10" s="27">
        <f>rebio23_80ml!AH11/50</f>
        <v>0</v>
      </c>
      <c r="AI10" s="27">
        <f>rebio23_80ml!AI11/50</f>
        <v>0</v>
      </c>
      <c r="AJ10" s="27">
        <f>rebio23_80ml!AJ11/50</f>
        <v>0</v>
      </c>
      <c r="AK10" s="27">
        <f>rebio23_80ml!AK11/50</f>
        <v>0</v>
      </c>
      <c r="AL10" s="27">
        <f>rebio23_80ml!AL11/50</f>
        <v>0</v>
      </c>
      <c r="AM10" s="27">
        <f>rebio23_80ml!AM11/50</f>
        <v>0</v>
      </c>
      <c r="AN10" s="27">
        <f>rebio23_80ml!AN11/50</f>
        <v>0</v>
      </c>
      <c r="AO10" s="27">
        <f>rebio23_80ml!AO11/50</f>
        <v>0</v>
      </c>
      <c r="AP10" s="27">
        <f>rebio23_80ml!AP11/50</f>
        <v>0</v>
      </c>
      <c r="AQ10" s="27">
        <f>rebio23_80ml!AQ11/50</f>
        <v>0</v>
      </c>
      <c r="AR10" s="27">
        <f>rebio23_80ml!AR11/50</f>
        <v>0</v>
      </c>
      <c r="AS10" s="27">
        <f>rebio23_80ml!AS11/50</f>
        <v>0</v>
      </c>
      <c r="AT10" s="27">
        <f>rebio23_80ml!AT11/50</f>
        <v>0</v>
      </c>
      <c r="AU10" s="27">
        <f>rebio23_80ml!AU11/50</f>
        <v>0</v>
      </c>
      <c r="AV10" s="27">
        <f>rebio23_80ml!AV11/50</f>
        <v>0.08</v>
      </c>
      <c r="AW10" s="27">
        <f>rebio23_80ml!AW11/50</f>
        <v>0</v>
      </c>
      <c r="AX10" s="27">
        <f>rebio23_80ml!AX11/50</f>
        <v>0</v>
      </c>
      <c r="AY10" s="27">
        <f>rebio23_80ml!AY11/50</f>
        <v>0</v>
      </c>
      <c r="AZ10" s="27">
        <f>rebio23_80ml!AZ11/50</f>
        <v>0.02</v>
      </c>
      <c r="BA10" s="27">
        <f>rebio23_80ml!BA11/50</f>
        <v>0</v>
      </c>
      <c r="BB10" s="27">
        <f>rebio23_80ml!BB11/50</f>
        <v>0</v>
      </c>
      <c r="BC10" s="27">
        <f>rebio23_80ml!BC11/50</f>
        <v>0</v>
      </c>
      <c r="BD10" s="27">
        <f>rebio23_80ml!BD11/50</f>
        <v>0</v>
      </c>
      <c r="BE10" s="27">
        <f>rebio23_80ml!BE11/50</f>
        <v>0</v>
      </c>
      <c r="BF10" s="27">
        <f>rebio23_80ml!BF11/50</f>
        <v>0</v>
      </c>
      <c r="BG10" s="27">
        <f>rebio23_80ml!BG11/50</f>
        <v>0</v>
      </c>
    </row>
    <row r="11" spans="1:67" ht="12.75" customHeight="1" x14ac:dyDescent="0.25">
      <c r="A11" s="15" t="str">
        <f>rebio23_80ml!A12</f>
        <v>S-B-P08-H1</v>
      </c>
      <c r="B11" s="27">
        <f>rebio23_80ml!B12/50</f>
        <v>0.02</v>
      </c>
      <c r="C11" s="27">
        <f>rebio23_80ml!C12/50</f>
        <v>0</v>
      </c>
      <c r="D11" s="27">
        <f>rebio23_80ml!D12/50</f>
        <v>0</v>
      </c>
      <c r="E11" s="27">
        <f>rebio23_80ml!E12/50</f>
        <v>1.38</v>
      </c>
      <c r="F11" s="27">
        <f>rebio23_80ml!F12/50</f>
        <v>0</v>
      </c>
      <c r="G11" s="27">
        <f>rebio23_80ml!G12/50</f>
        <v>0</v>
      </c>
      <c r="H11" s="27">
        <f>rebio23_80ml!H12/50</f>
        <v>0.02</v>
      </c>
      <c r="I11" s="27">
        <f>rebio23_80ml!I12/50</f>
        <v>1.52</v>
      </c>
      <c r="J11" s="27">
        <f>rebio23_80ml!J12/50</f>
        <v>0</v>
      </c>
      <c r="K11" s="27">
        <f>rebio23_80ml!K12/50</f>
        <v>0</v>
      </c>
      <c r="L11" s="27">
        <f>rebio23_80ml!L12/50</f>
        <v>0</v>
      </c>
      <c r="M11" s="27">
        <f>rebio23_80ml!M12/50</f>
        <v>0</v>
      </c>
      <c r="N11" s="27">
        <f>rebio23_80ml!N12/50</f>
        <v>0</v>
      </c>
      <c r="O11" s="27">
        <f>rebio23_80ml!O12/50</f>
        <v>0</v>
      </c>
      <c r="P11" s="27">
        <f>rebio23_80ml!P12/50</f>
        <v>0.02</v>
      </c>
      <c r="Q11" s="27">
        <f>rebio23_80ml!Q12/50</f>
        <v>0.02</v>
      </c>
      <c r="R11" s="27">
        <f>rebio23_80ml!R12/50</f>
        <v>0</v>
      </c>
      <c r="S11" s="27">
        <f>rebio23_80ml!S12/50</f>
        <v>0</v>
      </c>
      <c r="T11" s="27">
        <f>rebio23_80ml!T12/50</f>
        <v>0</v>
      </c>
      <c r="U11" s="27">
        <f>rebio23_80ml!U12/50</f>
        <v>0</v>
      </c>
      <c r="V11" s="27">
        <f>rebio23_80ml!V12/50</f>
        <v>0</v>
      </c>
      <c r="W11" s="27">
        <f>rebio23_80ml!W12/50</f>
        <v>0</v>
      </c>
      <c r="X11" s="27">
        <f>rebio23_80ml!X12/50</f>
        <v>0.02</v>
      </c>
      <c r="Y11" s="27">
        <f>rebio23_80ml!Y12/50</f>
        <v>0.02</v>
      </c>
      <c r="Z11" s="27">
        <f>rebio23_80ml!Z12/50</f>
        <v>0</v>
      </c>
      <c r="AA11" s="27">
        <f>rebio23_80ml!AA12/50</f>
        <v>0.08</v>
      </c>
      <c r="AB11" s="27">
        <f>rebio23_80ml!AB12/50</f>
        <v>0</v>
      </c>
      <c r="AC11" s="27">
        <f>rebio23_80ml!AC12/50</f>
        <v>0</v>
      </c>
      <c r="AD11" s="27">
        <f>rebio23_80ml!AD12/50</f>
        <v>0</v>
      </c>
      <c r="AE11" s="27">
        <f>rebio23_80ml!AE12/50</f>
        <v>0</v>
      </c>
      <c r="AF11" s="27">
        <f>rebio23_80ml!AF12/50</f>
        <v>0</v>
      </c>
      <c r="AG11" s="27">
        <f>rebio23_80ml!AG12/50</f>
        <v>0</v>
      </c>
      <c r="AH11" s="27">
        <f>rebio23_80ml!AH12/50</f>
        <v>0</v>
      </c>
      <c r="AI11" s="27">
        <f>rebio23_80ml!AI12/50</f>
        <v>0</v>
      </c>
      <c r="AJ11" s="27">
        <f>rebio23_80ml!AJ12/50</f>
        <v>0</v>
      </c>
      <c r="AK11" s="27">
        <f>rebio23_80ml!AK12/50</f>
        <v>0</v>
      </c>
      <c r="AL11" s="27">
        <f>rebio23_80ml!AL12/50</f>
        <v>0.06</v>
      </c>
      <c r="AM11" s="27">
        <f>rebio23_80ml!AM12/50</f>
        <v>0.04</v>
      </c>
      <c r="AN11" s="27">
        <f>rebio23_80ml!AN12/50</f>
        <v>0</v>
      </c>
      <c r="AO11" s="27">
        <f>rebio23_80ml!AO12/50</f>
        <v>0</v>
      </c>
      <c r="AP11" s="27">
        <f>rebio23_80ml!AP12/50</f>
        <v>0</v>
      </c>
      <c r="AQ11" s="27">
        <f>rebio23_80ml!AQ12/50</f>
        <v>0</v>
      </c>
      <c r="AR11" s="27">
        <f>rebio23_80ml!AR12/50</f>
        <v>0</v>
      </c>
      <c r="AS11" s="27">
        <f>rebio23_80ml!AS12/50</f>
        <v>0</v>
      </c>
      <c r="AT11" s="27">
        <f>rebio23_80ml!AT12/50</f>
        <v>0</v>
      </c>
      <c r="AU11" s="27">
        <f>rebio23_80ml!AU12/50</f>
        <v>0.02</v>
      </c>
      <c r="AV11" s="27">
        <f>rebio23_80ml!AV12/50</f>
        <v>0.3</v>
      </c>
      <c r="AW11" s="27">
        <f>rebio23_80ml!AW12/50</f>
        <v>0</v>
      </c>
      <c r="AX11" s="27">
        <f>rebio23_80ml!AX12/50</f>
        <v>0.18</v>
      </c>
      <c r="AY11" s="27">
        <f>rebio23_80ml!AY12/50</f>
        <v>0</v>
      </c>
      <c r="AZ11" s="27">
        <f>rebio23_80ml!AZ12/50</f>
        <v>0</v>
      </c>
      <c r="BA11" s="27">
        <f>rebio23_80ml!BA12/50</f>
        <v>0</v>
      </c>
      <c r="BB11" s="27">
        <f>rebio23_80ml!BB12/50</f>
        <v>0.02</v>
      </c>
      <c r="BC11" s="27">
        <f>rebio23_80ml!BC12/50</f>
        <v>0</v>
      </c>
      <c r="BD11" s="27">
        <f>rebio23_80ml!BD12/50</f>
        <v>0</v>
      </c>
      <c r="BE11" s="27">
        <f>rebio23_80ml!BE12/50</f>
        <v>0</v>
      </c>
      <c r="BF11" s="27">
        <f>rebio23_80ml!BF12/50</f>
        <v>0</v>
      </c>
      <c r="BG11" s="27">
        <f>rebio23_80ml!BG12/50</f>
        <v>0</v>
      </c>
    </row>
    <row r="12" spans="1:67" ht="12.75" customHeight="1" x14ac:dyDescent="0.25">
      <c r="A12" s="15" t="str">
        <f>rebio23_80ml!A13</f>
        <v>S-B-P08-H2</v>
      </c>
      <c r="B12" s="27">
        <f>rebio23_80ml!B13/50</f>
        <v>0.12</v>
      </c>
      <c r="C12" s="27">
        <f>rebio23_80ml!C13/50</f>
        <v>0</v>
      </c>
      <c r="D12" s="27">
        <f>rebio23_80ml!D13/50</f>
        <v>0</v>
      </c>
      <c r="E12" s="27">
        <f>rebio23_80ml!E13/50</f>
        <v>1</v>
      </c>
      <c r="F12" s="27">
        <f>rebio23_80ml!F13/50</f>
        <v>0</v>
      </c>
      <c r="G12" s="27">
        <f>rebio23_80ml!G13/50</f>
        <v>0</v>
      </c>
      <c r="H12" s="27">
        <f>rebio23_80ml!H13/50</f>
        <v>0</v>
      </c>
      <c r="I12" s="27">
        <f>rebio23_80ml!I13/50</f>
        <v>1.54</v>
      </c>
      <c r="J12" s="27">
        <f>rebio23_80ml!J13/50</f>
        <v>0</v>
      </c>
      <c r="K12" s="27">
        <f>rebio23_80ml!K13/50</f>
        <v>0</v>
      </c>
      <c r="L12" s="27">
        <f>rebio23_80ml!L13/50</f>
        <v>0</v>
      </c>
      <c r="M12" s="27">
        <f>rebio23_80ml!M13/50</f>
        <v>0</v>
      </c>
      <c r="N12" s="27">
        <f>rebio23_80ml!N13/50</f>
        <v>0</v>
      </c>
      <c r="O12" s="27">
        <f>rebio23_80ml!O13/50</f>
        <v>0</v>
      </c>
      <c r="P12" s="27">
        <f>rebio23_80ml!P13/50</f>
        <v>0</v>
      </c>
      <c r="Q12" s="27">
        <f>rebio23_80ml!Q13/50</f>
        <v>0</v>
      </c>
      <c r="R12" s="27">
        <f>rebio23_80ml!R13/50</f>
        <v>0</v>
      </c>
      <c r="S12" s="27">
        <f>rebio23_80ml!S13/50</f>
        <v>0.16</v>
      </c>
      <c r="T12" s="27">
        <f>rebio23_80ml!T13/50</f>
        <v>0</v>
      </c>
      <c r="U12" s="27">
        <f>rebio23_80ml!U13/50</f>
        <v>0.08</v>
      </c>
      <c r="V12" s="27">
        <f>rebio23_80ml!V13/50</f>
        <v>0</v>
      </c>
      <c r="W12" s="27">
        <f>rebio23_80ml!W13/50</f>
        <v>0</v>
      </c>
      <c r="X12" s="27">
        <f>rebio23_80ml!X13/50</f>
        <v>0</v>
      </c>
      <c r="Y12" s="27">
        <f>rebio23_80ml!Y13/50</f>
        <v>0</v>
      </c>
      <c r="Z12" s="27">
        <f>rebio23_80ml!Z13/50</f>
        <v>0.04</v>
      </c>
      <c r="AA12" s="27">
        <f>rebio23_80ml!AA13/50</f>
        <v>0.04</v>
      </c>
      <c r="AB12" s="27">
        <f>rebio23_80ml!AB13/50</f>
        <v>0</v>
      </c>
      <c r="AC12" s="27">
        <f>rebio23_80ml!AC13/50</f>
        <v>0</v>
      </c>
      <c r="AD12" s="27">
        <f>rebio23_80ml!AD13/50</f>
        <v>0</v>
      </c>
      <c r="AE12" s="27">
        <f>rebio23_80ml!AE13/50</f>
        <v>0.02</v>
      </c>
      <c r="AF12" s="27">
        <f>rebio23_80ml!AF13/50</f>
        <v>0</v>
      </c>
      <c r="AG12" s="27">
        <f>rebio23_80ml!AG13/50</f>
        <v>0</v>
      </c>
      <c r="AH12" s="27">
        <f>rebio23_80ml!AH13/50</f>
        <v>0</v>
      </c>
      <c r="AI12" s="27">
        <f>rebio23_80ml!AI13/50</f>
        <v>0</v>
      </c>
      <c r="AJ12" s="27">
        <f>rebio23_80ml!AJ13/50</f>
        <v>0.04</v>
      </c>
      <c r="AK12" s="27">
        <f>rebio23_80ml!AK13/50</f>
        <v>0</v>
      </c>
      <c r="AL12" s="27">
        <f>rebio23_80ml!AL13/50</f>
        <v>0.02</v>
      </c>
      <c r="AM12" s="27">
        <f>rebio23_80ml!AM13/50</f>
        <v>0</v>
      </c>
      <c r="AN12" s="27">
        <f>rebio23_80ml!AN13/50</f>
        <v>0</v>
      </c>
      <c r="AO12" s="27">
        <f>rebio23_80ml!AO13/50</f>
        <v>0</v>
      </c>
      <c r="AP12" s="27">
        <f>rebio23_80ml!AP13/50</f>
        <v>0</v>
      </c>
      <c r="AQ12" s="27">
        <f>rebio23_80ml!AQ13/50</f>
        <v>0</v>
      </c>
      <c r="AR12" s="27">
        <f>rebio23_80ml!AR13/50</f>
        <v>0</v>
      </c>
      <c r="AS12" s="27">
        <f>rebio23_80ml!AS13/50</f>
        <v>0</v>
      </c>
      <c r="AT12" s="27">
        <f>rebio23_80ml!AT13/50</f>
        <v>0</v>
      </c>
      <c r="AU12" s="27">
        <f>rebio23_80ml!AU13/50</f>
        <v>0</v>
      </c>
      <c r="AV12" s="27">
        <f>rebio23_80ml!AV13/50</f>
        <v>1.2</v>
      </c>
      <c r="AW12" s="27">
        <f>rebio23_80ml!AW13/50</f>
        <v>0</v>
      </c>
      <c r="AX12" s="27">
        <f>rebio23_80ml!AX13/50</f>
        <v>0.08</v>
      </c>
      <c r="AY12" s="27">
        <f>rebio23_80ml!AY13/50</f>
        <v>0</v>
      </c>
      <c r="AZ12" s="27">
        <f>rebio23_80ml!AZ13/50</f>
        <v>0</v>
      </c>
      <c r="BA12" s="27">
        <f>rebio23_80ml!BA13/50</f>
        <v>0</v>
      </c>
      <c r="BB12" s="27">
        <f>rebio23_80ml!BB13/50</f>
        <v>0</v>
      </c>
      <c r="BC12" s="27">
        <f>rebio23_80ml!BC13/50</f>
        <v>0</v>
      </c>
      <c r="BD12" s="27">
        <f>rebio23_80ml!BD13/50</f>
        <v>0</v>
      </c>
      <c r="BE12" s="27">
        <f>rebio23_80ml!BE13/50</f>
        <v>0</v>
      </c>
      <c r="BF12" s="27">
        <f>rebio23_80ml!BF13/50</f>
        <v>0</v>
      </c>
      <c r="BG12" s="27">
        <f>rebio23_80ml!BG13/50</f>
        <v>0</v>
      </c>
    </row>
    <row r="13" spans="1:67" ht="12.75" customHeight="1" x14ac:dyDescent="0.25">
      <c r="A13" s="15" t="str">
        <f>rebio23_80ml!A14</f>
        <v>S-B-P08-H3</v>
      </c>
      <c r="B13" s="27">
        <f>rebio23_80ml!B14/50</f>
        <v>0.02</v>
      </c>
      <c r="C13" s="27">
        <f>rebio23_80ml!C14/50</f>
        <v>0</v>
      </c>
      <c r="D13" s="27">
        <f>rebio23_80ml!D14/50</f>
        <v>0</v>
      </c>
      <c r="E13" s="27">
        <f>rebio23_80ml!E14/50</f>
        <v>1.02</v>
      </c>
      <c r="F13" s="27">
        <f>rebio23_80ml!F14/50</f>
        <v>0</v>
      </c>
      <c r="G13" s="27">
        <f>rebio23_80ml!G14/50</f>
        <v>0</v>
      </c>
      <c r="H13" s="27">
        <f>rebio23_80ml!H14/50</f>
        <v>0</v>
      </c>
      <c r="I13" s="27">
        <f>rebio23_80ml!I14/50</f>
        <v>0.06</v>
      </c>
      <c r="J13" s="27">
        <f>rebio23_80ml!J14/50</f>
        <v>0</v>
      </c>
      <c r="K13" s="27">
        <f>rebio23_80ml!K14/50</f>
        <v>0</v>
      </c>
      <c r="L13" s="27">
        <f>rebio23_80ml!L14/50</f>
        <v>0</v>
      </c>
      <c r="M13" s="27">
        <f>rebio23_80ml!M14/50</f>
        <v>0</v>
      </c>
      <c r="N13" s="27">
        <f>rebio23_80ml!N14/50</f>
        <v>0</v>
      </c>
      <c r="O13" s="27">
        <f>rebio23_80ml!O14/50</f>
        <v>0</v>
      </c>
      <c r="P13" s="27">
        <f>rebio23_80ml!P14/50</f>
        <v>0</v>
      </c>
      <c r="Q13" s="27">
        <f>rebio23_80ml!Q14/50</f>
        <v>0</v>
      </c>
      <c r="R13" s="27">
        <f>rebio23_80ml!R14/50</f>
        <v>0</v>
      </c>
      <c r="S13" s="27">
        <f>rebio23_80ml!S14/50</f>
        <v>0.04</v>
      </c>
      <c r="T13" s="27">
        <f>rebio23_80ml!T14/50</f>
        <v>0</v>
      </c>
      <c r="U13" s="27">
        <f>rebio23_80ml!U14/50</f>
        <v>0.02</v>
      </c>
      <c r="V13" s="27">
        <f>rebio23_80ml!V14/50</f>
        <v>0.02</v>
      </c>
      <c r="W13" s="27">
        <f>rebio23_80ml!W14/50</f>
        <v>0</v>
      </c>
      <c r="X13" s="27">
        <f>rebio23_80ml!X14/50</f>
        <v>0</v>
      </c>
      <c r="Y13" s="27">
        <f>rebio23_80ml!Y14/50</f>
        <v>0</v>
      </c>
      <c r="Z13" s="27">
        <f>rebio23_80ml!Z14/50</f>
        <v>0</v>
      </c>
      <c r="AA13" s="27">
        <f>rebio23_80ml!AA14/50</f>
        <v>0.08</v>
      </c>
      <c r="AB13" s="27">
        <f>rebio23_80ml!AB14/50</f>
        <v>0.02</v>
      </c>
      <c r="AC13" s="27">
        <f>rebio23_80ml!AC14/50</f>
        <v>0</v>
      </c>
      <c r="AD13" s="27">
        <f>rebio23_80ml!AD14/50</f>
        <v>0.04</v>
      </c>
      <c r="AE13" s="27">
        <f>rebio23_80ml!AE14/50</f>
        <v>0.02</v>
      </c>
      <c r="AF13" s="27">
        <f>rebio23_80ml!AF14/50</f>
        <v>0</v>
      </c>
      <c r="AG13" s="27">
        <f>rebio23_80ml!AG14/50</f>
        <v>0</v>
      </c>
      <c r="AH13" s="27">
        <f>rebio23_80ml!AH14/50</f>
        <v>0</v>
      </c>
      <c r="AI13" s="27">
        <f>rebio23_80ml!AI14/50</f>
        <v>0</v>
      </c>
      <c r="AJ13" s="27">
        <f>rebio23_80ml!AJ14/50</f>
        <v>0</v>
      </c>
      <c r="AK13" s="27">
        <f>rebio23_80ml!AK14/50</f>
        <v>0</v>
      </c>
      <c r="AL13" s="27">
        <f>rebio23_80ml!AL14/50</f>
        <v>0</v>
      </c>
      <c r="AM13" s="27">
        <f>rebio23_80ml!AM14/50</f>
        <v>0</v>
      </c>
      <c r="AN13" s="27">
        <f>rebio23_80ml!AN14/50</f>
        <v>0</v>
      </c>
      <c r="AO13" s="27">
        <f>rebio23_80ml!AO14/50</f>
        <v>0</v>
      </c>
      <c r="AP13" s="27">
        <f>rebio23_80ml!AP14/50</f>
        <v>0.02</v>
      </c>
      <c r="AQ13" s="27">
        <f>rebio23_80ml!AQ14/50</f>
        <v>0</v>
      </c>
      <c r="AR13" s="27">
        <f>rebio23_80ml!AR14/50</f>
        <v>0</v>
      </c>
      <c r="AS13" s="27">
        <f>rebio23_80ml!AS14/50</f>
        <v>0</v>
      </c>
      <c r="AT13" s="27">
        <f>rebio23_80ml!AT14/50</f>
        <v>0</v>
      </c>
      <c r="AU13" s="27">
        <f>rebio23_80ml!AU14/50</f>
        <v>0</v>
      </c>
      <c r="AV13" s="27">
        <f>rebio23_80ml!AV14/50</f>
        <v>0.3</v>
      </c>
      <c r="AW13" s="27">
        <f>rebio23_80ml!AW14/50</f>
        <v>0</v>
      </c>
      <c r="AX13" s="27">
        <f>rebio23_80ml!AX14/50</f>
        <v>0.02</v>
      </c>
      <c r="AY13" s="27">
        <f>rebio23_80ml!AY14/50</f>
        <v>0</v>
      </c>
      <c r="AZ13" s="27">
        <f>rebio23_80ml!AZ14/50</f>
        <v>0</v>
      </c>
      <c r="BA13" s="27">
        <f>rebio23_80ml!BA14/50</f>
        <v>0</v>
      </c>
      <c r="BB13" s="27">
        <f>rebio23_80ml!BB14/50</f>
        <v>0</v>
      </c>
      <c r="BC13" s="27">
        <f>rebio23_80ml!BC14/50</f>
        <v>0</v>
      </c>
      <c r="BD13" s="27">
        <f>rebio23_80ml!BD14/50</f>
        <v>0</v>
      </c>
      <c r="BE13" s="27">
        <f>rebio23_80ml!BE14/50</f>
        <v>0</v>
      </c>
      <c r="BF13" s="27">
        <f>rebio23_80ml!BF14/50</f>
        <v>0</v>
      </c>
      <c r="BG13" s="27">
        <f>rebio23_80ml!BG14/50</f>
        <v>0</v>
      </c>
    </row>
    <row r="14" spans="1:67" ht="12.75" customHeight="1" x14ac:dyDescent="0.25">
      <c r="A14" s="15" t="str">
        <f>rebio23_80ml!A15</f>
        <v>S-B-P09-H1</v>
      </c>
      <c r="B14" s="27">
        <f>rebio23_80ml!B15/50</f>
        <v>0</v>
      </c>
      <c r="C14" s="27">
        <f>rebio23_80ml!C15/50</f>
        <v>0</v>
      </c>
      <c r="D14" s="27">
        <f>rebio23_80ml!D15/50</f>
        <v>0</v>
      </c>
      <c r="E14" s="27">
        <f>rebio23_80ml!E15/50</f>
        <v>0.7</v>
      </c>
      <c r="F14" s="27">
        <f>rebio23_80ml!F15/50</f>
        <v>0</v>
      </c>
      <c r="G14" s="27">
        <f>rebio23_80ml!G15/50</f>
        <v>0</v>
      </c>
      <c r="H14" s="27">
        <f>rebio23_80ml!H15/50</f>
        <v>0</v>
      </c>
      <c r="I14" s="27">
        <f>rebio23_80ml!I15/50</f>
        <v>0.02</v>
      </c>
      <c r="J14" s="27">
        <f>rebio23_80ml!J15/50</f>
        <v>0</v>
      </c>
      <c r="K14" s="27">
        <f>rebio23_80ml!K15/50</f>
        <v>0</v>
      </c>
      <c r="L14" s="27">
        <f>rebio23_80ml!L15/50</f>
        <v>0</v>
      </c>
      <c r="M14" s="27">
        <f>rebio23_80ml!M15/50</f>
        <v>0</v>
      </c>
      <c r="N14" s="27">
        <f>rebio23_80ml!N15/50</f>
        <v>0</v>
      </c>
      <c r="O14" s="27">
        <f>rebio23_80ml!O15/50</f>
        <v>0</v>
      </c>
      <c r="P14" s="27">
        <f>rebio23_80ml!P15/50</f>
        <v>0</v>
      </c>
      <c r="Q14" s="27">
        <f>rebio23_80ml!Q15/50</f>
        <v>0</v>
      </c>
      <c r="R14" s="27">
        <f>rebio23_80ml!R15/50</f>
        <v>0</v>
      </c>
      <c r="S14" s="27">
        <f>rebio23_80ml!S15/50</f>
        <v>0</v>
      </c>
      <c r="T14" s="27">
        <f>rebio23_80ml!T15/50</f>
        <v>0</v>
      </c>
      <c r="U14" s="27">
        <f>rebio23_80ml!U15/50</f>
        <v>0.02</v>
      </c>
      <c r="V14" s="27">
        <f>rebio23_80ml!V15/50</f>
        <v>0</v>
      </c>
      <c r="W14" s="27">
        <f>rebio23_80ml!W15/50</f>
        <v>0</v>
      </c>
      <c r="X14" s="27">
        <f>rebio23_80ml!X15/50</f>
        <v>0</v>
      </c>
      <c r="Y14" s="27">
        <f>rebio23_80ml!Y15/50</f>
        <v>0</v>
      </c>
      <c r="Z14" s="27">
        <f>rebio23_80ml!Z15/50</f>
        <v>0.02</v>
      </c>
      <c r="AA14" s="27">
        <f>rebio23_80ml!AA15/50</f>
        <v>0</v>
      </c>
      <c r="AB14" s="27">
        <f>rebio23_80ml!AB15/50</f>
        <v>0</v>
      </c>
      <c r="AC14" s="27">
        <f>rebio23_80ml!AC15/50</f>
        <v>0</v>
      </c>
      <c r="AD14" s="27">
        <f>rebio23_80ml!AD15/50</f>
        <v>0</v>
      </c>
      <c r="AE14" s="27">
        <f>rebio23_80ml!AE15/50</f>
        <v>0</v>
      </c>
      <c r="AF14" s="27">
        <f>rebio23_80ml!AF15/50</f>
        <v>0</v>
      </c>
      <c r="AG14" s="27">
        <f>rebio23_80ml!AG15/50</f>
        <v>0</v>
      </c>
      <c r="AH14" s="27">
        <f>rebio23_80ml!AH15/50</f>
        <v>0</v>
      </c>
      <c r="AI14" s="27">
        <f>rebio23_80ml!AI15/50</f>
        <v>0</v>
      </c>
      <c r="AJ14" s="27">
        <f>rebio23_80ml!AJ15/50</f>
        <v>0.02</v>
      </c>
      <c r="AK14" s="27">
        <f>rebio23_80ml!AK15/50</f>
        <v>0</v>
      </c>
      <c r="AL14" s="27">
        <f>rebio23_80ml!AL15/50</f>
        <v>0</v>
      </c>
      <c r="AM14" s="27">
        <f>rebio23_80ml!AM15/50</f>
        <v>0</v>
      </c>
      <c r="AN14" s="27">
        <f>rebio23_80ml!AN15/50</f>
        <v>0</v>
      </c>
      <c r="AO14" s="27">
        <f>rebio23_80ml!AO15/50</f>
        <v>0</v>
      </c>
      <c r="AP14" s="27">
        <f>rebio23_80ml!AP15/50</f>
        <v>0</v>
      </c>
      <c r="AQ14" s="27">
        <f>rebio23_80ml!AQ15/50</f>
        <v>0</v>
      </c>
      <c r="AR14" s="27">
        <f>rebio23_80ml!AR15/50</f>
        <v>0</v>
      </c>
      <c r="AS14" s="27">
        <f>rebio23_80ml!AS15/50</f>
        <v>0</v>
      </c>
      <c r="AT14" s="27">
        <f>rebio23_80ml!AT15/50</f>
        <v>0</v>
      </c>
      <c r="AU14" s="27">
        <f>rebio23_80ml!AU15/50</f>
        <v>0</v>
      </c>
      <c r="AV14" s="27">
        <f>rebio23_80ml!AV15/50</f>
        <v>0.06</v>
      </c>
      <c r="AW14" s="27">
        <f>rebio23_80ml!AW15/50</f>
        <v>0</v>
      </c>
      <c r="AX14" s="27">
        <f>rebio23_80ml!AX15/50</f>
        <v>0</v>
      </c>
      <c r="AY14" s="27">
        <f>rebio23_80ml!AY15/50</f>
        <v>0.02</v>
      </c>
      <c r="AZ14" s="27">
        <f>rebio23_80ml!AZ15/50</f>
        <v>0</v>
      </c>
      <c r="BA14" s="27">
        <f>rebio23_80ml!BA15/50</f>
        <v>0</v>
      </c>
      <c r="BB14" s="27">
        <f>rebio23_80ml!BB15/50</f>
        <v>0</v>
      </c>
      <c r="BC14" s="27">
        <f>rebio23_80ml!BC15/50</f>
        <v>0</v>
      </c>
      <c r="BD14" s="27">
        <f>rebio23_80ml!BD15/50</f>
        <v>0</v>
      </c>
      <c r="BE14" s="27">
        <f>rebio23_80ml!BE15/50</f>
        <v>0</v>
      </c>
      <c r="BF14" s="27">
        <f>rebio23_80ml!BF15/50</f>
        <v>0</v>
      </c>
      <c r="BG14" s="27">
        <f>rebio23_80ml!BG15/50</f>
        <v>0</v>
      </c>
    </row>
    <row r="15" spans="1:67" ht="12.75" customHeight="1" x14ac:dyDescent="0.25">
      <c r="A15" s="15" t="str">
        <f>rebio23_80ml!A16</f>
        <v>S-B-P09-H2</v>
      </c>
      <c r="B15" s="27">
        <f>rebio23_80ml!B16/50</f>
        <v>0</v>
      </c>
      <c r="C15" s="27">
        <f>rebio23_80ml!C16/50</f>
        <v>0</v>
      </c>
      <c r="D15" s="27">
        <f>rebio23_80ml!D16/50</f>
        <v>0</v>
      </c>
      <c r="E15" s="27">
        <f>rebio23_80ml!E16/50</f>
        <v>2.08</v>
      </c>
      <c r="F15" s="27">
        <f>rebio23_80ml!F16/50</f>
        <v>0</v>
      </c>
      <c r="G15" s="27">
        <f>rebio23_80ml!G16/50</f>
        <v>0</v>
      </c>
      <c r="H15" s="27">
        <f>rebio23_80ml!H16/50</f>
        <v>0</v>
      </c>
      <c r="I15" s="27">
        <f>rebio23_80ml!I16/50</f>
        <v>0</v>
      </c>
      <c r="J15" s="27">
        <f>rebio23_80ml!J16/50</f>
        <v>0</v>
      </c>
      <c r="K15" s="27">
        <f>rebio23_80ml!K16/50</f>
        <v>0</v>
      </c>
      <c r="L15" s="27">
        <f>rebio23_80ml!L16/50</f>
        <v>0</v>
      </c>
      <c r="M15" s="27">
        <f>rebio23_80ml!M16/50</f>
        <v>0</v>
      </c>
      <c r="N15" s="27">
        <f>rebio23_80ml!N16/50</f>
        <v>0</v>
      </c>
      <c r="O15" s="27">
        <f>rebio23_80ml!O16/50</f>
        <v>0</v>
      </c>
      <c r="P15" s="27">
        <f>rebio23_80ml!P16/50</f>
        <v>0</v>
      </c>
      <c r="Q15" s="27">
        <f>rebio23_80ml!Q16/50</f>
        <v>0</v>
      </c>
      <c r="R15" s="27">
        <f>rebio23_80ml!R16/50</f>
        <v>0</v>
      </c>
      <c r="S15" s="27">
        <f>rebio23_80ml!S16/50</f>
        <v>0.06</v>
      </c>
      <c r="T15" s="27">
        <f>rebio23_80ml!T16/50</f>
        <v>0.02</v>
      </c>
      <c r="U15" s="27">
        <f>rebio23_80ml!U16/50</f>
        <v>0</v>
      </c>
      <c r="V15" s="27">
        <f>rebio23_80ml!V16/50</f>
        <v>0</v>
      </c>
      <c r="W15" s="27">
        <f>rebio23_80ml!W16/50</f>
        <v>0</v>
      </c>
      <c r="X15" s="27">
        <f>rebio23_80ml!X16/50</f>
        <v>0</v>
      </c>
      <c r="Y15" s="27">
        <f>rebio23_80ml!Y16/50</f>
        <v>0</v>
      </c>
      <c r="Z15" s="27">
        <f>rebio23_80ml!Z16/50</f>
        <v>0.04</v>
      </c>
      <c r="AA15" s="27">
        <f>rebio23_80ml!AA16/50</f>
        <v>0</v>
      </c>
      <c r="AB15" s="27">
        <f>rebio23_80ml!AB16/50</f>
        <v>0</v>
      </c>
      <c r="AC15" s="27">
        <f>rebio23_80ml!AC16/50</f>
        <v>0</v>
      </c>
      <c r="AD15" s="27">
        <f>rebio23_80ml!AD16/50</f>
        <v>0</v>
      </c>
      <c r="AE15" s="27">
        <f>rebio23_80ml!AE16/50</f>
        <v>0</v>
      </c>
      <c r="AF15" s="27">
        <f>rebio23_80ml!AF16/50</f>
        <v>0</v>
      </c>
      <c r="AG15" s="27">
        <f>rebio23_80ml!AG16/50</f>
        <v>0</v>
      </c>
      <c r="AH15" s="27">
        <f>rebio23_80ml!AH16/50</f>
        <v>0</v>
      </c>
      <c r="AI15" s="27">
        <f>rebio23_80ml!AI16/50</f>
        <v>0</v>
      </c>
      <c r="AJ15" s="27">
        <f>rebio23_80ml!AJ16/50</f>
        <v>0.04</v>
      </c>
      <c r="AK15" s="27">
        <f>rebio23_80ml!AK16/50</f>
        <v>0</v>
      </c>
      <c r="AL15" s="27">
        <f>rebio23_80ml!AL16/50</f>
        <v>0</v>
      </c>
      <c r="AM15" s="27">
        <f>rebio23_80ml!AM16/50</f>
        <v>0</v>
      </c>
      <c r="AN15" s="27">
        <f>rebio23_80ml!AN16/50</f>
        <v>0</v>
      </c>
      <c r="AO15" s="27">
        <f>rebio23_80ml!AO16/50</f>
        <v>0</v>
      </c>
      <c r="AP15" s="27">
        <f>rebio23_80ml!AP16/50</f>
        <v>0</v>
      </c>
      <c r="AQ15" s="27">
        <f>rebio23_80ml!AQ16/50</f>
        <v>0</v>
      </c>
      <c r="AR15" s="27">
        <f>rebio23_80ml!AR16/50</f>
        <v>0</v>
      </c>
      <c r="AS15" s="27">
        <f>rebio23_80ml!AS16/50</f>
        <v>0</v>
      </c>
      <c r="AT15" s="27">
        <f>rebio23_80ml!AT16/50</f>
        <v>0</v>
      </c>
      <c r="AU15" s="27">
        <f>rebio23_80ml!AU16/50</f>
        <v>0</v>
      </c>
      <c r="AV15" s="27">
        <f>rebio23_80ml!AV16/50</f>
        <v>0.04</v>
      </c>
      <c r="AW15" s="27">
        <f>rebio23_80ml!AW16/50</f>
        <v>0</v>
      </c>
      <c r="AX15" s="27">
        <f>rebio23_80ml!AX16/50</f>
        <v>0</v>
      </c>
      <c r="AY15" s="27">
        <f>rebio23_80ml!AY16/50</f>
        <v>0</v>
      </c>
      <c r="AZ15" s="27">
        <f>rebio23_80ml!AZ16/50</f>
        <v>0.1</v>
      </c>
      <c r="BA15" s="27">
        <f>rebio23_80ml!BA16/50</f>
        <v>0</v>
      </c>
      <c r="BB15" s="27">
        <f>rebio23_80ml!BB16/50</f>
        <v>0</v>
      </c>
      <c r="BC15" s="27">
        <f>rebio23_80ml!BC16/50</f>
        <v>0</v>
      </c>
      <c r="BD15" s="27">
        <f>rebio23_80ml!BD16/50</f>
        <v>0</v>
      </c>
      <c r="BE15" s="27">
        <f>rebio23_80ml!BE16/50</f>
        <v>0</v>
      </c>
      <c r="BF15" s="27">
        <f>rebio23_80ml!BF16/50</f>
        <v>0</v>
      </c>
      <c r="BG15" s="27">
        <f>rebio23_80ml!BG16/50</f>
        <v>0</v>
      </c>
    </row>
    <row r="16" spans="1:67" ht="12.75" customHeight="1" x14ac:dyDescent="0.25">
      <c r="A16" s="15" t="str">
        <f>rebio23_80ml!A17</f>
        <v>S-B-P09-H3</v>
      </c>
      <c r="B16" s="27">
        <f>rebio23_80ml!B17/50</f>
        <v>0</v>
      </c>
      <c r="C16" s="27">
        <f>rebio23_80ml!C17/50</f>
        <v>0</v>
      </c>
      <c r="D16" s="27">
        <f>rebio23_80ml!D17/50</f>
        <v>0</v>
      </c>
      <c r="E16" s="27">
        <f>rebio23_80ml!E17/50</f>
        <v>1.68</v>
      </c>
      <c r="F16" s="27">
        <f>rebio23_80ml!F17/50</f>
        <v>0</v>
      </c>
      <c r="G16" s="27">
        <f>rebio23_80ml!G17/50</f>
        <v>0</v>
      </c>
      <c r="H16" s="27">
        <f>rebio23_80ml!H17/50</f>
        <v>0.04</v>
      </c>
      <c r="I16" s="27">
        <f>rebio23_80ml!I17/50</f>
        <v>0</v>
      </c>
      <c r="J16" s="27">
        <f>rebio23_80ml!J17/50</f>
        <v>0.02</v>
      </c>
      <c r="K16" s="27">
        <f>rebio23_80ml!K17/50</f>
        <v>0</v>
      </c>
      <c r="L16" s="27">
        <f>rebio23_80ml!L17/50</f>
        <v>0</v>
      </c>
      <c r="M16" s="27">
        <f>rebio23_80ml!M17/50</f>
        <v>0</v>
      </c>
      <c r="N16" s="27">
        <f>rebio23_80ml!N17/50</f>
        <v>0</v>
      </c>
      <c r="O16" s="27">
        <f>rebio23_80ml!O17/50</f>
        <v>0</v>
      </c>
      <c r="P16" s="27">
        <f>rebio23_80ml!P17/50</f>
        <v>0</v>
      </c>
      <c r="Q16" s="27">
        <f>rebio23_80ml!Q17/50</f>
        <v>0</v>
      </c>
      <c r="R16" s="27">
        <f>rebio23_80ml!R17/50</f>
        <v>0</v>
      </c>
      <c r="S16" s="27">
        <f>rebio23_80ml!S17/50</f>
        <v>0.08</v>
      </c>
      <c r="T16" s="27">
        <f>rebio23_80ml!T17/50</f>
        <v>0.02</v>
      </c>
      <c r="U16" s="27">
        <f>rebio23_80ml!U17/50</f>
        <v>0</v>
      </c>
      <c r="V16" s="27">
        <f>rebio23_80ml!V17/50</f>
        <v>0</v>
      </c>
      <c r="W16" s="27">
        <f>rebio23_80ml!W17/50</f>
        <v>0</v>
      </c>
      <c r="X16" s="27">
        <f>rebio23_80ml!X17/50</f>
        <v>0</v>
      </c>
      <c r="Y16" s="27">
        <f>rebio23_80ml!Y17/50</f>
        <v>0.02</v>
      </c>
      <c r="Z16" s="27">
        <f>rebio23_80ml!Z17/50</f>
        <v>0</v>
      </c>
      <c r="AA16" s="27">
        <f>rebio23_80ml!AA17/50</f>
        <v>0</v>
      </c>
      <c r="AB16" s="27">
        <f>rebio23_80ml!AB17/50</f>
        <v>0</v>
      </c>
      <c r="AC16" s="27">
        <f>rebio23_80ml!AC17/50</f>
        <v>0</v>
      </c>
      <c r="AD16" s="27">
        <f>rebio23_80ml!AD17/50</f>
        <v>0</v>
      </c>
      <c r="AE16" s="27">
        <f>rebio23_80ml!AE17/50</f>
        <v>0</v>
      </c>
      <c r="AF16" s="27">
        <f>rebio23_80ml!AF17/50</f>
        <v>0</v>
      </c>
      <c r="AG16" s="27">
        <f>rebio23_80ml!AG17/50</f>
        <v>0</v>
      </c>
      <c r="AH16" s="27">
        <f>rebio23_80ml!AH17/50</f>
        <v>0</v>
      </c>
      <c r="AI16" s="27">
        <f>rebio23_80ml!AI17/50</f>
        <v>0</v>
      </c>
      <c r="AJ16" s="27">
        <f>rebio23_80ml!AJ17/50</f>
        <v>0</v>
      </c>
      <c r="AK16" s="27">
        <f>rebio23_80ml!AK17/50</f>
        <v>0.02</v>
      </c>
      <c r="AL16" s="27">
        <f>rebio23_80ml!AL17/50</f>
        <v>0</v>
      </c>
      <c r="AM16" s="27">
        <f>rebio23_80ml!AM17/50</f>
        <v>0</v>
      </c>
      <c r="AN16" s="27">
        <f>rebio23_80ml!AN17/50</f>
        <v>0</v>
      </c>
      <c r="AO16" s="27">
        <f>rebio23_80ml!AO17/50</f>
        <v>0</v>
      </c>
      <c r="AP16" s="27">
        <f>rebio23_80ml!AP17/50</f>
        <v>0</v>
      </c>
      <c r="AQ16" s="27">
        <f>rebio23_80ml!AQ17/50</f>
        <v>0</v>
      </c>
      <c r="AR16" s="27">
        <f>rebio23_80ml!AR17/50</f>
        <v>0</v>
      </c>
      <c r="AS16" s="27">
        <f>rebio23_80ml!AS17/50</f>
        <v>0</v>
      </c>
      <c r="AT16" s="27">
        <f>rebio23_80ml!AT17/50</f>
        <v>0</v>
      </c>
      <c r="AU16" s="27">
        <f>rebio23_80ml!AU17/50</f>
        <v>0</v>
      </c>
      <c r="AV16" s="27">
        <f>rebio23_80ml!AV17/50</f>
        <v>0.08</v>
      </c>
      <c r="AW16" s="27">
        <f>rebio23_80ml!AW17/50</f>
        <v>0</v>
      </c>
      <c r="AX16" s="27">
        <f>rebio23_80ml!AX17/50</f>
        <v>0</v>
      </c>
      <c r="AY16" s="27">
        <f>rebio23_80ml!AY17/50</f>
        <v>0</v>
      </c>
      <c r="AZ16" s="27">
        <f>rebio23_80ml!AZ17/50</f>
        <v>0</v>
      </c>
      <c r="BA16" s="27">
        <f>rebio23_80ml!BA17/50</f>
        <v>0</v>
      </c>
      <c r="BB16" s="27">
        <f>rebio23_80ml!BB17/50</f>
        <v>0</v>
      </c>
      <c r="BC16" s="27">
        <f>rebio23_80ml!BC17/50</f>
        <v>0</v>
      </c>
      <c r="BD16" s="27">
        <f>rebio23_80ml!BD17/50</f>
        <v>0.02</v>
      </c>
      <c r="BE16" s="27">
        <f>rebio23_80ml!BE17/50</f>
        <v>0</v>
      </c>
      <c r="BF16" s="27">
        <f>rebio23_80ml!BF17/50</f>
        <v>0</v>
      </c>
      <c r="BG16" s="27">
        <f>rebio23_80ml!BG17/50</f>
        <v>0</v>
      </c>
    </row>
    <row r="17" spans="1:59" ht="12.75" customHeight="1" x14ac:dyDescent="0.25">
      <c r="A17" s="15" t="str">
        <f>rebio23_80ml!A18</f>
        <v>S-B-P10-H1</v>
      </c>
      <c r="B17" s="27">
        <f>rebio23_80ml!B18/50</f>
        <v>0.02</v>
      </c>
      <c r="C17" s="27">
        <f>rebio23_80ml!C18/50</f>
        <v>0</v>
      </c>
      <c r="D17" s="27">
        <f>rebio23_80ml!D18/50</f>
        <v>0</v>
      </c>
      <c r="E17" s="27">
        <f>rebio23_80ml!E18/50</f>
        <v>1.18</v>
      </c>
      <c r="F17" s="27">
        <f>rebio23_80ml!F18/50</f>
        <v>0.04</v>
      </c>
      <c r="G17" s="27">
        <f>rebio23_80ml!G18/50</f>
        <v>0</v>
      </c>
      <c r="H17" s="27">
        <f>rebio23_80ml!H18/50</f>
        <v>0.02</v>
      </c>
      <c r="I17" s="27">
        <f>rebio23_80ml!I18/50</f>
        <v>0.02</v>
      </c>
      <c r="J17" s="27">
        <f>rebio23_80ml!J18/50</f>
        <v>0</v>
      </c>
      <c r="K17" s="27">
        <f>rebio23_80ml!K18/50</f>
        <v>0</v>
      </c>
      <c r="L17" s="27">
        <f>rebio23_80ml!L18/50</f>
        <v>0</v>
      </c>
      <c r="M17" s="27">
        <f>rebio23_80ml!M18/50</f>
        <v>0</v>
      </c>
      <c r="N17" s="27">
        <f>rebio23_80ml!N18/50</f>
        <v>0</v>
      </c>
      <c r="O17" s="27">
        <f>rebio23_80ml!O18/50</f>
        <v>0</v>
      </c>
      <c r="P17" s="27">
        <f>rebio23_80ml!P18/50</f>
        <v>0</v>
      </c>
      <c r="Q17" s="27">
        <f>rebio23_80ml!Q18/50</f>
        <v>0</v>
      </c>
      <c r="R17" s="27">
        <f>rebio23_80ml!R18/50</f>
        <v>0.02</v>
      </c>
      <c r="S17" s="27">
        <f>rebio23_80ml!S18/50</f>
        <v>0.16</v>
      </c>
      <c r="T17" s="27">
        <f>rebio23_80ml!T18/50</f>
        <v>0.02</v>
      </c>
      <c r="U17" s="27">
        <f>rebio23_80ml!U18/50</f>
        <v>0</v>
      </c>
      <c r="V17" s="27">
        <f>rebio23_80ml!V18/50</f>
        <v>0</v>
      </c>
      <c r="W17" s="27">
        <f>rebio23_80ml!W18/50</f>
        <v>0</v>
      </c>
      <c r="X17" s="27">
        <f>rebio23_80ml!X18/50</f>
        <v>0</v>
      </c>
      <c r="Y17" s="27">
        <f>rebio23_80ml!Y18/50</f>
        <v>0</v>
      </c>
      <c r="Z17" s="27">
        <f>rebio23_80ml!Z18/50</f>
        <v>0.02</v>
      </c>
      <c r="AA17" s="27">
        <f>rebio23_80ml!AA18/50</f>
        <v>0.02</v>
      </c>
      <c r="AB17" s="27">
        <f>rebio23_80ml!AB18/50</f>
        <v>0</v>
      </c>
      <c r="AC17" s="27">
        <f>rebio23_80ml!AC18/50</f>
        <v>0</v>
      </c>
      <c r="AD17" s="27">
        <f>rebio23_80ml!AD18/50</f>
        <v>0</v>
      </c>
      <c r="AE17" s="27">
        <f>rebio23_80ml!AE18/50</f>
        <v>0</v>
      </c>
      <c r="AF17" s="27">
        <f>rebio23_80ml!AF18/50</f>
        <v>0</v>
      </c>
      <c r="AG17" s="27">
        <f>rebio23_80ml!AG18/50</f>
        <v>0</v>
      </c>
      <c r="AH17" s="27">
        <f>rebio23_80ml!AH18/50</f>
        <v>0</v>
      </c>
      <c r="AI17" s="27">
        <f>rebio23_80ml!AI18/50</f>
        <v>0</v>
      </c>
      <c r="AJ17" s="27">
        <f>rebio23_80ml!AJ18/50</f>
        <v>0.14000000000000001</v>
      </c>
      <c r="AK17" s="27">
        <f>rebio23_80ml!AK18/50</f>
        <v>0</v>
      </c>
      <c r="AL17" s="27">
        <f>rebio23_80ml!AL18/50</f>
        <v>0</v>
      </c>
      <c r="AM17" s="27">
        <f>rebio23_80ml!AM18/50</f>
        <v>0</v>
      </c>
      <c r="AN17" s="27">
        <f>rebio23_80ml!AN18/50</f>
        <v>0.02</v>
      </c>
      <c r="AO17" s="27">
        <f>rebio23_80ml!AO18/50</f>
        <v>0</v>
      </c>
      <c r="AP17" s="27">
        <f>rebio23_80ml!AP18/50</f>
        <v>0</v>
      </c>
      <c r="AQ17" s="27">
        <f>rebio23_80ml!AQ18/50</f>
        <v>0</v>
      </c>
      <c r="AR17" s="27">
        <f>rebio23_80ml!AR18/50</f>
        <v>0</v>
      </c>
      <c r="AS17" s="27">
        <f>rebio23_80ml!AS18/50</f>
        <v>0</v>
      </c>
      <c r="AT17" s="27">
        <f>rebio23_80ml!AT18/50</f>
        <v>0</v>
      </c>
      <c r="AU17" s="27">
        <f>rebio23_80ml!AU18/50</f>
        <v>0</v>
      </c>
      <c r="AV17" s="27">
        <f>rebio23_80ml!AV18/50</f>
        <v>0.42</v>
      </c>
      <c r="AW17" s="27">
        <f>rebio23_80ml!AW18/50</f>
        <v>0</v>
      </c>
      <c r="AX17" s="27">
        <f>rebio23_80ml!AX18/50</f>
        <v>0</v>
      </c>
      <c r="AY17" s="27">
        <f>rebio23_80ml!AY18/50</f>
        <v>0.04</v>
      </c>
      <c r="AZ17" s="27">
        <f>rebio23_80ml!AZ18/50</f>
        <v>0</v>
      </c>
      <c r="BA17" s="27">
        <f>rebio23_80ml!BA18/50</f>
        <v>0</v>
      </c>
      <c r="BB17" s="27">
        <f>rebio23_80ml!BB18/50</f>
        <v>0</v>
      </c>
      <c r="BC17" s="27">
        <f>rebio23_80ml!BC18/50</f>
        <v>0</v>
      </c>
      <c r="BD17" s="27">
        <f>rebio23_80ml!BD18/50</f>
        <v>0.04</v>
      </c>
      <c r="BE17" s="27">
        <f>rebio23_80ml!BE18/50</f>
        <v>0</v>
      </c>
      <c r="BF17" s="27">
        <f>rebio23_80ml!BF18/50</f>
        <v>0</v>
      </c>
      <c r="BG17" s="27">
        <f>rebio23_80ml!BG18/50</f>
        <v>0.02</v>
      </c>
    </row>
    <row r="18" spans="1:59" ht="12.75" customHeight="1" x14ac:dyDescent="0.25">
      <c r="A18" s="15" t="str">
        <f>rebio23_80ml!A19</f>
        <v>S-B-P10-H2</v>
      </c>
      <c r="B18" s="27">
        <f>rebio23_80ml!B19/50</f>
        <v>0.02</v>
      </c>
      <c r="C18" s="27">
        <f>rebio23_80ml!C19/50</f>
        <v>0</v>
      </c>
      <c r="D18" s="27">
        <f>rebio23_80ml!D19/50</f>
        <v>0</v>
      </c>
      <c r="E18" s="27">
        <f>rebio23_80ml!E19/50</f>
        <v>0.5</v>
      </c>
      <c r="F18" s="27">
        <f>rebio23_80ml!F19/50</f>
        <v>0</v>
      </c>
      <c r="G18" s="27">
        <f>rebio23_80ml!G19/50</f>
        <v>0.04</v>
      </c>
      <c r="H18" s="27">
        <f>rebio23_80ml!H19/50</f>
        <v>0.06</v>
      </c>
      <c r="I18" s="27">
        <f>rebio23_80ml!I19/50</f>
        <v>0</v>
      </c>
      <c r="J18" s="27">
        <f>rebio23_80ml!J19/50</f>
        <v>0</v>
      </c>
      <c r="K18" s="27">
        <f>rebio23_80ml!K19/50</f>
        <v>0</v>
      </c>
      <c r="L18" s="27">
        <f>rebio23_80ml!L19/50</f>
        <v>0</v>
      </c>
      <c r="M18" s="27">
        <f>rebio23_80ml!M19/50</f>
        <v>0</v>
      </c>
      <c r="N18" s="27">
        <f>rebio23_80ml!N19/50</f>
        <v>0</v>
      </c>
      <c r="O18" s="27">
        <f>rebio23_80ml!O19/50</f>
        <v>0</v>
      </c>
      <c r="P18" s="27">
        <f>rebio23_80ml!P19/50</f>
        <v>0</v>
      </c>
      <c r="Q18" s="27">
        <f>rebio23_80ml!Q19/50</f>
        <v>0</v>
      </c>
      <c r="R18" s="27">
        <f>rebio23_80ml!R19/50</f>
        <v>0</v>
      </c>
      <c r="S18" s="27">
        <f>rebio23_80ml!S19/50</f>
        <v>0.26</v>
      </c>
      <c r="T18" s="27">
        <f>rebio23_80ml!T19/50</f>
        <v>0</v>
      </c>
      <c r="U18" s="27">
        <f>rebio23_80ml!U19/50</f>
        <v>0.14000000000000001</v>
      </c>
      <c r="V18" s="27">
        <f>rebio23_80ml!V19/50</f>
        <v>0</v>
      </c>
      <c r="W18" s="27">
        <f>rebio23_80ml!W19/50</f>
        <v>0.02</v>
      </c>
      <c r="X18" s="27">
        <f>rebio23_80ml!X19/50</f>
        <v>0</v>
      </c>
      <c r="Y18" s="27">
        <f>rebio23_80ml!Y19/50</f>
        <v>0.02</v>
      </c>
      <c r="Z18" s="27">
        <f>rebio23_80ml!Z19/50</f>
        <v>0</v>
      </c>
      <c r="AA18" s="27">
        <f>rebio23_80ml!AA19/50</f>
        <v>0.02</v>
      </c>
      <c r="AB18" s="27">
        <f>rebio23_80ml!AB19/50</f>
        <v>0</v>
      </c>
      <c r="AC18" s="27">
        <f>rebio23_80ml!AC19/50</f>
        <v>0</v>
      </c>
      <c r="AD18" s="27">
        <f>rebio23_80ml!AD19/50</f>
        <v>0</v>
      </c>
      <c r="AE18" s="27">
        <f>rebio23_80ml!AE19/50</f>
        <v>0</v>
      </c>
      <c r="AF18" s="27">
        <f>rebio23_80ml!AF19/50</f>
        <v>0</v>
      </c>
      <c r="AG18" s="27">
        <f>rebio23_80ml!AG19/50</f>
        <v>0</v>
      </c>
      <c r="AH18" s="27">
        <f>rebio23_80ml!AH19/50</f>
        <v>0</v>
      </c>
      <c r="AI18" s="27">
        <f>rebio23_80ml!AI19/50</f>
        <v>0</v>
      </c>
      <c r="AJ18" s="27">
        <f>rebio23_80ml!AJ19/50</f>
        <v>0.04</v>
      </c>
      <c r="AK18" s="27">
        <f>rebio23_80ml!AK19/50</f>
        <v>0</v>
      </c>
      <c r="AL18" s="27">
        <f>rebio23_80ml!AL19/50</f>
        <v>0</v>
      </c>
      <c r="AM18" s="27">
        <f>rebio23_80ml!AM19/50</f>
        <v>0</v>
      </c>
      <c r="AN18" s="27">
        <f>rebio23_80ml!AN19/50</f>
        <v>0</v>
      </c>
      <c r="AO18" s="27">
        <f>rebio23_80ml!AO19/50</f>
        <v>0.02</v>
      </c>
      <c r="AP18" s="27">
        <f>rebio23_80ml!AP19/50</f>
        <v>0</v>
      </c>
      <c r="AQ18" s="27">
        <f>rebio23_80ml!AQ19/50</f>
        <v>0</v>
      </c>
      <c r="AR18" s="27">
        <f>rebio23_80ml!AR19/50</f>
        <v>0</v>
      </c>
      <c r="AS18" s="27">
        <f>rebio23_80ml!AS19/50</f>
        <v>0</v>
      </c>
      <c r="AT18" s="27">
        <f>rebio23_80ml!AT19/50</f>
        <v>0.02</v>
      </c>
      <c r="AU18" s="27">
        <f>rebio23_80ml!AU19/50</f>
        <v>0</v>
      </c>
      <c r="AV18" s="27">
        <f>rebio23_80ml!AV19/50</f>
        <v>0.02</v>
      </c>
      <c r="AW18" s="27">
        <f>rebio23_80ml!AW19/50</f>
        <v>0</v>
      </c>
      <c r="AX18" s="27">
        <f>rebio23_80ml!AX19/50</f>
        <v>0</v>
      </c>
      <c r="AY18" s="27">
        <f>rebio23_80ml!AY19/50</f>
        <v>0.06</v>
      </c>
      <c r="AZ18" s="27">
        <f>rebio23_80ml!AZ19/50</f>
        <v>0</v>
      </c>
      <c r="BA18" s="27">
        <f>rebio23_80ml!BA19/50</f>
        <v>0</v>
      </c>
      <c r="BB18" s="27">
        <f>rebio23_80ml!BB19/50</f>
        <v>0</v>
      </c>
      <c r="BC18" s="27">
        <f>rebio23_80ml!BC19/50</f>
        <v>0</v>
      </c>
      <c r="BD18" s="27">
        <f>rebio23_80ml!BD19/50</f>
        <v>0.02</v>
      </c>
      <c r="BE18" s="27">
        <f>rebio23_80ml!BE19/50</f>
        <v>0</v>
      </c>
      <c r="BF18" s="27">
        <f>rebio23_80ml!BF19/50</f>
        <v>0</v>
      </c>
      <c r="BG18" s="27">
        <f>rebio23_80ml!BG19/50</f>
        <v>0.02</v>
      </c>
    </row>
    <row r="19" spans="1:59" ht="12.75" customHeight="1" x14ac:dyDescent="0.25">
      <c r="A19" s="15" t="str">
        <f>rebio23_80ml!A20</f>
        <v>S-B-P10-H3</v>
      </c>
      <c r="B19" s="27">
        <f>rebio23_80ml!B20/50</f>
        <v>0.04</v>
      </c>
      <c r="C19" s="27">
        <f>rebio23_80ml!C20/50</f>
        <v>0</v>
      </c>
      <c r="D19" s="27">
        <f>rebio23_80ml!D20/50</f>
        <v>0</v>
      </c>
      <c r="E19" s="27">
        <f>rebio23_80ml!E20/50</f>
        <v>2.12</v>
      </c>
      <c r="F19" s="27">
        <f>rebio23_80ml!F20/50</f>
        <v>0.02</v>
      </c>
      <c r="G19" s="27">
        <f>rebio23_80ml!G20/50</f>
        <v>0</v>
      </c>
      <c r="H19" s="27">
        <f>rebio23_80ml!H20/50</f>
        <v>0.02</v>
      </c>
      <c r="I19" s="27">
        <f>rebio23_80ml!I20/50</f>
        <v>0</v>
      </c>
      <c r="J19" s="27">
        <f>rebio23_80ml!J20/50</f>
        <v>0.02</v>
      </c>
      <c r="K19" s="27">
        <f>rebio23_80ml!K20/50</f>
        <v>0</v>
      </c>
      <c r="L19" s="27">
        <f>rebio23_80ml!L20/50</f>
        <v>0</v>
      </c>
      <c r="M19" s="27">
        <f>rebio23_80ml!M20/50</f>
        <v>0</v>
      </c>
      <c r="N19" s="27">
        <f>rebio23_80ml!N20/50</f>
        <v>0</v>
      </c>
      <c r="O19" s="27">
        <f>rebio23_80ml!O20/50</f>
        <v>0</v>
      </c>
      <c r="P19" s="27">
        <f>rebio23_80ml!P20/50</f>
        <v>0</v>
      </c>
      <c r="Q19" s="27">
        <f>rebio23_80ml!Q20/50</f>
        <v>0</v>
      </c>
      <c r="R19" s="27">
        <f>rebio23_80ml!R20/50</f>
        <v>0</v>
      </c>
      <c r="S19" s="27">
        <f>rebio23_80ml!S20/50</f>
        <v>0.36</v>
      </c>
      <c r="T19" s="27">
        <f>rebio23_80ml!T20/50</f>
        <v>0.02</v>
      </c>
      <c r="U19" s="27">
        <f>rebio23_80ml!U20/50</f>
        <v>0</v>
      </c>
      <c r="V19" s="27">
        <f>rebio23_80ml!V20/50</f>
        <v>0</v>
      </c>
      <c r="W19" s="27">
        <f>rebio23_80ml!W20/50</f>
        <v>0</v>
      </c>
      <c r="X19" s="27">
        <f>rebio23_80ml!X20/50</f>
        <v>0</v>
      </c>
      <c r="Y19" s="27">
        <f>rebio23_80ml!Y20/50</f>
        <v>0</v>
      </c>
      <c r="Z19" s="27">
        <f>rebio23_80ml!Z20/50</f>
        <v>0.02</v>
      </c>
      <c r="AA19" s="27">
        <f>rebio23_80ml!AA20/50</f>
        <v>0.02</v>
      </c>
      <c r="AB19" s="27">
        <f>rebio23_80ml!AB20/50</f>
        <v>0</v>
      </c>
      <c r="AC19" s="27">
        <f>rebio23_80ml!AC20/50</f>
        <v>0</v>
      </c>
      <c r="AD19" s="27">
        <f>rebio23_80ml!AD20/50</f>
        <v>0</v>
      </c>
      <c r="AE19" s="27">
        <f>rebio23_80ml!AE20/50</f>
        <v>0</v>
      </c>
      <c r="AF19" s="27">
        <f>rebio23_80ml!AF20/50</f>
        <v>0</v>
      </c>
      <c r="AG19" s="27">
        <f>rebio23_80ml!AG20/50</f>
        <v>0</v>
      </c>
      <c r="AH19" s="27">
        <f>rebio23_80ml!AH20/50</f>
        <v>0</v>
      </c>
      <c r="AI19" s="27">
        <f>rebio23_80ml!AI20/50</f>
        <v>0</v>
      </c>
      <c r="AJ19" s="27">
        <f>rebio23_80ml!AJ20/50</f>
        <v>0.06</v>
      </c>
      <c r="AK19" s="27">
        <f>rebio23_80ml!AK20/50</f>
        <v>0.02</v>
      </c>
      <c r="AL19" s="27">
        <f>rebio23_80ml!AL20/50</f>
        <v>0</v>
      </c>
      <c r="AM19" s="27">
        <f>rebio23_80ml!AM20/50</f>
        <v>0</v>
      </c>
      <c r="AN19" s="27">
        <f>rebio23_80ml!AN20/50</f>
        <v>0.02</v>
      </c>
      <c r="AO19" s="27">
        <f>rebio23_80ml!AO20/50</f>
        <v>0.02</v>
      </c>
      <c r="AP19" s="27">
        <f>rebio23_80ml!AP20/50</f>
        <v>0</v>
      </c>
      <c r="AQ19" s="27">
        <f>rebio23_80ml!AQ20/50</f>
        <v>0</v>
      </c>
      <c r="AR19" s="27">
        <f>rebio23_80ml!AR20/50</f>
        <v>0</v>
      </c>
      <c r="AS19" s="27">
        <f>rebio23_80ml!AS20/50</f>
        <v>0</v>
      </c>
      <c r="AT19" s="27">
        <f>rebio23_80ml!AT20/50</f>
        <v>0</v>
      </c>
      <c r="AU19" s="27">
        <f>rebio23_80ml!AU20/50</f>
        <v>0</v>
      </c>
      <c r="AV19" s="27">
        <f>rebio23_80ml!AV20/50</f>
        <v>0.3</v>
      </c>
      <c r="AW19" s="27">
        <f>rebio23_80ml!AW20/50</f>
        <v>0</v>
      </c>
      <c r="AX19" s="27">
        <f>rebio23_80ml!AX20/50</f>
        <v>0</v>
      </c>
      <c r="AY19" s="27">
        <f>rebio23_80ml!AY20/50</f>
        <v>0</v>
      </c>
      <c r="AZ19" s="27">
        <f>rebio23_80ml!AZ20/50</f>
        <v>0</v>
      </c>
      <c r="BA19" s="27">
        <f>rebio23_80ml!BA20/50</f>
        <v>0</v>
      </c>
      <c r="BB19" s="27">
        <f>rebio23_80ml!BB20/50</f>
        <v>0</v>
      </c>
      <c r="BC19" s="27">
        <f>rebio23_80ml!BC20/50</f>
        <v>0</v>
      </c>
      <c r="BD19" s="27">
        <f>rebio23_80ml!BD20/50</f>
        <v>0</v>
      </c>
      <c r="BE19" s="27">
        <f>rebio23_80ml!BE20/50</f>
        <v>0</v>
      </c>
      <c r="BF19" s="27">
        <f>rebio23_80ml!BF20/50</f>
        <v>0</v>
      </c>
      <c r="BG19" s="27">
        <f>rebio23_80ml!BG20/50</f>
        <v>0</v>
      </c>
    </row>
    <row r="20" spans="1:59" ht="12.75" customHeight="1" x14ac:dyDescent="0.25">
      <c r="A20" s="50" t="str">
        <f>rebio23_80ml!A21</f>
        <v>S-C-P11-H1</v>
      </c>
      <c r="B20" s="51">
        <f>rebio23_80ml!B21/50</f>
        <v>0</v>
      </c>
      <c r="C20" s="51">
        <f>rebio23_80ml!C21/50</f>
        <v>0</v>
      </c>
      <c r="D20" s="51">
        <f>rebio23_80ml!D21/50</f>
        <v>0</v>
      </c>
      <c r="E20" s="51">
        <f>rebio23_80ml!E21/50</f>
        <v>0</v>
      </c>
      <c r="F20" s="51">
        <f>rebio23_80ml!F21/50</f>
        <v>0</v>
      </c>
      <c r="G20" s="51">
        <f>rebio23_80ml!G21/50</f>
        <v>0</v>
      </c>
      <c r="H20" s="51">
        <f>rebio23_80ml!H21/50</f>
        <v>0</v>
      </c>
      <c r="I20" s="51">
        <f>rebio23_80ml!I21/50</f>
        <v>0</v>
      </c>
      <c r="J20" s="51">
        <f>rebio23_80ml!J21/50</f>
        <v>0</v>
      </c>
      <c r="K20" s="51">
        <f>rebio23_80ml!K21/50</f>
        <v>0</v>
      </c>
      <c r="L20" s="51">
        <f>rebio23_80ml!L21/50</f>
        <v>0</v>
      </c>
      <c r="M20" s="51">
        <f>rebio23_80ml!M21/50</f>
        <v>0</v>
      </c>
      <c r="N20" s="51">
        <f>rebio23_80ml!N21/50</f>
        <v>0</v>
      </c>
      <c r="O20" s="51">
        <f>rebio23_80ml!O21/50</f>
        <v>0</v>
      </c>
      <c r="P20" s="51">
        <f>rebio23_80ml!P21/50</f>
        <v>0</v>
      </c>
      <c r="Q20" s="51">
        <f>rebio23_80ml!Q21/50</f>
        <v>0</v>
      </c>
      <c r="R20" s="51">
        <f>rebio23_80ml!R21/50</f>
        <v>0</v>
      </c>
      <c r="S20" s="51">
        <f>rebio23_80ml!S21/50</f>
        <v>0</v>
      </c>
      <c r="T20" s="51">
        <f>rebio23_80ml!T21/50</f>
        <v>0</v>
      </c>
      <c r="U20" s="51">
        <f>rebio23_80ml!U21/50</f>
        <v>0</v>
      </c>
      <c r="V20" s="51">
        <f>rebio23_80ml!V21/50</f>
        <v>0</v>
      </c>
      <c r="W20" s="51">
        <f>rebio23_80ml!W21/50</f>
        <v>0</v>
      </c>
      <c r="X20" s="51">
        <f>rebio23_80ml!X21/50</f>
        <v>0</v>
      </c>
      <c r="Y20" s="51">
        <f>rebio23_80ml!Y21/50</f>
        <v>0</v>
      </c>
      <c r="Z20" s="51">
        <f>rebio23_80ml!Z21/50</f>
        <v>0</v>
      </c>
      <c r="AA20" s="51">
        <f>rebio23_80ml!AA21/50</f>
        <v>0</v>
      </c>
      <c r="AB20" s="51">
        <f>rebio23_80ml!AB21/50</f>
        <v>0</v>
      </c>
      <c r="AC20" s="51">
        <f>rebio23_80ml!AC21/50</f>
        <v>0</v>
      </c>
      <c r="AD20" s="51">
        <f>rebio23_80ml!AD21/50</f>
        <v>0</v>
      </c>
      <c r="AE20" s="51">
        <f>rebio23_80ml!AE21/50</f>
        <v>0</v>
      </c>
      <c r="AF20" s="51">
        <f>rebio23_80ml!AF21/50</f>
        <v>0</v>
      </c>
      <c r="AG20" s="51">
        <f>rebio23_80ml!AG21/50</f>
        <v>0</v>
      </c>
      <c r="AH20" s="51">
        <f>rebio23_80ml!AH21/50</f>
        <v>0</v>
      </c>
      <c r="AI20" s="51">
        <f>rebio23_80ml!AI21/50</f>
        <v>0</v>
      </c>
      <c r="AJ20" s="51">
        <f>rebio23_80ml!AJ21/50</f>
        <v>0</v>
      </c>
      <c r="AK20" s="51">
        <f>rebio23_80ml!AK21/50</f>
        <v>0</v>
      </c>
      <c r="AL20" s="51">
        <f>rebio23_80ml!AL21/50</f>
        <v>0</v>
      </c>
      <c r="AM20" s="51">
        <f>rebio23_80ml!AM21/50</f>
        <v>0</v>
      </c>
      <c r="AN20" s="51">
        <f>rebio23_80ml!AN21/50</f>
        <v>0</v>
      </c>
      <c r="AO20" s="51">
        <f>rebio23_80ml!AO21/50</f>
        <v>0</v>
      </c>
      <c r="AP20" s="51">
        <f>rebio23_80ml!AP21/50</f>
        <v>0</v>
      </c>
      <c r="AQ20" s="51">
        <f>rebio23_80ml!AQ21/50</f>
        <v>0</v>
      </c>
      <c r="AR20" s="51">
        <f>rebio23_80ml!AR21/50</f>
        <v>0</v>
      </c>
      <c r="AS20" s="51">
        <f>rebio23_80ml!AS21/50</f>
        <v>0</v>
      </c>
      <c r="AT20" s="51">
        <f>rebio23_80ml!AT21/50</f>
        <v>0</v>
      </c>
      <c r="AU20" s="51">
        <f>rebio23_80ml!AU21/50</f>
        <v>0</v>
      </c>
      <c r="AV20" s="51">
        <f>rebio23_80ml!AV21/50</f>
        <v>0</v>
      </c>
      <c r="AW20" s="51">
        <f>rebio23_80ml!AW21/50</f>
        <v>0</v>
      </c>
      <c r="AX20" s="51">
        <f>rebio23_80ml!AX21/50</f>
        <v>0</v>
      </c>
      <c r="AY20" s="51">
        <f>rebio23_80ml!AY21/50</f>
        <v>0</v>
      </c>
      <c r="AZ20" s="51">
        <f>rebio23_80ml!AZ21/50</f>
        <v>0</v>
      </c>
      <c r="BA20" s="51">
        <f>rebio23_80ml!BA21/50</f>
        <v>0</v>
      </c>
      <c r="BB20" s="51">
        <f>rebio23_80ml!BB21/50</f>
        <v>0</v>
      </c>
      <c r="BC20" s="51">
        <f>rebio23_80ml!BC21/50</f>
        <v>0</v>
      </c>
      <c r="BD20" s="51">
        <f>rebio23_80ml!BD21/50</f>
        <v>0</v>
      </c>
      <c r="BE20" s="51">
        <f>rebio23_80ml!BE21/50</f>
        <v>0</v>
      </c>
      <c r="BF20" s="51">
        <f>rebio23_80ml!BF21/50</f>
        <v>0</v>
      </c>
      <c r="BG20" s="51">
        <f>rebio23_80ml!BG21/50</f>
        <v>0</v>
      </c>
    </row>
    <row r="21" spans="1:59" ht="12.75" customHeight="1" x14ac:dyDescent="0.25">
      <c r="A21" s="50" t="str">
        <f>rebio23_80ml!A22</f>
        <v>S-C-P11-H2</v>
      </c>
      <c r="B21" s="51">
        <f>rebio23_80ml!B22/50</f>
        <v>0</v>
      </c>
      <c r="C21" s="51">
        <f>rebio23_80ml!C22/50</f>
        <v>0</v>
      </c>
      <c r="D21" s="51">
        <f>rebio23_80ml!D22/50</f>
        <v>0</v>
      </c>
      <c r="E21" s="51">
        <f>rebio23_80ml!E22/50</f>
        <v>0</v>
      </c>
      <c r="F21" s="51">
        <f>rebio23_80ml!F22/50</f>
        <v>0</v>
      </c>
      <c r="G21" s="51">
        <f>rebio23_80ml!G22/50</f>
        <v>0</v>
      </c>
      <c r="H21" s="51">
        <f>rebio23_80ml!H22/50</f>
        <v>0</v>
      </c>
      <c r="I21" s="51">
        <f>rebio23_80ml!I22/50</f>
        <v>0</v>
      </c>
      <c r="J21" s="51">
        <f>rebio23_80ml!J22/50</f>
        <v>0</v>
      </c>
      <c r="K21" s="51">
        <f>rebio23_80ml!K22/50</f>
        <v>0</v>
      </c>
      <c r="L21" s="51">
        <f>rebio23_80ml!L22/50</f>
        <v>0</v>
      </c>
      <c r="M21" s="51">
        <f>rebio23_80ml!M22/50</f>
        <v>0</v>
      </c>
      <c r="N21" s="51">
        <f>rebio23_80ml!N22/50</f>
        <v>0</v>
      </c>
      <c r="O21" s="51">
        <f>rebio23_80ml!O22/50</f>
        <v>0</v>
      </c>
      <c r="P21" s="51">
        <f>rebio23_80ml!P22/50</f>
        <v>0</v>
      </c>
      <c r="Q21" s="51">
        <f>rebio23_80ml!Q22/50</f>
        <v>0</v>
      </c>
      <c r="R21" s="51">
        <f>rebio23_80ml!R22/50</f>
        <v>0</v>
      </c>
      <c r="S21" s="51">
        <f>rebio23_80ml!S22/50</f>
        <v>0</v>
      </c>
      <c r="T21" s="51">
        <f>rebio23_80ml!T22/50</f>
        <v>0</v>
      </c>
      <c r="U21" s="51">
        <f>rebio23_80ml!U22/50</f>
        <v>0</v>
      </c>
      <c r="V21" s="51">
        <f>rebio23_80ml!V22/50</f>
        <v>0</v>
      </c>
      <c r="W21" s="51">
        <f>rebio23_80ml!W22/50</f>
        <v>0</v>
      </c>
      <c r="X21" s="51">
        <f>rebio23_80ml!X22/50</f>
        <v>0</v>
      </c>
      <c r="Y21" s="51">
        <f>rebio23_80ml!Y22/50</f>
        <v>0</v>
      </c>
      <c r="Z21" s="51">
        <f>rebio23_80ml!Z22/50</f>
        <v>0</v>
      </c>
      <c r="AA21" s="51">
        <f>rebio23_80ml!AA22/50</f>
        <v>0</v>
      </c>
      <c r="AB21" s="51">
        <f>rebio23_80ml!AB22/50</f>
        <v>0</v>
      </c>
      <c r="AC21" s="51">
        <f>rebio23_80ml!AC22/50</f>
        <v>0</v>
      </c>
      <c r="AD21" s="51">
        <f>rebio23_80ml!AD22/50</f>
        <v>0</v>
      </c>
      <c r="AE21" s="51">
        <f>rebio23_80ml!AE22/50</f>
        <v>0</v>
      </c>
      <c r="AF21" s="51">
        <f>rebio23_80ml!AF22/50</f>
        <v>0</v>
      </c>
      <c r="AG21" s="51">
        <f>rebio23_80ml!AG22/50</f>
        <v>0</v>
      </c>
      <c r="AH21" s="51">
        <f>rebio23_80ml!AH22/50</f>
        <v>0</v>
      </c>
      <c r="AI21" s="51">
        <f>rebio23_80ml!AI22/50</f>
        <v>0</v>
      </c>
      <c r="AJ21" s="51">
        <f>rebio23_80ml!AJ22/50</f>
        <v>0</v>
      </c>
      <c r="AK21" s="51">
        <f>rebio23_80ml!AK22/50</f>
        <v>0</v>
      </c>
      <c r="AL21" s="51">
        <f>rebio23_80ml!AL22/50</f>
        <v>0</v>
      </c>
      <c r="AM21" s="51">
        <f>rebio23_80ml!AM22/50</f>
        <v>0</v>
      </c>
      <c r="AN21" s="51">
        <f>rebio23_80ml!AN22/50</f>
        <v>0</v>
      </c>
      <c r="AO21" s="51">
        <f>rebio23_80ml!AO22/50</f>
        <v>0</v>
      </c>
      <c r="AP21" s="51">
        <f>rebio23_80ml!AP22/50</f>
        <v>0</v>
      </c>
      <c r="AQ21" s="51">
        <f>rebio23_80ml!AQ22/50</f>
        <v>0</v>
      </c>
      <c r="AR21" s="51">
        <f>rebio23_80ml!AR22/50</f>
        <v>0</v>
      </c>
      <c r="AS21" s="51">
        <f>rebio23_80ml!AS22/50</f>
        <v>0</v>
      </c>
      <c r="AT21" s="51">
        <f>rebio23_80ml!AT22/50</f>
        <v>0</v>
      </c>
      <c r="AU21" s="51">
        <f>rebio23_80ml!AU22/50</f>
        <v>0</v>
      </c>
      <c r="AV21" s="51">
        <f>rebio23_80ml!AV22/50</f>
        <v>0</v>
      </c>
      <c r="AW21" s="51">
        <f>rebio23_80ml!AW22/50</f>
        <v>0</v>
      </c>
      <c r="AX21" s="51">
        <f>rebio23_80ml!AX22/50</f>
        <v>0</v>
      </c>
      <c r="AY21" s="51">
        <f>rebio23_80ml!AY22/50</f>
        <v>0</v>
      </c>
      <c r="AZ21" s="51">
        <f>rebio23_80ml!AZ22/50</f>
        <v>0</v>
      </c>
      <c r="BA21" s="51">
        <f>rebio23_80ml!BA22/50</f>
        <v>0</v>
      </c>
      <c r="BB21" s="51">
        <f>rebio23_80ml!BB22/50</f>
        <v>0</v>
      </c>
      <c r="BC21" s="51">
        <f>rebio23_80ml!BC22/50</f>
        <v>0</v>
      </c>
      <c r="BD21" s="51">
        <f>rebio23_80ml!BD22/50</f>
        <v>0</v>
      </c>
      <c r="BE21" s="51">
        <f>rebio23_80ml!BE22/50</f>
        <v>0</v>
      </c>
      <c r="BF21" s="51">
        <f>rebio23_80ml!BF22/50</f>
        <v>0</v>
      </c>
      <c r="BG21" s="51">
        <f>rebio23_80ml!BG22/50</f>
        <v>0</v>
      </c>
    </row>
    <row r="22" spans="1:59" ht="12.75" customHeight="1" x14ac:dyDescent="0.25">
      <c r="A22" s="50" t="str">
        <f>rebio23_80ml!A23</f>
        <v>S-C-P11-H3</v>
      </c>
      <c r="B22" s="51">
        <f>rebio23_80ml!B23/50</f>
        <v>0</v>
      </c>
      <c r="C22" s="51">
        <f>rebio23_80ml!C23/50</f>
        <v>0</v>
      </c>
      <c r="D22" s="51">
        <f>rebio23_80ml!D23/50</f>
        <v>0</v>
      </c>
      <c r="E22" s="51">
        <f>rebio23_80ml!E23/50</f>
        <v>0</v>
      </c>
      <c r="F22" s="51">
        <f>rebio23_80ml!F23/50</f>
        <v>0</v>
      </c>
      <c r="G22" s="51">
        <f>rebio23_80ml!G23/50</f>
        <v>0</v>
      </c>
      <c r="H22" s="51">
        <f>rebio23_80ml!H23/50</f>
        <v>0</v>
      </c>
      <c r="I22" s="51">
        <f>rebio23_80ml!I23/50</f>
        <v>0</v>
      </c>
      <c r="J22" s="51">
        <f>rebio23_80ml!J23/50</f>
        <v>0</v>
      </c>
      <c r="K22" s="51">
        <f>rebio23_80ml!K23/50</f>
        <v>0</v>
      </c>
      <c r="L22" s="51">
        <f>rebio23_80ml!L23/50</f>
        <v>0</v>
      </c>
      <c r="M22" s="51">
        <f>rebio23_80ml!M23/50</f>
        <v>0</v>
      </c>
      <c r="N22" s="51">
        <f>rebio23_80ml!N23/50</f>
        <v>0</v>
      </c>
      <c r="O22" s="51">
        <f>rebio23_80ml!O23/50</f>
        <v>0</v>
      </c>
      <c r="P22" s="51">
        <f>rebio23_80ml!P23/50</f>
        <v>0</v>
      </c>
      <c r="Q22" s="51">
        <f>rebio23_80ml!Q23/50</f>
        <v>0</v>
      </c>
      <c r="R22" s="51">
        <f>rebio23_80ml!R23/50</f>
        <v>0</v>
      </c>
      <c r="S22" s="51">
        <f>rebio23_80ml!S23/50</f>
        <v>0</v>
      </c>
      <c r="T22" s="51">
        <f>rebio23_80ml!T23/50</f>
        <v>0</v>
      </c>
      <c r="U22" s="51">
        <f>rebio23_80ml!U23/50</f>
        <v>0</v>
      </c>
      <c r="V22" s="51">
        <f>rebio23_80ml!V23/50</f>
        <v>0</v>
      </c>
      <c r="W22" s="51">
        <f>rebio23_80ml!W23/50</f>
        <v>0</v>
      </c>
      <c r="X22" s="51">
        <f>rebio23_80ml!X23/50</f>
        <v>0</v>
      </c>
      <c r="Y22" s="51">
        <f>rebio23_80ml!Y23/50</f>
        <v>0</v>
      </c>
      <c r="Z22" s="51">
        <f>rebio23_80ml!Z23/50</f>
        <v>0</v>
      </c>
      <c r="AA22" s="51">
        <f>rebio23_80ml!AA23/50</f>
        <v>0</v>
      </c>
      <c r="AB22" s="51">
        <f>rebio23_80ml!AB23/50</f>
        <v>0</v>
      </c>
      <c r="AC22" s="51">
        <f>rebio23_80ml!AC23/50</f>
        <v>0</v>
      </c>
      <c r="AD22" s="51">
        <f>rebio23_80ml!AD23/50</f>
        <v>0</v>
      </c>
      <c r="AE22" s="51">
        <f>rebio23_80ml!AE23/50</f>
        <v>0</v>
      </c>
      <c r="AF22" s="51">
        <f>rebio23_80ml!AF23/50</f>
        <v>0</v>
      </c>
      <c r="AG22" s="51">
        <f>rebio23_80ml!AG23/50</f>
        <v>0</v>
      </c>
      <c r="AH22" s="51">
        <f>rebio23_80ml!AH23/50</f>
        <v>0</v>
      </c>
      <c r="AI22" s="51">
        <f>rebio23_80ml!AI23/50</f>
        <v>0</v>
      </c>
      <c r="AJ22" s="51">
        <f>rebio23_80ml!AJ23/50</f>
        <v>0</v>
      </c>
      <c r="AK22" s="51">
        <f>rebio23_80ml!AK23/50</f>
        <v>0</v>
      </c>
      <c r="AL22" s="51">
        <f>rebio23_80ml!AL23/50</f>
        <v>0</v>
      </c>
      <c r="AM22" s="51">
        <f>rebio23_80ml!AM23/50</f>
        <v>0</v>
      </c>
      <c r="AN22" s="51">
        <f>rebio23_80ml!AN23/50</f>
        <v>0</v>
      </c>
      <c r="AO22" s="51">
        <f>rebio23_80ml!AO23/50</f>
        <v>0</v>
      </c>
      <c r="AP22" s="51">
        <f>rebio23_80ml!AP23/50</f>
        <v>0</v>
      </c>
      <c r="AQ22" s="51">
        <f>rebio23_80ml!AQ23/50</f>
        <v>0</v>
      </c>
      <c r="AR22" s="51">
        <f>rebio23_80ml!AR23/50</f>
        <v>0</v>
      </c>
      <c r="AS22" s="51">
        <f>rebio23_80ml!AS23/50</f>
        <v>0</v>
      </c>
      <c r="AT22" s="51">
        <f>rebio23_80ml!AT23/50</f>
        <v>0</v>
      </c>
      <c r="AU22" s="51">
        <f>rebio23_80ml!AU23/50</f>
        <v>0</v>
      </c>
      <c r="AV22" s="51">
        <f>rebio23_80ml!AV23/50</f>
        <v>0</v>
      </c>
      <c r="AW22" s="51">
        <f>rebio23_80ml!AW23/50</f>
        <v>0</v>
      </c>
      <c r="AX22" s="51">
        <f>rebio23_80ml!AX23/50</f>
        <v>0</v>
      </c>
      <c r="AY22" s="51">
        <f>rebio23_80ml!AY23/50</f>
        <v>0</v>
      </c>
      <c r="AZ22" s="51">
        <f>rebio23_80ml!AZ23/50</f>
        <v>0</v>
      </c>
      <c r="BA22" s="51">
        <f>rebio23_80ml!BA23/50</f>
        <v>0</v>
      </c>
      <c r="BB22" s="51">
        <f>rebio23_80ml!BB23/50</f>
        <v>0</v>
      </c>
      <c r="BC22" s="51">
        <f>rebio23_80ml!BC23/50</f>
        <v>0</v>
      </c>
      <c r="BD22" s="51">
        <f>rebio23_80ml!BD23/50</f>
        <v>0</v>
      </c>
      <c r="BE22" s="51">
        <f>rebio23_80ml!BE23/50</f>
        <v>0</v>
      </c>
      <c r="BF22" s="51">
        <f>rebio23_80ml!BF23/50</f>
        <v>0</v>
      </c>
      <c r="BG22" s="51">
        <f>rebio23_80ml!BG23/50</f>
        <v>0</v>
      </c>
    </row>
    <row r="23" spans="1:59" ht="12.75" customHeight="1" x14ac:dyDescent="0.25">
      <c r="A23" s="15" t="str">
        <f>rebio23_80ml!A24</f>
        <v>S-C-P12-H1</v>
      </c>
      <c r="B23" s="27">
        <f>rebio23_80ml!B24/50</f>
        <v>0.02</v>
      </c>
      <c r="C23" s="27">
        <f>rebio23_80ml!C24/50</f>
        <v>0</v>
      </c>
      <c r="D23" s="27">
        <f>rebio23_80ml!D24/50</f>
        <v>0</v>
      </c>
      <c r="E23" s="27">
        <f>rebio23_80ml!E24/50</f>
        <v>0.5</v>
      </c>
      <c r="F23" s="27">
        <f>rebio23_80ml!F24/50</f>
        <v>0</v>
      </c>
      <c r="G23" s="27">
        <f>rebio23_80ml!G24/50</f>
        <v>0</v>
      </c>
      <c r="H23" s="27">
        <f>rebio23_80ml!H24/50</f>
        <v>0</v>
      </c>
      <c r="I23" s="27">
        <f>rebio23_80ml!I24/50</f>
        <v>0.04</v>
      </c>
      <c r="J23" s="27">
        <f>rebio23_80ml!J24/50</f>
        <v>0</v>
      </c>
      <c r="K23" s="27">
        <f>rebio23_80ml!K24/50</f>
        <v>0</v>
      </c>
      <c r="L23" s="27">
        <f>rebio23_80ml!L24/50</f>
        <v>0</v>
      </c>
      <c r="M23" s="27">
        <f>rebio23_80ml!M24/50</f>
        <v>0</v>
      </c>
      <c r="N23" s="27">
        <f>rebio23_80ml!N24/50</f>
        <v>0</v>
      </c>
      <c r="O23" s="27">
        <f>rebio23_80ml!O24/50</f>
        <v>0</v>
      </c>
      <c r="P23" s="27">
        <f>rebio23_80ml!P24/50</f>
        <v>0</v>
      </c>
      <c r="Q23" s="27">
        <f>rebio23_80ml!Q24/50</f>
        <v>0</v>
      </c>
      <c r="R23" s="27">
        <f>rebio23_80ml!R24/50</f>
        <v>0</v>
      </c>
      <c r="S23" s="27">
        <f>rebio23_80ml!S24/50</f>
        <v>0.02</v>
      </c>
      <c r="T23" s="27">
        <f>rebio23_80ml!T24/50</f>
        <v>0</v>
      </c>
      <c r="U23" s="27">
        <f>rebio23_80ml!U24/50</f>
        <v>0.02</v>
      </c>
      <c r="V23" s="27">
        <f>rebio23_80ml!V24/50</f>
        <v>0</v>
      </c>
      <c r="W23" s="27">
        <f>rebio23_80ml!W24/50</f>
        <v>0</v>
      </c>
      <c r="X23" s="27">
        <f>rebio23_80ml!X24/50</f>
        <v>0</v>
      </c>
      <c r="Y23" s="27">
        <f>rebio23_80ml!Y24/50</f>
        <v>0</v>
      </c>
      <c r="Z23" s="27">
        <f>rebio23_80ml!Z24/50</f>
        <v>0</v>
      </c>
      <c r="AA23" s="27">
        <f>rebio23_80ml!AA24/50</f>
        <v>0</v>
      </c>
      <c r="AB23" s="27">
        <f>rebio23_80ml!AB24/50</f>
        <v>0</v>
      </c>
      <c r="AC23" s="27">
        <f>rebio23_80ml!AC24/50</f>
        <v>0.04</v>
      </c>
      <c r="AD23" s="27">
        <f>rebio23_80ml!AD24/50</f>
        <v>0.02</v>
      </c>
      <c r="AE23" s="27">
        <f>rebio23_80ml!AE24/50</f>
        <v>0</v>
      </c>
      <c r="AF23" s="27">
        <f>rebio23_80ml!AF24/50</f>
        <v>0</v>
      </c>
      <c r="AG23" s="27">
        <f>rebio23_80ml!AG24/50</f>
        <v>0</v>
      </c>
      <c r="AH23" s="27">
        <f>rebio23_80ml!AH24/50</f>
        <v>0.02</v>
      </c>
      <c r="AI23" s="27">
        <f>rebio23_80ml!AI24/50</f>
        <v>0</v>
      </c>
      <c r="AJ23" s="27">
        <f>rebio23_80ml!AJ24/50</f>
        <v>0</v>
      </c>
      <c r="AK23" s="27">
        <f>rebio23_80ml!AK24/50</f>
        <v>0</v>
      </c>
      <c r="AL23" s="27">
        <f>rebio23_80ml!AL24/50</f>
        <v>0</v>
      </c>
      <c r="AM23" s="27">
        <f>rebio23_80ml!AM24/50</f>
        <v>0</v>
      </c>
      <c r="AN23" s="27">
        <f>rebio23_80ml!AN24/50</f>
        <v>0</v>
      </c>
      <c r="AO23" s="27">
        <f>rebio23_80ml!AO24/50</f>
        <v>0</v>
      </c>
      <c r="AP23" s="27">
        <f>rebio23_80ml!AP24/50</f>
        <v>0</v>
      </c>
      <c r="AQ23" s="27">
        <f>rebio23_80ml!AQ24/50</f>
        <v>0</v>
      </c>
      <c r="AR23" s="27">
        <f>rebio23_80ml!AR24/50</f>
        <v>0</v>
      </c>
      <c r="AS23" s="27">
        <f>rebio23_80ml!AS24/50</f>
        <v>0</v>
      </c>
      <c r="AT23" s="27">
        <f>rebio23_80ml!AT24/50</f>
        <v>0</v>
      </c>
      <c r="AU23" s="27">
        <f>rebio23_80ml!AU24/50</f>
        <v>0</v>
      </c>
      <c r="AV23" s="27">
        <f>rebio23_80ml!AV24/50</f>
        <v>0.24</v>
      </c>
      <c r="AW23" s="27">
        <f>rebio23_80ml!AW24/50</f>
        <v>0</v>
      </c>
      <c r="AX23" s="27">
        <f>rebio23_80ml!AX24/50</f>
        <v>0</v>
      </c>
      <c r="AY23" s="27">
        <f>rebio23_80ml!AY24/50</f>
        <v>0</v>
      </c>
      <c r="AZ23" s="27">
        <f>rebio23_80ml!AZ24/50</f>
        <v>0</v>
      </c>
      <c r="BA23" s="27">
        <f>rebio23_80ml!BA24/50</f>
        <v>0</v>
      </c>
      <c r="BB23" s="27">
        <f>rebio23_80ml!BB24/50</f>
        <v>0</v>
      </c>
      <c r="BC23" s="27">
        <f>rebio23_80ml!BC24/50</f>
        <v>0</v>
      </c>
      <c r="BD23" s="27">
        <f>rebio23_80ml!BD24/50</f>
        <v>0</v>
      </c>
      <c r="BE23" s="27">
        <f>rebio23_80ml!BE24/50</f>
        <v>0</v>
      </c>
      <c r="BF23" s="27">
        <f>rebio23_80ml!BF24/50</f>
        <v>0</v>
      </c>
      <c r="BG23" s="27">
        <f>rebio23_80ml!BG24/50</f>
        <v>0</v>
      </c>
    </row>
    <row r="24" spans="1:59" ht="12.75" customHeight="1" x14ac:dyDescent="0.25">
      <c r="A24" s="15" t="str">
        <f>rebio23_80ml!A25</f>
        <v>S-C-P12-H2</v>
      </c>
      <c r="B24" s="27">
        <f>rebio23_80ml!B25/50</f>
        <v>0.02</v>
      </c>
      <c r="C24" s="27">
        <f>rebio23_80ml!C25/50</f>
        <v>0</v>
      </c>
      <c r="D24" s="27">
        <f>rebio23_80ml!D25/50</f>
        <v>0</v>
      </c>
      <c r="E24" s="27">
        <f>rebio23_80ml!E25/50</f>
        <v>0.38</v>
      </c>
      <c r="F24" s="27">
        <f>rebio23_80ml!F25/50</f>
        <v>0</v>
      </c>
      <c r="G24" s="27">
        <f>rebio23_80ml!G25/50</f>
        <v>0</v>
      </c>
      <c r="H24" s="27">
        <f>rebio23_80ml!H25/50</f>
        <v>0</v>
      </c>
      <c r="I24" s="27">
        <f>rebio23_80ml!I25/50</f>
        <v>0.14000000000000001</v>
      </c>
      <c r="J24" s="27">
        <f>rebio23_80ml!J25/50</f>
        <v>0</v>
      </c>
      <c r="K24" s="27">
        <f>rebio23_80ml!K25/50</f>
        <v>0</v>
      </c>
      <c r="L24" s="27">
        <f>rebio23_80ml!L25/50</f>
        <v>0</v>
      </c>
      <c r="M24" s="27">
        <f>rebio23_80ml!M25/50</f>
        <v>0</v>
      </c>
      <c r="N24" s="27">
        <f>rebio23_80ml!N25/50</f>
        <v>0</v>
      </c>
      <c r="O24" s="27">
        <f>rebio23_80ml!O25/50</f>
        <v>0</v>
      </c>
      <c r="P24" s="27">
        <f>rebio23_80ml!P25/50</f>
        <v>0</v>
      </c>
      <c r="Q24" s="27">
        <f>rebio23_80ml!Q25/50</f>
        <v>0</v>
      </c>
      <c r="R24" s="27">
        <f>rebio23_80ml!R25/50</f>
        <v>0</v>
      </c>
      <c r="S24" s="27">
        <f>rebio23_80ml!S25/50</f>
        <v>0.06</v>
      </c>
      <c r="T24" s="27">
        <f>rebio23_80ml!T25/50</f>
        <v>0</v>
      </c>
      <c r="U24" s="27">
        <f>rebio23_80ml!U25/50</f>
        <v>0</v>
      </c>
      <c r="V24" s="27">
        <f>rebio23_80ml!V25/50</f>
        <v>0</v>
      </c>
      <c r="W24" s="27">
        <f>rebio23_80ml!W25/50</f>
        <v>0</v>
      </c>
      <c r="X24" s="27">
        <f>rebio23_80ml!X25/50</f>
        <v>0</v>
      </c>
      <c r="Y24" s="27">
        <f>rebio23_80ml!Y25/50</f>
        <v>0</v>
      </c>
      <c r="Z24" s="27">
        <f>rebio23_80ml!Z25/50</f>
        <v>0</v>
      </c>
      <c r="AA24" s="27">
        <f>rebio23_80ml!AA25/50</f>
        <v>0.06</v>
      </c>
      <c r="AB24" s="27">
        <f>rebio23_80ml!AB25/50</f>
        <v>0</v>
      </c>
      <c r="AC24" s="27">
        <f>rebio23_80ml!AC25/50</f>
        <v>0</v>
      </c>
      <c r="AD24" s="27">
        <f>rebio23_80ml!AD25/50</f>
        <v>0</v>
      </c>
      <c r="AE24" s="27">
        <f>rebio23_80ml!AE25/50</f>
        <v>0</v>
      </c>
      <c r="AF24" s="27">
        <f>rebio23_80ml!AF25/50</f>
        <v>0</v>
      </c>
      <c r="AG24" s="27">
        <f>rebio23_80ml!AG25/50</f>
        <v>0</v>
      </c>
      <c r="AH24" s="27">
        <f>rebio23_80ml!AH25/50</f>
        <v>0</v>
      </c>
      <c r="AI24" s="27">
        <f>rebio23_80ml!AI25/50</f>
        <v>0</v>
      </c>
      <c r="AJ24" s="27">
        <f>rebio23_80ml!AJ25/50</f>
        <v>0.02</v>
      </c>
      <c r="AK24" s="27">
        <f>rebio23_80ml!AK25/50</f>
        <v>0</v>
      </c>
      <c r="AL24" s="27">
        <f>rebio23_80ml!AL25/50</f>
        <v>0</v>
      </c>
      <c r="AM24" s="27">
        <f>rebio23_80ml!AM25/50</f>
        <v>0</v>
      </c>
      <c r="AN24" s="27">
        <f>rebio23_80ml!AN25/50</f>
        <v>0</v>
      </c>
      <c r="AO24" s="27">
        <f>rebio23_80ml!AO25/50</f>
        <v>0</v>
      </c>
      <c r="AP24" s="27">
        <f>rebio23_80ml!AP25/50</f>
        <v>0</v>
      </c>
      <c r="AQ24" s="27">
        <f>rebio23_80ml!AQ25/50</f>
        <v>0</v>
      </c>
      <c r="AR24" s="27">
        <f>rebio23_80ml!AR25/50</f>
        <v>0</v>
      </c>
      <c r="AS24" s="27">
        <f>rebio23_80ml!AS25/50</f>
        <v>0</v>
      </c>
      <c r="AT24" s="27">
        <f>rebio23_80ml!AT25/50</f>
        <v>0</v>
      </c>
      <c r="AU24" s="27">
        <f>rebio23_80ml!AU25/50</f>
        <v>0</v>
      </c>
      <c r="AV24" s="27">
        <f>rebio23_80ml!AV25/50</f>
        <v>0.06</v>
      </c>
      <c r="AW24" s="27">
        <f>rebio23_80ml!AW25/50</f>
        <v>0</v>
      </c>
      <c r="AX24" s="27">
        <f>rebio23_80ml!AX25/50</f>
        <v>0</v>
      </c>
      <c r="AY24" s="27">
        <f>rebio23_80ml!AY25/50</f>
        <v>0</v>
      </c>
      <c r="AZ24" s="27">
        <f>rebio23_80ml!AZ25/50</f>
        <v>0</v>
      </c>
      <c r="BA24" s="27">
        <f>rebio23_80ml!BA25/50</f>
        <v>0</v>
      </c>
      <c r="BB24" s="27">
        <f>rebio23_80ml!BB25/50</f>
        <v>0</v>
      </c>
      <c r="BC24" s="27">
        <f>rebio23_80ml!BC25/50</f>
        <v>0</v>
      </c>
      <c r="BD24" s="27">
        <f>rebio23_80ml!BD25/50</f>
        <v>0</v>
      </c>
      <c r="BE24" s="27">
        <f>rebio23_80ml!BE25/50</f>
        <v>0</v>
      </c>
      <c r="BF24" s="27">
        <f>rebio23_80ml!BF25/50</f>
        <v>0</v>
      </c>
      <c r="BG24" s="27">
        <f>rebio23_80ml!BG25/50</f>
        <v>0</v>
      </c>
    </row>
    <row r="25" spans="1:59" ht="12.75" customHeight="1" x14ac:dyDescent="0.25">
      <c r="A25" s="15" t="str">
        <f>rebio23_80ml!A26</f>
        <v>S-C-P12-H3</v>
      </c>
      <c r="B25" s="27">
        <f>rebio23_80ml!B26/50</f>
        <v>0.04</v>
      </c>
      <c r="C25" s="27">
        <f>rebio23_80ml!C26/50</f>
        <v>0</v>
      </c>
      <c r="D25" s="27">
        <f>rebio23_80ml!D26/50</f>
        <v>0</v>
      </c>
      <c r="E25" s="27">
        <f>rebio23_80ml!E26/50</f>
        <v>0.46</v>
      </c>
      <c r="F25" s="27">
        <f>rebio23_80ml!F26/50</f>
        <v>0</v>
      </c>
      <c r="G25" s="27">
        <f>rebio23_80ml!G26/50</f>
        <v>0</v>
      </c>
      <c r="H25" s="27">
        <f>rebio23_80ml!H26/50</f>
        <v>0</v>
      </c>
      <c r="I25" s="27">
        <f>rebio23_80ml!I26/50</f>
        <v>0.02</v>
      </c>
      <c r="J25" s="27">
        <f>rebio23_80ml!J26/50</f>
        <v>0</v>
      </c>
      <c r="K25" s="27">
        <f>rebio23_80ml!K26/50</f>
        <v>0</v>
      </c>
      <c r="L25" s="27">
        <f>rebio23_80ml!L26/50</f>
        <v>0</v>
      </c>
      <c r="M25" s="27">
        <f>rebio23_80ml!M26/50</f>
        <v>0</v>
      </c>
      <c r="N25" s="27">
        <f>rebio23_80ml!N26/50</f>
        <v>0</v>
      </c>
      <c r="O25" s="27">
        <f>rebio23_80ml!O26/50</f>
        <v>0</v>
      </c>
      <c r="P25" s="27">
        <f>rebio23_80ml!P26/50</f>
        <v>0</v>
      </c>
      <c r="Q25" s="27">
        <f>rebio23_80ml!Q26/50</f>
        <v>0</v>
      </c>
      <c r="R25" s="27">
        <f>rebio23_80ml!R26/50</f>
        <v>0</v>
      </c>
      <c r="S25" s="27">
        <f>rebio23_80ml!S26/50</f>
        <v>0.08</v>
      </c>
      <c r="T25" s="27">
        <f>rebio23_80ml!T26/50</f>
        <v>0.04</v>
      </c>
      <c r="U25" s="27">
        <f>rebio23_80ml!U26/50</f>
        <v>0</v>
      </c>
      <c r="V25" s="27">
        <f>rebio23_80ml!V26/50</f>
        <v>0</v>
      </c>
      <c r="W25" s="27">
        <f>rebio23_80ml!W26/50</f>
        <v>0</v>
      </c>
      <c r="X25" s="27">
        <f>rebio23_80ml!X26/50</f>
        <v>0.02</v>
      </c>
      <c r="Y25" s="27">
        <f>rebio23_80ml!Y26/50</f>
        <v>0</v>
      </c>
      <c r="Z25" s="27">
        <f>rebio23_80ml!Z26/50</f>
        <v>0.02</v>
      </c>
      <c r="AA25" s="27">
        <f>rebio23_80ml!AA26/50</f>
        <v>0</v>
      </c>
      <c r="AB25" s="27">
        <f>rebio23_80ml!AB26/50</f>
        <v>0</v>
      </c>
      <c r="AC25" s="27">
        <f>rebio23_80ml!AC26/50</f>
        <v>0</v>
      </c>
      <c r="AD25" s="27">
        <f>rebio23_80ml!AD26/50</f>
        <v>0</v>
      </c>
      <c r="AE25" s="27">
        <f>rebio23_80ml!AE26/50</f>
        <v>0</v>
      </c>
      <c r="AF25" s="27">
        <f>rebio23_80ml!AF26/50</f>
        <v>0</v>
      </c>
      <c r="AG25" s="27">
        <f>rebio23_80ml!AG26/50</f>
        <v>0</v>
      </c>
      <c r="AH25" s="27">
        <f>rebio23_80ml!AH26/50</f>
        <v>0</v>
      </c>
      <c r="AI25" s="27">
        <f>rebio23_80ml!AI26/50</f>
        <v>0.02</v>
      </c>
      <c r="AJ25" s="27">
        <f>rebio23_80ml!AJ26/50</f>
        <v>0</v>
      </c>
      <c r="AK25" s="27">
        <f>rebio23_80ml!AK26/50</f>
        <v>0</v>
      </c>
      <c r="AL25" s="27">
        <f>rebio23_80ml!AL26/50</f>
        <v>0.02</v>
      </c>
      <c r="AM25" s="27">
        <f>rebio23_80ml!AM26/50</f>
        <v>0</v>
      </c>
      <c r="AN25" s="27">
        <f>rebio23_80ml!AN26/50</f>
        <v>0</v>
      </c>
      <c r="AO25" s="27">
        <f>rebio23_80ml!AO26/50</f>
        <v>0</v>
      </c>
      <c r="AP25" s="27">
        <f>rebio23_80ml!AP26/50</f>
        <v>0</v>
      </c>
      <c r="AQ25" s="27">
        <f>rebio23_80ml!AQ26/50</f>
        <v>0</v>
      </c>
      <c r="AR25" s="27">
        <f>rebio23_80ml!AR26/50</f>
        <v>0</v>
      </c>
      <c r="AS25" s="27">
        <f>rebio23_80ml!AS26/50</f>
        <v>0</v>
      </c>
      <c r="AT25" s="27">
        <f>rebio23_80ml!AT26/50</f>
        <v>0</v>
      </c>
      <c r="AU25" s="27">
        <f>rebio23_80ml!AU26/50</f>
        <v>0</v>
      </c>
      <c r="AV25" s="27">
        <f>rebio23_80ml!AV26/50</f>
        <v>0.08</v>
      </c>
      <c r="AW25" s="27">
        <f>rebio23_80ml!AW26/50</f>
        <v>0</v>
      </c>
      <c r="AX25" s="27">
        <f>rebio23_80ml!AX26/50</f>
        <v>0.02</v>
      </c>
      <c r="AY25" s="27">
        <f>rebio23_80ml!AY26/50</f>
        <v>0</v>
      </c>
      <c r="AZ25" s="27">
        <f>rebio23_80ml!AZ26/50</f>
        <v>0</v>
      </c>
      <c r="BA25" s="27">
        <f>rebio23_80ml!BA26/50</f>
        <v>0</v>
      </c>
      <c r="BB25" s="27">
        <f>rebio23_80ml!BB26/50</f>
        <v>0</v>
      </c>
      <c r="BC25" s="27">
        <f>rebio23_80ml!BC26/50</f>
        <v>0</v>
      </c>
      <c r="BD25" s="27">
        <f>rebio23_80ml!BD26/50</f>
        <v>0</v>
      </c>
      <c r="BE25" s="27">
        <f>rebio23_80ml!BE26/50</f>
        <v>0</v>
      </c>
      <c r="BF25" s="27">
        <f>rebio23_80ml!BF26/50</f>
        <v>0</v>
      </c>
      <c r="BG25" s="27">
        <f>rebio23_80ml!BG26/50</f>
        <v>0</v>
      </c>
    </row>
    <row r="26" spans="1:59" ht="12.75" customHeight="1" x14ac:dyDescent="0.25">
      <c r="A26" s="15" t="str">
        <f>rebio23_80ml!A27</f>
        <v>S-C-P13-H1</v>
      </c>
      <c r="B26" s="27">
        <f>rebio23_80ml!B27/50</f>
        <v>0</v>
      </c>
      <c r="C26" s="27">
        <f>rebio23_80ml!C27/50</f>
        <v>0</v>
      </c>
      <c r="D26" s="27">
        <f>rebio23_80ml!D27/50</f>
        <v>0</v>
      </c>
      <c r="E26" s="27">
        <f>rebio23_80ml!E27/50</f>
        <v>0.14000000000000001</v>
      </c>
      <c r="F26" s="27">
        <f>rebio23_80ml!F27/50</f>
        <v>0</v>
      </c>
      <c r="G26" s="27">
        <f>rebio23_80ml!G27/50</f>
        <v>0</v>
      </c>
      <c r="H26" s="27">
        <f>rebio23_80ml!H27/50</f>
        <v>0</v>
      </c>
      <c r="I26" s="27">
        <f>rebio23_80ml!I27/50</f>
        <v>0</v>
      </c>
      <c r="J26" s="27">
        <f>rebio23_80ml!J27/50</f>
        <v>0</v>
      </c>
      <c r="K26" s="27">
        <f>rebio23_80ml!K27/50</f>
        <v>0</v>
      </c>
      <c r="L26" s="27">
        <f>rebio23_80ml!L27/50</f>
        <v>0</v>
      </c>
      <c r="M26" s="27">
        <f>rebio23_80ml!M27/50</f>
        <v>0</v>
      </c>
      <c r="N26" s="27">
        <f>rebio23_80ml!N27/50</f>
        <v>0</v>
      </c>
      <c r="O26" s="27">
        <f>rebio23_80ml!O27/50</f>
        <v>0</v>
      </c>
      <c r="P26" s="27">
        <f>rebio23_80ml!P27/50</f>
        <v>0</v>
      </c>
      <c r="Q26" s="27">
        <f>rebio23_80ml!Q27/50</f>
        <v>0</v>
      </c>
      <c r="R26" s="27">
        <f>rebio23_80ml!R27/50</f>
        <v>0</v>
      </c>
      <c r="S26" s="27">
        <f>rebio23_80ml!S27/50</f>
        <v>0.02</v>
      </c>
      <c r="T26" s="27">
        <f>rebio23_80ml!T27/50</f>
        <v>0</v>
      </c>
      <c r="U26" s="27">
        <f>rebio23_80ml!U27/50</f>
        <v>0</v>
      </c>
      <c r="V26" s="27">
        <f>rebio23_80ml!V27/50</f>
        <v>0</v>
      </c>
      <c r="W26" s="27">
        <f>rebio23_80ml!W27/50</f>
        <v>0</v>
      </c>
      <c r="X26" s="27">
        <f>rebio23_80ml!X27/50</f>
        <v>0</v>
      </c>
      <c r="Y26" s="27">
        <f>rebio23_80ml!Y27/50</f>
        <v>0</v>
      </c>
      <c r="Z26" s="27">
        <f>rebio23_80ml!Z27/50</f>
        <v>0</v>
      </c>
      <c r="AA26" s="27">
        <f>rebio23_80ml!AA27/50</f>
        <v>0</v>
      </c>
      <c r="AB26" s="27">
        <f>rebio23_80ml!AB27/50</f>
        <v>0</v>
      </c>
      <c r="AC26" s="27">
        <f>rebio23_80ml!AC27/50</f>
        <v>0</v>
      </c>
      <c r="AD26" s="27">
        <f>rebio23_80ml!AD27/50</f>
        <v>0</v>
      </c>
      <c r="AE26" s="27">
        <f>rebio23_80ml!AE27/50</f>
        <v>0</v>
      </c>
      <c r="AF26" s="27">
        <f>rebio23_80ml!AF27/50</f>
        <v>0</v>
      </c>
      <c r="AG26" s="27">
        <f>rebio23_80ml!AG27/50</f>
        <v>0</v>
      </c>
      <c r="AH26" s="27">
        <f>rebio23_80ml!AH27/50</f>
        <v>0</v>
      </c>
      <c r="AI26" s="27">
        <f>rebio23_80ml!AI27/50</f>
        <v>0</v>
      </c>
      <c r="AJ26" s="27">
        <f>rebio23_80ml!AJ27/50</f>
        <v>0</v>
      </c>
      <c r="AK26" s="27">
        <f>rebio23_80ml!AK27/50</f>
        <v>0</v>
      </c>
      <c r="AL26" s="27">
        <f>rebio23_80ml!AL27/50</f>
        <v>0</v>
      </c>
      <c r="AM26" s="27">
        <f>rebio23_80ml!AM27/50</f>
        <v>0</v>
      </c>
      <c r="AN26" s="27">
        <f>rebio23_80ml!AN27/50</f>
        <v>0</v>
      </c>
      <c r="AO26" s="27">
        <f>rebio23_80ml!AO27/50</f>
        <v>0</v>
      </c>
      <c r="AP26" s="27">
        <f>rebio23_80ml!AP27/50</f>
        <v>0</v>
      </c>
      <c r="AQ26" s="27">
        <f>rebio23_80ml!AQ27/50</f>
        <v>0</v>
      </c>
      <c r="AR26" s="27">
        <f>rebio23_80ml!AR27/50</f>
        <v>0</v>
      </c>
      <c r="AS26" s="27">
        <f>rebio23_80ml!AS27/50</f>
        <v>0</v>
      </c>
      <c r="AT26" s="27">
        <f>rebio23_80ml!AT27/50</f>
        <v>0</v>
      </c>
      <c r="AU26" s="27">
        <f>rebio23_80ml!AU27/50</f>
        <v>0</v>
      </c>
      <c r="AV26" s="27">
        <f>rebio23_80ml!AV27/50</f>
        <v>0</v>
      </c>
      <c r="AW26" s="27">
        <f>rebio23_80ml!AW27/50</f>
        <v>0</v>
      </c>
      <c r="AX26" s="27">
        <f>rebio23_80ml!AX27/50</f>
        <v>0</v>
      </c>
      <c r="AY26" s="27">
        <f>rebio23_80ml!AY27/50</f>
        <v>0</v>
      </c>
      <c r="AZ26" s="27">
        <f>rebio23_80ml!AZ27/50</f>
        <v>0</v>
      </c>
      <c r="BA26" s="27">
        <f>rebio23_80ml!BA27/50</f>
        <v>0</v>
      </c>
      <c r="BB26" s="27">
        <f>rebio23_80ml!BB27/50</f>
        <v>0</v>
      </c>
      <c r="BC26" s="27">
        <f>rebio23_80ml!BC27/50</f>
        <v>0</v>
      </c>
      <c r="BD26" s="27">
        <f>rebio23_80ml!BD27/50</f>
        <v>0</v>
      </c>
      <c r="BE26" s="27">
        <f>rebio23_80ml!BE27/50</f>
        <v>0</v>
      </c>
      <c r="BF26" s="27">
        <f>rebio23_80ml!BF27/50</f>
        <v>0</v>
      </c>
      <c r="BG26" s="27">
        <f>rebio23_80ml!BG27/50</f>
        <v>0</v>
      </c>
    </row>
    <row r="27" spans="1:59" ht="12.75" customHeight="1" x14ac:dyDescent="0.25">
      <c r="A27" s="15" t="str">
        <f>rebio23_80ml!A28</f>
        <v>S-C-P13-H2</v>
      </c>
      <c r="B27" s="27">
        <f>rebio23_80ml!B28/50</f>
        <v>0</v>
      </c>
      <c r="C27" s="27">
        <f>rebio23_80ml!C28/50</f>
        <v>0</v>
      </c>
      <c r="D27" s="27">
        <f>rebio23_80ml!D28/50</f>
        <v>0</v>
      </c>
      <c r="E27" s="27">
        <f>rebio23_80ml!E28/50</f>
        <v>0.24</v>
      </c>
      <c r="F27" s="27">
        <f>rebio23_80ml!F28/50</f>
        <v>0</v>
      </c>
      <c r="G27" s="27">
        <f>rebio23_80ml!G28/50</f>
        <v>0</v>
      </c>
      <c r="H27" s="27">
        <f>rebio23_80ml!H28/50</f>
        <v>0</v>
      </c>
      <c r="I27" s="27">
        <f>rebio23_80ml!I28/50</f>
        <v>0</v>
      </c>
      <c r="J27" s="27">
        <f>rebio23_80ml!J28/50</f>
        <v>0</v>
      </c>
      <c r="K27" s="27">
        <f>rebio23_80ml!K28/50</f>
        <v>0</v>
      </c>
      <c r="L27" s="27">
        <f>rebio23_80ml!L28/50</f>
        <v>0</v>
      </c>
      <c r="M27" s="27">
        <f>rebio23_80ml!M28/50</f>
        <v>0</v>
      </c>
      <c r="N27" s="27">
        <f>rebio23_80ml!N28/50</f>
        <v>0</v>
      </c>
      <c r="O27" s="27">
        <f>rebio23_80ml!O28/50</f>
        <v>0</v>
      </c>
      <c r="P27" s="27">
        <f>rebio23_80ml!P28/50</f>
        <v>0</v>
      </c>
      <c r="Q27" s="27">
        <f>rebio23_80ml!Q28/50</f>
        <v>0</v>
      </c>
      <c r="R27" s="27">
        <f>rebio23_80ml!R28/50</f>
        <v>0</v>
      </c>
      <c r="S27" s="27">
        <f>rebio23_80ml!S28/50</f>
        <v>0</v>
      </c>
      <c r="T27" s="27">
        <f>rebio23_80ml!T28/50</f>
        <v>0</v>
      </c>
      <c r="U27" s="27">
        <f>rebio23_80ml!U28/50</f>
        <v>0</v>
      </c>
      <c r="V27" s="27">
        <f>rebio23_80ml!V28/50</f>
        <v>0</v>
      </c>
      <c r="W27" s="27">
        <f>rebio23_80ml!W28/50</f>
        <v>0</v>
      </c>
      <c r="X27" s="27">
        <f>rebio23_80ml!X28/50</f>
        <v>0</v>
      </c>
      <c r="Y27" s="27">
        <f>rebio23_80ml!Y28/50</f>
        <v>0</v>
      </c>
      <c r="Z27" s="27">
        <f>rebio23_80ml!Z28/50</f>
        <v>0</v>
      </c>
      <c r="AA27" s="27">
        <f>rebio23_80ml!AA28/50</f>
        <v>0</v>
      </c>
      <c r="AB27" s="27">
        <f>rebio23_80ml!AB28/50</f>
        <v>0</v>
      </c>
      <c r="AC27" s="27">
        <f>rebio23_80ml!AC28/50</f>
        <v>0</v>
      </c>
      <c r="AD27" s="27">
        <f>rebio23_80ml!AD28/50</f>
        <v>0</v>
      </c>
      <c r="AE27" s="27">
        <f>rebio23_80ml!AE28/50</f>
        <v>0</v>
      </c>
      <c r="AF27" s="27">
        <f>rebio23_80ml!AF28/50</f>
        <v>0</v>
      </c>
      <c r="AG27" s="27">
        <f>rebio23_80ml!AG28/50</f>
        <v>0</v>
      </c>
      <c r="AH27" s="27">
        <f>rebio23_80ml!AH28/50</f>
        <v>0</v>
      </c>
      <c r="AI27" s="27">
        <f>rebio23_80ml!AI28/50</f>
        <v>0</v>
      </c>
      <c r="AJ27" s="27">
        <f>rebio23_80ml!AJ28/50</f>
        <v>0</v>
      </c>
      <c r="AK27" s="27">
        <f>rebio23_80ml!AK28/50</f>
        <v>0</v>
      </c>
      <c r="AL27" s="27">
        <f>rebio23_80ml!AL28/50</f>
        <v>0</v>
      </c>
      <c r="AM27" s="27">
        <f>rebio23_80ml!AM28/50</f>
        <v>0</v>
      </c>
      <c r="AN27" s="27">
        <f>rebio23_80ml!AN28/50</f>
        <v>0</v>
      </c>
      <c r="AO27" s="27">
        <f>rebio23_80ml!AO28/50</f>
        <v>0</v>
      </c>
      <c r="AP27" s="27">
        <f>rebio23_80ml!AP28/50</f>
        <v>0</v>
      </c>
      <c r="AQ27" s="27">
        <f>rebio23_80ml!AQ28/50</f>
        <v>0</v>
      </c>
      <c r="AR27" s="27">
        <f>rebio23_80ml!AR28/50</f>
        <v>0</v>
      </c>
      <c r="AS27" s="27">
        <f>rebio23_80ml!AS28/50</f>
        <v>0</v>
      </c>
      <c r="AT27" s="27">
        <f>rebio23_80ml!AT28/50</f>
        <v>0</v>
      </c>
      <c r="AU27" s="27">
        <f>rebio23_80ml!AU28/50</f>
        <v>0</v>
      </c>
      <c r="AV27" s="27">
        <f>rebio23_80ml!AV28/50</f>
        <v>0</v>
      </c>
      <c r="AW27" s="27">
        <f>rebio23_80ml!AW28/50</f>
        <v>0</v>
      </c>
      <c r="AX27" s="27">
        <f>rebio23_80ml!AX28/50</f>
        <v>0</v>
      </c>
      <c r="AY27" s="27">
        <f>rebio23_80ml!AY28/50</f>
        <v>0</v>
      </c>
      <c r="AZ27" s="27">
        <f>rebio23_80ml!AZ28/50</f>
        <v>0</v>
      </c>
      <c r="BA27" s="27">
        <f>rebio23_80ml!BA28/50</f>
        <v>0</v>
      </c>
      <c r="BB27" s="27">
        <f>rebio23_80ml!BB28/50</f>
        <v>0</v>
      </c>
      <c r="BC27" s="27">
        <f>rebio23_80ml!BC28/50</f>
        <v>0</v>
      </c>
      <c r="BD27" s="27">
        <f>rebio23_80ml!BD28/50</f>
        <v>0</v>
      </c>
      <c r="BE27" s="27">
        <f>rebio23_80ml!BE28/50</f>
        <v>0</v>
      </c>
      <c r="BF27" s="27">
        <f>rebio23_80ml!BF28/50</f>
        <v>0</v>
      </c>
      <c r="BG27" s="27">
        <f>rebio23_80ml!BG28/50</f>
        <v>0</v>
      </c>
    </row>
    <row r="28" spans="1:59" ht="12.75" customHeight="1" x14ac:dyDescent="0.25">
      <c r="A28" s="15" t="str">
        <f>rebio23_80ml!A29</f>
        <v>S-C-P13-H3</v>
      </c>
      <c r="B28" s="27">
        <f>rebio23_80ml!B29/50</f>
        <v>0</v>
      </c>
      <c r="C28" s="27">
        <f>rebio23_80ml!C29/50</f>
        <v>0</v>
      </c>
      <c r="D28" s="27">
        <f>rebio23_80ml!D29/50</f>
        <v>0</v>
      </c>
      <c r="E28" s="27">
        <f>rebio23_80ml!E29/50</f>
        <v>0.72</v>
      </c>
      <c r="F28" s="27">
        <f>rebio23_80ml!F29/50</f>
        <v>0</v>
      </c>
      <c r="G28" s="27">
        <f>rebio23_80ml!G29/50</f>
        <v>0</v>
      </c>
      <c r="H28" s="27">
        <f>rebio23_80ml!H29/50</f>
        <v>0</v>
      </c>
      <c r="I28" s="27">
        <f>rebio23_80ml!I29/50</f>
        <v>0</v>
      </c>
      <c r="J28" s="27">
        <f>rebio23_80ml!J29/50</f>
        <v>0</v>
      </c>
      <c r="K28" s="27">
        <f>rebio23_80ml!K29/50</f>
        <v>0</v>
      </c>
      <c r="L28" s="27">
        <f>rebio23_80ml!L29/50</f>
        <v>0</v>
      </c>
      <c r="M28" s="27">
        <f>rebio23_80ml!M29/50</f>
        <v>0</v>
      </c>
      <c r="N28" s="27">
        <f>rebio23_80ml!N29/50</f>
        <v>0</v>
      </c>
      <c r="O28" s="27">
        <f>rebio23_80ml!O29/50</f>
        <v>0</v>
      </c>
      <c r="P28" s="27">
        <f>rebio23_80ml!P29/50</f>
        <v>0</v>
      </c>
      <c r="Q28" s="27">
        <f>rebio23_80ml!Q29/50</f>
        <v>0</v>
      </c>
      <c r="R28" s="27">
        <f>rebio23_80ml!R29/50</f>
        <v>0</v>
      </c>
      <c r="S28" s="27">
        <f>rebio23_80ml!S29/50</f>
        <v>0.02</v>
      </c>
      <c r="T28" s="27">
        <f>rebio23_80ml!T29/50</f>
        <v>0</v>
      </c>
      <c r="U28" s="27">
        <f>rebio23_80ml!U29/50</f>
        <v>0</v>
      </c>
      <c r="V28" s="27">
        <f>rebio23_80ml!V29/50</f>
        <v>0</v>
      </c>
      <c r="W28" s="27">
        <f>rebio23_80ml!W29/50</f>
        <v>0</v>
      </c>
      <c r="X28" s="27">
        <f>rebio23_80ml!X29/50</f>
        <v>0</v>
      </c>
      <c r="Y28" s="27">
        <f>rebio23_80ml!Y29/50</f>
        <v>0</v>
      </c>
      <c r="Z28" s="27">
        <f>rebio23_80ml!Z29/50</f>
        <v>0</v>
      </c>
      <c r="AA28" s="27">
        <f>rebio23_80ml!AA29/50</f>
        <v>0</v>
      </c>
      <c r="AB28" s="27">
        <f>rebio23_80ml!AB29/50</f>
        <v>0</v>
      </c>
      <c r="AC28" s="27">
        <f>rebio23_80ml!AC29/50</f>
        <v>0</v>
      </c>
      <c r="AD28" s="27">
        <f>rebio23_80ml!AD29/50</f>
        <v>0</v>
      </c>
      <c r="AE28" s="27">
        <f>rebio23_80ml!AE29/50</f>
        <v>0</v>
      </c>
      <c r="AF28" s="27">
        <f>rebio23_80ml!AF29/50</f>
        <v>0</v>
      </c>
      <c r="AG28" s="27">
        <f>rebio23_80ml!AG29/50</f>
        <v>0</v>
      </c>
      <c r="AH28" s="27">
        <f>rebio23_80ml!AH29/50</f>
        <v>0</v>
      </c>
      <c r="AI28" s="27">
        <f>rebio23_80ml!AI29/50</f>
        <v>0</v>
      </c>
      <c r="AJ28" s="27">
        <f>rebio23_80ml!AJ29/50</f>
        <v>0</v>
      </c>
      <c r="AK28" s="27">
        <f>rebio23_80ml!AK29/50</f>
        <v>0</v>
      </c>
      <c r="AL28" s="27">
        <f>rebio23_80ml!AL29/50</f>
        <v>0</v>
      </c>
      <c r="AM28" s="27">
        <f>rebio23_80ml!AM29/50</f>
        <v>0</v>
      </c>
      <c r="AN28" s="27">
        <f>rebio23_80ml!AN29/50</f>
        <v>0</v>
      </c>
      <c r="AO28" s="27">
        <f>rebio23_80ml!AO29/50</f>
        <v>0</v>
      </c>
      <c r="AP28" s="27">
        <f>rebio23_80ml!AP29/50</f>
        <v>0</v>
      </c>
      <c r="AQ28" s="27">
        <f>rebio23_80ml!AQ29/50</f>
        <v>0</v>
      </c>
      <c r="AR28" s="27">
        <f>rebio23_80ml!AR29/50</f>
        <v>0</v>
      </c>
      <c r="AS28" s="27">
        <f>rebio23_80ml!AS29/50</f>
        <v>0</v>
      </c>
      <c r="AT28" s="27">
        <f>rebio23_80ml!AT29/50</f>
        <v>0</v>
      </c>
      <c r="AU28" s="27">
        <f>rebio23_80ml!AU29/50</f>
        <v>0</v>
      </c>
      <c r="AV28" s="27">
        <f>rebio23_80ml!AV29/50</f>
        <v>0.06</v>
      </c>
      <c r="AW28" s="27">
        <f>rebio23_80ml!AW29/50</f>
        <v>0</v>
      </c>
      <c r="AX28" s="27">
        <f>rebio23_80ml!AX29/50</f>
        <v>0</v>
      </c>
      <c r="AY28" s="27">
        <f>rebio23_80ml!AY29/50</f>
        <v>0</v>
      </c>
      <c r="AZ28" s="27">
        <f>rebio23_80ml!AZ29/50</f>
        <v>0</v>
      </c>
      <c r="BA28" s="27">
        <f>rebio23_80ml!BA29/50</f>
        <v>0</v>
      </c>
      <c r="BB28" s="27">
        <f>rebio23_80ml!BB29/50</f>
        <v>0</v>
      </c>
      <c r="BC28" s="27">
        <f>rebio23_80ml!BC29/50</f>
        <v>0</v>
      </c>
      <c r="BD28" s="27">
        <f>rebio23_80ml!BD29/50</f>
        <v>0</v>
      </c>
      <c r="BE28" s="27">
        <f>rebio23_80ml!BE29/50</f>
        <v>0</v>
      </c>
      <c r="BF28" s="27">
        <f>rebio23_80ml!BF29/50</f>
        <v>0</v>
      </c>
      <c r="BG28" s="27">
        <f>rebio23_80ml!BG29/50</f>
        <v>0</v>
      </c>
    </row>
    <row r="29" spans="1:59" ht="12.75" customHeight="1" x14ac:dyDescent="0.25">
      <c r="A29" s="15" t="str">
        <f>rebio23_80ml!A30</f>
        <v>S-C-P14-H1</v>
      </c>
      <c r="B29" s="27">
        <f>rebio23_80ml!B30/50</f>
        <v>0</v>
      </c>
      <c r="C29" s="27">
        <f>rebio23_80ml!C30/50</f>
        <v>0</v>
      </c>
      <c r="D29" s="27">
        <f>rebio23_80ml!D30/50</f>
        <v>0</v>
      </c>
      <c r="E29" s="27">
        <f>rebio23_80ml!E30/50</f>
        <v>0.26</v>
      </c>
      <c r="F29" s="27">
        <f>rebio23_80ml!F30/50</f>
        <v>0</v>
      </c>
      <c r="G29" s="27">
        <f>rebio23_80ml!G30/50</f>
        <v>0</v>
      </c>
      <c r="H29" s="27">
        <f>rebio23_80ml!H30/50</f>
        <v>0</v>
      </c>
      <c r="I29" s="27">
        <f>rebio23_80ml!I30/50</f>
        <v>0</v>
      </c>
      <c r="J29" s="27">
        <f>rebio23_80ml!J30/50</f>
        <v>0</v>
      </c>
      <c r="K29" s="27">
        <f>rebio23_80ml!K30/50</f>
        <v>0</v>
      </c>
      <c r="L29" s="27">
        <f>rebio23_80ml!L30/50</f>
        <v>0</v>
      </c>
      <c r="M29" s="27">
        <f>rebio23_80ml!M30/50</f>
        <v>0</v>
      </c>
      <c r="N29" s="27">
        <f>rebio23_80ml!N30/50</f>
        <v>0</v>
      </c>
      <c r="O29" s="27">
        <f>rebio23_80ml!O30/50</f>
        <v>0</v>
      </c>
      <c r="P29" s="27">
        <f>rebio23_80ml!P30/50</f>
        <v>0</v>
      </c>
      <c r="Q29" s="27">
        <f>rebio23_80ml!Q30/50</f>
        <v>0</v>
      </c>
      <c r="R29" s="27">
        <f>rebio23_80ml!R30/50</f>
        <v>0</v>
      </c>
      <c r="S29" s="27">
        <f>rebio23_80ml!S30/50</f>
        <v>0.02</v>
      </c>
      <c r="T29" s="27">
        <f>rebio23_80ml!T30/50</f>
        <v>0</v>
      </c>
      <c r="U29" s="27">
        <f>rebio23_80ml!U30/50</f>
        <v>0</v>
      </c>
      <c r="V29" s="27">
        <f>rebio23_80ml!V30/50</f>
        <v>0</v>
      </c>
      <c r="W29" s="27">
        <f>rebio23_80ml!W30/50</f>
        <v>0</v>
      </c>
      <c r="X29" s="27">
        <f>rebio23_80ml!X30/50</f>
        <v>0</v>
      </c>
      <c r="Y29" s="27">
        <f>rebio23_80ml!Y30/50</f>
        <v>0</v>
      </c>
      <c r="Z29" s="27">
        <f>rebio23_80ml!Z30/50</f>
        <v>0</v>
      </c>
      <c r="AA29" s="27">
        <f>rebio23_80ml!AA30/50</f>
        <v>0.02</v>
      </c>
      <c r="AB29" s="27">
        <f>rebio23_80ml!AB30/50</f>
        <v>0</v>
      </c>
      <c r="AC29" s="27">
        <f>rebio23_80ml!AC30/50</f>
        <v>0</v>
      </c>
      <c r="AD29" s="27">
        <f>rebio23_80ml!AD30/50</f>
        <v>0</v>
      </c>
      <c r="AE29" s="27">
        <f>rebio23_80ml!AE30/50</f>
        <v>0</v>
      </c>
      <c r="AF29" s="27">
        <f>rebio23_80ml!AF30/50</f>
        <v>0</v>
      </c>
      <c r="AG29" s="27">
        <f>rebio23_80ml!AG30/50</f>
        <v>0</v>
      </c>
      <c r="AH29" s="27">
        <f>rebio23_80ml!AH30/50</f>
        <v>0</v>
      </c>
      <c r="AI29" s="27">
        <f>rebio23_80ml!AI30/50</f>
        <v>0</v>
      </c>
      <c r="AJ29" s="27">
        <f>rebio23_80ml!AJ30/50</f>
        <v>0.02</v>
      </c>
      <c r="AK29" s="27">
        <f>rebio23_80ml!AK30/50</f>
        <v>0</v>
      </c>
      <c r="AL29" s="27">
        <f>rebio23_80ml!AL30/50</f>
        <v>0</v>
      </c>
      <c r="AM29" s="27">
        <f>rebio23_80ml!AM30/50</f>
        <v>0</v>
      </c>
      <c r="AN29" s="27">
        <f>rebio23_80ml!AN30/50</f>
        <v>0</v>
      </c>
      <c r="AO29" s="27">
        <f>rebio23_80ml!AO30/50</f>
        <v>0</v>
      </c>
      <c r="AP29" s="27">
        <f>rebio23_80ml!AP30/50</f>
        <v>0</v>
      </c>
      <c r="AQ29" s="27">
        <f>rebio23_80ml!AQ30/50</f>
        <v>0</v>
      </c>
      <c r="AR29" s="27">
        <f>rebio23_80ml!AR30/50</f>
        <v>0</v>
      </c>
      <c r="AS29" s="27">
        <f>rebio23_80ml!AS30/50</f>
        <v>0</v>
      </c>
      <c r="AT29" s="27">
        <f>rebio23_80ml!AT30/50</f>
        <v>0</v>
      </c>
      <c r="AU29" s="27">
        <f>rebio23_80ml!AU30/50</f>
        <v>0</v>
      </c>
      <c r="AV29" s="27">
        <f>rebio23_80ml!AV30/50</f>
        <v>0</v>
      </c>
      <c r="AW29" s="27">
        <f>rebio23_80ml!AW30/50</f>
        <v>0</v>
      </c>
      <c r="AX29" s="27">
        <f>rebio23_80ml!AX30/50</f>
        <v>0</v>
      </c>
      <c r="AY29" s="27">
        <f>rebio23_80ml!AY30/50</f>
        <v>0</v>
      </c>
      <c r="AZ29" s="27">
        <f>rebio23_80ml!AZ30/50</f>
        <v>0</v>
      </c>
      <c r="BA29" s="27">
        <f>rebio23_80ml!BA30/50</f>
        <v>0</v>
      </c>
      <c r="BB29" s="27">
        <f>rebio23_80ml!BB30/50</f>
        <v>0</v>
      </c>
      <c r="BC29" s="27">
        <f>rebio23_80ml!BC30/50</f>
        <v>0</v>
      </c>
      <c r="BD29" s="27">
        <f>rebio23_80ml!BD30/50</f>
        <v>0</v>
      </c>
      <c r="BE29" s="27">
        <f>rebio23_80ml!BE30/50</f>
        <v>0</v>
      </c>
      <c r="BF29" s="27">
        <f>rebio23_80ml!BF30/50</f>
        <v>0</v>
      </c>
      <c r="BG29" s="27">
        <f>rebio23_80ml!BG30/50</f>
        <v>0</v>
      </c>
    </row>
    <row r="30" spans="1:59" ht="12.75" customHeight="1" x14ac:dyDescent="0.25">
      <c r="A30" s="15" t="str">
        <f>rebio23_80ml!A31</f>
        <v>S-C-P14-H2</v>
      </c>
      <c r="B30" s="27">
        <f>rebio23_80ml!B31/50</f>
        <v>0</v>
      </c>
      <c r="C30" s="27">
        <f>rebio23_80ml!C31/50</f>
        <v>0</v>
      </c>
      <c r="D30" s="27">
        <f>rebio23_80ml!D31/50</f>
        <v>0</v>
      </c>
      <c r="E30" s="27">
        <f>rebio23_80ml!E31/50</f>
        <v>0.54</v>
      </c>
      <c r="F30" s="27">
        <f>rebio23_80ml!F31/50</f>
        <v>0</v>
      </c>
      <c r="G30" s="27">
        <f>rebio23_80ml!G31/50</f>
        <v>0</v>
      </c>
      <c r="H30" s="27">
        <f>rebio23_80ml!H31/50</f>
        <v>0</v>
      </c>
      <c r="I30" s="27">
        <f>rebio23_80ml!I31/50</f>
        <v>0.02</v>
      </c>
      <c r="J30" s="27">
        <f>rebio23_80ml!J31/50</f>
        <v>0</v>
      </c>
      <c r="K30" s="27">
        <f>rebio23_80ml!K31/50</f>
        <v>0</v>
      </c>
      <c r="L30" s="27">
        <f>rebio23_80ml!L31/50</f>
        <v>0</v>
      </c>
      <c r="M30" s="27">
        <f>rebio23_80ml!M31/50</f>
        <v>0</v>
      </c>
      <c r="N30" s="27">
        <f>rebio23_80ml!N31/50</f>
        <v>0</v>
      </c>
      <c r="O30" s="27">
        <f>rebio23_80ml!O31/50</f>
        <v>0</v>
      </c>
      <c r="P30" s="27">
        <f>rebio23_80ml!P31/50</f>
        <v>0</v>
      </c>
      <c r="Q30" s="27">
        <f>rebio23_80ml!Q31/50</f>
        <v>0</v>
      </c>
      <c r="R30" s="27">
        <f>rebio23_80ml!R31/50</f>
        <v>0</v>
      </c>
      <c r="S30" s="27">
        <f>rebio23_80ml!S31/50</f>
        <v>0</v>
      </c>
      <c r="T30" s="27">
        <f>rebio23_80ml!T31/50</f>
        <v>0</v>
      </c>
      <c r="U30" s="27">
        <f>rebio23_80ml!U31/50</f>
        <v>0</v>
      </c>
      <c r="V30" s="27">
        <f>rebio23_80ml!V31/50</f>
        <v>0</v>
      </c>
      <c r="W30" s="27">
        <f>rebio23_80ml!W31/50</f>
        <v>0</v>
      </c>
      <c r="X30" s="27">
        <f>rebio23_80ml!X31/50</f>
        <v>0</v>
      </c>
      <c r="Y30" s="27">
        <f>rebio23_80ml!Y31/50</f>
        <v>0</v>
      </c>
      <c r="Z30" s="27">
        <f>rebio23_80ml!Z31/50</f>
        <v>0</v>
      </c>
      <c r="AA30" s="27">
        <f>rebio23_80ml!AA31/50</f>
        <v>0</v>
      </c>
      <c r="AB30" s="27">
        <f>rebio23_80ml!AB31/50</f>
        <v>0</v>
      </c>
      <c r="AC30" s="27">
        <f>rebio23_80ml!AC31/50</f>
        <v>0</v>
      </c>
      <c r="AD30" s="27">
        <f>rebio23_80ml!AD31/50</f>
        <v>0</v>
      </c>
      <c r="AE30" s="27">
        <f>rebio23_80ml!AE31/50</f>
        <v>0</v>
      </c>
      <c r="AF30" s="27">
        <f>rebio23_80ml!AF31/50</f>
        <v>0</v>
      </c>
      <c r="AG30" s="27">
        <f>rebio23_80ml!AG31/50</f>
        <v>0</v>
      </c>
      <c r="AH30" s="27">
        <f>rebio23_80ml!AH31/50</f>
        <v>0</v>
      </c>
      <c r="AI30" s="27">
        <f>rebio23_80ml!AI31/50</f>
        <v>0</v>
      </c>
      <c r="AJ30" s="27">
        <f>rebio23_80ml!AJ31/50</f>
        <v>0</v>
      </c>
      <c r="AK30" s="27">
        <f>rebio23_80ml!AK31/50</f>
        <v>0</v>
      </c>
      <c r="AL30" s="27">
        <f>rebio23_80ml!AL31/50</f>
        <v>0</v>
      </c>
      <c r="AM30" s="27">
        <f>rebio23_80ml!AM31/50</f>
        <v>0</v>
      </c>
      <c r="AN30" s="27">
        <f>rebio23_80ml!AN31/50</f>
        <v>0</v>
      </c>
      <c r="AO30" s="27">
        <f>rebio23_80ml!AO31/50</f>
        <v>0</v>
      </c>
      <c r="AP30" s="27">
        <f>rebio23_80ml!AP31/50</f>
        <v>0</v>
      </c>
      <c r="AQ30" s="27">
        <f>rebio23_80ml!AQ31/50</f>
        <v>0</v>
      </c>
      <c r="AR30" s="27">
        <f>rebio23_80ml!AR31/50</f>
        <v>0</v>
      </c>
      <c r="AS30" s="27">
        <f>rebio23_80ml!AS31/50</f>
        <v>0</v>
      </c>
      <c r="AT30" s="27">
        <f>rebio23_80ml!AT31/50</f>
        <v>0</v>
      </c>
      <c r="AU30" s="27">
        <f>rebio23_80ml!AU31/50</f>
        <v>0</v>
      </c>
      <c r="AV30" s="27">
        <f>rebio23_80ml!AV31/50</f>
        <v>0.04</v>
      </c>
      <c r="AW30" s="27">
        <f>rebio23_80ml!AW31/50</f>
        <v>0</v>
      </c>
      <c r="AX30" s="27">
        <f>rebio23_80ml!AX31/50</f>
        <v>0</v>
      </c>
      <c r="AY30" s="27">
        <f>rebio23_80ml!AY31/50</f>
        <v>0</v>
      </c>
      <c r="AZ30" s="27">
        <f>rebio23_80ml!AZ31/50</f>
        <v>0</v>
      </c>
      <c r="BA30" s="27">
        <f>rebio23_80ml!BA31/50</f>
        <v>0</v>
      </c>
      <c r="BB30" s="27">
        <f>rebio23_80ml!BB31/50</f>
        <v>0</v>
      </c>
      <c r="BC30" s="27">
        <f>rebio23_80ml!BC31/50</f>
        <v>0</v>
      </c>
      <c r="BD30" s="27">
        <f>rebio23_80ml!BD31/50</f>
        <v>0</v>
      </c>
      <c r="BE30" s="27">
        <f>rebio23_80ml!BE31/50</f>
        <v>0</v>
      </c>
      <c r="BF30" s="27">
        <f>rebio23_80ml!BF31/50</f>
        <v>0</v>
      </c>
      <c r="BG30" s="27">
        <f>rebio23_80ml!BG31/50</f>
        <v>0</v>
      </c>
    </row>
    <row r="31" spans="1:59" ht="12.75" customHeight="1" x14ac:dyDescent="0.25">
      <c r="A31" s="15" t="str">
        <f>rebio23_80ml!A32</f>
        <v>S-C-P14-H3</v>
      </c>
      <c r="B31" s="27">
        <f>rebio23_80ml!B32/50</f>
        <v>0</v>
      </c>
      <c r="C31" s="27">
        <f>rebio23_80ml!C32/50</f>
        <v>0</v>
      </c>
      <c r="D31" s="27">
        <f>rebio23_80ml!D32/50</f>
        <v>0</v>
      </c>
      <c r="E31" s="27">
        <f>rebio23_80ml!E32/50</f>
        <v>1</v>
      </c>
      <c r="F31" s="27">
        <f>rebio23_80ml!F32/50</f>
        <v>0</v>
      </c>
      <c r="G31" s="27">
        <f>rebio23_80ml!G32/50</f>
        <v>0</v>
      </c>
      <c r="H31" s="27">
        <f>rebio23_80ml!H32/50</f>
        <v>0</v>
      </c>
      <c r="I31" s="27">
        <f>rebio23_80ml!I32/50</f>
        <v>0.02</v>
      </c>
      <c r="J31" s="27">
        <f>rebio23_80ml!J32/50</f>
        <v>0</v>
      </c>
      <c r="K31" s="27">
        <f>rebio23_80ml!K32/50</f>
        <v>0</v>
      </c>
      <c r="L31" s="27">
        <f>rebio23_80ml!L32/50</f>
        <v>0</v>
      </c>
      <c r="M31" s="27">
        <f>rebio23_80ml!M32/50</f>
        <v>0</v>
      </c>
      <c r="N31" s="27">
        <f>rebio23_80ml!N32/50</f>
        <v>0</v>
      </c>
      <c r="O31" s="27">
        <f>rebio23_80ml!O32/50</f>
        <v>0</v>
      </c>
      <c r="P31" s="27">
        <f>rebio23_80ml!P32/50</f>
        <v>0</v>
      </c>
      <c r="Q31" s="27">
        <f>rebio23_80ml!Q32/50</f>
        <v>0</v>
      </c>
      <c r="R31" s="27">
        <f>rebio23_80ml!R32/50</f>
        <v>0</v>
      </c>
      <c r="S31" s="27">
        <f>rebio23_80ml!S32/50</f>
        <v>0</v>
      </c>
      <c r="T31" s="27">
        <f>rebio23_80ml!T32/50</f>
        <v>0</v>
      </c>
      <c r="U31" s="27">
        <f>rebio23_80ml!U32/50</f>
        <v>0</v>
      </c>
      <c r="V31" s="27">
        <f>rebio23_80ml!V32/50</f>
        <v>0</v>
      </c>
      <c r="W31" s="27">
        <f>rebio23_80ml!W32/50</f>
        <v>0</v>
      </c>
      <c r="X31" s="27">
        <f>rebio23_80ml!X32/50</f>
        <v>0</v>
      </c>
      <c r="Y31" s="27">
        <f>rebio23_80ml!Y32/50</f>
        <v>0</v>
      </c>
      <c r="Z31" s="27">
        <f>rebio23_80ml!Z32/50</f>
        <v>0.02</v>
      </c>
      <c r="AA31" s="27">
        <f>rebio23_80ml!AA32/50</f>
        <v>0</v>
      </c>
      <c r="AB31" s="27">
        <f>rebio23_80ml!AB32/50</f>
        <v>0</v>
      </c>
      <c r="AC31" s="27">
        <f>rebio23_80ml!AC32/50</f>
        <v>0</v>
      </c>
      <c r="AD31" s="27">
        <f>rebio23_80ml!AD32/50</f>
        <v>0</v>
      </c>
      <c r="AE31" s="27">
        <f>rebio23_80ml!AE32/50</f>
        <v>0</v>
      </c>
      <c r="AF31" s="27">
        <f>rebio23_80ml!AF32/50</f>
        <v>0</v>
      </c>
      <c r="AG31" s="27">
        <f>rebio23_80ml!AG32/50</f>
        <v>0</v>
      </c>
      <c r="AH31" s="27">
        <f>rebio23_80ml!AH32/50</f>
        <v>0</v>
      </c>
      <c r="AI31" s="27">
        <f>rebio23_80ml!AI32/50</f>
        <v>0</v>
      </c>
      <c r="AJ31" s="27">
        <f>rebio23_80ml!AJ32/50</f>
        <v>0</v>
      </c>
      <c r="AK31" s="27">
        <f>rebio23_80ml!AK32/50</f>
        <v>0</v>
      </c>
      <c r="AL31" s="27">
        <f>rebio23_80ml!AL32/50</f>
        <v>0</v>
      </c>
      <c r="AM31" s="27">
        <f>rebio23_80ml!AM32/50</f>
        <v>0</v>
      </c>
      <c r="AN31" s="27">
        <f>rebio23_80ml!AN32/50</f>
        <v>0</v>
      </c>
      <c r="AO31" s="27">
        <f>rebio23_80ml!AO32/50</f>
        <v>0</v>
      </c>
      <c r="AP31" s="27">
        <f>rebio23_80ml!AP32/50</f>
        <v>0</v>
      </c>
      <c r="AQ31" s="27">
        <f>rebio23_80ml!AQ32/50</f>
        <v>0</v>
      </c>
      <c r="AR31" s="27">
        <f>rebio23_80ml!AR32/50</f>
        <v>0</v>
      </c>
      <c r="AS31" s="27">
        <f>rebio23_80ml!AS32/50</f>
        <v>0</v>
      </c>
      <c r="AT31" s="27">
        <f>rebio23_80ml!AT32/50</f>
        <v>0</v>
      </c>
      <c r="AU31" s="27">
        <f>rebio23_80ml!AU32/50</f>
        <v>0</v>
      </c>
      <c r="AV31" s="27">
        <f>rebio23_80ml!AV32/50</f>
        <v>0.16</v>
      </c>
      <c r="AW31" s="27">
        <f>rebio23_80ml!AW32/50</f>
        <v>0</v>
      </c>
      <c r="AX31" s="27">
        <f>rebio23_80ml!AX32/50</f>
        <v>0</v>
      </c>
      <c r="AY31" s="27">
        <f>rebio23_80ml!AY32/50</f>
        <v>0</v>
      </c>
      <c r="AZ31" s="27">
        <f>rebio23_80ml!AZ32/50</f>
        <v>0</v>
      </c>
      <c r="BA31" s="27">
        <f>rebio23_80ml!BA32/50</f>
        <v>0</v>
      </c>
      <c r="BB31" s="27">
        <f>rebio23_80ml!BB32/50</f>
        <v>0</v>
      </c>
      <c r="BC31" s="27">
        <f>rebio23_80ml!BC32/50</f>
        <v>0</v>
      </c>
      <c r="BD31" s="27">
        <f>rebio23_80ml!BD32/50</f>
        <v>0</v>
      </c>
      <c r="BE31" s="27">
        <f>rebio23_80ml!BE32/50</f>
        <v>0</v>
      </c>
      <c r="BF31" s="27">
        <f>rebio23_80ml!BF32/50</f>
        <v>0</v>
      </c>
      <c r="BG31" s="27">
        <f>rebio23_80ml!BG32/50</f>
        <v>0</v>
      </c>
    </row>
    <row r="32" spans="1:59" ht="12.75" customHeight="1" x14ac:dyDescent="0.25">
      <c r="A32" s="15" t="str">
        <f>rebio23_80ml!A33</f>
        <v>S-C-P15-H1</v>
      </c>
      <c r="B32" s="27">
        <f>rebio23_80ml!B33/50</f>
        <v>0</v>
      </c>
      <c r="C32" s="27">
        <f>rebio23_80ml!C33/50</f>
        <v>0</v>
      </c>
      <c r="D32" s="27">
        <f>rebio23_80ml!D33/50</f>
        <v>0</v>
      </c>
      <c r="E32" s="27">
        <f>rebio23_80ml!E33/50</f>
        <v>0.32</v>
      </c>
      <c r="F32" s="27">
        <f>rebio23_80ml!F33/50</f>
        <v>0</v>
      </c>
      <c r="G32" s="27">
        <f>rebio23_80ml!G33/50</f>
        <v>0</v>
      </c>
      <c r="H32" s="27">
        <f>rebio23_80ml!H33/50</f>
        <v>0</v>
      </c>
      <c r="I32" s="27">
        <f>rebio23_80ml!I33/50</f>
        <v>0</v>
      </c>
      <c r="J32" s="27">
        <f>rebio23_80ml!J33/50</f>
        <v>0</v>
      </c>
      <c r="K32" s="27">
        <f>rebio23_80ml!K33/50</f>
        <v>0</v>
      </c>
      <c r="L32" s="27">
        <f>rebio23_80ml!L33/50</f>
        <v>0</v>
      </c>
      <c r="M32" s="27">
        <f>rebio23_80ml!M33/50</f>
        <v>0</v>
      </c>
      <c r="N32" s="27">
        <f>rebio23_80ml!N33/50</f>
        <v>0</v>
      </c>
      <c r="O32" s="27">
        <f>rebio23_80ml!O33/50</f>
        <v>0</v>
      </c>
      <c r="P32" s="27">
        <f>rebio23_80ml!P33/50</f>
        <v>0</v>
      </c>
      <c r="Q32" s="27">
        <f>rebio23_80ml!Q33/50</f>
        <v>0</v>
      </c>
      <c r="R32" s="27">
        <f>rebio23_80ml!R33/50</f>
        <v>0</v>
      </c>
      <c r="S32" s="27">
        <f>rebio23_80ml!S33/50</f>
        <v>0</v>
      </c>
      <c r="T32" s="27">
        <f>rebio23_80ml!T33/50</f>
        <v>0</v>
      </c>
      <c r="U32" s="27">
        <f>rebio23_80ml!U33/50</f>
        <v>0</v>
      </c>
      <c r="V32" s="27">
        <f>rebio23_80ml!V33/50</f>
        <v>0</v>
      </c>
      <c r="W32" s="27">
        <f>rebio23_80ml!W33/50</f>
        <v>0</v>
      </c>
      <c r="X32" s="27">
        <f>rebio23_80ml!X33/50</f>
        <v>0</v>
      </c>
      <c r="Y32" s="27">
        <f>rebio23_80ml!Y33/50</f>
        <v>0</v>
      </c>
      <c r="Z32" s="27">
        <f>rebio23_80ml!Z33/50</f>
        <v>0</v>
      </c>
      <c r="AA32" s="27">
        <f>rebio23_80ml!AA33/50</f>
        <v>0</v>
      </c>
      <c r="AB32" s="27">
        <f>rebio23_80ml!AB33/50</f>
        <v>0</v>
      </c>
      <c r="AC32" s="27">
        <f>rebio23_80ml!AC33/50</f>
        <v>0</v>
      </c>
      <c r="AD32" s="27">
        <f>rebio23_80ml!AD33/50</f>
        <v>0</v>
      </c>
      <c r="AE32" s="27">
        <f>rebio23_80ml!AE33/50</f>
        <v>0</v>
      </c>
      <c r="AF32" s="27">
        <f>rebio23_80ml!AF33/50</f>
        <v>0</v>
      </c>
      <c r="AG32" s="27">
        <f>rebio23_80ml!AG33/50</f>
        <v>0</v>
      </c>
      <c r="AH32" s="27">
        <f>rebio23_80ml!AH33/50</f>
        <v>0</v>
      </c>
      <c r="AI32" s="27">
        <f>rebio23_80ml!AI33/50</f>
        <v>0</v>
      </c>
      <c r="AJ32" s="27">
        <f>rebio23_80ml!AJ33/50</f>
        <v>0</v>
      </c>
      <c r="AK32" s="27">
        <f>rebio23_80ml!AK33/50</f>
        <v>0</v>
      </c>
      <c r="AL32" s="27">
        <f>rebio23_80ml!AL33/50</f>
        <v>0</v>
      </c>
      <c r="AM32" s="27">
        <f>rebio23_80ml!AM33/50</f>
        <v>0</v>
      </c>
      <c r="AN32" s="27">
        <f>rebio23_80ml!AN33/50</f>
        <v>0</v>
      </c>
      <c r="AO32" s="27">
        <f>rebio23_80ml!AO33/50</f>
        <v>0</v>
      </c>
      <c r="AP32" s="27">
        <f>rebio23_80ml!AP33/50</f>
        <v>0</v>
      </c>
      <c r="AQ32" s="27">
        <f>rebio23_80ml!AQ33/50</f>
        <v>0</v>
      </c>
      <c r="AR32" s="27">
        <f>rebio23_80ml!AR33/50</f>
        <v>0</v>
      </c>
      <c r="AS32" s="27">
        <f>rebio23_80ml!AS33/50</f>
        <v>0</v>
      </c>
      <c r="AT32" s="27">
        <f>rebio23_80ml!AT33/50</f>
        <v>0</v>
      </c>
      <c r="AU32" s="27">
        <f>rebio23_80ml!AU33/50</f>
        <v>0</v>
      </c>
      <c r="AV32" s="27">
        <f>rebio23_80ml!AV33/50</f>
        <v>0.04</v>
      </c>
      <c r="AW32" s="27">
        <f>rebio23_80ml!AW33/50</f>
        <v>0</v>
      </c>
      <c r="AX32" s="27">
        <f>rebio23_80ml!AX33/50</f>
        <v>0</v>
      </c>
      <c r="AY32" s="27">
        <f>rebio23_80ml!AY33/50</f>
        <v>0</v>
      </c>
      <c r="AZ32" s="27">
        <f>rebio23_80ml!AZ33/50</f>
        <v>0</v>
      </c>
      <c r="BA32" s="27">
        <f>rebio23_80ml!BA33/50</f>
        <v>0</v>
      </c>
      <c r="BB32" s="27">
        <f>rebio23_80ml!BB33/50</f>
        <v>0</v>
      </c>
      <c r="BC32" s="27">
        <f>rebio23_80ml!BC33/50</f>
        <v>0</v>
      </c>
      <c r="BD32" s="27">
        <f>rebio23_80ml!BD33/50</f>
        <v>0</v>
      </c>
      <c r="BE32" s="27">
        <f>rebio23_80ml!BE33/50</f>
        <v>0</v>
      </c>
      <c r="BF32" s="27">
        <f>rebio23_80ml!BF33/50</f>
        <v>0</v>
      </c>
      <c r="BG32" s="27">
        <f>rebio23_80ml!BG33/50</f>
        <v>0</v>
      </c>
    </row>
    <row r="33" spans="1:59" ht="12.75" customHeight="1" x14ac:dyDescent="0.25">
      <c r="A33" s="15" t="str">
        <f>rebio23_80ml!A34</f>
        <v>S-C-P15-H2</v>
      </c>
      <c r="B33" s="27">
        <f>rebio23_80ml!B34/50</f>
        <v>0</v>
      </c>
      <c r="C33" s="27">
        <f>rebio23_80ml!C34/50</f>
        <v>0</v>
      </c>
      <c r="D33" s="27">
        <f>rebio23_80ml!D34/50</f>
        <v>0</v>
      </c>
      <c r="E33" s="27">
        <f>rebio23_80ml!E34/50</f>
        <v>0.44</v>
      </c>
      <c r="F33" s="27">
        <f>rebio23_80ml!F34/50</f>
        <v>0</v>
      </c>
      <c r="G33" s="27">
        <f>rebio23_80ml!G34/50</f>
        <v>0</v>
      </c>
      <c r="H33" s="27">
        <f>rebio23_80ml!H34/50</f>
        <v>0</v>
      </c>
      <c r="I33" s="27">
        <f>rebio23_80ml!I34/50</f>
        <v>0.08</v>
      </c>
      <c r="J33" s="27">
        <f>rebio23_80ml!J34/50</f>
        <v>0</v>
      </c>
      <c r="K33" s="27">
        <f>rebio23_80ml!K34/50</f>
        <v>0</v>
      </c>
      <c r="L33" s="27">
        <f>rebio23_80ml!L34/50</f>
        <v>0</v>
      </c>
      <c r="M33" s="27">
        <f>rebio23_80ml!M34/50</f>
        <v>0</v>
      </c>
      <c r="N33" s="27">
        <f>rebio23_80ml!N34/50</f>
        <v>0</v>
      </c>
      <c r="O33" s="27">
        <f>rebio23_80ml!O34/50</f>
        <v>0</v>
      </c>
      <c r="P33" s="27">
        <f>rebio23_80ml!P34/50</f>
        <v>0</v>
      </c>
      <c r="Q33" s="27">
        <f>rebio23_80ml!Q34/50</f>
        <v>0</v>
      </c>
      <c r="R33" s="27">
        <f>rebio23_80ml!R34/50</f>
        <v>0</v>
      </c>
      <c r="S33" s="27">
        <f>rebio23_80ml!S34/50</f>
        <v>0</v>
      </c>
      <c r="T33" s="27">
        <f>rebio23_80ml!T34/50</f>
        <v>0</v>
      </c>
      <c r="U33" s="27">
        <f>rebio23_80ml!U34/50</f>
        <v>0</v>
      </c>
      <c r="V33" s="27">
        <f>rebio23_80ml!V34/50</f>
        <v>0</v>
      </c>
      <c r="W33" s="27">
        <f>rebio23_80ml!W34/50</f>
        <v>0</v>
      </c>
      <c r="X33" s="27">
        <f>rebio23_80ml!X34/50</f>
        <v>0</v>
      </c>
      <c r="Y33" s="27">
        <f>rebio23_80ml!Y34/50</f>
        <v>0</v>
      </c>
      <c r="Z33" s="27">
        <f>rebio23_80ml!Z34/50</f>
        <v>0</v>
      </c>
      <c r="AA33" s="27">
        <f>rebio23_80ml!AA34/50</f>
        <v>0</v>
      </c>
      <c r="AB33" s="27">
        <f>rebio23_80ml!AB34/50</f>
        <v>0</v>
      </c>
      <c r="AC33" s="27">
        <f>rebio23_80ml!AC34/50</f>
        <v>0</v>
      </c>
      <c r="AD33" s="27">
        <f>rebio23_80ml!AD34/50</f>
        <v>0</v>
      </c>
      <c r="AE33" s="27">
        <f>rebio23_80ml!AE34/50</f>
        <v>0</v>
      </c>
      <c r="AF33" s="27">
        <f>rebio23_80ml!AF34/50</f>
        <v>0</v>
      </c>
      <c r="AG33" s="27">
        <f>rebio23_80ml!AG34/50</f>
        <v>0</v>
      </c>
      <c r="AH33" s="27">
        <f>rebio23_80ml!AH34/50</f>
        <v>0</v>
      </c>
      <c r="AI33" s="27">
        <f>rebio23_80ml!AI34/50</f>
        <v>0</v>
      </c>
      <c r="AJ33" s="27">
        <f>rebio23_80ml!AJ34/50</f>
        <v>0</v>
      </c>
      <c r="AK33" s="27">
        <f>rebio23_80ml!AK34/50</f>
        <v>0</v>
      </c>
      <c r="AL33" s="27">
        <f>rebio23_80ml!AL34/50</f>
        <v>0</v>
      </c>
      <c r="AM33" s="27">
        <f>rebio23_80ml!AM34/50</f>
        <v>0</v>
      </c>
      <c r="AN33" s="27">
        <f>rebio23_80ml!AN34/50</f>
        <v>0</v>
      </c>
      <c r="AO33" s="27">
        <f>rebio23_80ml!AO34/50</f>
        <v>0</v>
      </c>
      <c r="AP33" s="27">
        <f>rebio23_80ml!AP34/50</f>
        <v>0</v>
      </c>
      <c r="AQ33" s="27">
        <f>rebio23_80ml!AQ34/50</f>
        <v>0.02</v>
      </c>
      <c r="AR33" s="27">
        <f>rebio23_80ml!AR34/50</f>
        <v>0</v>
      </c>
      <c r="AS33" s="27">
        <f>rebio23_80ml!AS34/50</f>
        <v>0</v>
      </c>
      <c r="AT33" s="27">
        <f>rebio23_80ml!AT34/50</f>
        <v>0</v>
      </c>
      <c r="AU33" s="27">
        <f>rebio23_80ml!AU34/50</f>
        <v>0</v>
      </c>
      <c r="AV33" s="27">
        <f>rebio23_80ml!AV34/50</f>
        <v>0.12</v>
      </c>
      <c r="AW33" s="27">
        <f>rebio23_80ml!AW34/50</f>
        <v>0</v>
      </c>
      <c r="AX33" s="27">
        <f>rebio23_80ml!AX34/50</f>
        <v>0</v>
      </c>
      <c r="AY33" s="27">
        <f>rebio23_80ml!AY34/50</f>
        <v>0</v>
      </c>
      <c r="AZ33" s="27">
        <f>rebio23_80ml!AZ34/50</f>
        <v>0</v>
      </c>
      <c r="BA33" s="27">
        <f>rebio23_80ml!BA34/50</f>
        <v>0</v>
      </c>
      <c r="BB33" s="27">
        <f>rebio23_80ml!BB34/50</f>
        <v>0</v>
      </c>
      <c r="BC33" s="27">
        <f>rebio23_80ml!BC34/50</f>
        <v>0</v>
      </c>
      <c r="BD33" s="27">
        <f>rebio23_80ml!BD34/50</f>
        <v>0</v>
      </c>
      <c r="BE33" s="27">
        <f>rebio23_80ml!BE34/50</f>
        <v>0</v>
      </c>
      <c r="BF33" s="27">
        <f>rebio23_80ml!BF34/50</f>
        <v>0</v>
      </c>
      <c r="BG33" s="27">
        <f>rebio23_80ml!BG34/50</f>
        <v>0</v>
      </c>
    </row>
    <row r="34" spans="1:59" ht="12.75" customHeight="1" x14ac:dyDescent="0.25">
      <c r="A34" s="15" t="str">
        <f>rebio23_80ml!A35</f>
        <v>S-C-P15-H3</v>
      </c>
      <c r="B34" s="27">
        <f>rebio23_80ml!B35/50</f>
        <v>0</v>
      </c>
      <c r="C34" s="27">
        <f>rebio23_80ml!C35/50</f>
        <v>0</v>
      </c>
      <c r="D34" s="27">
        <f>rebio23_80ml!D35/50</f>
        <v>0</v>
      </c>
      <c r="E34" s="27">
        <f>rebio23_80ml!E35/50</f>
        <v>0.34</v>
      </c>
      <c r="F34" s="27">
        <f>rebio23_80ml!F35/50</f>
        <v>0</v>
      </c>
      <c r="G34" s="27">
        <f>rebio23_80ml!G35/50</f>
        <v>0</v>
      </c>
      <c r="H34" s="27">
        <f>rebio23_80ml!H35/50</f>
        <v>0</v>
      </c>
      <c r="I34" s="27">
        <f>rebio23_80ml!I35/50</f>
        <v>0.32</v>
      </c>
      <c r="J34" s="27">
        <f>rebio23_80ml!J35/50</f>
        <v>0</v>
      </c>
      <c r="K34" s="27">
        <f>rebio23_80ml!K35/50</f>
        <v>0</v>
      </c>
      <c r="L34" s="27">
        <f>rebio23_80ml!L35/50</f>
        <v>0</v>
      </c>
      <c r="M34" s="27">
        <f>rebio23_80ml!M35/50</f>
        <v>0</v>
      </c>
      <c r="N34" s="27">
        <f>rebio23_80ml!N35/50</f>
        <v>0</v>
      </c>
      <c r="O34" s="27">
        <f>rebio23_80ml!O35/50</f>
        <v>0</v>
      </c>
      <c r="P34" s="27">
        <f>rebio23_80ml!P35/50</f>
        <v>0</v>
      </c>
      <c r="Q34" s="27">
        <f>rebio23_80ml!Q35/50</f>
        <v>0</v>
      </c>
      <c r="R34" s="27">
        <f>rebio23_80ml!R35/50</f>
        <v>0</v>
      </c>
      <c r="S34" s="27">
        <f>rebio23_80ml!S35/50</f>
        <v>0</v>
      </c>
      <c r="T34" s="27">
        <f>rebio23_80ml!T35/50</f>
        <v>0</v>
      </c>
      <c r="U34" s="27">
        <f>rebio23_80ml!U35/50</f>
        <v>0</v>
      </c>
      <c r="V34" s="27">
        <f>rebio23_80ml!V35/50</f>
        <v>0</v>
      </c>
      <c r="W34" s="27">
        <f>rebio23_80ml!W35/50</f>
        <v>0</v>
      </c>
      <c r="X34" s="27">
        <f>rebio23_80ml!X35/50</f>
        <v>0</v>
      </c>
      <c r="Y34" s="27">
        <f>rebio23_80ml!Y35/50</f>
        <v>0</v>
      </c>
      <c r="Z34" s="27">
        <f>rebio23_80ml!Z35/50</f>
        <v>0</v>
      </c>
      <c r="AA34" s="27">
        <f>rebio23_80ml!AA35/50</f>
        <v>0</v>
      </c>
      <c r="AB34" s="27">
        <f>rebio23_80ml!AB35/50</f>
        <v>0</v>
      </c>
      <c r="AC34" s="27">
        <f>rebio23_80ml!AC35/50</f>
        <v>0</v>
      </c>
      <c r="AD34" s="27">
        <f>rebio23_80ml!AD35/50</f>
        <v>0</v>
      </c>
      <c r="AE34" s="27">
        <f>rebio23_80ml!AE35/50</f>
        <v>0</v>
      </c>
      <c r="AF34" s="27">
        <f>rebio23_80ml!AF35/50</f>
        <v>0</v>
      </c>
      <c r="AG34" s="27">
        <f>rebio23_80ml!AG35/50</f>
        <v>0</v>
      </c>
      <c r="AH34" s="27">
        <f>rebio23_80ml!AH35/50</f>
        <v>0</v>
      </c>
      <c r="AI34" s="27">
        <f>rebio23_80ml!AI35/50</f>
        <v>0</v>
      </c>
      <c r="AJ34" s="27">
        <f>rebio23_80ml!AJ35/50</f>
        <v>0.02</v>
      </c>
      <c r="AK34" s="27">
        <f>rebio23_80ml!AK35/50</f>
        <v>0</v>
      </c>
      <c r="AL34" s="27">
        <f>rebio23_80ml!AL35/50</f>
        <v>0</v>
      </c>
      <c r="AM34" s="27">
        <f>rebio23_80ml!AM35/50</f>
        <v>0</v>
      </c>
      <c r="AN34" s="27">
        <f>rebio23_80ml!AN35/50</f>
        <v>0</v>
      </c>
      <c r="AO34" s="27">
        <f>rebio23_80ml!AO35/50</f>
        <v>0</v>
      </c>
      <c r="AP34" s="27">
        <f>rebio23_80ml!AP35/50</f>
        <v>0</v>
      </c>
      <c r="AQ34" s="27">
        <f>rebio23_80ml!AQ35/50</f>
        <v>0</v>
      </c>
      <c r="AR34" s="27">
        <f>rebio23_80ml!AR35/50</f>
        <v>0</v>
      </c>
      <c r="AS34" s="27">
        <f>rebio23_80ml!AS35/50</f>
        <v>0</v>
      </c>
      <c r="AT34" s="27">
        <f>rebio23_80ml!AT35/50</f>
        <v>0</v>
      </c>
      <c r="AU34" s="27">
        <f>rebio23_80ml!AU35/50</f>
        <v>0</v>
      </c>
      <c r="AV34" s="27">
        <f>rebio23_80ml!AV35/50</f>
        <v>0.18</v>
      </c>
      <c r="AW34" s="27">
        <f>rebio23_80ml!AW35/50</f>
        <v>0</v>
      </c>
      <c r="AX34" s="27">
        <f>rebio23_80ml!AX35/50</f>
        <v>0.08</v>
      </c>
      <c r="AY34" s="27">
        <f>rebio23_80ml!AY35/50</f>
        <v>0</v>
      </c>
      <c r="AZ34" s="27">
        <f>rebio23_80ml!AZ35/50</f>
        <v>0</v>
      </c>
      <c r="BA34" s="27">
        <f>rebio23_80ml!BA35/50</f>
        <v>0</v>
      </c>
      <c r="BB34" s="27">
        <f>rebio23_80ml!BB35/50</f>
        <v>0</v>
      </c>
      <c r="BC34" s="27">
        <f>rebio23_80ml!BC35/50</f>
        <v>0</v>
      </c>
      <c r="BD34" s="27">
        <f>rebio23_80ml!BD35/50</f>
        <v>0</v>
      </c>
      <c r="BE34" s="27">
        <f>rebio23_80ml!BE35/50</f>
        <v>0</v>
      </c>
      <c r="BF34" s="27">
        <f>rebio23_80ml!BF35/50</f>
        <v>0</v>
      </c>
      <c r="BG34" s="27">
        <f>rebio23_80ml!BG35/50</f>
        <v>0</v>
      </c>
    </row>
    <row r="35" spans="1:59" ht="12.75" customHeight="1" x14ac:dyDescent="0.25">
      <c r="A35" s="15" t="str">
        <f>rebio23_80ml!A36</f>
        <v>S-C-P16-H1</v>
      </c>
      <c r="B35" s="27">
        <f>rebio23_80ml!B36/50</f>
        <v>0.02</v>
      </c>
      <c r="C35" s="27">
        <f>rebio23_80ml!C36/50</f>
        <v>0</v>
      </c>
      <c r="D35" s="27">
        <f>rebio23_80ml!D36/50</f>
        <v>0</v>
      </c>
      <c r="E35" s="27">
        <f>rebio23_80ml!E36/50</f>
        <v>1.08</v>
      </c>
      <c r="F35" s="27">
        <f>rebio23_80ml!F36/50</f>
        <v>0</v>
      </c>
      <c r="G35" s="27">
        <f>rebio23_80ml!G36/50</f>
        <v>0</v>
      </c>
      <c r="H35" s="27">
        <f>rebio23_80ml!H36/50</f>
        <v>0</v>
      </c>
      <c r="I35" s="27">
        <f>rebio23_80ml!I36/50</f>
        <v>2.64</v>
      </c>
      <c r="J35" s="27">
        <f>rebio23_80ml!J36/50</f>
        <v>0</v>
      </c>
      <c r="K35" s="27">
        <f>rebio23_80ml!K36/50</f>
        <v>0</v>
      </c>
      <c r="L35" s="27">
        <f>rebio23_80ml!L36/50</f>
        <v>0</v>
      </c>
      <c r="M35" s="27">
        <f>rebio23_80ml!M36/50</f>
        <v>0.02</v>
      </c>
      <c r="N35" s="27">
        <f>rebio23_80ml!N36/50</f>
        <v>0.04</v>
      </c>
      <c r="O35" s="27">
        <f>rebio23_80ml!O36/50</f>
        <v>0</v>
      </c>
      <c r="P35" s="27">
        <f>rebio23_80ml!P36/50</f>
        <v>0</v>
      </c>
      <c r="Q35" s="27">
        <f>rebio23_80ml!Q36/50</f>
        <v>0</v>
      </c>
      <c r="R35" s="27">
        <f>rebio23_80ml!R36/50</f>
        <v>0</v>
      </c>
      <c r="S35" s="27">
        <f>rebio23_80ml!S36/50</f>
        <v>0.04</v>
      </c>
      <c r="T35" s="27">
        <f>rebio23_80ml!T36/50</f>
        <v>0.02</v>
      </c>
      <c r="U35" s="27">
        <f>rebio23_80ml!U36/50</f>
        <v>0.02</v>
      </c>
      <c r="V35" s="27">
        <f>rebio23_80ml!V36/50</f>
        <v>0.02</v>
      </c>
      <c r="W35" s="27">
        <f>rebio23_80ml!W36/50</f>
        <v>0</v>
      </c>
      <c r="X35" s="27">
        <f>rebio23_80ml!X36/50</f>
        <v>0</v>
      </c>
      <c r="Y35" s="27">
        <f>rebio23_80ml!Y36/50</f>
        <v>0.02</v>
      </c>
      <c r="Z35" s="27">
        <f>rebio23_80ml!Z36/50</f>
        <v>0</v>
      </c>
      <c r="AA35" s="27">
        <f>rebio23_80ml!AA36/50</f>
        <v>0</v>
      </c>
      <c r="AB35" s="27">
        <f>rebio23_80ml!AB36/50</f>
        <v>0.02</v>
      </c>
      <c r="AC35" s="27">
        <f>rebio23_80ml!AC36/50</f>
        <v>0.02</v>
      </c>
      <c r="AD35" s="27">
        <f>rebio23_80ml!AD36/50</f>
        <v>0.02</v>
      </c>
      <c r="AE35" s="27">
        <f>rebio23_80ml!AE36/50</f>
        <v>0</v>
      </c>
      <c r="AF35" s="27">
        <f>rebio23_80ml!AF36/50</f>
        <v>0</v>
      </c>
      <c r="AG35" s="27">
        <f>rebio23_80ml!AG36/50</f>
        <v>0</v>
      </c>
      <c r="AH35" s="27">
        <f>rebio23_80ml!AH36/50</f>
        <v>0</v>
      </c>
      <c r="AI35" s="27">
        <f>rebio23_80ml!AI36/50</f>
        <v>0</v>
      </c>
      <c r="AJ35" s="27">
        <f>rebio23_80ml!AJ36/50</f>
        <v>0</v>
      </c>
      <c r="AK35" s="27">
        <f>rebio23_80ml!AK36/50</f>
        <v>0</v>
      </c>
      <c r="AL35" s="27">
        <f>rebio23_80ml!AL36/50</f>
        <v>0</v>
      </c>
      <c r="AM35" s="27">
        <f>rebio23_80ml!AM36/50</f>
        <v>0</v>
      </c>
      <c r="AN35" s="27">
        <f>rebio23_80ml!AN36/50</f>
        <v>0</v>
      </c>
      <c r="AO35" s="27">
        <f>rebio23_80ml!AO36/50</f>
        <v>0</v>
      </c>
      <c r="AP35" s="27">
        <f>rebio23_80ml!AP36/50</f>
        <v>0</v>
      </c>
      <c r="AQ35" s="27">
        <f>rebio23_80ml!AQ36/50</f>
        <v>0</v>
      </c>
      <c r="AR35" s="27">
        <f>rebio23_80ml!AR36/50</f>
        <v>0</v>
      </c>
      <c r="AS35" s="27">
        <f>rebio23_80ml!AS36/50</f>
        <v>0</v>
      </c>
      <c r="AT35" s="27">
        <f>rebio23_80ml!AT36/50</f>
        <v>0</v>
      </c>
      <c r="AU35" s="27">
        <f>rebio23_80ml!AU36/50</f>
        <v>0</v>
      </c>
      <c r="AV35" s="27">
        <f>rebio23_80ml!AV36/50</f>
        <v>16.34</v>
      </c>
      <c r="AW35" s="27">
        <f>rebio23_80ml!AW36/50</f>
        <v>0.56000000000000005</v>
      </c>
      <c r="AX35" s="27">
        <f>rebio23_80ml!AX36/50</f>
        <v>0.08</v>
      </c>
      <c r="AY35" s="27">
        <f>rebio23_80ml!AY36/50</f>
        <v>0</v>
      </c>
      <c r="AZ35" s="27">
        <f>rebio23_80ml!AZ36/50</f>
        <v>0</v>
      </c>
      <c r="BA35" s="27">
        <f>rebio23_80ml!BA36/50</f>
        <v>0.68</v>
      </c>
      <c r="BB35" s="27">
        <f>rebio23_80ml!BB36/50</f>
        <v>0</v>
      </c>
      <c r="BC35" s="27">
        <f>rebio23_80ml!BC36/50</f>
        <v>2.82</v>
      </c>
      <c r="BD35" s="27">
        <f>rebio23_80ml!BD36/50</f>
        <v>0.18</v>
      </c>
      <c r="BE35" s="27">
        <f>rebio23_80ml!BE36/50</f>
        <v>0.04</v>
      </c>
      <c r="BF35" s="27">
        <f>rebio23_80ml!BF36/50</f>
        <v>0</v>
      </c>
      <c r="BG35" s="27">
        <f>rebio23_80ml!BG36/50</f>
        <v>0</v>
      </c>
    </row>
    <row r="36" spans="1:59" ht="12.75" customHeight="1" x14ac:dyDescent="0.25">
      <c r="A36" s="15" t="str">
        <f>rebio23_80ml!A37</f>
        <v>S-C-P16-H2</v>
      </c>
      <c r="B36" s="27">
        <f>rebio23_80ml!B37/50</f>
        <v>0.04</v>
      </c>
      <c r="C36" s="27">
        <f>rebio23_80ml!C37/50</f>
        <v>0</v>
      </c>
      <c r="D36" s="27">
        <f>rebio23_80ml!D37/50</f>
        <v>0.06</v>
      </c>
      <c r="E36" s="27">
        <f>rebio23_80ml!E37/50</f>
        <v>0.18</v>
      </c>
      <c r="F36" s="27">
        <f>rebio23_80ml!F37/50</f>
        <v>0</v>
      </c>
      <c r="G36" s="27">
        <f>rebio23_80ml!G37/50</f>
        <v>0.08</v>
      </c>
      <c r="H36" s="27">
        <f>rebio23_80ml!H37/50</f>
        <v>0</v>
      </c>
      <c r="I36" s="27">
        <f>rebio23_80ml!I37/50</f>
        <v>0.38</v>
      </c>
      <c r="J36" s="27">
        <f>rebio23_80ml!J37/50</f>
        <v>0</v>
      </c>
      <c r="K36" s="27">
        <f>rebio23_80ml!K37/50</f>
        <v>0.02</v>
      </c>
      <c r="L36" s="27">
        <f>rebio23_80ml!L37/50</f>
        <v>0.66</v>
      </c>
      <c r="M36" s="27">
        <f>rebio23_80ml!M37/50</f>
        <v>0.34</v>
      </c>
      <c r="N36" s="27">
        <f>rebio23_80ml!N37/50</f>
        <v>0</v>
      </c>
      <c r="O36" s="27">
        <f>rebio23_80ml!O37/50</f>
        <v>0</v>
      </c>
      <c r="P36" s="27">
        <f>rebio23_80ml!P37/50</f>
        <v>0</v>
      </c>
      <c r="Q36" s="27">
        <f>rebio23_80ml!Q37/50</f>
        <v>0</v>
      </c>
      <c r="R36" s="27">
        <f>rebio23_80ml!R37/50</f>
        <v>0</v>
      </c>
      <c r="S36" s="27">
        <f>rebio23_80ml!S37/50</f>
        <v>0.12</v>
      </c>
      <c r="T36" s="27">
        <f>rebio23_80ml!T37/50</f>
        <v>0.04</v>
      </c>
      <c r="U36" s="27">
        <f>rebio23_80ml!U37/50</f>
        <v>0</v>
      </c>
      <c r="V36" s="27">
        <f>rebio23_80ml!V37/50</f>
        <v>0.06</v>
      </c>
      <c r="W36" s="27">
        <f>rebio23_80ml!W37/50</f>
        <v>0</v>
      </c>
      <c r="X36" s="27">
        <f>rebio23_80ml!X37/50</f>
        <v>0</v>
      </c>
      <c r="Y36" s="27">
        <f>rebio23_80ml!Y37/50</f>
        <v>0</v>
      </c>
      <c r="Z36" s="27">
        <f>rebio23_80ml!Z37/50</f>
        <v>0</v>
      </c>
      <c r="AA36" s="27">
        <f>rebio23_80ml!AA37/50</f>
        <v>0.02</v>
      </c>
      <c r="AB36" s="27">
        <f>rebio23_80ml!AB37/50</f>
        <v>0</v>
      </c>
      <c r="AC36" s="27">
        <f>rebio23_80ml!AC37/50</f>
        <v>0</v>
      </c>
      <c r="AD36" s="27">
        <f>rebio23_80ml!AD37/50</f>
        <v>0</v>
      </c>
      <c r="AE36" s="27">
        <f>rebio23_80ml!AE37/50</f>
        <v>0</v>
      </c>
      <c r="AF36" s="27">
        <f>rebio23_80ml!AF37/50</f>
        <v>0</v>
      </c>
      <c r="AG36" s="27">
        <f>rebio23_80ml!AG37/50</f>
        <v>0</v>
      </c>
      <c r="AH36" s="27">
        <f>rebio23_80ml!AH37/50</f>
        <v>0</v>
      </c>
      <c r="AI36" s="27">
        <f>rebio23_80ml!AI37/50</f>
        <v>0</v>
      </c>
      <c r="AJ36" s="27">
        <f>rebio23_80ml!AJ37/50</f>
        <v>0</v>
      </c>
      <c r="AK36" s="27">
        <f>rebio23_80ml!AK37/50</f>
        <v>0</v>
      </c>
      <c r="AL36" s="27">
        <f>rebio23_80ml!AL37/50</f>
        <v>0</v>
      </c>
      <c r="AM36" s="27">
        <f>rebio23_80ml!AM37/50</f>
        <v>0.06</v>
      </c>
      <c r="AN36" s="27">
        <f>rebio23_80ml!AN37/50</f>
        <v>0.04</v>
      </c>
      <c r="AO36" s="27">
        <f>rebio23_80ml!AO37/50</f>
        <v>0.08</v>
      </c>
      <c r="AP36" s="27">
        <f>rebio23_80ml!AP37/50</f>
        <v>0.04</v>
      </c>
      <c r="AQ36" s="27">
        <f>rebio23_80ml!AQ37/50</f>
        <v>0.08</v>
      </c>
      <c r="AR36" s="27">
        <f>rebio23_80ml!AR37/50</f>
        <v>0</v>
      </c>
      <c r="AS36" s="27">
        <f>rebio23_80ml!AS37/50</f>
        <v>0</v>
      </c>
      <c r="AT36" s="27">
        <f>rebio23_80ml!AT37/50</f>
        <v>0</v>
      </c>
      <c r="AU36" s="27">
        <f>rebio23_80ml!AU37/50</f>
        <v>0</v>
      </c>
      <c r="AV36" s="27">
        <f>rebio23_80ml!AV37/50</f>
        <v>1.82</v>
      </c>
      <c r="AW36" s="27">
        <f>rebio23_80ml!AW37/50</f>
        <v>0.16</v>
      </c>
      <c r="AX36" s="27">
        <f>rebio23_80ml!AX37/50</f>
        <v>0.14000000000000001</v>
      </c>
      <c r="AY36" s="27">
        <f>rebio23_80ml!AY37/50</f>
        <v>0</v>
      </c>
      <c r="AZ36" s="27">
        <f>rebio23_80ml!AZ37/50</f>
        <v>0</v>
      </c>
      <c r="BA36" s="27">
        <f>rebio23_80ml!BA37/50</f>
        <v>0.04</v>
      </c>
      <c r="BB36" s="27">
        <f>rebio23_80ml!BB37/50</f>
        <v>0</v>
      </c>
      <c r="BC36" s="27">
        <f>rebio23_80ml!BC37/50</f>
        <v>0.04</v>
      </c>
      <c r="BD36" s="27">
        <f>rebio23_80ml!BD37/50</f>
        <v>0.02</v>
      </c>
      <c r="BE36" s="27">
        <f>rebio23_80ml!BE37/50</f>
        <v>0.02</v>
      </c>
      <c r="BF36" s="27">
        <f>rebio23_80ml!BF37/50</f>
        <v>0</v>
      </c>
      <c r="BG36" s="27">
        <f>rebio23_80ml!BG37/50</f>
        <v>0</v>
      </c>
    </row>
    <row r="37" spans="1:59" ht="12.75" customHeight="1" x14ac:dyDescent="0.25">
      <c r="A37" s="15" t="str">
        <f>rebio23_80ml!A38</f>
        <v>S-C-P16-H3</v>
      </c>
      <c r="B37" s="27">
        <f>rebio23_80ml!B38/50</f>
        <v>0</v>
      </c>
      <c r="C37" s="27">
        <f>rebio23_80ml!C38/50</f>
        <v>0</v>
      </c>
      <c r="D37" s="27">
        <f>rebio23_80ml!D38/50</f>
        <v>0</v>
      </c>
      <c r="E37" s="27">
        <f>rebio23_80ml!E38/50</f>
        <v>0.32</v>
      </c>
      <c r="F37" s="27">
        <f>rebio23_80ml!F38/50</f>
        <v>0</v>
      </c>
      <c r="G37" s="27">
        <f>rebio23_80ml!G38/50</f>
        <v>0</v>
      </c>
      <c r="H37" s="27">
        <f>rebio23_80ml!H38/50</f>
        <v>0</v>
      </c>
      <c r="I37" s="27">
        <f>rebio23_80ml!I38/50</f>
        <v>0.32</v>
      </c>
      <c r="J37" s="27">
        <f>rebio23_80ml!J38/50</f>
        <v>0</v>
      </c>
      <c r="K37" s="27">
        <f>rebio23_80ml!K38/50</f>
        <v>0</v>
      </c>
      <c r="L37" s="27">
        <f>rebio23_80ml!L38/50</f>
        <v>0</v>
      </c>
      <c r="M37" s="27">
        <f>rebio23_80ml!M38/50</f>
        <v>0</v>
      </c>
      <c r="N37" s="27">
        <f>rebio23_80ml!N38/50</f>
        <v>0</v>
      </c>
      <c r="O37" s="27">
        <f>rebio23_80ml!O38/50</f>
        <v>0</v>
      </c>
      <c r="P37" s="27">
        <f>rebio23_80ml!P38/50</f>
        <v>0</v>
      </c>
      <c r="Q37" s="27">
        <f>rebio23_80ml!Q38/50</f>
        <v>0</v>
      </c>
      <c r="R37" s="27">
        <f>rebio23_80ml!R38/50</f>
        <v>0</v>
      </c>
      <c r="S37" s="27">
        <f>rebio23_80ml!S38/50</f>
        <v>0</v>
      </c>
      <c r="T37" s="27">
        <f>rebio23_80ml!T38/50</f>
        <v>0</v>
      </c>
      <c r="U37" s="27">
        <f>rebio23_80ml!U38/50</f>
        <v>0</v>
      </c>
      <c r="V37" s="27">
        <f>rebio23_80ml!V38/50</f>
        <v>0</v>
      </c>
      <c r="W37" s="27">
        <f>rebio23_80ml!W38/50</f>
        <v>0</v>
      </c>
      <c r="X37" s="27">
        <f>rebio23_80ml!X38/50</f>
        <v>0</v>
      </c>
      <c r="Y37" s="27">
        <f>rebio23_80ml!Y38/50</f>
        <v>0.04</v>
      </c>
      <c r="Z37" s="27">
        <f>rebio23_80ml!Z38/50</f>
        <v>0</v>
      </c>
      <c r="AA37" s="27">
        <f>rebio23_80ml!AA38/50</f>
        <v>0.04</v>
      </c>
      <c r="AB37" s="27">
        <f>rebio23_80ml!AB38/50</f>
        <v>0</v>
      </c>
      <c r="AC37" s="27">
        <f>rebio23_80ml!AC38/50</f>
        <v>0</v>
      </c>
      <c r="AD37" s="27">
        <f>rebio23_80ml!AD38/50</f>
        <v>0</v>
      </c>
      <c r="AE37" s="27">
        <f>rebio23_80ml!AE38/50</f>
        <v>0</v>
      </c>
      <c r="AF37" s="27">
        <f>rebio23_80ml!AF38/50</f>
        <v>0</v>
      </c>
      <c r="AG37" s="27">
        <f>rebio23_80ml!AG38/50</f>
        <v>0</v>
      </c>
      <c r="AH37" s="27">
        <f>rebio23_80ml!AH38/50</f>
        <v>0</v>
      </c>
      <c r="AI37" s="27">
        <f>rebio23_80ml!AI38/50</f>
        <v>0</v>
      </c>
      <c r="AJ37" s="27">
        <f>rebio23_80ml!AJ38/50</f>
        <v>0</v>
      </c>
      <c r="AK37" s="27">
        <f>rebio23_80ml!AK38/50</f>
        <v>0</v>
      </c>
      <c r="AL37" s="27">
        <f>rebio23_80ml!AL38/50</f>
        <v>0</v>
      </c>
      <c r="AM37" s="27">
        <f>rebio23_80ml!AM38/50</f>
        <v>0</v>
      </c>
      <c r="AN37" s="27">
        <f>rebio23_80ml!AN38/50</f>
        <v>0</v>
      </c>
      <c r="AO37" s="27">
        <f>rebio23_80ml!AO38/50</f>
        <v>0</v>
      </c>
      <c r="AP37" s="27">
        <f>rebio23_80ml!AP38/50</f>
        <v>0</v>
      </c>
      <c r="AQ37" s="27">
        <f>rebio23_80ml!AQ38/50</f>
        <v>0.04</v>
      </c>
      <c r="AR37" s="27">
        <f>rebio23_80ml!AR38/50</f>
        <v>0</v>
      </c>
      <c r="AS37" s="27">
        <f>rebio23_80ml!AS38/50</f>
        <v>0</v>
      </c>
      <c r="AT37" s="27">
        <f>rebio23_80ml!AT38/50</f>
        <v>0</v>
      </c>
      <c r="AU37" s="27">
        <f>rebio23_80ml!AU38/50</f>
        <v>0</v>
      </c>
      <c r="AV37" s="27">
        <f>rebio23_80ml!AV38/50</f>
        <v>0.9</v>
      </c>
      <c r="AW37" s="27">
        <f>rebio23_80ml!AW38/50</f>
        <v>0.24</v>
      </c>
      <c r="AX37" s="27">
        <f>rebio23_80ml!AX38/50</f>
        <v>0</v>
      </c>
      <c r="AY37" s="27">
        <f>rebio23_80ml!AY38/50</f>
        <v>0</v>
      </c>
      <c r="AZ37" s="27">
        <f>rebio23_80ml!AZ38/50</f>
        <v>0</v>
      </c>
      <c r="BA37" s="27">
        <f>rebio23_80ml!BA38/50</f>
        <v>0</v>
      </c>
      <c r="BB37" s="27">
        <f>rebio23_80ml!BB38/50</f>
        <v>0</v>
      </c>
      <c r="BC37" s="27">
        <f>rebio23_80ml!BC38/50</f>
        <v>0.04</v>
      </c>
      <c r="BD37" s="27">
        <f>rebio23_80ml!BD38/50</f>
        <v>0.02</v>
      </c>
      <c r="BE37" s="27">
        <f>rebio23_80ml!BE38/50</f>
        <v>0</v>
      </c>
      <c r="BF37" s="27">
        <f>rebio23_80ml!BF38/50</f>
        <v>0.02</v>
      </c>
      <c r="BG37" s="27">
        <f>rebio23_80ml!BG38/50</f>
        <v>0</v>
      </c>
    </row>
    <row r="38" spans="1:59" ht="12.75" customHeight="1" x14ac:dyDescent="0.25">
      <c r="A38" s="15" t="str">
        <f>rebio23_80ml!A39</f>
        <v>S-C-P17-H1</v>
      </c>
      <c r="B38" s="27">
        <f>rebio23_80ml!B39/50</f>
        <v>0</v>
      </c>
      <c r="C38" s="27">
        <f>rebio23_80ml!C39/50</f>
        <v>0</v>
      </c>
      <c r="D38" s="27">
        <f>rebio23_80ml!D39/50</f>
        <v>0</v>
      </c>
      <c r="E38" s="27">
        <f>rebio23_80ml!E39/50</f>
        <v>0.56000000000000005</v>
      </c>
      <c r="F38" s="27">
        <f>rebio23_80ml!F39/50</f>
        <v>0</v>
      </c>
      <c r="G38" s="27">
        <f>rebio23_80ml!G39/50</f>
        <v>0</v>
      </c>
      <c r="H38" s="27">
        <f>rebio23_80ml!H39/50</f>
        <v>0</v>
      </c>
      <c r="I38" s="27">
        <f>rebio23_80ml!I39/50</f>
        <v>1.1000000000000001</v>
      </c>
      <c r="J38" s="27">
        <f>rebio23_80ml!J39/50</f>
        <v>0</v>
      </c>
      <c r="K38" s="27">
        <f>rebio23_80ml!K39/50</f>
        <v>0</v>
      </c>
      <c r="L38" s="27">
        <f>rebio23_80ml!L39/50</f>
        <v>0</v>
      </c>
      <c r="M38" s="27">
        <f>rebio23_80ml!M39/50</f>
        <v>0</v>
      </c>
      <c r="N38" s="27">
        <f>rebio23_80ml!N39/50</f>
        <v>0</v>
      </c>
      <c r="O38" s="27">
        <f>rebio23_80ml!O39/50</f>
        <v>0</v>
      </c>
      <c r="P38" s="27">
        <f>rebio23_80ml!P39/50</f>
        <v>0</v>
      </c>
      <c r="Q38" s="27">
        <f>rebio23_80ml!Q39/50</f>
        <v>0.04</v>
      </c>
      <c r="R38" s="27">
        <f>rebio23_80ml!R39/50</f>
        <v>0</v>
      </c>
      <c r="S38" s="27">
        <f>rebio23_80ml!S39/50</f>
        <v>0</v>
      </c>
      <c r="T38" s="27">
        <f>rebio23_80ml!T39/50</f>
        <v>0</v>
      </c>
      <c r="U38" s="27">
        <f>rebio23_80ml!U39/50</f>
        <v>0</v>
      </c>
      <c r="V38" s="27">
        <f>rebio23_80ml!V39/50</f>
        <v>0</v>
      </c>
      <c r="W38" s="27">
        <f>rebio23_80ml!W39/50</f>
        <v>0</v>
      </c>
      <c r="X38" s="27">
        <f>rebio23_80ml!X39/50</f>
        <v>0</v>
      </c>
      <c r="Y38" s="27">
        <f>rebio23_80ml!Y39/50</f>
        <v>0.02</v>
      </c>
      <c r="Z38" s="27">
        <f>rebio23_80ml!Z39/50</f>
        <v>0</v>
      </c>
      <c r="AA38" s="27">
        <f>rebio23_80ml!AA39/50</f>
        <v>0</v>
      </c>
      <c r="AB38" s="27">
        <f>rebio23_80ml!AB39/50</f>
        <v>0</v>
      </c>
      <c r="AC38" s="27">
        <f>rebio23_80ml!AC39/50</f>
        <v>0</v>
      </c>
      <c r="AD38" s="27">
        <f>rebio23_80ml!AD39/50</f>
        <v>0.02</v>
      </c>
      <c r="AE38" s="27">
        <f>rebio23_80ml!AE39/50</f>
        <v>0</v>
      </c>
      <c r="AF38" s="27">
        <f>rebio23_80ml!AF39/50</f>
        <v>0</v>
      </c>
      <c r="AG38" s="27">
        <f>rebio23_80ml!AG39/50</f>
        <v>0.02</v>
      </c>
      <c r="AH38" s="27">
        <f>rebio23_80ml!AH39/50</f>
        <v>0</v>
      </c>
      <c r="AI38" s="27">
        <f>rebio23_80ml!AI39/50</f>
        <v>0</v>
      </c>
      <c r="AJ38" s="27">
        <f>rebio23_80ml!AJ39/50</f>
        <v>0</v>
      </c>
      <c r="AK38" s="27">
        <f>rebio23_80ml!AK39/50</f>
        <v>0</v>
      </c>
      <c r="AL38" s="27">
        <f>rebio23_80ml!AL39/50</f>
        <v>0</v>
      </c>
      <c r="AM38" s="27">
        <f>rebio23_80ml!AM39/50</f>
        <v>0</v>
      </c>
      <c r="AN38" s="27">
        <f>rebio23_80ml!AN39/50</f>
        <v>0</v>
      </c>
      <c r="AO38" s="27">
        <f>rebio23_80ml!AO39/50</f>
        <v>0</v>
      </c>
      <c r="AP38" s="27">
        <f>rebio23_80ml!AP39/50</f>
        <v>0</v>
      </c>
      <c r="AQ38" s="27">
        <f>rebio23_80ml!AQ39/50</f>
        <v>0.02</v>
      </c>
      <c r="AR38" s="27">
        <f>rebio23_80ml!AR39/50</f>
        <v>0</v>
      </c>
      <c r="AS38" s="27">
        <f>rebio23_80ml!AS39/50</f>
        <v>0</v>
      </c>
      <c r="AT38" s="27">
        <f>rebio23_80ml!AT39/50</f>
        <v>0</v>
      </c>
      <c r="AU38" s="27">
        <f>rebio23_80ml!AU39/50</f>
        <v>0</v>
      </c>
      <c r="AV38" s="27">
        <f>rebio23_80ml!AV39/50</f>
        <v>0.3</v>
      </c>
      <c r="AW38" s="27">
        <f>rebio23_80ml!AW39/50</f>
        <v>0.02</v>
      </c>
      <c r="AX38" s="27">
        <f>rebio23_80ml!AX39/50</f>
        <v>0</v>
      </c>
      <c r="AY38" s="27">
        <f>rebio23_80ml!AY39/50</f>
        <v>0</v>
      </c>
      <c r="AZ38" s="27">
        <f>rebio23_80ml!AZ39/50</f>
        <v>0</v>
      </c>
      <c r="BA38" s="27">
        <f>rebio23_80ml!BA39/50</f>
        <v>0</v>
      </c>
      <c r="BB38" s="27">
        <f>rebio23_80ml!BB39/50</f>
        <v>0</v>
      </c>
      <c r="BC38" s="27">
        <f>rebio23_80ml!BC39/50</f>
        <v>0</v>
      </c>
      <c r="BD38" s="27">
        <f>rebio23_80ml!BD39/50</f>
        <v>0</v>
      </c>
      <c r="BE38" s="27">
        <f>rebio23_80ml!BE39/50</f>
        <v>0</v>
      </c>
      <c r="BF38" s="27">
        <f>rebio23_80ml!BF39/50</f>
        <v>0</v>
      </c>
      <c r="BG38" s="27">
        <f>rebio23_80ml!BG39/50</f>
        <v>0</v>
      </c>
    </row>
    <row r="39" spans="1:59" ht="12.75" customHeight="1" x14ac:dyDescent="0.25">
      <c r="A39" s="15" t="str">
        <f>rebio23_80ml!A40</f>
        <v>S-C-P17-H2</v>
      </c>
      <c r="B39" s="27">
        <f>rebio23_80ml!B40/50</f>
        <v>0.04</v>
      </c>
      <c r="C39" s="27">
        <f>rebio23_80ml!C40/50</f>
        <v>0</v>
      </c>
      <c r="D39" s="27">
        <f>rebio23_80ml!D40/50</f>
        <v>0</v>
      </c>
      <c r="E39" s="27">
        <f>rebio23_80ml!E40/50</f>
        <v>0.78</v>
      </c>
      <c r="F39" s="27">
        <f>rebio23_80ml!F40/50</f>
        <v>0</v>
      </c>
      <c r="G39" s="27">
        <f>rebio23_80ml!G40/50</f>
        <v>0</v>
      </c>
      <c r="H39" s="27">
        <f>rebio23_80ml!H40/50</f>
        <v>0</v>
      </c>
      <c r="I39" s="27">
        <f>rebio23_80ml!I40/50</f>
        <v>1.44</v>
      </c>
      <c r="J39" s="27">
        <f>rebio23_80ml!J40/50</f>
        <v>0</v>
      </c>
      <c r="K39" s="27">
        <f>rebio23_80ml!K40/50</f>
        <v>0.02</v>
      </c>
      <c r="L39" s="27">
        <f>rebio23_80ml!L40/50</f>
        <v>0</v>
      </c>
      <c r="M39" s="27">
        <f>rebio23_80ml!M40/50</f>
        <v>0</v>
      </c>
      <c r="N39" s="27">
        <f>rebio23_80ml!N40/50</f>
        <v>0</v>
      </c>
      <c r="O39" s="27">
        <f>rebio23_80ml!O40/50</f>
        <v>0</v>
      </c>
      <c r="P39" s="27">
        <f>rebio23_80ml!P40/50</f>
        <v>0</v>
      </c>
      <c r="Q39" s="27">
        <f>rebio23_80ml!Q40/50</f>
        <v>0</v>
      </c>
      <c r="R39" s="27">
        <f>rebio23_80ml!R40/50</f>
        <v>0</v>
      </c>
      <c r="S39" s="27">
        <f>rebio23_80ml!S40/50</f>
        <v>0.02</v>
      </c>
      <c r="T39" s="27">
        <f>rebio23_80ml!T40/50</f>
        <v>0</v>
      </c>
      <c r="U39" s="27">
        <f>rebio23_80ml!U40/50</f>
        <v>0</v>
      </c>
      <c r="V39" s="27">
        <f>rebio23_80ml!V40/50</f>
        <v>0</v>
      </c>
      <c r="W39" s="27">
        <f>rebio23_80ml!W40/50</f>
        <v>0</v>
      </c>
      <c r="X39" s="27">
        <f>rebio23_80ml!X40/50</f>
        <v>0</v>
      </c>
      <c r="Y39" s="27">
        <f>rebio23_80ml!Y40/50</f>
        <v>0</v>
      </c>
      <c r="Z39" s="27">
        <f>rebio23_80ml!Z40/50</f>
        <v>0</v>
      </c>
      <c r="AA39" s="27">
        <f>rebio23_80ml!AA40/50</f>
        <v>0</v>
      </c>
      <c r="AB39" s="27">
        <f>rebio23_80ml!AB40/50</f>
        <v>0</v>
      </c>
      <c r="AC39" s="27">
        <f>rebio23_80ml!AC40/50</f>
        <v>0</v>
      </c>
      <c r="AD39" s="27">
        <f>rebio23_80ml!AD40/50</f>
        <v>0</v>
      </c>
      <c r="AE39" s="27">
        <f>rebio23_80ml!AE40/50</f>
        <v>0</v>
      </c>
      <c r="AF39" s="27">
        <f>rebio23_80ml!AF40/50</f>
        <v>0</v>
      </c>
      <c r="AG39" s="27">
        <f>rebio23_80ml!AG40/50</f>
        <v>0</v>
      </c>
      <c r="AH39" s="27">
        <f>rebio23_80ml!AH40/50</f>
        <v>0</v>
      </c>
      <c r="AI39" s="27">
        <f>rebio23_80ml!AI40/50</f>
        <v>0</v>
      </c>
      <c r="AJ39" s="27">
        <f>rebio23_80ml!AJ40/50</f>
        <v>0</v>
      </c>
      <c r="AK39" s="27">
        <f>rebio23_80ml!AK40/50</f>
        <v>0</v>
      </c>
      <c r="AL39" s="27">
        <f>rebio23_80ml!AL40/50</f>
        <v>0</v>
      </c>
      <c r="AM39" s="27">
        <f>rebio23_80ml!AM40/50</f>
        <v>0</v>
      </c>
      <c r="AN39" s="27">
        <f>rebio23_80ml!AN40/50</f>
        <v>0</v>
      </c>
      <c r="AO39" s="27">
        <f>rebio23_80ml!AO40/50</f>
        <v>0.06</v>
      </c>
      <c r="AP39" s="27">
        <f>rebio23_80ml!AP40/50</f>
        <v>0</v>
      </c>
      <c r="AQ39" s="27">
        <f>rebio23_80ml!AQ40/50</f>
        <v>0</v>
      </c>
      <c r="AR39" s="27">
        <f>rebio23_80ml!AR40/50</f>
        <v>0</v>
      </c>
      <c r="AS39" s="27">
        <f>rebio23_80ml!AS40/50</f>
        <v>0</v>
      </c>
      <c r="AT39" s="27">
        <f>rebio23_80ml!AT40/50</f>
        <v>0</v>
      </c>
      <c r="AU39" s="27">
        <f>rebio23_80ml!AU40/50</f>
        <v>0</v>
      </c>
      <c r="AV39" s="27">
        <f>rebio23_80ml!AV40/50</f>
        <v>0.84</v>
      </c>
      <c r="AW39" s="27">
        <f>rebio23_80ml!AW40/50</f>
        <v>0.4</v>
      </c>
      <c r="AX39" s="27">
        <f>rebio23_80ml!AX40/50</f>
        <v>0.52</v>
      </c>
      <c r="AY39" s="27">
        <f>rebio23_80ml!AY40/50</f>
        <v>0</v>
      </c>
      <c r="AZ39" s="27">
        <f>rebio23_80ml!AZ40/50</f>
        <v>0</v>
      </c>
      <c r="BA39" s="27">
        <f>rebio23_80ml!BA40/50</f>
        <v>0</v>
      </c>
      <c r="BB39" s="27">
        <f>rebio23_80ml!BB40/50</f>
        <v>0</v>
      </c>
      <c r="BC39" s="27">
        <f>rebio23_80ml!BC40/50</f>
        <v>0</v>
      </c>
      <c r="BD39" s="27">
        <f>rebio23_80ml!BD40/50</f>
        <v>0</v>
      </c>
      <c r="BE39" s="27">
        <f>rebio23_80ml!BE40/50</f>
        <v>0</v>
      </c>
      <c r="BF39" s="27">
        <f>rebio23_80ml!BF40/50</f>
        <v>0.02</v>
      </c>
      <c r="BG39" s="27">
        <f>rebio23_80ml!BG40/50</f>
        <v>0</v>
      </c>
    </row>
    <row r="40" spans="1:59" ht="12.75" customHeight="1" x14ac:dyDescent="0.25">
      <c r="A40" s="15" t="str">
        <f>rebio23_80ml!A41</f>
        <v>S-C-P17-H3</v>
      </c>
      <c r="B40" s="27">
        <f>rebio23_80ml!B41/50</f>
        <v>0.02</v>
      </c>
      <c r="C40" s="27">
        <f>rebio23_80ml!C41/50</f>
        <v>0</v>
      </c>
      <c r="D40" s="27">
        <f>rebio23_80ml!D41/50</f>
        <v>0</v>
      </c>
      <c r="E40" s="27">
        <f>rebio23_80ml!E41/50</f>
        <v>1</v>
      </c>
      <c r="F40" s="27">
        <f>rebio23_80ml!F41/50</f>
        <v>0</v>
      </c>
      <c r="G40" s="27">
        <f>rebio23_80ml!G41/50</f>
        <v>0</v>
      </c>
      <c r="H40" s="27">
        <f>rebio23_80ml!H41/50</f>
        <v>0</v>
      </c>
      <c r="I40" s="27">
        <f>rebio23_80ml!I41/50</f>
        <v>1.4</v>
      </c>
      <c r="J40" s="27">
        <f>rebio23_80ml!J41/50</f>
        <v>0</v>
      </c>
      <c r="K40" s="27">
        <f>rebio23_80ml!K41/50</f>
        <v>0</v>
      </c>
      <c r="L40" s="27">
        <f>rebio23_80ml!L41/50</f>
        <v>0</v>
      </c>
      <c r="M40" s="27">
        <f>rebio23_80ml!M41/50</f>
        <v>0</v>
      </c>
      <c r="N40" s="27">
        <f>rebio23_80ml!N41/50</f>
        <v>0</v>
      </c>
      <c r="O40" s="27">
        <f>rebio23_80ml!O41/50</f>
        <v>0.02</v>
      </c>
      <c r="P40" s="27">
        <f>rebio23_80ml!P41/50</f>
        <v>0.02</v>
      </c>
      <c r="Q40" s="27">
        <f>rebio23_80ml!Q41/50</f>
        <v>0.02</v>
      </c>
      <c r="R40" s="27">
        <f>rebio23_80ml!R41/50</f>
        <v>0</v>
      </c>
      <c r="S40" s="27">
        <f>rebio23_80ml!S41/50</f>
        <v>0</v>
      </c>
      <c r="T40" s="27">
        <f>rebio23_80ml!T41/50</f>
        <v>0</v>
      </c>
      <c r="U40" s="27">
        <f>rebio23_80ml!U41/50</f>
        <v>0</v>
      </c>
      <c r="V40" s="27">
        <f>rebio23_80ml!V41/50</f>
        <v>0</v>
      </c>
      <c r="W40" s="27">
        <f>rebio23_80ml!W41/50</f>
        <v>0</v>
      </c>
      <c r="X40" s="27">
        <f>rebio23_80ml!X41/50</f>
        <v>0</v>
      </c>
      <c r="Y40" s="27">
        <f>rebio23_80ml!Y41/50</f>
        <v>0</v>
      </c>
      <c r="Z40" s="27">
        <f>rebio23_80ml!Z41/50</f>
        <v>0</v>
      </c>
      <c r="AA40" s="27">
        <f>rebio23_80ml!AA41/50</f>
        <v>0</v>
      </c>
      <c r="AB40" s="27">
        <f>rebio23_80ml!AB41/50</f>
        <v>0</v>
      </c>
      <c r="AC40" s="27">
        <f>rebio23_80ml!AC41/50</f>
        <v>0</v>
      </c>
      <c r="AD40" s="27">
        <f>rebio23_80ml!AD41/50</f>
        <v>0</v>
      </c>
      <c r="AE40" s="27">
        <f>rebio23_80ml!AE41/50</f>
        <v>0</v>
      </c>
      <c r="AF40" s="27">
        <f>rebio23_80ml!AF41/50</f>
        <v>0</v>
      </c>
      <c r="AG40" s="27">
        <f>rebio23_80ml!AG41/50</f>
        <v>0</v>
      </c>
      <c r="AH40" s="27">
        <f>rebio23_80ml!AH41/50</f>
        <v>0</v>
      </c>
      <c r="AI40" s="27">
        <f>rebio23_80ml!AI41/50</f>
        <v>0</v>
      </c>
      <c r="AJ40" s="27">
        <f>rebio23_80ml!AJ41/50</f>
        <v>0</v>
      </c>
      <c r="AK40" s="27">
        <f>rebio23_80ml!AK41/50</f>
        <v>0</v>
      </c>
      <c r="AL40" s="27">
        <f>rebio23_80ml!AL41/50</f>
        <v>0</v>
      </c>
      <c r="AM40" s="27">
        <f>rebio23_80ml!AM41/50</f>
        <v>0.04</v>
      </c>
      <c r="AN40" s="27">
        <f>rebio23_80ml!AN41/50</f>
        <v>0</v>
      </c>
      <c r="AO40" s="27">
        <f>rebio23_80ml!AO41/50</f>
        <v>0</v>
      </c>
      <c r="AP40" s="27">
        <f>rebio23_80ml!AP41/50</f>
        <v>0</v>
      </c>
      <c r="AQ40" s="27">
        <f>rebio23_80ml!AQ41/50</f>
        <v>0</v>
      </c>
      <c r="AR40" s="27">
        <f>rebio23_80ml!AR41/50</f>
        <v>0.08</v>
      </c>
      <c r="AS40" s="27">
        <f>rebio23_80ml!AS41/50</f>
        <v>0.02</v>
      </c>
      <c r="AT40" s="27">
        <f>rebio23_80ml!AT41/50</f>
        <v>0.02</v>
      </c>
      <c r="AU40" s="27">
        <f>rebio23_80ml!AU41/50</f>
        <v>0</v>
      </c>
      <c r="AV40" s="27">
        <f>rebio23_80ml!AV41/50</f>
        <v>0.56000000000000005</v>
      </c>
      <c r="AW40" s="27">
        <f>rebio23_80ml!AW41/50</f>
        <v>0.28000000000000003</v>
      </c>
      <c r="AX40" s="27">
        <f>rebio23_80ml!AX41/50</f>
        <v>0.08</v>
      </c>
      <c r="AY40" s="27">
        <f>rebio23_80ml!AY41/50</f>
        <v>0</v>
      </c>
      <c r="AZ40" s="27">
        <f>rebio23_80ml!AZ41/50</f>
        <v>0</v>
      </c>
      <c r="BA40" s="27">
        <f>rebio23_80ml!BA41/50</f>
        <v>0</v>
      </c>
      <c r="BB40" s="27">
        <f>rebio23_80ml!BB41/50</f>
        <v>0</v>
      </c>
      <c r="BC40" s="27">
        <f>rebio23_80ml!BC41/50</f>
        <v>0</v>
      </c>
      <c r="BD40" s="27">
        <f>rebio23_80ml!BD41/50</f>
        <v>0</v>
      </c>
      <c r="BE40" s="27">
        <f>rebio23_80ml!BE41/50</f>
        <v>0</v>
      </c>
      <c r="BF40" s="27">
        <f>rebio23_80ml!BF41/50</f>
        <v>0</v>
      </c>
      <c r="BG40" s="27">
        <f>rebio23_80ml!BG41/50</f>
        <v>0</v>
      </c>
    </row>
    <row r="41" spans="1:59" ht="12.75" customHeight="1" x14ac:dyDescent="0.25">
      <c r="A41" s="15" t="str">
        <f>rebio23_80ml!A42</f>
        <v>S-C-P18-H1</v>
      </c>
      <c r="B41" s="27">
        <f>rebio23_80ml!B42/50</f>
        <v>0.02</v>
      </c>
      <c r="C41" s="27">
        <f>rebio23_80ml!C42/50</f>
        <v>0</v>
      </c>
      <c r="D41" s="27">
        <f>rebio23_80ml!D42/50</f>
        <v>0</v>
      </c>
      <c r="E41" s="27">
        <f>rebio23_80ml!E42/50</f>
        <v>0.44</v>
      </c>
      <c r="F41" s="27">
        <f>rebio23_80ml!F42/50</f>
        <v>0</v>
      </c>
      <c r="G41" s="27">
        <f>rebio23_80ml!G42/50</f>
        <v>0</v>
      </c>
      <c r="H41" s="27">
        <f>rebio23_80ml!H42/50</f>
        <v>0</v>
      </c>
      <c r="I41" s="27">
        <f>rebio23_80ml!I42/50</f>
        <v>0.08</v>
      </c>
      <c r="J41" s="27">
        <f>rebio23_80ml!J42/50</f>
        <v>0</v>
      </c>
      <c r="K41" s="27">
        <f>rebio23_80ml!K42/50</f>
        <v>0</v>
      </c>
      <c r="L41" s="27">
        <f>rebio23_80ml!L42/50</f>
        <v>0</v>
      </c>
      <c r="M41" s="27">
        <f>rebio23_80ml!M42/50</f>
        <v>0</v>
      </c>
      <c r="N41" s="27">
        <f>rebio23_80ml!N42/50</f>
        <v>0</v>
      </c>
      <c r="O41" s="27">
        <f>rebio23_80ml!O42/50</f>
        <v>0</v>
      </c>
      <c r="P41" s="27">
        <f>rebio23_80ml!P42/50</f>
        <v>0</v>
      </c>
      <c r="Q41" s="27">
        <f>rebio23_80ml!Q42/50</f>
        <v>0</v>
      </c>
      <c r="R41" s="27">
        <f>rebio23_80ml!R42/50</f>
        <v>0</v>
      </c>
      <c r="S41" s="27">
        <f>rebio23_80ml!S42/50</f>
        <v>0</v>
      </c>
      <c r="T41" s="27">
        <f>rebio23_80ml!T42/50</f>
        <v>0</v>
      </c>
      <c r="U41" s="27">
        <f>rebio23_80ml!U42/50</f>
        <v>0</v>
      </c>
      <c r="V41" s="27">
        <f>rebio23_80ml!V42/50</f>
        <v>0</v>
      </c>
      <c r="W41" s="27">
        <f>rebio23_80ml!W42/50</f>
        <v>0</v>
      </c>
      <c r="X41" s="27">
        <f>rebio23_80ml!X42/50</f>
        <v>0</v>
      </c>
      <c r="Y41" s="27">
        <f>rebio23_80ml!Y42/50</f>
        <v>0</v>
      </c>
      <c r="Z41" s="27">
        <f>rebio23_80ml!Z42/50</f>
        <v>0</v>
      </c>
      <c r="AA41" s="27">
        <f>rebio23_80ml!AA42/50</f>
        <v>0</v>
      </c>
      <c r="AB41" s="27">
        <f>rebio23_80ml!AB42/50</f>
        <v>0</v>
      </c>
      <c r="AC41" s="27">
        <f>rebio23_80ml!AC42/50</f>
        <v>0</v>
      </c>
      <c r="AD41" s="27">
        <f>rebio23_80ml!AD42/50</f>
        <v>0</v>
      </c>
      <c r="AE41" s="27">
        <f>rebio23_80ml!AE42/50</f>
        <v>0</v>
      </c>
      <c r="AF41" s="27">
        <f>rebio23_80ml!AF42/50</f>
        <v>0</v>
      </c>
      <c r="AG41" s="27">
        <f>rebio23_80ml!AG42/50</f>
        <v>0</v>
      </c>
      <c r="AH41" s="27">
        <f>rebio23_80ml!AH42/50</f>
        <v>0</v>
      </c>
      <c r="AI41" s="27">
        <f>rebio23_80ml!AI42/50</f>
        <v>0</v>
      </c>
      <c r="AJ41" s="27">
        <f>rebio23_80ml!AJ42/50</f>
        <v>0</v>
      </c>
      <c r="AK41" s="27">
        <f>rebio23_80ml!AK42/50</f>
        <v>0</v>
      </c>
      <c r="AL41" s="27">
        <f>rebio23_80ml!AL42/50</f>
        <v>0</v>
      </c>
      <c r="AM41" s="27">
        <f>rebio23_80ml!AM42/50</f>
        <v>0</v>
      </c>
      <c r="AN41" s="27">
        <f>rebio23_80ml!AN42/50</f>
        <v>0</v>
      </c>
      <c r="AO41" s="27">
        <f>rebio23_80ml!AO42/50</f>
        <v>0</v>
      </c>
      <c r="AP41" s="27">
        <f>rebio23_80ml!AP42/50</f>
        <v>0</v>
      </c>
      <c r="AQ41" s="27">
        <f>rebio23_80ml!AQ42/50</f>
        <v>0</v>
      </c>
      <c r="AR41" s="27">
        <f>rebio23_80ml!AR42/50</f>
        <v>0</v>
      </c>
      <c r="AS41" s="27">
        <f>rebio23_80ml!AS42/50</f>
        <v>0</v>
      </c>
      <c r="AT41" s="27">
        <f>rebio23_80ml!AT42/50</f>
        <v>0</v>
      </c>
      <c r="AU41" s="27">
        <f>rebio23_80ml!AU42/50</f>
        <v>0</v>
      </c>
      <c r="AV41" s="27">
        <f>rebio23_80ml!AV42/50</f>
        <v>0.12</v>
      </c>
      <c r="AW41" s="27">
        <f>rebio23_80ml!AW42/50</f>
        <v>0</v>
      </c>
      <c r="AX41" s="27">
        <f>rebio23_80ml!AX42/50</f>
        <v>0.04</v>
      </c>
      <c r="AY41" s="27">
        <f>rebio23_80ml!AY42/50</f>
        <v>0</v>
      </c>
      <c r="AZ41" s="27">
        <f>rebio23_80ml!AZ42/50</f>
        <v>0</v>
      </c>
      <c r="BA41" s="27">
        <f>rebio23_80ml!BA42/50</f>
        <v>0</v>
      </c>
      <c r="BB41" s="27">
        <f>rebio23_80ml!BB42/50</f>
        <v>0</v>
      </c>
      <c r="BC41" s="27">
        <f>rebio23_80ml!BC42/50</f>
        <v>0</v>
      </c>
      <c r="BD41" s="27">
        <f>rebio23_80ml!BD42/50</f>
        <v>0</v>
      </c>
      <c r="BE41" s="27">
        <f>rebio23_80ml!BE42/50</f>
        <v>0</v>
      </c>
      <c r="BF41" s="27">
        <f>rebio23_80ml!BF42/50</f>
        <v>0</v>
      </c>
      <c r="BG41" s="27">
        <f>rebio23_80ml!BG42/50</f>
        <v>0</v>
      </c>
    </row>
    <row r="42" spans="1:59" ht="12.75" customHeight="1" x14ac:dyDescent="0.25">
      <c r="A42" s="15" t="str">
        <f>rebio23_80ml!A43</f>
        <v>S-C-P18-H2</v>
      </c>
      <c r="B42" s="27">
        <f>rebio23_80ml!B43/50</f>
        <v>0</v>
      </c>
      <c r="C42" s="27">
        <f>rebio23_80ml!C43/50</f>
        <v>0</v>
      </c>
      <c r="D42" s="27">
        <f>rebio23_80ml!D43/50</f>
        <v>0</v>
      </c>
      <c r="E42" s="27">
        <f>rebio23_80ml!E43/50</f>
        <v>0.26</v>
      </c>
      <c r="F42" s="27">
        <f>rebio23_80ml!F43/50</f>
        <v>0</v>
      </c>
      <c r="G42" s="27">
        <f>rebio23_80ml!G43/50</f>
        <v>0</v>
      </c>
      <c r="H42" s="27">
        <f>rebio23_80ml!H43/50</f>
        <v>0</v>
      </c>
      <c r="I42" s="27">
        <f>rebio23_80ml!I43/50</f>
        <v>0.3</v>
      </c>
      <c r="J42" s="27">
        <f>rebio23_80ml!J43/50</f>
        <v>0</v>
      </c>
      <c r="K42" s="27">
        <f>rebio23_80ml!K43/50</f>
        <v>0</v>
      </c>
      <c r="L42" s="27">
        <f>rebio23_80ml!L43/50</f>
        <v>0</v>
      </c>
      <c r="M42" s="27">
        <f>rebio23_80ml!M43/50</f>
        <v>0</v>
      </c>
      <c r="N42" s="27">
        <f>rebio23_80ml!N43/50</f>
        <v>0</v>
      </c>
      <c r="O42" s="27">
        <f>rebio23_80ml!O43/50</f>
        <v>0</v>
      </c>
      <c r="P42" s="27">
        <f>rebio23_80ml!P43/50</f>
        <v>0</v>
      </c>
      <c r="Q42" s="27">
        <f>rebio23_80ml!Q43/50</f>
        <v>0.02</v>
      </c>
      <c r="R42" s="27">
        <f>rebio23_80ml!R43/50</f>
        <v>0</v>
      </c>
      <c r="S42" s="27">
        <f>rebio23_80ml!S43/50</f>
        <v>0</v>
      </c>
      <c r="T42" s="27">
        <f>rebio23_80ml!T43/50</f>
        <v>0</v>
      </c>
      <c r="U42" s="27">
        <f>rebio23_80ml!U43/50</f>
        <v>0</v>
      </c>
      <c r="V42" s="27">
        <f>rebio23_80ml!V43/50</f>
        <v>0</v>
      </c>
      <c r="W42" s="27">
        <f>rebio23_80ml!W43/50</f>
        <v>0</v>
      </c>
      <c r="X42" s="27">
        <f>rebio23_80ml!X43/50</f>
        <v>0</v>
      </c>
      <c r="Y42" s="27">
        <f>rebio23_80ml!Y43/50</f>
        <v>0.06</v>
      </c>
      <c r="Z42" s="27">
        <f>rebio23_80ml!Z43/50</f>
        <v>0</v>
      </c>
      <c r="AA42" s="27">
        <f>rebio23_80ml!AA43/50</f>
        <v>0</v>
      </c>
      <c r="AB42" s="27">
        <f>rebio23_80ml!AB43/50</f>
        <v>0</v>
      </c>
      <c r="AC42" s="27">
        <f>rebio23_80ml!AC43/50</f>
        <v>0</v>
      </c>
      <c r="AD42" s="27">
        <f>rebio23_80ml!AD43/50</f>
        <v>0</v>
      </c>
      <c r="AE42" s="27">
        <f>rebio23_80ml!AE43/50</f>
        <v>0</v>
      </c>
      <c r="AF42" s="27">
        <f>rebio23_80ml!AF43/50</f>
        <v>0</v>
      </c>
      <c r="AG42" s="27">
        <f>rebio23_80ml!AG43/50</f>
        <v>0</v>
      </c>
      <c r="AH42" s="27">
        <f>rebio23_80ml!AH43/50</f>
        <v>0</v>
      </c>
      <c r="AI42" s="27">
        <f>rebio23_80ml!AI43/50</f>
        <v>0</v>
      </c>
      <c r="AJ42" s="27">
        <f>rebio23_80ml!AJ43/50</f>
        <v>0</v>
      </c>
      <c r="AK42" s="27">
        <f>rebio23_80ml!AK43/50</f>
        <v>0</v>
      </c>
      <c r="AL42" s="27">
        <f>rebio23_80ml!AL43/50</f>
        <v>0</v>
      </c>
      <c r="AM42" s="27">
        <f>rebio23_80ml!AM43/50</f>
        <v>0</v>
      </c>
      <c r="AN42" s="27">
        <f>rebio23_80ml!AN43/50</f>
        <v>0</v>
      </c>
      <c r="AO42" s="27">
        <f>rebio23_80ml!AO43/50</f>
        <v>0</v>
      </c>
      <c r="AP42" s="27">
        <f>rebio23_80ml!AP43/50</f>
        <v>0</v>
      </c>
      <c r="AQ42" s="27">
        <f>rebio23_80ml!AQ43/50</f>
        <v>0</v>
      </c>
      <c r="AR42" s="27">
        <f>rebio23_80ml!AR43/50</f>
        <v>0</v>
      </c>
      <c r="AS42" s="27">
        <f>rebio23_80ml!AS43/50</f>
        <v>0</v>
      </c>
      <c r="AT42" s="27">
        <f>rebio23_80ml!AT43/50</f>
        <v>0</v>
      </c>
      <c r="AU42" s="27">
        <f>rebio23_80ml!AU43/50</f>
        <v>0</v>
      </c>
      <c r="AV42" s="27">
        <f>rebio23_80ml!AV43/50</f>
        <v>0.1</v>
      </c>
      <c r="AW42" s="27">
        <f>rebio23_80ml!AW43/50</f>
        <v>0</v>
      </c>
      <c r="AX42" s="27">
        <f>rebio23_80ml!AX43/50</f>
        <v>0</v>
      </c>
      <c r="AY42" s="27">
        <f>rebio23_80ml!AY43/50</f>
        <v>0</v>
      </c>
      <c r="AZ42" s="27">
        <f>rebio23_80ml!AZ43/50</f>
        <v>0</v>
      </c>
      <c r="BA42" s="27">
        <f>rebio23_80ml!BA43/50</f>
        <v>0</v>
      </c>
      <c r="BB42" s="27">
        <f>rebio23_80ml!BB43/50</f>
        <v>0</v>
      </c>
      <c r="BC42" s="27">
        <f>rebio23_80ml!BC43/50</f>
        <v>0</v>
      </c>
      <c r="BD42" s="27">
        <f>rebio23_80ml!BD43/50</f>
        <v>0</v>
      </c>
      <c r="BE42" s="27">
        <f>rebio23_80ml!BE43/50</f>
        <v>0</v>
      </c>
      <c r="BF42" s="27">
        <f>rebio23_80ml!BF43/50</f>
        <v>0</v>
      </c>
      <c r="BG42" s="27">
        <f>rebio23_80ml!BG43/50</f>
        <v>0</v>
      </c>
    </row>
    <row r="43" spans="1:59" ht="12.75" customHeight="1" x14ac:dyDescent="0.25">
      <c r="A43" s="15" t="str">
        <f>rebio23_80ml!A44</f>
        <v>S-C-P18-H3</v>
      </c>
      <c r="B43" s="27">
        <f>rebio23_80ml!B44/50</f>
        <v>0.04</v>
      </c>
      <c r="C43" s="27">
        <f>rebio23_80ml!C44/50</f>
        <v>0</v>
      </c>
      <c r="D43" s="27">
        <f>rebio23_80ml!D44/50</f>
        <v>0</v>
      </c>
      <c r="E43" s="27">
        <f>rebio23_80ml!E44/50</f>
        <v>0.24</v>
      </c>
      <c r="F43" s="27">
        <f>rebio23_80ml!F44/50</f>
        <v>0</v>
      </c>
      <c r="G43" s="27">
        <f>rebio23_80ml!G44/50</f>
        <v>0.06</v>
      </c>
      <c r="H43" s="27">
        <f>rebio23_80ml!H44/50</f>
        <v>0</v>
      </c>
      <c r="I43" s="27">
        <f>rebio23_80ml!I44/50</f>
        <v>0.08</v>
      </c>
      <c r="J43" s="27">
        <f>rebio23_80ml!J44/50</f>
        <v>0</v>
      </c>
      <c r="K43" s="27">
        <f>rebio23_80ml!K44/50</f>
        <v>0</v>
      </c>
      <c r="L43" s="27">
        <f>rebio23_80ml!L44/50</f>
        <v>0</v>
      </c>
      <c r="M43" s="27">
        <f>rebio23_80ml!M44/50</f>
        <v>0</v>
      </c>
      <c r="N43" s="27">
        <f>rebio23_80ml!N44/50</f>
        <v>0</v>
      </c>
      <c r="O43" s="27">
        <f>rebio23_80ml!O44/50</f>
        <v>0</v>
      </c>
      <c r="P43" s="27">
        <f>rebio23_80ml!P44/50</f>
        <v>0</v>
      </c>
      <c r="Q43" s="27">
        <f>rebio23_80ml!Q44/50</f>
        <v>0</v>
      </c>
      <c r="R43" s="27">
        <f>rebio23_80ml!R44/50</f>
        <v>0</v>
      </c>
      <c r="S43" s="27">
        <f>rebio23_80ml!S44/50</f>
        <v>0</v>
      </c>
      <c r="T43" s="27">
        <f>rebio23_80ml!T44/50</f>
        <v>0</v>
      </c>
      <c r="U43" s="27">
        <f>rebio23_80ml!U44/50</f>
        <v>0</v>
      </c>
      <c r="V43" s="27">
        <f>rebio23_80ml!V44/50</f>
        <v>0.04</v>
      </c>
      <c r="W43" s="27">
        <f>rebio23_80ml!W44/50</f>
        <v>0</v>
      </c>
      <c r="X43" s="27">
        <f>rebio23_80ml!X44/50</f>
        <v>0</v>
      </c>
      <c r="Y43" s="27">
        <f>rebio23_80ml!Y44/50</f>
        <v>0</v>
      </c>
      <c r="Z43" s="27">
        <f>rebio23_80ml!Z44/50</f>
        <v>0</v>
      </c>
      <c r="AA43" s="27">
        <f>rebio23_80ml!AA44/50</f>
        <v>0</v>
      </c>
      <c r="AB43" s="27">
        <f>rebio23_80ml!AB44/50</f>
        <v>0</v>
      </c>
      <c r="AC43" s="27">
        <f>rebio23_80ml!AC44/50</f>
        <v>0</v>
      </c>
      <c r="AD43" s="27">
        <f>rebio23_80ml!AD44/50</f>
        <v>0</v>
      </c>
      <c r="AE43" s="27">
        <f>rebio23_80ml!AE44/50</f>
        <v>0</v>
      </c>
      <c r="AF43" s="27">
        <f>rebio23_80ml!AF44/50</f>
        <v>0</v>
      </c>
      <c r="AG43" s="27">
        <f>rebio23_80ml!AG44/50</f>
        <v>0</v>
      </c>
      <c r="AH43" s="27">
        <f>rebio23_80ml!AH44/50</f>
        <v>0</v>
      </c>
      <c r="AI43" s="27">
        <f>rebio23_80ml!AI44/50</f>
        <v>0</v>
      </c>
      <c r="AJ43" s="27">
        <f>rebio23_80ml!AJ44/50</f>
        <v>0</v>
      </c>
      <c r="AK43" s="27">
        <f>rebio23_80ml!AK44/50</f>
        <v>0</v>
      </c>
      <c r="AL43" s="27">
        <f>rebio23_80ml!AL44/50</f>
        <v>0</v>
      </c>
      <c r="AM43" s="27">
        <f>rebio23_80ml!AM44/50</f>
        <v>0</v>
      </c>
      <c r="AN43" s="27">
        <f>rebio23_80ml!AN44/50</f>
        <v>0</v>
      </c>
      <c r="AO43" s="27">
        <f>rebio23_80ml!AO44/50</f>
        <v>0</v>
      </c>
      <c r="AP43" s="27">
        <f>rebio23_80ml!AP44/50</f>
        <v>0</v>
      </c>
      <c r="AQ43" s="27">
        <f>rebio23_80ml!AQ44/50</f>
        <v>0</v>
      </c>
      <c r="AR43" s="27">
        <f>rebio23_80ml!AR44/50</f>
        <v>0</v>
      </c>
      <c r="AS43" s="27">
        <f>rebio23_80ml!AS44/50</f>
        <v>0</v>
      </c>
      <c r="AT43" s="27">
        <f>rebio23_80ml!AT44/50</f>
        <v>0</v>
      </c>
      <c r="AU43" s="27">
        <f>rebio23_80ml!AU44/50</f>
        <v>0</v>
      </c>
      <c r="AV43" s="27">
        <f>rebio23_80ml!AV44/50</f>
        <v>0.04</v>
      </c>
      <c r="AW43" s="27">
        <f>rebio23_80ml!AW44/50</f>
        <v>0</v>
      </c>
      <c r="AX43" s="27">
        <f>rebio23_80ml!AX44/50</f>
        <v>0.02</v>
      </c>
      <c r="AY43" s="27">
        <f>rebio23_80ml!AY44/50</f>
        <v>0</v>
      </c>
      <c r="AZ43" s="27">
        <f>rebio23_80ml!AZ44/50</f>
        <v>0</v>
      </c>
      <c r="BA43" s="27">
        <f>rebio23_80ml!BA44/50</f>
        <v>0</v>
      </c>
      <c r="BB43" s="27">
        <f>rebio23_80ml!BB44/50</f>
        <v>0</v>
      </c>
      <c r="BC43" s="27">
        <f>rebio23_80ml!BC44/50</f>
        <v>0</v>
      </c>
      <c r="BD43" s="27">
        <f>rebio23_80ml!BD44/50</f>
        <v>0</v>
      </c>
      <c r="BE43" s="27">
        <f>rebio23_80ml!BE44/50</f>
        <v>0</v>
      </c>
      <c r="BF43" s="27">
        <f>rebio23_80ml!BF44/50</f>
        <v>0</v>
      </c>
      <c r="BG43" s="27">
        <f>rebio23_80ml!BG44/50</f>
        <v>0</v>
      </c>
    </row>
    <row r="44" spans="1:59" ht="12.75" customHeight="1" x14ac:dyDescent="0.25">
      <c r="A44" s="15" t="str">
        <f>rebio23_80ml!A45</f>
        <v>S-C-P19-H1</v>
      </c>
      <c r="B44" s="27">
        <f>rebio23_80ml!B45/50</f>
        <v>0</v>
      </c>
      <c r="C44" s="27">
        <f>rebio23_80ml!C45/50</f>
        <v>0</v>
      </c>
      <c r="D44" s="27">
        <f>rebio23_80ml!D45/50</f>
        <v>0</v>
      </c>
      <c r="E44" s="27">
        <f>rebio23_80ml!E45/50</f>
        <v>0.3</v>
      </c>
      <c r="F44" s="27">
        <f>rebio23_80ml!F45/50</f>
        <v>0</v>
      </c>
      <c r="G44" s="27">
        <f>rebio23_80ml!G45/50</f>
        <v>0.02</v>
      </c>
      <c r="H44" s="27">
        <f>rebio23_80ml!H45/50</f>
        <v>0</v>
      </c>
      <c r="I44" s="27">
        <f>rebio23_80ml!I45/50</f>
        <v>0</v>
      </c>
      <c r="J44" s="27">
        <f>rebio23_80ml!J45/50</f>
        <v>0</v>
      </c>
      <c r="K44" s="27">
        <f>rebio23_80ml!K45/50</f>
        <v>0</v>
      </c>
      <c r="L44" s="27">
        <f>rebio23_80ml!L45/50</f>
        <v>0</v>
      </c>
      <c r="M44" s="27">
        <f>rebio23_80ml!M45/50</f>
        <v>0</v>
      </c>
      <c r="N44" s="27">
        <f>rebio23_80ml!N45/50</f>
        <v>0</v>
      </c>
      <c r="O44" s="27">
        <f>rebio23_80ml!O45/50</f>
        <v>0</v>
      </c>
      <c r="P44" s="27">
        <f>rebio23_80ml!P45/50</f>
        <v>0</v>
      </c>
      <c r="Q44" s="27">
        <f>rebio23_80ml!Q45/50</f>
        <v>0</v>
      </c>
      <c r="R44" s="27">
        <f>rebio23_80ml!R45/50</f>
        <v>0</v>
      </c>
      <c r="S44" s="27">
        <f>rebio23_80ml!S45/50</f>
        <v>0</v>
      </c>
      <c r="T44" s="27">
        <f>rebio23_80ml!T45/50</f>
        <v>0</v>
      </c>
      <c r="U44" s="27">
        <f>rebio23_80ml!U45/50</f>
        <v>0</v>
      </c>
      <c r="V44" s="27">
        <f>rebio23_80ml!V45/50</f>
        <v>0</v>
      </c>
      <c r="W44" s="27">
        <f>rebio23_80ml!W45/50</f>
        <v>0</v>
      </c>
      <c r="X44" s="27">
        <f>rebio23_80ml!X45/50</f>
        <v>0</v>
      </c>
      <c r="Y44" s="27">
        <f>rebio23_80ml!Y45/50</f>
        <v>0</v>
      </c>
      <c r="Z44" s="27">
        <f>rebio23_80ml!Z45/50</f>
        <v>0</v>
      </c>
      <c r="AA44" s="27">
        <f>rebio23_80ml!AA45/50</f>
        <v>0</v>
      </c>
      <c r="AB44" s="27">
        <f>rebio23_80ml!AB45/50</f>
        <v>0</v>
      </c>
      <c r="AC44" s="27">
        <f>rebio23_80ml!AC45/50</f>
        <v>0</v>
      </c>
      <c r="AD44" s="27">
        <f>rebio23_80ml!AD45/50</f>
        <v>0</v>
      </c>
      <c r="AE44" s="27">
        <f>rebio23_80ml!AE45/50</f>
        <v>0</v>
      </c>
      <c r="AF44" s="27">
        <f>rebio23_80ml!AF45/50</f>
        <v>0</v>
      </c>
      <c r="AG44" s="27">
        <f>rebio23_80ml!AG45/50</f>
        <v>0</v>
      </c>
      <c r="AH44" s="27">
        <f>rebio23_80ml!AH45/50</f>
        <v>0</v>
      </c>
      <c r="AI44" s="27">
        <f>rebio23_80ml!AI45/50</f>
        <v>0</v>
      </c>
      <c r="AJ44" s="27">
        <f>rebio23_80ml!AJ45/50</f>
        <v>0</v>
      </c>
      <c r="AK44" s="27">
        <f>rebio23_80ml!AK45/50</f>
        <v>0</v>
      </c>
      <c r="AL44" s="27">
        <f>rebio23_80ml!AL45/50</f>
        <v>0</v>
      </c>
      <c r="AM44" s="27">
        <f>rebio23_80ml!AM45/50</f>
        <v>0</v>
      </c>
      <c r="AN44" s="27">
        <f>rebio23_80ml!AN45/50</f>
        <v>0</v>
      </c>
      <c r="AO44" s="27">
        <f>rebio23_80ml!AO45/50</f>
        <v>0</v>
      </c>
      <c r="AP44" s="27">
        <f>rebio23_80ml!AP45/50</f>
        <v>0</v>
      </c>
      <c r="AQ44" s="27">
        <f>rebio23_80ml!AQ45/50</f>
        <v>0</v>
      </c>
      <c r="AR44" s="27">
        <f>rebio23_80ml!AR45/50</f>
        <v>0</v>
      </c>
      <c r="AS44" s="27">
        <f>rebio23_80ml!AS45/50</f>
        <v>0</v>
      </c>
      <c r="AT44" s="27">
        <f>rebio23_80ml!AT45/50</f>
        <v>0</v>
      </c>
      <c r="AU44" s="27">
        <f>rebio23_80ml!AU45/50</f>
        <v>0</v>
      </c>
      <c r="AV44" s="27">
        <f>rebio23_80ml!AV45/50</f>
        <v>0.02</v>
      </c>
      <c r="AW44" s="27">
        <f>rebio23_80ml!AW45/50</f>
        <v>0</v>
      </c>
      <c r="AX44" s="27">
        <f>rebio23_80ml!AX45/50</f>
        <v>0</v>
      </c>
      <c r="AY44" s="27">
        <f>rebio23_80ml!AY45/50</f>
        <v>0</v>
      </c>
      <c r="AZ44" s="27">
        <f>rebio23_80ml!AZ45/50</f>
        <v>0</v>
      </c>
      <c r="BA44" s="27">
        <f>rebio23_80ml!BA45/50</f>
        <v>0</v>
      </c>
      <c r="BB44" s="27">
        <f>rebio23_80ml!BB45/50</f>
        <v>0</v>
      </c>
      <c r="BC44" s="27">
        <f>rebio23_80ml!BC45/50</f>
        <v>0</v>
      </c>
      <c r="BD44" s="27">
        <f>rebio23_80ml!BD45/50</f>
        <v>0</v>
      </c>
      <c r="BE44" s="27">
        <f>rebio23_80ml!BE45/50</f>
        <v>0</v>
      </c>
      <c r="BF44" s="27">
        <f>rebio23_80ml!BF45/50</f>
        <v>0</v>
      </c>
      <c r="BG44" s="27">
        <f>rebio23_80ml!BG45/50</f>
        <v>0</v>
      </c>
    </row>
    <row r="45" spans="1:59" ht="12.75" customHeight="1" x14ac:dyDescent="0.25">
      <c r="A45" s="15" t="str">
        <f>rebio23_80ml!A46</f>
        <v>S-C-P19-H2</v>
      </c>
      <c r="B45" s="27">
        <f>rebio23_80ml!B46/50</f>
        <v>0</v>
      </c>
      <c r="C45" s="27">
        <f>rebio23_80ml!C46/50</f>
        <v>0.04</v>
      </c>
      <c r="D45" s="27">
        <f>rebio23_80ml!D46/50</f>
        <v>0</v>
      </c>
      <c r="E45" s="27">
        <f>rebio23_80ml!E46/50</f>
        <v>1.24</v>
      </c>
      <c r="F45" s="27">
        <f>rebio23_80ml!F46/50</f>
        <v>0</v>
      </c>
      <c r="G45" s="27">
        <f>rebio23_80ml!G46/50</f>
        <v>0</v>
      </c>
      <c r="H45" s="27">
        <f>rebio23_80ml!H46/50</f>
        <v>0</v>
      </c>
      <c r="I45" s="27">
        <f>rebio23_80ml!I46/50</f>
        <v>0.02</v>
      </c>
      <c r="J45" s="27">
        <f>rebio23_80ml!J46/50</f>
        <v>0</v>
      </c>
      <c r="K45" s="27">
        <f>rebio23_80ml!K46/50</f>
        <v>0</v>
      </c>
      <c r="L45" s="27">
        <f>rebio23_80ml!L46/50</f>
        <v>0</v>
      </c>
      <c r="M45" s="27">
        <f>rebio23_80ml!M46/50</f>
        <v>0</v>
      </c>
      <c r="N45" s="27">
        <f>rebio23_80ml!N46/50</f>
        <v>0</v>
      </c>
      <c r="O45" s="27">
        <f>rebio23_80ml!O46/50</f>
        <v>0</v>
      </c>
      <c r="P45" s="27">
        <f>rebio23_80ml!P46/50</f>
        <v>0</v>
      </c>
      <c r="Q45" s="27">
        <f>rebio23_80ml!Q46/50</f>
        <v>0</v>
      </c>
      <c r="R45" s="27">
        <f>rebio23_80ml!R46/50</f>
        <v>0</v>
      </c>
      <c r="S45" s="27">
        <f>rebio23_80ml!S46/50</f>
        <v>0</v>
      </c>
      <c r="T45" s="27">
        <f>rebio23_80ml!T46/50</f>
        <v>0</v>
      </c>
      <c r="U45" s="27">
        <f>rebio23_80ml!U46/50</f>
        <v>0</v>
      </c>
      <c r="V45" s="27">
        <f>rebio23_80ml!V46/50</f>
        <v>0</v>
      </c>
      <c r="W45" s="27">
        <f>rebio23_80ml!W46/50</f>
        <v>0</v>
      </c>
      <c r="X45" s="27">
        <f>rebio23_80ml!X46/50</f>
        <v>0</v>
      </c>
      <c r="Y45" s="27">
        <f>rebio23_80ml!Y46/50</f>
        <v>0</v>
      </c>
      <c r="Z45" s="27">
        <f>rebio23_80ml!Z46/50</f>
        <v>0</v>
      </c>
      <c r="AA45" s="27">
        <f>rebio23_80ml!AA46/50</f>
        <v>0</v>
      </c>
      <c r="AB45" s="27">
        <f>rebio23_80ml!AB46/50</f>
        <v>0</v>
      </c>
      <c r="AC45" s="27">
        <f>rebio23_80ml!AC46/50</f>
        <v>0</v>
      </c>
      <c r="AD45" s="27">
        <f>rebio23_80ml!AD46/50</f>
        <v>0</v>
      </c>
      <c r="AE45" s="27">
        <f>rebio23_80ml!AE46/50</f>
        <v>0</v>
      </c>
      <c r="AF45" s="27">
        <f>rebio23_80ml!AF46/50</f>
        <v>0</v>
      </c>
      <c r="AG45" s="27">
        <f>rebio23_80ml!AG46/50</f>
        <v>0</v>
      </c>
      <c r="AH45" s="27">
        <f>rebio23_80ml!AH46/50</f>
        <v>0</v>
      </c>
      <c r="AI45" s="27">
        <f>rebio23_80ml!AI46/50</f>
        <v>0</v>
      </c>
      <c r="AJ45" s="27">
        <f>rebio23_80ml!AJ46/50</f>
        <v>0</v>
      </c>
      <c r="AK45" s="27">
        <f>rebio23_80ml!AK46/50</f>
        <v>0</v>
      </c>
      <c r="AL45" s="27">
        <f>rebio23_80ml!AL46/50</f>
        <v>0</v>
      </c>
      <c r="AM45" s="27">
        <f>rebio23_80ml!AM46/50</f>
        <v>0</v>
      </c>
      <c r="AN45" s="27">
        <f>rebio23_80ml!AN46/50</f>
        <v>0</v>
      </c>
      <c r="AO45" s="27">
        <f>rebio23_80ml!AO46/50</f>
        <v>0</v>
      </c>
      <c r="AP45" s="27">
        <f>rebio23_80ml!AP46/50</f>
        <v>0</v>
      </c>
      <c r="AQ45" s="27">
        <f>rebio23_80ml!AQ46/50</f>
        <v>0</v>
      </c>
      <c r="AR45" s="27">
        <f>rebio23_80ml!AR46/50</f>
        <v>0</v>
      </c>
      <c r="AS45" s="27">
        <f>rebio23_80ml!AS46/50</f>
        <v>0</v>
      </c>
      <c r="AT45" s="27">
        <f>rebio23_80ml!AT46/50</f>
        <v>0</v>
      </c>
      <c r="AU45" s="27">
        <f>rebio23_80ml!AU46/50</f>
        <v>0</v>
      </c>
      <c r="AV45" s="27">
        <f>rebio23_80ml!AV46/50</f>
        <v>0</v>
      </c>
      <c r="AW45" s="27">
        <f>rebio23_80ml!AW46/50</f>
        <v>0</v>
      </c>
      <c r="AX45" s="27">
        <f>rebio23_80ml!AX46/50</f>
        <v>0</v>
      </c>
      <c r="AY45" s="27">
        <f>rebio23_80ml!AY46/50</f>
        <v>0</v>
      </c>
      <c r="AZ45" s="27">
        <f>rebio23_80ml!AZ46/50</f>
        <v>0</v>
      </c>
      <c r="BA45" s="27">
        <f>rebio23_80ml!BA46/50</f>
        <v>0</v>
      </c>
      <c r="BB45" s="27">
        <f>rebio23_80ml!BB46/50</f>
        <v>0</v>
      </c>
      <c r="BC45" s="27">
        <f>rebio23_80ml!BC46/50</f>
        <v>0</v>
      </c>
      <c r="BD45" s="27">
        <f>rebio23_80ml!BD46/50</f>
        <v>0</v>
      </c>
      <c r="BE45" s="27">
        <f>rebio23_80ml!BE46/50</f>
        <v>0</v>
      </c>
      <c r="BF45" s="27">
        <f>rebio23_80ml!BF46/50</f>
        <v>0</v>
      </c>
      <c r="BG45" s="27">
        <f>rebio23_80ml!BG46/50</f>
        <v>0</v>
      </c>
    </row>
    <row r="46" spans="1:59" ht="12.75" customHeight="1" x14ac:dyDescent="0.25">
      <c r="A46" s="15" t="str">
        <f>rebio23_80ml!A47</f>
        <v>S-C-P19-H3</v>
      </c>
      <c r="B46" s="27">
        <f>rebio23_80ml!B47/50</f>
        <v>0</v>
      </c>
      <c r="C46" s="27">
        <f>rebio23_80ml!C47/50</f>
        <v>0</v>
      </c>
      <c r="D46" s="27">
        <f>rebio23_80ml!D47/50</f>
        <v>0</v>
      </c>
      <c r="E46" s="27">
        <f>rebio23_80ml!E47/50</f>
        <v>1.5</v>
      </c>
      <c r="F46" s="27">
        <f>rebio23_80ml!F47/50</f>
        <v>0</v>
      </c>
      <c r="G46" s="27">
        <f>rebio23_80ml!G47/50</f>
        <v>0</v>
      </c>
      <c r="H46" s="27">
        <f>rebio23_80ml!H47/50</f>
        <v>0</v>
      </c>
      <c r="I46" s="27">
        <f>rebio23_80ml!I47/50</f>
        <v>0.04</v>
      </c>
      <c r="J46" s="27">
        <f>rebio23_80ml!J47/50</f>
        <v>0</v>
      </c>
      <c r="K46" s="27">
        <f>rebio23_80ml!K47/50</f>
        <v>0</v>
      </c>
      <c r="L46" s="27">
        <f>rebio23_80ml!L47/50</f>
        <v>0</v>
      </c>
      <c r="M46" s="27">
        <f>rebio23_80ml!M47/50</f>
        <v>0</v>
      </c>
      <c r="N46" s="27">
        <f>rebio23_80ml!N47/50</f>
        <v>0</v>
      </c>
      <c r="O46" s="27">
        <f>rebio23_80ml!O47/50</f>
        <v>0</v>
      </c>
      <c r="P46" s="27">
        <f>rebio23_80ml!P47/50</f>
        <v>0</v>
      </c>
      <c r="Q46" s="27">
        <f>rebio23_80ml!Q47/50</f>
        <v>0.02</v>
      </c>
      <c r="R46" s="27">
        <f>rebio23_80ml!R47/50</f>
        <v>0</v>
      </c>
      <c r="S46" s="27">
        <f>rebio23_80ml!S47/50</f>
        <v>0</v>
      </c>
      <c r="T46" s="27">
        <f>rebio23_80ml!T47/50</f>
        <v>0</v>
      </c>
      <c r="U46" s="27">
        <f>rebio23_80ml!U47/50</f>
        <v>0</v>
      </c>
      <c r="V46" s="27">
        <f>rebio23_80ml!V47/50</f>
        <v>0</v>
      </c>
      <c r="W46" s="27">
        <f>rebio23_80ml!W47/50</f>
        <v>0</v>
      </c>
      <c r="X46" s="27">
        <f>rebio23_80ml!X47/50</f>
        <v>0</v>
      </c>
      <c r="Y46" s="27">
        <f>rebio23_80ml!Y47/50</f>
        <v>0</v>
      </c>
      <c r="Z46" s="27">
        <f>rebio23_80ml!Z47/50</f>
        <v>0</v>
      </c>
      <c r="AA46" s="27">
        <f>rebio23_80ml!AA47/50</f>
        <v>0</v>
      </c>
      <c r="AB46" s="27">
        <f>rebio23_80ml!AB47/50</f>
        <v>0</v>
      </c>
      <c r="AC46" s="27">
        <f>rebio23_80ml!AC47/50</f>
        <v>0</v>
      </c>
      <c r="AD46" s="27">
        <f>rebio23_80ml!AD47/50</f>
        <v>0</v>
      </c>
      <c r="AE46" s="27">
        <f>rebio23_80ml!AE47/50</f>
        <v>0</v>
      </c>
      <c r="AF46" s="27">
        <f>rebio23_80ml!AF47/50</f>
        <v>0</v>
      </c>
      <c r="AG46" s="27">
        <f>rebio23_80ml!AG47/50</f>
        <v>0</v>
      </c>
      <c r="AH46" s="27">
        <f>rebio23_80ml!AH47/50</f>
        <v>0</v>
      </c>
      <c r="AI46" s="27">
        <f>rebio23_80ml!AI47/50</f>
        <v>0</v>
      </c>
      <c r="AJ46" s="27">
        <f>rebio23_80ml!AJ47/50</f>
        <v>0</v>
      </c>
      <c r="AK46" s="27">
        <f>rebio23_80ml!AK47/50</f>
        <v>0</v>
      </c>
      <c r="AL46" s="27">
        <f>rebio23_80ml!AL47/50</f>
        <v>0</v>
      </c>
      <c r="AM46" s="27">
        <f>rebio23_80ml!AM47/50</f>
        <v>0</v>
      </c>
      <c r="AN46" s="27">
        <f>rebio23_80ml!AN47/50</f>
        <v>0</v>
      </c>
      <c r="AO46" s="27">
        <f>rebio23_80ml!AO47/50</f>
        <v>0</v>
      </c>
      <c r="AP46" s="27">
        <f>rebio23_80ml!AP47/50</f>
        <v>0</v>
      </c>
      <c r="AQ46" s="27">
        <f>rebio23_80ml!AQ47/50</f>
        <v>0</v>
      </c>
      <c r="AR46" s="27">
        <f>rebio23_80ml!AR47/50</f>
        <v>0</v>
      </c>
      <c r="AS46" s="27">
        <f>rebio23_80ml!AS47/50</f>
        <v>0</v>
      </c>
      <c r="AT46" s="27">
        <f>rebio23_80ml!AT47/50</f>
        <v>0</v>
      </c>
      <c r="AU46" s="27">
        <f>rebio23_80ml!AU47/50</f>
        <v>0</v>
      </c>
      <c r="AV46" s="27">
        <f>rebio23_80ml!AV47/50</f>
        <v>0</v>
      </c>
      <c r="AW46" s="27">
        <f>rebio23_80ml!AW47/50</f>
        <v>0</v>
      </c>
      <c r="AX46" s="27">
        <f>rebio23_80ml!AX47/50</f>
        <v>0</v>
      </c>
      <c r="AY46" s="27">
        <f>rebio23_80ml!AY47/50</f>
        <v>0</v>
      </c>
      <c r="AZ46" s="27">
        <f>rebio23_80ml!AZ47/50</f>
        <v>0</v>
      </c>
      <c r="BA46" s="27">
        <f>rebio23_80ml!BA47/50</f>
        <v>0</v>
      </c>
      <c r="BB46" s="27">
        <f>rebio23_80ml!BB47/50</f>
        <v>0</v>
      </c>
      <c r="BC46" s="27">
        <f>rebio23_80ml!BC47/50</f>
        <v>0</v>
      </c>
      <c r="BD46" s="27">
        <f>rebio23_80ml!BD47/50</f>
        <v>0</v>
      </c>
      <c r="BE46" s="27">
        <f>rebio23_80ml!BE47/50</f>
        <v>0</v>
      </c>
      <c r="BF46" s="27">
        <f>rebio23_80ml!BF47/50</f>
        <v>0</v>
      </c>
      <c r="BG46" s="27">
        <f>rebio23_80ml!BG47/50</f>
        <v>0</v>
      </c>
    </row>
    <row r="47" spans="1:59" ht="12.75" customHeight="1" x14ac:dyDescent="0.25">
      <c r="A47" s="15" t="str">
        <f>rebio23_80ml!A48</f>
        <v>S-C-P20-H1</v>
      </c>
      <c r="B47" s="27">
        <f>rebio23_80ml!B48/50</f>
        <v>0</v>
      </c>
      <c r="C47" s="27">
        <f>rebio23_80ml!C48/50</f>
        <v>0</v>
      </c>
      <c r="D47" s="27">
        <f>rebio23_80ml!D48/50</f>
        <v>0</v>
      </c>
      <c r="E47" s="27">
        <f>rebio23_80ml!E48/50</f>
        <v>2.06</v>
      </c>
      <c r="F47" s="27">
        <f>rebio23_80ml!F48/50</f>
        <v>0</v>
      </c>
      <c r="G47" s="27">
        <f>rebio23_80ml!G48/50</f>
        <v>0</v>
      </c>
      <c r="H47" s="27">
        <f>rebio23_80ml!H48/50</f>
        <v>0</v>
      </c>
      <c r="I47" s="27">
        <f>rebio23_80ml!I48/50</f>
        <v>0</v>
      </c>
      <c r="J47" s="27">
        <f>rebio23_80ml!J48/50</f>
        <v>0</v>
      </c>
      <c r="K47" s="27">
        <f>rebio23_80ml!K48/50</f>
        <v>0</v>
      </c>
      <c r="L47" s="27">
        <f>rebio23_80ml!L48/50</f>
        <v>0</v>
      </c>
      <c r="M47" s="27">
        <f>rebio23_80ml!M48/50</f>
        <v>0</v>
      </c>
      <c r="N47" s="27">
        <f>rebio23_80ml!N48/50</f>
        <v>0</v>
      </c>
      <c r="O47" s="27">
        <f>rebio23_80ml!O48/50</f>
        <v>0</v>
      </c>
      <c r="P47" s="27">
        <f>rebio23_80ml!P48/50</f>
        <v>0</v>
      </c>
      <c r="Q47" s="27">
        <f>rebio23_80ml!Q48/50</f>
        <v>0.02</v>
      </c>
      <c r="R47" s="27">
        <f>rebio23_80ml!R48/50</f>
        <v>0</v>
      </c>
      <c r="S47" s="27">
        <f>rebio23_80ml!S48/50</f>
        <v>0</v>
      </c>
      <c r="T47" s="27">
        <f>rebio23_80ml!T48/50</f>
        <v>0</v>
      </c>
      <c r="U47" s="27">
        <f>rebio23_80ml!U48/50</f>
        <v>0</v>
      </c>
      <c r="V47" s="27">
        <f>rebio23_80ml!V48/50</f>
        <v>0</v>
      </c>
      <c r="W47" s="27">
        <f>rebio23_80ml!W48/50</f>
        <v>0</v>
      </c>
      <c r="X47" s="27">
        <f>rebio23_80ml!X48/50</f>
        <v>0</v>
      </c>
      <c r="Y47" s="27">
        <f>rebio23_80ml!Y48/50</f>
        <v>0</v>
      </c>
      <c r="Z47" s="27">
        <f>rebio23_80ml!Z48/50</f>
        <v>0</v>
      </c>
      <c r="AA47" s="27">
        <f>rebio23_80ml!AA48/50</f>
        <v>0.02</v>
      </c>
      <c r="AB47" s="27">
        <f>rebio23_80ml!AB48/50</f>
        <v>0</v>
      </c>
      <c r="AC47" s="27">
        <f>rebio23_80ml!AC48/50</f>
        <v>0</v>
      </c>
      <c r="AD47" s="27">
        <f>rebio23_80ml!AD48/50</f>
        <v>0</v>
      </c>
      <c r="AE47" s="27">
        <f>rebio23_80ml!AE48/50</f>
        <v>0</v>
      </c>
      <c r="AF47" s="27">
        <f>rebio23_80ml!AF48/50</f>
        <v>0</v>
      </c>
      <c r="AG47" s="27">
        <f>rebio23_80ml!AG48/50</f>
        <v>0</v>
      </c>
      <c r="AH47" s="27">
        <f>rebio23_80ml!AH48/50</f>
        <v>0</v>
      </c>
      <c r="AI47" s="27">
        <f>rebio23_80ml!AI48/50</f>
        <v>0</v>
      </c>
      <c r="AJ47" s="27">
        <f>rebio23_80ml!AJ48/50</f>
        <v>0</v>
      </c>
      <c r="AK47" s="27">
        <f>rebio23_80ml!AK48/50</f>
        <v>0</v>
      </c>
      <c r="AL47" s="27">
        <f>rebio23_80ml!AL48/50</f>
        <v>0</v>
      </c>
      <c r="AM47" s="27">
        <f>rebio23_80ml!AM48/50</f>
        <v>0</v>
      </c>
      <c r="AN47" s="27">
        <f>rebio23_80ml!AN48/50</f>
        <v>0</v>
      </c>
      <c r="AO47" s="27">
        <f>rebio23_80ml!AO48/50</f>
        <v>0</v>
      </c>
      <c r="AP47" s="27">
        <f>rebio23_80ml!AP48/50</f>
        <v>0</v>
      </c>
      <c r="AQ47" s="27">
        <f>rebio23_80ml!AQ48/50</f>
        <v>0.04</v>
      </c>
      <c r="AR47" s="27">
        <f>rebio23_80ml!AR48/50</f>
        <v>0</v>
      </c>
      <c r="AS47" s="27">
        <f>rebio23_80ml!AS48/50</f>
        <v>0</v>
      </c>
      <c r="AT47" s="27">
        <f>rebio23_80ml!AT48/50</f>
        <v>0</v>
      </c>
      <c r="AU47" s="27">
        <f>rebio23_80ml!AU48/50</f>
        <v>0</v>
      </c>
      <c r="AV47" s="27">
        <f>rebio23_80ml!AV48/50</f>
        <v>0</v>
      </c>
      <c r="AW47" s="27">
        <f>rebio23_80ml!AW48/50</f>
        <v>0</v>
      </c>
      <c r="AX47" s="27">
        <f>rebio23_80ml!AX48/50</f>
        <v>0</v>
      </c>
      <c r="AY47" s="27">
        <f>rebio23_80ml!AY48/50</f>
        <v>0</v>
      </c>
      <c r="AZ47" s="27">
        <f>rebio23_80ml!AZ48/50</f>
        <v>0</v>
      </c>
      <c r="BA47" s="27">
        <f>rebio23_80ml!BA48/50</f>
        <v>0</v>
      </c>
      <c r="BB47" s="27">
        <f>rebio23_80ml!BB48/50</f>
        <v>0</v>
      </c>
      <c r="BC47" s="27">
        <f>rebio23_80ml!BC48/50</f>
        <v>0</v>
      </c>
      <c r="BD47" s="27">
        <f>rebio23_80ml!BD48/50</f>
        <v>0</v>
      </c>
      <c r="BE47" s="27">
        <f>rebio23_80ml!BE48/50</f>
        <v>0</v>
      </c>
      <c r="BF47" s="27">
        <f>rebio23_80ml!BF48/50</f>
        <v>0</v>
      </c>
      <c r="BG47" s="27">
        <f>rebio23_80ml!BG48/50</f>
        <v>0</v>
      </c>
    </row>
    <row r="48" spans="1:59" ht="12.75" customHeight="1" x14ac:dyDescent="0.25">
      <c r="A48" s="15" t="str">
        <f>rebio23_80ml!A49</f>
        <v>S-C-P20-H2</v>
      </c>
      <c r="B48" s="27">
        <f>rebio23_80ml!B49/50</f>
        <v>0</v>
      </c>
      <c r="C48" s="27">
        <f>rebio23_80ml!C49/50</f>
        <v>0</v>
      </c>
      <c r="D48" s="27">
        <f>rebio23_80ml!D49/50</f>
        <v>0</v>
      </c>
      <c r="E48" s="27">
        <f>rebio23_80ml!E49/50</f>
        <v>0.64</v>
      </c>
      <c r="F48" s="27">
        <f>rebio23_80ml!F49/50</f>
        <v>0</v>
      </c>
      <c r="G48" s="27">
        <f>rebio23_80ml!G49/50</f>
        <v>0</v>
      </c>
      <c r="H48" s="27">
        <f>rebio23_80ml!H49/50</f>
        <v>0</v>
      </c>
      <c r="I48" s="27">
        <f>rebio23_80ml!I49/50</f>
        <v>0.02</v>
      </c>
      <c r="J48" s="27">
        <f>rebio23_80ml!J49/50</f>
        <v>0</v>
      </c>
      <c r="K48" s="27">
        <f>rebio23_80ml!K49/50</f>
        <v>0</v>
      </c>
      <c r="L48" s="27">
        <f>rebio23_80ml!L49/50</f>
        <v>0</v>
      </c>
      <c r="M48" s="27">
        <f>rebio23_80ml!M49/50</f>
        <v>0</v>
      </c>
      <c r="N48" s="27">
        <f>rebio23_80ml!N49/50</f>
        <v>0</v>
      </c>
      <c r="O48" s="27">
        <f>rebio23_80ml!O49/50</f>
        <v>0</v>
      </c>
      <c r="P48" s="27">
        <f>rebio23_80ml!P49/50</f>
        <v>0</v>
      </c>
      <c r="Q48" s="27">
        <f>rebio23_80ml!Q49/50</f>
        <v>0.02</v>
      </c>
      <c r="R48" s="27">
        <f>rebio23_80ml!R49/50</f>
        <v>0</v>
      </c>
      <c r="S48" s="27">
        <f>rebio23_80ml!S49/50</f>
        <v>0</v>
      </c>
      <c r="T48" s="27">
        <f>rebio23_80ml!T49/50</f>
        <v>0</v>
      </c>
      <c r="U48" s="27">
        <f>rebio23_80ml!U49/50</f>
        <v>0</v>
      </c>
      <c r="V48" s="27">
        <f>rebio23_80ml!V49/50</f>
        <v>0</v>
      </c>
      <c r="W48" s="27">
        <f>rebio23_80ml!W49/50</f>
        <v>0</v>
      </c>
      <c r="X48" s="27">
        <f>rebio23_80ml!X49/50</f>
        <v>0</v>
      </c>
      <c r="Y48" s="27">
        <f>rebio23_80ml!Y49/50</f>
        <v>0</v>
      </c>
      <c r="Z48" s="27">
        <f>rebio23_80ml!Z49/50</f>
        <v>0.04</v>
      </c>
      <c r="AA48" s="27">
        <f>rebio23_80ml!AA49/50</f>
        <v>0</v>
      </c>
      <c r="AB48" s="27">
        <f>rebio23_80ml!AB49/50</f>
        <v>0</v>
      </c>
      <c r="AC48" s="27">
        <f>rebio23_80ml!AC49/50</f>
        <v>0</v>
      </c>
      <c r="AD48" s="27">
        <f>rebio23_80ml!AD49/50</f>
        <v>0</v>
      </c>
      <c r="AE48" s="27">
        <f>rebio23_80ml!AE49/50</f>
        <v>0</v>
      </c>
      <c r="AF48" s="27">
        <f>rebio23_80ml!AF49/50</f>
        <v>0</v>
      </c>
      <c r="AG48" s="27">
        <f>rebio23_80ml!AG49/50</f>
        <v>0</v>
      </c>
      <c r="AH48" s="27">
        <f>rebio23_80ml!AH49/50</f>
        <v>0</v>
      </c>
      <c r="AI48" s="27">
        <f>rebio23_80ml!AI49/50</f>
        <v>0</v>
      </c>
      <c r="AJ48" s="27">
        <f>rebio23_80ml!AJ49/50</f>
        <v>0</v>
      </c>
      <c r="AK48" s="27">
        <f>rebio23_80ml!AK49/50</f>
        <v>0</v>
      </c>
      <c r="AL48" s="27">
        <f>rebio23_80ml!AL49/50</f>
        <v>0</v>
      </c>
      <c r="AM48" s="27">
        <f>rebio23_80ml!AM49/50</f>
        <v>0</v>
      </c>
      <c r="AN48" s="27">
        <f>rebio23_80ml!AN49/50</f>
        <v>0</v>
      </c>
      <c r="AO48" s="27">
        <f>rebio23_80ml!AO49/50</f>
        <v>0</v>
      </c>
      <c r="AP48" s="27">
        <f>rebio23_80ml!AP49/50</f>
        <v>0</v>
      </c>
      <c r="AQ48" s="27">
        <f>rebio23_80ml!AQ49/50</f>
        <v>0</v>
      </c>
      <c r="AR48" s="27">
        <f>rebio23_80ml!AR49/50</f>
        <v>0</v>
      </c>
      <c r="AS48" s="27">
        <f>rebio23_80ml!AS49/50</f>
        <v>0</v>
      </c>
      <c r="AT48" s="27">
        <f>rebio23_80ml!AT49/50</f>
        <v>0</v>
      </c>
      <c r="AU48" s="27">
        <f>rebio23_80ml!AU49/50</f>
        <v>0</v>
      </c>
      <c r="AV48" s="27">
        <f>rebio23_80ml!AV49/50</f>
        <v>0.02</v>
      </c>
      <c r="AW48" s="27">
        <f>rebio23_80ml!AW49/50</f>
        <v>0.02</v>
      </c>
      <c r="AX48" s="27">
        <f>rebio23_80ml!AX49/50</f>
        <v>0</v>
      </c>
      <c r="AY48" s="27">
        <f>rebio23_80ml!AY49/50</f>
        <v>0</v>
      </c>
      <c r="AZ48" s="27">
        <f>rebio23_80ml!AZ49/50</f>
        <v>0</v>
      </c>
      <c r="BA48" s="27">
        <f>rebio23_80ml!BA49/50</f>
        <v>0</v>
      </c>
      <c r="BB48" s="27">
        <f>rebio23_80ml!BB49/50</f>
        <v>0</v>
      </c>
      <c r="BC48" s="27">
        <f>rebio23_80ml!BC49/50</f>
        <v>0</v>
      </c>
      <c r="BD48" s="27">
        <f>rebio23_80ml!BD49/50</f>
        <v>0</v>
      </c>
      <c r="BE48" s="27">
        <f>rebio23_80ml!BE49/50</f>
        <v>0</v>
      </c>
      <c r="BF48" s="27">
        <f>rebio23_80ml!BF49/50</f>
        <v>0</v>
      </c>
      <c r="BG48" s="27">
        <f>rebio23_80ml!BG49/50</f>
        <v>0</v>
      </c>
    </row>
    <row r="49" spans="1:59" ht="12.75" customHeight="1" x14ac:dyDescent="0.25">
      <c r="A49" s="15" t="str">
        <f>rebio23_80ml!A50</f>
        <v>S-C-P20-H3</v>
      </c>
      <c r="B49" s="27">
        <f>rebio23_80ml!B50/50</f>
        <v>0</v>
      </c>
      <c r="C49" s="27">
        <f>rebio23_80ml!C50/50</f>
        <v>0.04</v>
      </c>
      <c r="D49" s="27">
        <f>rebio23_80ml!D50/50</f>
        <v>0</v>
      </c>
      <c r="E49" s="27">
        <f>rebio23_80ml!E50/50</f>
        <v>0.76</v>
      </c>
      <c r="F49" s="27">
        <f>rebio23_80ml!F50/50</f>
        <v>0</v>
      </c>
      <c r="G49" s="27">
        <f>rebio23_80ml!G50/50</f>
        <v>0</v>
      </c>
      <c r="H49" s="27">
        <f>rebio23_80ml!H50/50</f>
        <v>0</v>
      </c>
      <c r="I49" s="27">
        <f>rebio23_80ml!I50/50</f>
        <v>0.1</v>
      </c>
      <c r="J49" s="27">
        <f>rebio23_80ml!J50/50</f>
        <v>0</v>
      </c>
      <c r="K49" s="27">
        <f>rebio23_80ml!K50/50</f>
        <v>0</v>
      </c>
      <c r="L49" s="27">
        <f>rebio23_80ml!L50/50</f>
        <v>0</v>
      </c>
      <c r="M49" s="27">
        <f>rebio23_80ml!M50/50</f>
        <v>0</v>
      </c>
      <c r="N49" s="27">
        <f>rebio23_80ml!N50/50</f>
        <v>0</v>
      </c>
      <c r="O49" s="27">
        <f>rebio23_80ml!O50/50</f>
        <v>0</v>
      </c>
      <c r="P49" s="27">
        <f>rebio23_80ml!P50/50</f>
        <v>0</v>
      </c>
      <c r="Q49" s="27">
        <f>rebio23_80ml!Q50/50</f>
        <v>0</v>
      </c>
      <c r="R49" s="27">
        <f>rebio23_80ml!R50/50</f>
        <v>0</v>
      </c>
      <c r="S49" s="27">
        <f>rebio23_80ml!S50/50</f>
        <v>0</v>
      </c>
      <c r="T49" s="27">
        <f>rebio23_80ml!T50/50</f>
        <v>0</v>
      </c>
      <c r="U49" s="27">
        <f>rebio23_80ml!U50/50</f>
        <v>0</v>
      </c>
      <c r="V49" s="27">
        <f>rebio23_80ml!V50/50</f>
        <v>0</v>
      </c>
      <c r="W49" s="27">
        <f>rebio23_80ml!W50/50</f>
        <v>0</v>
      </c>
      <c r="X49" s="27">
        <f>rebio23_80ml!X50/50</f>
        <v>0</v>
      </c>
      <c r="Y49" s="27">
        <f>rebio23_80ml!Y50/50</f>
        <v>0</v>
      </c>
      <c r="Z49" s="27">
        <f>rebio23_80ml!Z50/50</f>
        <v>0</v>
      </c>
      <c r="AA49" s="27">
        <f>rebio23_80ml!AA50/50</f>
        <v>0</v>
      </c>
      <c r="AB49" s="27">
        <f>rebio23_80ml!AB50/50</f>
        <v>0</v>
      </c>
      <c r="AC49" s="27">
        <f>rebio23_80ml!AC50/50</f>
        <v>0</v>
      </c>
      <c r="AD49" s="27">
        <f>rebio23_80ml!AD50/50</f>
        <v>0</v>
      </c>
      <c r="AE49" s="27">
        <f>rebio23_80ml!AE50/50</f>
        <v>0</v>
      </c>
      <c r="AF49" s="27">
        <f>rebio23_80ml!AF50/50</f>
        <v>0</v>
      </c>
      <c r="AG49" s="27">
        <f>rebio23_80ml!AG50/50</f>
        <v>0</v>
      </c>
      <c r="AH49" s="27">
        <f>rebio23_80ml!AH50/50</f>
        <v>0</v>
      </c>
      <c r="AI49" s="27">
        <f>rebio23_80ml!AI50/50</f>
        <v>0</v>
      </c>
      <c r="AJ49" s="27">
        <f>rebio23_80ml!AJ50/50</f>
        <v>0</v>
      </c>
      <c r="AK49" s="27">
        <f>rebio23_80ml!AK50/50</f>
        <v>0</v>
      </c>
      <c r="AL49" s="27">
        <f>rebio23_80ml!AL50/50</f>
        <v>0</v>
      </c>
      <c r="AM49" s="27">
        <f>rebio23_80ml!AM50/50</f>
        <v>0</v>
      </c>
      <c r="AN49" s="27">
        <f>rebio23_80ml!AN50/50</f>
        <v>0</v>
      </c>
      <c r="AO49" s="27">
        <f>rebio23_80ml!AO50/50</f>
        <v>0</v>
      </c>
      <c r="AP49" s="27">
        <f>rebio23_80ml!AP50/50</f>
        <v>0</v>
      </c>
      <c r="AQ49" s="27">
        <f>rebio23_80ml!AQ50/50</f>
        <v>0</v>
      </c>
      <c r="AR49" s="27">
        <f>rebio23_80ml!AR50/50</f>
        <v>0</v>
      </c>
      <c r="AS49" s="27">
        <f>rebio23_80ml!AS50/50</f>
        <v>0</v>
      </c>
      <c r="AT49" s="27">
        <f>rebio23_80ml!AT50/50</f>
        <v>0</v>
      </c>
      <c r="AU49" s="27">
        <f>rebio23_80ml!AU50/50</f>
        <v>0</v>
      </c>
      <c r="AV49" s="27">
        <f>rebio23_80ml!AV50/50</f>
        <v>0.04</v>
      </c>
      <c r="AW49" s="27">
        <f>rebio23_80ml!AW50/50</f>
        <v>0</v>
      </c>
      <c r="AX49" s="27">
        <f>rebio23_80ml!AX50/50</f>
        <v>0.02</v>
      </c>
      <c r="AY49" s="27">
        <f>rebio23_80ml!AY50/50</f>
        <v>0.04</v>
      </c>
      <c r="AZ49" s="27">
        <f>rebio23_80ml!AZ50/50</f>
        <v>0</v>
      </c>
      <c r="BA49" s="27">
        <f>rebio23_80ml!BA50/50</f>
        <v>0</v>
      </c>
      <c r="BB49" s="27">
        <f>rebio23_80ml!BB50/50</f>
        <v>0</v>
      </c>
      <c r="BC49" s="27">
        <f>rebio23_80ml!BC50/50</f>
        <v>0</v>
      </c>
      <c r="BD49" s="27">
        <f>rebio23_80ml!BD50/50</f>
        <v>0</v>
      </c>
      <c r="BE49" s="27">
        <f>rebio23_80ml!BE50/50</f>
        <v>0</v>
      </c>
      <c r="BF49" s="27">
        <f>rebio23_80ml!BF50/50</f>
        <v>0</v>
      </c>
      <c r="BG49" s="27">
        <f>rebio23_80ml!BG50/50</f>
        <v>0</v>
      </c>
    </row>
    <row r="50" spans="1:59" ht="12.75" customHeight="1" x14ac:dyDescent="0.25">
      <c r="A50" s="15" t="str">
        <f>rebio23_80ml!A51</f>
        <v>C-B-P05-H1</v>
      </c>
      <c r="B50" s="27">
        <f>rebio23_80ml!B51/50</f>
        <v>0.02</v>
      </c>
      <c r="C50" s="27">
        <f>rebio23_80ml!C51/50</f>
        <v>0</v>
      </c>
      <c r="D50" s="27">
        <f>rebio23_80ml!D51/50</f>
        <v>0</v>
      </c>
      <c r="E50" s="27">
        <f>rebio23_80ml!E51/50</f>
        <v>1.5</v>
      </c>
      <c r="F50" s="27">
        <f>rebio23_80ml!F51/50</f>
        <v>0</v>
      </c>
      <c r="G50" s="27">
        <f>rebio23_80ml!G51/50</f>
        <v>0</v>
      </c>
      <c r="H50" s="27">
        <f>rebio23_80ml!H51/50</f>
        <v>0</v>
      </c>
      <c r="I50" s="27">
        <f>rebio23_80ml!I51/50</f>
        <v>0.48</v>
      </c>
      <c r="J50" s="27">
        <f>rebio23_80ml!J51/50</f>
        <v>0</v>
      </c>
      <c r="K50" s="27">
        <f>rebio23_80ml!K51/50</f>
        <v>0</v>
      </c>
      <c r="L50" s="27">
        <f>rebio23_80ml!L51/50</f>
        <v>0</v>
      </c>
      <c r="M50" s="27">
        <f>rebio23_80ml!M51/50</f>
        <v>0</v>
      </c>
      <c r="N50" s="27">
        <f>rebio23_80ml!N51/50</f>
        <v>0</v>
      </c>
      <c r="O50" s="27">
        <f>rebio23_80ml!O51/50</f>
        <v>0</v>
      </c>
      <c r="P50" s="27">
        <f>rebio23_80ml!P51/50</f>
        <v>0</v>
      </c>
      <c r="Q50" s="27">
        <f>rebio23_80ml!Q51/50</f>
        <v>0</v>
      </c>
      <c r="R50" s="27">
        <f>rebio23_80ml!R51/50</f>
        <v>0</v>
      </c>
      <c r="S50" s="27">
        <f>rebio23_80ml!S51/50</f>
        <v>0</v>
      </c>
      <c r="T50" s="27">
        <f>rebio23_80ml!T51/50</f>
        <v>0</v>
      </c>
      <c r="U50" s="27">
        <f>rebio23_80ml!U51/50</f>
        <v>0</v>
      </c>
      <c r="V50" s="27">
        <f>rebio23_80ml!V51/50</f>
        <v>0</v>
      </c>
      <c r="W50" s="27">
        <f>rebio23_80ml!W51/50</f>
        <v>0</v>
      </c>
      <c r="X50" s="27">
        <f>rebio23_80ml!X51/50</f>
        <v>0</v>
      </c>
      <c r="Y50" s="27">
        <f>rebio23_80ml!Y51/50</f>
        <v>0</v>
      </c>
      <c r="Z50" s="27">
        <f>rebio23_80ml!Z51/50</f>
        <v>0</v>
      </c>
      <c r="AA50" s="27">
        <f>rebio23_80ml!AA51/50</f>
        <v>0</v>
      </c>
      <c r="AB50" s="27">
        <f>rebio23_80ml!AB51/50</f>
        <v>0</v>
      </c>
      <c r="AC50" s="27">
        <f>rebio23_80ml!AC51/50</f>
        <v>0</v>
      </c>
      <c r="AD50" s="27">
        <f>rebio23_80ml!AD51/50</f>
        <v>0</v>
      </c>
      <c r="AE50" s="27">
        <f>rebio23_80ml!AE51/50</f>
        <v>0</v>
      </c>
      <c r="AF50" s="27">
        <f>rebio23_80ml!AF51/50</f>
        <v>0</v>
      </c>
      <c r="AG50" s="27">
        <f>rebio23_80ml!AG51/50</f>
        <v>0</v>
      </c>
      <c r="AH50" s="27">
        <f>rebio23_80ml!AH51/50</f>
        <v>0</v>
      </c>
      <c r="AI50" s="27">
        <f>rebio23_80ml!AI51/50</f>
        <v>0</v>
      </c>
      <c r="AJ50" s="27">
        <f>rebio23_80ml!AJ51/50</f>
        <v>0</v>
      </c>
      <c r="AK50" s="27">
        <f>rebio23_80ml!AK51/50</f>
        <v>0</v>
      </c>
      <c r="AL50" s="27">
        <f>rebio23_80ml!AL51/50</f>
        <v>0</v>
      </c>
      <c r="AM50" s="27">
        <f>rebio23_80ml!AM51/50</f>
        <v>0</v>
      </c>
      <c r="AN50" s="27">
        <f>rebio23_80ml!AN51/50</f>
        <v>0</v>
      </c>
      <c r="AO50" s="27">
        <f>rebio23_80ml!AO51/50</f>
        <v>0</v>
      </c>
      <c r="AP50" s="27">
        <f>rebio23_80ml!AP51/50</f>
        <v>0</v>
      </c>
      <c r="AQ50" s="27">
        <f>rebio23_80ml!AQ51/50</f>
        <v>0</v>
      </c>
      <c r="AR50" s="27">
        <f>rebio23_80ml!AR51/50</f>
        <v>0</v>
      </c>
      <c r="AS50" s="27">
        <f>rebio23_80ml!AS51/50</f>
        <v>0</v>
      </c>
      <c r="AT50" s="27">
        <f>rebio23_80ml!AT51/50</f>
        <v>0</v>
      </c>
      <c r="AU50" s="27">
        <f>rebio23_80ml!AU51/50</f>
        <v>0</v>
      </c>
      <c r="AV50" s="27">
        <f>rebio23_80ml!AV51/50</f>
        <v>0</v>
      </c>
      <c r="AW50" s="27">
        <f>rebio23_80ml!AW51/50</f>
        <v>0</v>
      </c>
      <c r="AX50" s="27">
        <f>rebio23_80ml!AX51/50</f>
        <v>0.04</v>
      </c>
      <c r="AY50" s="27">
        <f>rebio23_80ml!AY51/50</f>
        <v>0</v>
      </c>
      <c r="AZ50" s="27">
        <f>rebio23_80ml!AZ51/50</f>
        <v>0</v>
      </c>
      <c r="BA50" s="27">
        <f>rebio23_80ml!BA51/50</f>
        <v>0</v>
      </c>
      <c r="BB50" s="27">
        <f>rebio23_80ml!BB51/50</f>
        <v>0</v>
      </c>
      <c r="BC50" s="27">
        <f>rebio23_80ml!BC51/50</f>
        <v>0</v>
      </c>
      <c r="BD50" s="27">
        <f>rebio23_80ml!BD51/50</f>
        <v>0</v>
      </c>
      <c r="BE50" s="27">
        <f>rebio23_80ml!BE51/50</f>
        <v>0</v>
      </c>
      <c r="BF50" s="27">
        <f>rebio23_80ml!BF51/50</f>
        <v>0</v>
      </c>
      <c r="BG50" s="27">
        <f>rebio23_80ml!BG51/50</f>
        <v>0</v>
      </c>
    </row>
    <row r="51" spans="1:59" ht="12.75" customHeight="1" x14ac:dyDescent="0.25">
      <c r="A51" s="15" t="str">
        <f>rebio23_80ml!A52</f>
        <v>C-B-P05-H2</v>
      </c>
      <c r="B51" s="27">
        <f>rebio23_80ml!B52/50</f>
        <v>0</v>
      </c>
      <c r="C51" s="27">
        <f>rebio23_80ml!C52/50</f>
        <v>0</v>
      </c>
      <c r="D51" s="27">
        <f>rebio23_80ml!D52/50</f>
        <v>0</v>
      </c>
      <c r="E51" s="27">
        <f>rebio23_80ml!E52/50</f>
        <v>1.3</v>
      </c>
      <c r="F51" s="27">
        <f>rebio23_80ml!F52/50</f>
        <v>0</v>
      </c>
      <c r="G51" s="27">
        <f>rebio23_80ml!G52/50</f>
        <v>0</v>
      </c>
      <c r="H51" s="27">
        <f>rebio23_80ml!H52/50</f>
        <v>0</v>
      </c>
      <c r="I51" s="27">
        <f>rebio23_80ml!I52/50</f>
        <v>0.16</v>
      </c>
      <c r="J51" s="27">
        <f>rebio23_80ml!J52/50</f>
        <v>0</v>
      </c>
      <c r="K51" s="27">
        <f>rebio23_80ml!K52/50</f>
        <v>0</v>
      </c>
      <c r="L51" s="27">
        <f>rebio23_80ml!L52/50</f>
        <v>0</v>
      </c>
      <c r="M51" s="27">
        <f>rebio23_80ml!M52/50</f>
        <v>0</v>
      </c>
      <c r="N51" s="27">
        <f>rebio23_80ml!N52/50</f>
        <v>0</v>
      </c>
      <c r="O51" s="27">
        <f>rebio23_80ml!O52/50</f>
        <v>0</v>
      </c>
      <c r="P51" s="27">
        <f>rebio23_80ml!P52/50</f>
        <v>0</v>
      </c>
      <c r="Q51" s="27">
        <f>rebio23_80ml!Q52/50</f>
        <v>0</v>
      </c>
      <c r="R51" s="27">
        <f>rebio23_80ml!R52/50</f>
        <v>0</v>
      </c>
      <c r="S51" s="27">
        <f>rebio23_80ml!S52/50</f>
        <v>0</v>
      </c>
      <c r="T51" s="27">
        <f>rebio23_80ml!T52/50</f>
        <v>0</v>
      </c>
      <c r="U51" s="27">
        <f>rebio23_80ml!U52/50</f>
        <v>0</v>
      </c>
      <c r="V51" s="27">
        <f>rebio23_80ml!V52/50</f>
        <v>0</v>
      </c>
      <c r="W51" s="27">
        <f>rebio23_80ml!W52/50</f>
        <v>0</v>
      </c>
      <c r="X51" s="27">
        <f>rebio23_80ml!X52/50</f>
        <v>0</v>
      </c>
      <c r="Y51" s="27">
        <f>rebio23_80ml!Y52/50</f>
        <v>0</v>
      </c>
      <c r="Z51" s="27">
        <f>rebio23_80ml!Z52/50</f>
        <v>0</v>
      </c>
      <c r="AA51" s="27">
        <f>rebio23_80ml!AA52/50</f>
        <v>0</v>
      </c>
      <c r="AB51" s="27">
        <f>rebio23_80ml!AB52/50</f>
        <v>0</v>
      </c>
      <c r="AC51" s="27">
        <f>rebio23_80ml!AC52/50</f>
        <v>0</v>
      </c>
      <c r="AD51" s="27">
        <f>rebio23_80ml!AD52/50</f>
        <v>0</v>
      </c>
      <c r="AE51" s="27">
        <f>rebio23_80ml!AE52/50</f>
        <v>0</v>
      </c>
      <c r="AF51" s="27">
        <f>rebio23_80ml!AF52/50</f>
        <v>0</v>
      </c>
      <c r="AG51" s="27">
        <f>rebio23_80ml!AG52/50</f>
        <v>0</v>
      </c>
      <c r="AH51" s="27">
        <f>rebio23_80ml!AH52/50</f>
        <v>0</v>
      </c>
      <c r="AI51" s="27">
        <f>rebio23_80ml!AI52/50</f>
        <v>0</v>
      </c>
      <c r="AJ51" s="27">
        <f>rebio23_80ml!AJ52/50</f>
        <v>0</v>
      </c>
      <c r="AK51" s="27">
        <f>rebio23_80ml!AK52/50</f>
        <v>0</v>
      </c>
      <c r="AL51" s="27">
        <f>rebio23_80ml!AL52/50</f>
        <v>0</v>
      </c>
      <c r="AM51" s="27">
        <f>rebio23_80ml!AM52/50</f>
        <v>0</v>
      </c>
      <c r="AN51" s="27">
        <f>rebio23_80ml!AN52/50</f>
        <v>0</v>
      </c>
      <c r="AO51" s="27">
        <f>rebio23_80ml!AO52/50</f>
        <v>0</v>
      </c>
      <c r="AP51" s="27">
        <f>rebio23_80ml!AP52/50</f>
        <v>0</v>
      </c>
      <c r="AQ51" s="27">
        <f>rebio23_80ml!AQ52/50</f>
        <v>0</v>
      </c>
      <c r="AR51" s="27">
        <f>rebio23_80ml!AR52/50</f>
        <v>0</v>
      </c>
      <c r="AS51" s="27">
        <f>rebio23_80ml!AS52/50</f>
        <v>0</v>
      </c>
      <c r="AT51" s="27">
        <f>rebio23_80ml!AT52/50</f>
        <v>0</v>
      </c>
      <c r="AU51" s="27">
        <f>rebio23_80ml!AU52/50</f>
        <v>0</v>
      </c>
      <c r="AV51" s="27">
        <f>rebio23_80ml!AV52/50</f>
        <v>0.14000000000000001</v>
      </c>
      <c r="AW51" s="27">
        <f>rebio23_80ml!AW52/50</f>
        <v>0</v>
      </c>
      <c r="AX51" s="27">
        <f>rebio23_80ml!AX52/50</f>
        <v>0</v>
      </c>
      <c r="AY51" s="27">
        <f>rebio23_80ml!AY52/50</f>
        <v>0</v>
      </c>
      <c r="AZ51" s="27">
        <f>rebio23_80ml!AZ52/50</f>
        <v>0</v>
      </c>
      <c r="BA51" s="27">
        <f>rebio23_80ml!BA52/50</f>
        <v>0</v>
      </c>
      <c r="BB51" s="27">
        <f>rebio23_80ml!BB52/50</f>
        <v>0</v>
      </c>
      <c r="BC51" s="27">
        <f>rebio23_80ml!BC52/50</f>
        <v>0</v>
      </c>
      <c r="BD51" s="27">
        <f>rebio23_80ml!BD52/50</f>
        <v>0</v>
      </c>
      <c r="BE51" s="27">
        <f>rebio23_80ml!BE52/50</f>
        <v>0</v>
      </c>
      <c r="BF51" s="27">
        <f>rebio23_80ml!BF52/50</f>
        <v>0</v>
      </c>
      <c r="BG51" s="27">
        <f>rebio23_80ml!BG52/50</f>
        <v>0</v>
      </c>
    </row>
    <row r="52" spans="1:59" ht="12.75" customHeight="1" x14ac:dyDescent="0.25">
      <c r="A52" s="15" t="str">
        <f>rebio23_80ml!A53</f>
        <v>C-B-P05-H3</v>
      </c>
      <c r="B52" s="27">
        <f>rebio23_80ml!B53/50</f>
        <v>0</v>
      </c>
      <c r="C52" s="27">
        <f>rebio23_80ml!C53/50</f>
        <v>0</v>
      </c>
      <c r="D52" s="27">
        <f>rebio23_80ml!D53/50</f>
        <v>0</v>
      </c>
      <c r="E52" s="27">
        <f>rebio23_80ml!E53/50</f>
        <v>2.2000000000000002</v>
      </c>
      <c r="F52" s="27">
        <f>rebio23_80ml!F53/50</f>
        <v>0</v>
      </c>
      <c r="G52" s="27">
        <f>rebio23_80ml!G53/50</f>
        <v>0</v>
      </c>
      <c r="H52" s="27">
        <f>rebio23_80ml!H53/50</f>
        <v>0</v>
      </c>
      <c r="I52" s="27">
        <f>rebio23_80ml!I53/50</f>
        <v>1</v>
      </c>
      <c r="J52" s="27">
        <f>rebio23_80ml!J53/50</f>
        <v>0</v>
      </c>
      <c r="K52" s="27">
        <f>rebio23_80ml!K53/50</f>
        <v>0</v>
      </c>
      <c r="L52" s="27">
        <f>rebio23_80ml!L53/50</f>
        <v>0</v>
      </c>
      <c r="M52" s="27">
        <f>rebio23_80ml!M53/50</f>
        <v>0</v>
      </c>
      <c r="N52" s="27">
        <f>rebio23_80ml!N53/50</f>
        <v>0</v>
      </c>
      <c r="O52" s="27">
        <f>rebio23_80ml!O53/50</f>
        <v>0</v>
      </c>
      <c r="P52" s="27">
        <f>rebio23_80ml!P53/50</f>
        <v>0</v>
      </c>
      <c r="Q52" s="27">
        <f>rebio23_80ml!Q53/50</f>
        <v>0</v>
      </c>
      <c r="R52" s="27">
        <f>rebio23_80ml!R53/50</f>
        <v>0</v>
      </c>
      <c r="S52" s="27">
        <f>rebio23_80ml!S53/50</f>
        <v>0</v>
      </c>
      <c r="T52" s="27">
        <f>rebio23_80ml!T53/50</f>
        <v>0</v>
      </c>
      <c r="U52" s="27">
        <f>rebio23_80ml!U53/50</f>
        <v>0</v>
      </c>
      <c r="V52" s="27">
        <f>rebio23_80ml!V53/50</f>
        <v>0</v>
      </c>
      <c r="W52" s="27">
        <f>rebio23_80ml!W53/50</f>
        <v>0</v>
      </c>
      <c r="X52" s="27">
        <f>rebio23_80ml!X53/50</f>
        <v>0</v>
      </c>
      <c r="Y52" s="27">
        <f>rebio23_80ml!Y53/50</f>
        <v>0</v>
      </c>
      <c r="Z52" s="27">
        <f>rebio23_80ml!Z53/50</f>
        <v>0</v>
      </c>
      <c r="AA52" s="27">
        <f>rebio23_80ml!AA53/50</f>
        <v>0</v>
      </c>
      <c r="AB52" s="27">
        <f>rebio23_80ml!AB53/50</f>
        <v>0</v>
      </c>
      <c r="AC52" s="27">
        <f>rebio23_80ml!AC53/50</f>
        <v>0</v>
      </c>
      <c r="AD52" s="27">
        <f>rebio23_80ml!AD53/50</f>
        <v>0</v>
      </c>
      <c r="AE52" s="27">
        <f>rebio23_80ml!AE53/50</f>
        <v>0</v>
      </c>
      <c r="AF52" s="27">
        <f>rebio23_80ml!AF53/50</f>
        <v>0</v>
      </c>
      <c r="AG52" s="27">
        <f>rebio23_80ml!AG53/50</f>
        <v>0</v>
      </c>
      <c r="AH52" s="27">
        <f>rebio23_80ml!AH53/50</f>
        <v>0</v>
      </c>
      <c r="AI52" s="27">
        <f>rebio23_80ml!AI53/50</f>
        <v>0</v>
      </c>
      <c r="AJ52" s="27">
        <f>rebio23_80ml!AJ53/50</f>
        <v>0</v>
      </c>
      <c r="AK52" s="27">
        <f>rebio23_80ml!AK53/50</f>
        <v>0</v>
      </c>
      <c r="AL52" s="27">
        <f>rebio23_80ml!AL53/50</f>
        <v>0.04</v>
      </c>
      <c r="AM52" s="27">
        <f>rebio23_80ml!AM53/50</f>
        <v>0</v>
      </c>
      <c r="AN52" s="27">
        <f>rebio23_80ml!AN53/50</f>
        <v>0</v>
      </c>
      <c r="AO52" s="27">
        <f>rebio23_80ml!AO53/50</f>
        <v>0</v>
      </c>
      <c r="AP52" s="27">
        <f>rebio23_80ml!AP53/50</f>
        <v>0</v>
      </c>
      <c r="AQ52" s="27">
        <f>rebio23_80ml!AQ53/50</f>
        <v>0</v>
      </c>
      <c r="AR52" s="27">
        <f>rebio23_80ml!AR53/50</f>
        <v>0</v>
      </c>
      <c r="AS52" s="27">
        <f>rebio23_80ml!AS53/50</f>
        <v>0</v>
      </c>
      <c r="AT52" s="27">
        <f>rebio23_80ml!AT53/50</f>
        <v>0</v>
      </c>
      <c r="AU52" s="27">
        <f>rebio23_80ml!AU53/50</f>
        <v>0</v>
      </c>
      <c r="AV52" s="27">
        <f>rebio23_80ml!AV53/50</f>
        <v>0.36</v>
      </c>
      <c r="AW52" s="27">
        <f>rebio23_80ml!AW53/50</f>
        <v>0</v>
      </c>
      <c r="AX52" s="27">
        <f>rebio23_80ml!AX53/50</f>
        <v>0</v>
      </c>
      <c r="AY52" s="27">
        <f>rebio23_80ml!AY53/50</f>
        <v>0</v>
      </c>
      <c r="AZ52" s="27">
        <f>rebio23_80ml!AZ53/50</f>
        <v>0</v>
      </c>
      <c r="BA52" s="27">
        <f>rebio23_80ml!BA53/50</f>
        <v>0</v>
      </c>
      <c r="BB52" s="27">
        <f>rebio23_80ml!BB53/50</f>
        <v>0</v>
      </c>
      <c r="BC52" s="27">
        <f>rebio23_80ml!BC53/50</f>
        <v>0</v>
      </c>
      <c r="BD52" s="27">
        <f>rebio23_80ml!BD53/50</f>
        <v>0</v>
      </c>
      <c r="BE52" s="27">
        <f>rebio23_80ml!BE53/50</f>
        <v>0</v>
      </c>
      <c r="BF52" s="27">
        <f>rebio23_80ml!BF53/50</f>
        <v>0</v>
      </c>
      <c r="BG52" s="27">
        <f>rebio23_80ml!BG53/50</f>
        <v>0</v>
      </c>
    </row>
    <row r="53" spans="1:59" ht="12.75" customHeight="1" x14ac:dyDescent="0.25">
      <c r="A53" s="15" t="str">
        <f>rebio23_80ml!A54</f>
        <v>C-B-P06-H1</v>
      </c>
      <c r="B53" s="27">
        <f>rebio23_80ml!B54/50</f>
        <v>0.06</v>
      </c>
      <c r="C53" s="27">
        <f>rebio23_80ml!C54/50</f>
        <v>0</v>
      </c>
      <c r="D53" s="27">
        <f>rebio23_80ml!D54/50</f>
        <v>0</v>
      </c>
      <c r="E53" s="27">
        <f>rebio23_80ml!E54/50</f>
        <v>1.34</v>
      </c>
      <c r="F53" s="27">
        <f>rebio23_80ml!F54/50</f>
        <v>0</v>
      </c>
      <c r="G53" s="27">
        <f>rebio23_80ml!G54/50</f>
        <v>0</v>
      </c>
      <c r="H53" s="27">
        <f>rebio23_80ml!H54/50</f>
        <v>0</v>
      </c>
      <c r="I53" s="27">
        <f>rebio23_80ml!I54/50</f>
        <v>0.04</v>
      </c>
      <c r="J53" s="27">
        <f>rebio23_80ml!J54/50</f>
        <v>0</v>
      </c>
      <c r="K53" s="27">
        <f>rebio23_80ml!K54/50</f>
        <v>0</v>
      </c>
      <c r="L53" s="27">
        <f>rebio23_80ml!L54/50</f>
        <v>0</v>
      </c>
      <c r="M53" s="27">
        <f>rebio23_80ml!M54/50</f>
        <v>0</v>
      </c>
      <c r="N53" s="27">
        <f>rebio23_80ml!N54/50</f>
        <v>0</v>
      </c>
      <c r="O53" s="27">
        <f>rebio23_80ml!O54/50</f>
        <v>0</v>
      </c>
      <c r="P53" s="27">
        <f>rebio23_80ml!P54/50</f>
        <v>0</v>
      </c>
      <c r="Q53" s="27">
        <f>rebio23_80ml!Q54/50</f>
        <v>0</v>
      </c>
      <c r="R53" s="27">
        <f>rebio23_80ml!R54/50</f>
        <v>0</v>
      </c>
      <c r="S53" s="27">
        <f>rebio23_80ml!S54/50</f>
        <v>0</v>
      </c>
      <c r="T53" s="27">
        <f>rebio23_80ml!T54/50</f>
        <v>0</v>
      </c>
      <c r="U53" s="27">
        <f>rebio23_80ml!U54/50</f>
        <v>0</v>
      </c>
      <c r="V53" s="27">
        <f>rebio23_80ml!V54/50</f>
        <v>0</v>
      </c>
      <c r="W53" s="27">
        <f>rebio23_80ml!W54/50</f>
        <v>0</v>
      </c>
      <c r="X53" s="27">
        <f>rebio23_80ml!X54/50</f>
        <v>0</v>
      </c>
      <c r="Y53" s="27">
        <f>rebio23_80ml!Y54/50</f>
        <v>0.02</v>
      </c>
      <c r="Z53" s="27">
        <f>rebio23_80ml!Z54/50</f>
        <v>0</v>
      </c>
      <c r="AA53" s="27">
        <f>rebio23_80ml!AA54/50</f>
        <v>0</v>
      </c>
      <c r="AB53" s="27">
        <f>rebio23_80ml!AB54/50</f>
        <v>0</v>
      </c>
      <c r="AC53" s="27">
        <f>rebio23_80ml!AC54/50</f>
        <v>0</v>
      </c>
      <c r="AD53" s="27">
        <f>rebio23_80ml!AD54/50</f>
        <v>0</v>
      </c>
      <c r="AE53" s="27">
        <f>rebio23_80ml!AE54/50</f>
        <v>0</v>
      </c>
      <c r="AF53" s="27">
        <f>rebio23_80ml!AF54/50</f>
        <v>0</v>
      </c>
      <c r="AG53" s="27">
        <f>rebio23_80ml!AG54/50</f>
        <v>0</v>
      </c>
      <c r="AH53" s="27">
        <f>rebio23_80ml!AH54/50</f>
        <v>0</v>
      </c>
      <c r="AI53" s="27">
        <f>rebio23_80ml!AI54/50</f>
        <v>0</v>
      </c>
      <c r="AJ53" s="27">
        <f>rebio23_80ml!AJ54/50</f>
        <v>0</v>
      </c>
      <c r="AK53" s="27">
        <f>rebio23_80ml!AK54/50</f>
        <v>0</v>
      </c>
      <c r="AL53" s="27">
        <f>rebio23_80ml!AL54/50</f>
        <v>0</v>
      </c>
      <c r="AM53" s="27">
        <f>rebio23_80ml!AM54/50</f>
        <v>0</v>
      </c>
      <c r="AN53" s="27">
        <f>rebio23_80ml!AN54/50</f>
        <v>0</v>
      </c>
      <c r="AO53" s="27">
        <f>rebio23_80ml!AO54/50</f>
        <v>0</v>
      </c>
      <c r="AP53" s="27">
        <f>rebio23_80ml!AP54/50</f>
        <v>0</v>
      </c>
      <c r="AQ53" s="27">
        <f>rebio23_80ml!AQ54/50</f>
        <v>0</v>
      </c>
      <c r="AR53" s="27">
        <f>rebio23_80ml!AR54/50</f>
        <v>0</v>
      </c>
      <c r="AS53" s="27">
        <f>rebio23_80ml!AS54/50</f>
        <v>0</v>
      </c>
      <c r="AT53" s="27">
        <f>rebio23_80ml!AT54/50</f>
        <v>0</v>
      </c>
      <c r="AU53" s="27">
        <f>rebio23_80ml!AU54/50</f>
        <v>0</v>
      </c>
      <c r="AV53" s="27">
        <f>rebio23_80ml!AV54/50</f>
        <v>0.16</v>
      </c>
      <c r="AW53" s="27">
        <f>rebio23_80ml!AW54/50</f>
        <v>0</v>
      </c>
      <c r="AX53" s="27">
        <f>rebio23_80ml!AX54/50</f>
        <v>0.02</v>
      </c>
      <c r="AY53" s="27">
        <f>rebio23_80ml!AY54/50</f>
        <v>0</v>
      </c>
      <c r="AZ53" s="27">
        <f>rebio23_80ml!AZ54/50</f>
        <v>0</v>
      </c>
      <c r="BA53" s="27">
        <f>rebio23_80ml!BA54/50</f>
        <v>0</v>
      </c>
      <c r="BB53" s="27">
        <f>rebio23_80ml!BB54/50</f>
        <v>0</v>
      </c>
      <c r="BC53" s="27">
        <f>rebio23_80ml!BC54/50</f>
        <v>0</v>
      </c>
      <c r="BD53" s="27">
        <f>rebio23_80ml!BD54/50</f>
        <v>0</v>
      </c>
      <c r="BE53" s="27">
        <f>rebio23_80ml!BE54/50</f>
        <v>0</v>
      </c>
      <c r="BF53" s="27">
        <f>rebio23_80ml!BF54/50</f>
        <v>0</v>
      </c>
      <c r="BG53" s="27">
        <f>rebio23_80ml!BG54/50</f>
        <v>0</v>
      </c>
    </row>
    <row r="54" spans="1:59" ht="12.75" customHeight="1" x14ac:dyDescent="0.25">
      <c r="A54" s="15" t="str">
        <f>rebio23_80ml!A55</f>
        <v>C-B-P06-H2</v>
      </c>
      <c r="B54" s="27">
        <f>rebio23_80ml!B55/50</f>
        <v>0.02</v>
      </c>
      <c r="C54" s="27">
        <f>rebio23_80ml!C55/50</f>
        <v>0</v>
      </c>
      <c r="D54" s="27">
        <f>rebio23_80ml!D55/50</f>
        <v>0</v>
      </c>
      <c r="E54" s="27">
        <f>rebio23_80ml!E55/50</f>
        <v>1.3</v>
      </c>
      <c r="F54" s="27">
        <f>rebio23_80ml!F55/50</f>
        <v>0</v>
      </c>
      <c r="G54" s="27">
        <f>rebio23_80ml!G55/50</f>
        <v>0</v>
      </c>
      <c r="H54" s="27">
        <f>rebio23_80ml!H55/50</f>
        <v>0</v>
      </c>
      <c r="I54" s="27">
        <f>rebio23_80ml!I55/50</f>
        <v>0.1</v>
      </c>
      <c r="J54" s="27">
        <f>rebio23_80ml!J55/50</f>
        <v>0</v>
      </c>
      <c r="K54" s="27">
        <f>rebio23_80ml!K55/50</f>
        <v>0</v>
      </c>
      <c r="L54" s="27">
        <f>rebio23_80ml!L55/50</f>
        <v>0</v>
      </c>
      <c r="M54" s="27">
        <f>rebio23_80ml!M55/50</f>
        <v>0</v>
      </c>
      <c r="N54" s="27">
        <f>rebio23_80ml!N55/50</f>
        <v>0</v>
      </c>
      <c r="O54" s="27">
        <f>rebio23_80ml!O55/50</f>
        <v>0</v>
      </c>
      <c r="P54" s="27">
        <f>rebio23_80ml!P55/50</f>
        <v>0</v>
      </c>
      <c r="Q54" s="27">
        <f>rebio23_80ml!Q55/50</f>
        <v>0</v>
      </c>
      <c r="R54" s="27">
        <f>rebio23_80ml!R55/50</f>
        <v>0</v>
      </c>
      <c r="S54" s="27">
        <f>rebio23_80ml!S55/50</f>
        <v>0</v>
      </c>
      <c r="T54" s="27">
        <f>rebio23_80ml!T55/50</f>
        <v>0</v>
      </c>
      <c r="U54" s="27">
        <f>rebio23_80ml!U55/50</f>
        <v>0</v>
      </c>
      <c r="V54" s="27">
        <f>rebio23_80ml!V55/50</f>
        <v>0</v>
      </c>
      <c r="W54" s="27">
        <f>rebio23_80ml!W55/50</f>
        <v>0</v>
      </c>
      <c r="X54" s="27">
        <f>rebio23_80ml!X55/50</f>
        <v>0</v>
      </c>
      <c r="Y54" s="27">
        <f>rebio23_80ml!Y55/50</f>
        <v>0</v>
      </c>
      <c r="Z54" s="27">
        <f>rebio23_80ml!Z55/50</f>
        <v>0</v>
      </c>
      <c r="AA54" s="27">
        <f>rebio23_80ml!AA55/50</f>
        <v>0</v>
      </c>
      <c r="AB54" s="27">
        <f>rebio23_80ml!AB55/50</f>
        <v>0</v>
      </c>
      <c r="AC54" s="27">
        <f>rebio23_80ml!AC55/50</f>
        <v>0</v>
      </c>
      <c r="AD54" s="27">
        <f>rebio23_80ml!AD55/50</f>
        <v>0</v>
      </c>
      <c r="AE54" s="27">
        <f>rebio23_80ml!AE55/50</f>
        <v>0</v>
      </c>
      <c r="AF54" s="27">
        <f>rebio23_80ml!AF55/50</f>
        <v>0</v>
      </c>
      <c r="AG54" s="27">
        <f>rebio23_80ml!AG55/50</f>
        <v>0</v>
      </c>
      <c r="AH54" s="27">
        <f>rebio23_80ml!AH55/50</f>
        <v>0</v>
      </c>
      <c r="AI54" s="27">
        <f>rebio23_80ml!AI55/50</f>
        <v>0</v>
      </c>
      <c r="AJ54" s="27">
        <f>rebio23_80ml!AJ55/50</f>
        <v>0</v>
      </c>
      <c r="AK54" s="27">
        <f>rebio23_80ml!AK55/50</f>
        <v>0</v>
      </c>
      <c r="AL54" s="27">
        <f>rebio23_80ml!AL55/50</f>
        <v>0</v>
      </c>
      <c r="AM54" s="27">
        <f>rebio23_80ml!AM55/50</f>
        <v>0</v>
      </c>
      <c r="AN54" s="27">
        <f>rebio23_80ml!AN55/50</f>
        <v>0</v>
      </c>
      <c r="AO54" s="27">
        <f>rebio23_80ml!AO55/50</f>
        <v>0</v>
      </c>
      <c r="AP54" s="27">
        <f>rebio23_80ml!AP55/50</f>
        <v>0</v>
      </c>
      <c r="AQ54" s="27">
        <f>rebio23_80ml!AQ55/50</f>
        <v>0</v>
      </c>
      <c r="AR54" s="27">
        <f>rebio23_80ml!AR55/50</f>
        <v>0</v>
      </c>
      <c r="AS54" s="27">
        <f>rebio23_80ml!AS55/50</f>
        <v>0</v>
      </c>
      <c r="AT54" s="27">
        <f>rebio23_80ml!AT55/50</f>
        <v>0</v>
      </c>
      <c r="AU54" s="27">
        <f>rebio23_80ml!AU55/50</f>
        <v>0</v>
      </c>
      <c r="AV54" s="27">
        <f>rebio23_80ml!AV55/50</f>
        <v>0.02</v>
      </c>
      <c r="AW54" s="27">
        <f>rebio23_80ml!AW55/50</f>
        <v>0</v>
      </c>
      <c r="AX54" s="27">
        <f>rebio23_80ml!AX55/50</f>
        <v>0</v>
      </c>
      <c r="AY54" s="27">
        <f>rebio23_80ml!AY55/50</f>
        <v>0</v>
      </c>
      <c r="AZ54" s="27">
        <f>rebio23_80ml!AZ55/50</f>
        <v>0</v>
      </c>
      <c r="BA54" s="27">
        <f>rebio23_80ml!BA55/50</f>
        <v>0</v>
      </c>
      <c r="BB54" s="27">
        <f>rebio23_80ml!BB55/50</f>
        <v>0</v>
      </c>
      <c r="BC54" s="27">
        <f>rebio23_80ml!BC55/50</f>
        <v>0</v>
      </c>
      <c r="BD54" s="27">
        <f>rebio23_80ml!BD55/50</f>
        <v>0</v>
      </c>
      <c r="BE54" s="27">
        <f>rebio23_80ml!BE55/50</f>
        <v>0</v>
      </c>
      <c r="BF54" s="27">
        <f>rebio23_80ml!BF55/50</f>
        <v>0</v>
      </c>
      <c r="BG54" s="27">
        <f>rebio23_80ml!BG55/50</f>
        <v>0</v>
      </c>
    </row>
    <row r="55" spans="1:59" ht="12.75" customHeight="1" x14ac:dyDescent="0.25">
      <c r="A55" s="15" t="str">
        <f>rebio23_80ml!A56</f>
        <v>C-B-P06-H3</v>
      </c>
      <c r="B55" s="27">
        <f>rebio23_80ml!B56/50</f>
        <v>0</v>
      </c>
      <c r="C55" s="27">
        <f>rebio23_80ml!C56/50</f>
        <v>0</v>
      </c>
      <c r="D55" s="27">
        <f>rebio23_80ml!D56/50</f>
        <v>0</v>
      </c>
      <c r="E55" s="27">
        <f>rebio23_80ml!E56/50</f>
        <v>1.34</v>
      </c>
      <c r="F55" s="27">
        <f>rebio23_80ml!F56/50</f>
        <v>0</v>
      </c>
      <c r="G55" s="27">
        <f>rebio23_80ml!G56/50</f>
        <v>0</v>
      </c>
      <c r="H55" s="27">
        <f>rebio23_80ml!H56/50</f>
        <v>0</v>
      </c>
      <c r="I55" s="27">
        <f>rebio23_80ml!I56/50</f>
        <v>0.04</v>
      </c>
      <c r="J55" s="27">
        <f>rebio23_80ml!J56/50</f>
        <v>0</v>
      </c>
      <c r="K55" s="27">
        <f>rebio23_80ml!K56/50</f>
        <v>0</v>
      </c>
      <c r="L55" s="27">
        <f>rebio23_80ml!L56/50</f>
        <v>0</v>
      </c>
      <c r="M55" s="27">
        <f>rebio23_80ml!M56/50</f>
        <v>0</v>
      </c>
      <c r="N55" s="27">
        <f>rebio23_80ml!N56/50</f>
        <v>0</v>
      </c>
      <c r="O55" s="27">
        <f>rebio23_80ml!O56/50</f>
        <v>0</v>
      </c>
      <c r="P55" s="27">
        <f>rebio23_80ml!P56/50</f>
        <v>0</v>
      </c>
      <c r="Q55" s="27">
        <f>rebio23_80ml!Q56/50</f>
        <v>0</v>
      </c>
      <c r="R55" s="27">
        <f>rebio23_80ml!R56/50</f>
        <v>0</v>
      </c>
      <c r="S55" s="27">
        <f>rebio23_80ml!S56/50</f>
        <v>0</v>
      </c>
      <c r="T55" s="27">
        <f>rebio23_80ml!T56/50</f>
        <v>0</v>
      </c>
      <c r="U55" s="27">
        <f>rebio23_80ml!U56/50</f>
        <v>0</v>
      </c>
      <c r="V55" s="27">
        <f>rebio23_80ml!V56/50</f>
        <v>0</v>
      </c>
      <c r="W55" s="27">
        <f>rebio23_80ml!W56/50</f>
        <v>0</v>
      </c>
      <c r="X55" s="27">
        <f>rebio23_80ml!X56/50</f>
        <v>0</v>
      </c>
      <c r="Y55" s="27">
        <f>rebio23_80ml!Y56/50</f>
        <v>0.02</v>
      </c>
      <c r="Z55" s="27">
        <f>rebio23_80ml!Z56/50</f>
        <v>0</v>
      </c>
      <c r="AA55" s="27">
        <f>rebio23_80ml!AA56/50</f>
        <v>0</v>
      </c>
      <c r="AB55" s="27">
        <f>rebio23_80ml!AB56/50</f>
        <v>0</v>
      </c>
      <c r="AC55" s="27">
        <f>rebio23_80ml!AC56/50</f>
        <v>0</v>
      </c>
      <c r="AD55" s="27">
        <f>rebio23_80ml!AD56/50</f>
        <v>0</v>
      </c>
      <c r="AE55" s="27">
        <f>rebio23_80ml!AE56/50</f>
        <v>0</v>
      </c>
      <c r="AF55" s="27">
        <f>rebio23_80ml!AF56/50</f>
        <v>0</v>
      </c>
      <c r="AG55" s="27">
        <f>rebio23_80ml!AG56/50</f>
        <v>0</v>
      </c>
      <c r="AH55" s="27">
        <f>rebio23_80ml!AH56/50</f>
        <v>0</v>
      </c>
      <c r="AI55" s="27">
        <f>rebio23_80ml!AI56/50</f>
        <v>0</v>
      </c>
      <c r="AJ55" s="27">
        <f>rebio23_80ml!AJ56/50</f>
        <v>0</v>
      </c>
      <c r="AK55" s="27">
        <f>rebio23_80ml!AK56/50</f>
        <v>0</v>
      </c>
      <c r="AL55" s="27">
        <f>rebio23_80ml!AL56/50</f>
        <v>0</v>
      </c>
      <c r="AM55" s="27">
        <f>rebio23_80ml!AM56/50</f>
        <v>0</v>
      </c>
      <c r="AN55" s="27">
        <f>rebio23_80ml!AN56/50</f>
        <v>0</v>
      </c>
      <c r="AO55" s="27">
        <f>rebio23_80ml!AO56/50</f>
        <v>0</v>
      </c>
      <c r="AP55" s="27">
        <f>rebio23_80ml!AP56/50</f>
        <v>0</v>
      </c>
      <c r="AQ55" s="27">
        <f>rebio23_80ml!AQ56/50</f>
        <v>0</v>
      </c>
      <c r="AR55" s="27">
        <f>rebio23_80ml!AR56/50</f>
        <v>0</v>
      </c>
      <c r="AS55" s="27">
        <f>rebio23_80ml!AS56/50</f>
        <v>0</v>
      </c>
      <c r="AT55" s="27">
        <f>rebio23_80ml!AT56/50</f>
        <v>0</v>
      </c>
      <c r="AU55" s="27">
        <f>rebio23_80ml!AU56/50</f>
        <v>0</v>
      </c>
      <c r="AV55" s="27">
        <f>rebio23_80ml!AV56/50</f>
        <v>0</v>
      </c>
      <c r="AW55" s="27">
        <f>rebio23_80ml!AW56/50</f>
        <v>0</v>
      </c>
      <c r="AX55" s="27">
        <f>rebio23_80ml!AX56/50</f>
        <v>0</v>
      </c>
      <c r="AY55" s="27">
        <f>rebio23_80ml!AY56/50</f>
        <v>0</v>
      </c>
      <c r="AZ55" s="27">
        <f>rebio23_80ml!AZ56/50</f>
        <v>0</v>
      </c>
      <c r="BA55" s="27">
        <f>rebio23_80ml!BA56/50</f>
        <v>0</v>
      </c>
      <c r="BB55" s="27">
        <f>rebio23_80ml!BB56/50</f>
        <v>0</v>
      </c>
      <c r="BC55" s="27">
        <f>rebio23_80ml!BC56/50</f>
        <v>0</v>
      </c>
      <c r="BD55" s="27">
        <f>rebio23_80ml!BD56/50</f>
        <v>0.02</v>
      </c>
      <c r="BE55" s="27">
        <f>rebio23_80ml!BE56/50</f>
        <v>0</v>
      </c>
      <c r="BF55" s="27">
        <f>rebio23_80ml!BF56/50</f>
        <v>0</v>
      </c>
      <c r="BG55" s="27">
        <f>rebio23_80ml!BG56/50</f>
        <v>0</v>
      </c>
    </row>
    <row r="56" spans="1:59" ht="12.75" customHeight="1" x14ac:dyDescent="0.25">
      <c r="A56" s="15" t="str">
        <f>rebio23_80ml!A57</f>
        <v>C-B-P07-H1</v>
      </c>
      <c r="B56" s="27">
        <f>rebio23_80ml!B57/50</f>
        <v>0.02</v>
      </c>
      <c r="C56" s="27">
        <f>rebio23_80ml!C57/50</f>
        <v>0</v>
      </c>
      <c r="D56" s="27">
        <f>rebio23_80ml!D57/50</f>
        <v>0</v>
      </c>
      <c r="E56" s="27">
        <f>rebio23_80ml!E57/50</f>
        <v>2.1</v>
      </c>
      <c r="F56" s="27">
        <f>rebio23_80ml!F57/50</f>
        <v>0</v>
      </c>
      <c r="G56" s="27">
        <f>rebio23_80ml!G57/50</f>
        <v>0</v>
      </c>
      <c r="H56" s="27">
        <f>rebio23_80ml!H57/50</f>
        <v>0</v>
      </c>
      <c r="I56" s="27">
        <f>rebio23_80ml!I57/50</f>
        <v>0.12</v>
      </c>
      <c r="J56" s="27">
        <f>rebio23_80ml!J57/50</f>
        <v>0</v>
      </c>
      <c r="K56" s="27">
        <f>rebio23_80ml!K57/50</f>
        <v>0</v>
      </c>
      <c r="L56" s="27">
        <f>rebio23_80ml!L57/50</f>
        <v>0</v>
      </c>
      <c r="M56" s="27">
        <f>rebio23_80ml!M57/50</f>
        <v>0</v>
      </c>
      <c r="N56" s="27">
        <f>rebio23_80ml!N57/50</f>
        <v>0</v>
      </c>
      <c r="O56" s="27">
        <f>rebio23_80ml!O57/50</f>
        <v>0</v>
      </c>
      <c r="P56" s="27">
        <f>rebio23_80ml!P57/50</f>
        <v>0</v>
      </c>
      <c r="Q56" s="27">
        <f>rebio23_80ml!Q57/50</f>
        <v>0</v>
      </c>
      <c r="R56" s="27">
        <f>rebio23_80ml!R57/50</f>
        <v>0</v>
      </c>
      <c r="S56" s="27">
        <f>rebio23_80ml!S57/50</f>
        <v>0</v>
      </c>
      <c r="T56" s="27">
        <f>rebio23_80ml!T57/50</f>
        <v>0</v>
      </c>
      <c r="U56" s="27">
        <f>rebio23_80ml!U57/50</f>
        <v>0</v>
      </c>
      <c r="V56" s="27">
        <f>rebio23_80ml!V57/50</f>
        <v>0</v>
      </c>
      <c r="W56" s="27">
        <f>rebio23_80ml!W57/50</f>
        <v>0</v>
      </c>
      <c r="X56" s="27">
        <f>rebio23_80ml!X57/50</f>
        <v>0</v>
      </c>
      <c r="Y56" s="27">
        <f>rebio23_80ml!Y57/50</f>
        <v>0</v>
      </c>
      <c r="Z56" s="27">
        <f>rebio23_80ml!Z57/50</f>
        <v>0</v>
      </c>
      <c r="AA56" s="27">
        <f>rebio23_80ml!AA57/50</f>
        <v>0</v>
      </c>
      <c r="AB56" s="27">
        <f>rebio23_80ml!AB57/50</f>
        <v>0</v>
      </c>
      <c r="AC56" s="27">
        <f>rebio23_80ml!AC57/50</f>
        <v>0</v>
      </c>
      <c r="AD56" s="27">
        <f>rebio23_80ml!AD57/50</f>
        <v>0</v>
      </c>
      <c r="AE56" s="27">
        <f>rebio23_80ml!AE57/50</f>
        <v>0</v>
      </c>
      <c r="AF56" s="27">
        <f>rebio23_80ml!AF57/50</f>
        <v>0</v>
      </c>
      <c r="AG56" s="27">
        <f>rebio23_80ml!AG57/50</f>
        <v>0</v>
      </c>
      <c r="AH56" s="27">
        <f>rebio23_80ml!AH57/50</f>
        <v>0</v>
      </c>
      <c r="AI56" s="27">
        <f>rebio23_80ml!AI57/50</f>
        <v>0</v>
      </c>
      <c r="AJ56" s="27">
        <f>rebio23_80ml!AJ57/50</f>
        <v>0</v>
      </c>
      <c r="AK56" s="27">
        <f>rebio23_80ml!AK57/50</f>
        <v>0</v>
      </c>
      <c r="AL56" s="27">
        <f>rebio23_80ml!AL57/50</f>
        <v>0</v>
      </c>
      <c r="AM56" s="27">
        <f>rebio23_80ml!AM57/50</f>
        <v>0</v>
      </c>
      <c r="AN56" s="27">
        <f>rebio23_80ml!AN57/50</f>
        <v>0</v>
      </c>
      <c r="AO56" s="27">
        <f>rebio23_80ml!AO57/50</f>
        <v>0</v>
      </c>
      <c r="AP56" s="27">
        <f>rebio23_80ml!AP57/50</f>
        <v>0</v>
      </c>
      <c r="AQ56" s="27">
        <f>rebio23_80ml!AQ57/50</f>
        <v>0</v>
      </c>
      <c r="AR56" s="27">
        <f>rebio23_80ml!AR57/50</f>
        <v>0</v>
      </c>
      <c r="AS56" s="27">
        <f>rebio23_80ml!AS57/50</f>
        <v>0</v>
      </c>
      <c r="AT56" s="27">
        <f>rebio23_80ml!AT57/50</f>
        <v>0</v>
      </c>
      <c r="AU56" s="27">
        <f>rebio23_80ml!AU57/50</f>
        <v>0</v>
      </c>
      <c r="AV56" s="27">
        <f>rebio23_80ml!AV57/50</f>
        <v>0.14000000000000001</v>
      </c>
      <c r="AW56" s="27">
        <f>rebio23_80ml!AW57/50</f>
        <v>0</v>
      </c>
      <c r="AX56" s="27">
        <f>rebio23_80ml!AX57/50</f>
        <v>0</v>
      </c>
      <c r="AY56" s="27">
        <f>rebio23_80ml!AY57/50</f>
        <v>0</v>
      </c>
      <c r="AZ56" s="27">
        <f>rebio23_80ml!AZ57/50</f>
        <v>0</v>
      </c>
      <c r="BA56" s="27">
        <f>rebio23_80ml!BA57/50</f>
        <v>0</v>
      </c>
      <c r="BB56" s="27">
        <f>rebio23_80ml!BB57/50</f>
        <v>0</v>
      </c>
      <c r="BC56" s="27">
        <f>rebio23_80ml!BC57/50</f>
        <v>0</v>
      </c>
      <c r="BD56" s="27">
        <f>rebio23_80ml!BD57/50</f>
        <v>0</v>
      </c>
      <c r="BE56" s="27">
        <f>rebio23_80ml!BE57/50</f>
        <v>0</v>
      </c>
      <c r="BF56" s="27">
        <f>rebio23_80ml!BF57/50</f>
        <v>0</v>
      </c>
      <c r="BG56" s="27">
        <f>rebio23_80ml!BG57/50</f>
        <v>0</v>
      </c>
    </row>
    <row r="57" spans="1:59" ht="12.75" customHeight="1" x14ac:dyDescent="0.25">
      <c r="A57" s="15" t="str">
        <f>rebio23_80ml!A58</f>
        <v>C-B-P07-H2</v>
      </c>
      <c r="B57" s="27">
        <f>rebio23_80ml!B58/50</f>
        <v>0.02</v>
      </c>
      <c r="C57" s="27">
        <f>rebio23_80ml!C58/50</f>
        <v>0</v>
      </c>
      <c r="D57" s="27">
        <f>rebio23_80ml!D58/50</f>
        <v>0</v>
      </c>
      <c r="E57" s="27">
        <f>rebio23_80ml!E58/50</f>
        <v>1.1399999999999999</v>
      </c>
      <c r="F57" s="27">
        <f>rebio23_80ml!F58/50</f>
        <v>0</v>
      </c>
      <c r="G57" s="27">
        <f>rebio23_80ml!G58/50</f>
        <v>0</v>
      </c>
      <c r="H57" s="27">
        <f>rebio23_80ml!H58/50</f>
        <v>0</v>
      </c>
      <c r="I57" s="27">
        <f>rebio23_80ml!I58/50</f>
        <v>0.1</v>
      </c>
      <c r="J57" s="27">
        <f>rebio23_80ml!J58/50</f>
        <v>0</v>
      </c>
      <c r="K57" s="27">
        <f>rebio23_80ml!K58/50</f>
        <v>0</v>
      </c>
      <c r="L57" s="27">
        <f>rebio23_80ml!L58/50</f>
        <v>0</v>
      </c>
      <c r="M57" s="27">
        <f>rebio23_80ml!M58/50</f>
        <v>0</v>
      </c>
      <c r="N57" s="27">
        <f>rebio23_80ml!N58/50</f>
        <v>0</v>
      </c>
      <c r="O57" s="27">
        <f>rebio23_80ml!O58/50</f>
        <v>0</v>
      </c>
      <c r="P57" s="27">
        <f>rebio23_80ml!P58/50</f>
        <v>0</v>
      </c>
      <c r="Q57" s="27">
        <f>rebio23_80ml!Q58/50</f>
        <v>0</v>
      </c>
      <c r="R57" s="27">
        <f>rebio23_80ml!R58/50</f>
        <v>0</v>
      </c>
      <c r="S57" s="27">
        <f>rebio23_80ml!S58/50</f>
        <v>0</v>
      </c>
      <c r="T57" s="27">
        <f>rebio23_80ml!T58/50</f>
        <v>0</v>
      </c>
      <c r="U57" s="27">
        <f>rebio23_80ml!U58/50</f>
        <v>0</v>
      </c>
      <c r="V57" s="27">
        <f>rebio23_80ml!V58/50</f>
        <v>0</v>
      </c>
      <c r="W57" s="27">
        <f>rebio23_80ml!W58/50</f>
        <v>0</v>
      </c>
      <c r="X57" s="27">
        <f>rebio23_80ml!X58/50</f>
        <v>0</v>
      </c>
      <c r="Y57" s="27">
        <f>rebio23_80ml!Y58/50</f>
        <v>0</v>
      </c>
      <c r="Z57" s="27">
        <f>rebio23_80ml!Z58/50</f>
        <v>0</v>
      </c>
      <c r="AA57" s="27">
        <f>rebio23_80ml!AA58/50</f>
        <v>0</v>
      </c>
      <c r="AB57" s="27">
        <f>rebio23_80ml!AB58/50</f>
        <v>0</v>
      </c>
      <c r="AC57" s="27">
        <f>rebio23_80ml!AC58/50</f>
        <v>0</v>
      </c>
      <c r="AD57" s="27">
        <f>rebio23_80ml!AD58/50</f>
        <v>0</v>
      </c>
      <c r="AE57" s="27">
        <f>rebio23_80ml!AE58/50</f>
        <v>0</v>
      </c>
      <c r="AF57" s="27">
        <f>rebio23_80ml!AF58/50</f>
        <v>0</v>
      </c>
      <c r="AG57" s="27">
        <f>rebio23_80ml!AG58/50</f>
        <v>0</v>
      </c>
      <c r="AH57" s="27">
        <f>rebio23_80ml!AH58/50</f>
        <v>0</v>
      </c>
      <c r="AI57" s="27">
        <f>rebio23_80ml!AI58/50</f>
        <v>0</v>
      </c>
      <c r="AJ57" s="27">
        <f>rebio23_80ml!AJ58/50</f>
        <v>0</v>
      </c>
      <c r="AK57" s="27">
        <f>rebio23_80ml!AK58/50</f>
        <v>0</v>
      </c>
      <c r="AL57" s="27">
        <f>rebio23_80ml!AL58/50</f>
        <v>0</v>
      </c>
      <c r="AM57" s="27">
        <f>rebio23_80ml!AM58/50</f>
        <v>0</v>
      </c>
      <c r="AN57" s="27">
        <f>rebio23_80ml!AN58/50</f>
        <v>0</v>
      </c>
      <c r="AO57" s="27">
        <f>rebio23_80ml!AO58/50</f>
        <v>0</v>
      </c>
      <c r="AP57" s="27">
        <f>rebio23_80ml!AP58/50</f>
        <v>0</v>
      </c>
      <c r="AQ57" s="27">
        <f>rebio23_80ml!AQ58/50</f>
        <v>0</v>
      </c>
      <c r="AR57" s="27">
        <f>rebio23_80ml!AR58/50</f>
        <v>0</v>
      </c>
      <c r="AS57" s="27">
        <f>rebio23_80ml!AS58/50</f>
        <v>0</v>
      </c>
      <c r="AT57" s="27">
        <f>rebio23_80ml!AT58/50</f>
        <v>0</v>
      </c>
      <c r="AU57" s="27">
        <f>rebio23_80ml!AU58/50</f>
        <v>0</v>
      </c>
      <c r="AV57" s="27">
        <f>rebio23_80ml!AV58/50</f>
        <v>0.12</v>
      </c>
      <c r="AW57" s="27">
        <f>rebio23_80ml!AW58/50</f>
        <v>0</v>
      </c>
      <c r="AX57" s="27">
        <f>rebio23_80ml!AX58/50</f>
        <v>0</v>
      </c>
      <c r="AY57" s="27">
        <f>rebio23_80ml!AY58/50</f>
        <v>0</v>
      </c>
      <c r="AZ57" s="27">
        <f>rebio23_80ml!AZ58/50</f>
        <v>0</v>
      </c>
      <c r="BA57" s="27">
        <f>rebio23_80ml!BA58/50</f>
        <v>0</v>
      </c>
      <c r="BB57" s="27">
        <f>rebio23_80ml!BB58/50</f>
        <v>0</v>
      </c>
      <c r="BC57" s="27">
        <f>rebio23_80ml!BC58/50</f>
        <v>0</v>
      </c>
      <c r="BD57" s="27">
        <f>rebio23_80ml!BD58/50</f>
        <v>0</v>
      </c>
      <c r="BE57" s="27">
        <f>rebio23_80ml!BE58/50</f>
        <v>0</v>
      </c>
      <c r="BF57" s="27">
        <f>rebio23_80ml!BF58/50</f>
        <v>0</v>
      </c>
      <c r="BG57" s="27">
        <f>rebio23_80ml!BG58/50</f>
        <v>0</v>
      </c>
    </row>
    <row r="58" spans="1:59" ht="12.75" customHeight="1" x14ac:dyDescent="0.25">
      <c r="A58" s="15" t="str">
        <f>rebio23_80ml!A59</f>
        <v>C-B-P07-H3</v>
      </c>
      <c r="B58" s="27">
        <f>rebio23_80ml!B59/50</f>
        <v>0</v>
      </c>
      <c r="C58" s="27">
        <f>rebio23_80ml!C59/50</f>
        <v>0</v>
      </c>
      <c r="D58" s="27">
        <f>rebio23_80ml!D59/50</f>
        <v>0</v>
      </c>
      <c r="E58" s="27">
        <f>rebio23_80ml!E59/50</f>
        <v>1.34</v>
      </c>
      <c r="F58" s="27">
        <f>rebio23_80ml!F59/50</f>
        <v>0</v>
      </c>
      <c r="G58" s="27">
        <f>rebio23_80ml!G59/50</f>
        <v>0</v>
      </c>
      <c r="H58" s="27">
        <f>rebio23_80ml!H59/50</f>
        <v>0</v>
      </c>
      <c r="I58" s="27">
        <f>rebio23_80ml!I59/50</f>
        <v>0.06</v>
      </c>
      <c r="J58" s="27">
        <f>rebio23_80ml!J59/50</f>
        <v>0</v>
      </c>
      <c r="K58" s="27">
        <f>rebio23_80ml!K59/50</f>
        <v>0</v>
      </c>
      <c r="L58" s="27">
        <f>rebio23_80ml!L59/50</f>
        <v>0</v>
      </c>
      <c r="M58" s="27">
        <f>rebio23_80ml!M59/50</f>
        <v>0</v>
      </c>
      <c r="N58" s="27">
        <f>rebio23_80ml!N59/50</f>
        <v>0</v>
      </c>
      <c r="O58" s="27">
        <f>rebio23_80ml!O59/50</f>
        <v>0</v>
      </c>
      <c r="P58" s="27">
        <f>rebio23_80ml!P59/50</f>
        <v>0</v>
      </c>
      <c r="Q58" s="27">
        <f>rebio23_80ml!Q59/50</f>
        <v>0</v>
      </c>
      <c r="R58" s="27">
        <f>rebio23_80ml!R59/50</f>
        <v>0</v>
      </c>
      <c r="S58" s="27">
        <f>rebio23_80ml!S59/50</f>
        <v>0</v>
      </c>
      <c r="T58" s="27">
        <f>rebio23_80ml!T59/50</f>
        <v>0</v>
      </c>
      <c r="U58" s="27">
        <f>rebio23_80ml!U59/50</f>
        <v>0</v>
      </c>
      <c r="V58" s="27">
        <f>rebio23_80ml!V59/50</f>
        <v>0</v>
      </c>
      <c r="W58" s="27">
        <f>rebio23_80ml!W59/50</f>
        <v>0</v>
      </c>
      <c r="X58" s="27">
        <f>rebio23_80ml!X59/50</f>
        <v>0</v>
      </c>
      <c r="Y58" s="27">
        <f>rebio23_80ml!Y59/50</f>
        <v>0</v>
      </c>
      <c r="Z58" s="27">
        <f>rebio23_80ml!Z59/50</f>
        <v>0</v>
      </c>
      <c r="AA58" s="27">
        <f>rebio23_80ml!AA59/50</f>
        <v>0</v>
      </c>
      <c r="AB58" s="27">
        <f>rebio23_80ml!AB59/50</f>
        <v>0</v>
      </c>
      <c r="AC58" s="27">
        <f>rebio23_80ml!AC59/50</f>
        <v>0</v>
      </c>
      <c r="AD58" s="27">
        <f>rebio23_80ml!AD59/50</f>
        <v>0</v>
      </c>
      <c r="AE58" s="27">
        <f>rebio23_80ml!AE59/50</f>
        <v>0</v>
      </c>
      <c r="AF58" s="27">
        <f>rebio23_80ml!AF59/50</f>
        <v>0</v>
      </c>
      <c r="AG58" s="27">
        <f>rebio23_80ml!AG59/50</f>
        <v>0</v>
      </c>
      <c r="AH58" s="27">
        <f>rebio23_80ml!AH59/50</f>
        <v>0</v>
      </c>
      <c r="AI58" s="27">
        <f>rebio23_80ml!AI59/50</f>
        <v>0</v>
      </c>
      <c r="AJ58" s="27">
        <f>rebio23_80ml!AJ59/50</f>
        <v>0</v>
      </c>
      <c r="AK58" s="27">
        <f>rebio23_80ml!AK59/50</f>
        <v>0</v>
      </c>
      <c r="AL58" s="27">
        <f>rebio23_80ml!AL59/50</f>
        <v>0</v>
      </c>
      <c r="AM58" s="27">
        <f>rebio23_80ml!AM59/50</f>
        <v>0</v>
      </c>
      <c r="AN58" s="27">
        <f>rebio23_80ml!AN59/50</f>
        <v>0</v>
      </c>
      <c r="AO58" s="27">
        <f>rebio23_80ml!AO59/50</f>
        <v>0</v>
      </c>
      <c r="AP58" s="27">
        <f>rebio23_80ml!AP59/50</f>
        <v>0</v>
      </c>
      <c r="AQ58" s="27">
        <f>rebio23_80ml!AQ59/50</f>
        <v>0</v>
      </c>
      <c r="AR58" s="27">
        <f>rebio23_80ml!AR59/50</f>
        <v>0</v>
      </c>
      <c r="AS58" s="27">
        <f>rebio23_80ml!AS59/50</f>
        <v>0</v>
      </c>
      <c r="AT58" s="27">
        <f>rebio23_80ml!AT59/50</f>
        <v>0</v>
      </c>
      <c r="AU58" s="27">
        <f>rebio23_80ml!AU59/50</f>
        <v>0</v>
      </c>
      <c r="AV58" s="27">
        <f>rebio23_80ml!AV59/50</f>
        <v>0.14000000000000001</v>
      </c>
      <c r="AW58" s="27">
        <f>rebio23_80ml!AW59/50</f>
        <v>0</v>
      </c>
      <c r="AX58" s="27">
        <f>rebio23_80ml!AX59/50</f>
        <v>0</v>
      </c>
      <c r="AY58" s="27">
        <f>rebio23_80ml!AY59/50</f>
        <v>0</v>
      </c>
      <c r="AZ58" s="27">
        <f>rebio23_80ml!AZ59/50</f>
        <v>0</v>
      </c>
      <c r="BA58" s="27">
        <f>rebio23_80ml!BA59/50</f>
        <v>0</v>
      </c>
      <c r="BB58" s="27">
        <f>rebio23_80ml!BB59/50</f>
        <v>0</v>
      </c>
      <c r="BC58" s="27">
        <f>rebio23_80ml!BC59/50</f>
        <v>0</v>
      </c>
      <c r="BD58" s="27">
        <f>rebio23_80ml!BD59/50</f>
        <v>0</v>
      </c>
      <c r="BE58" s="27">
        <f>rebio23_80ml!BE59/50</f>
        <v>0</v>
      </c>
      <c r="BF58" s="27">
        <f>rebio23_80ml!BF59/50</f>
        <v>0</v>
      </c>
      <c r="BG58" s="27">
        <f>rebio23_80ml!BG59/50</f>
        <v>0</v>
      </c>
    </row>
    <row r="59" spans="1:59" ht="12.75" customHeight="1" x14ac:dyDescent="0.25">
      <c r="A59" s="15" t="str">
        <f>rebio23_80ml!A60</f>
        <v>C-B-P08-H1</v>
      </c>
      <c r="B59" s="27">
        <f>rebio23_80ml!B60/50</f>
        <v>12.68</v>
      </c>
      <c r="C59" s="27">
        <f>rebio23_80ml!C60/50</f>
        <v>2.54</v>
      </c>
      <c r="D59" s="27">
        <f>rebio23_80ml!D60/50</f>
        <v>0.94</v>
      </c>
      <c r="E59" s="27">
        <f>rebio23_80ml!E60/50</f>
        <v>3.74</v>
      </c>
      <c r="F59" s="27">
        <f>rebio23_80ml!F60/50</f>
        <v>0</v>
      </c>
      <c r="G59" s="27">
        <f>rebio23_80ml!G60/50</f>
        <v>0</v>
      </c>
      <c r="H59" s="27">
        <f>rebio23_80ml!H60/50</f>
        <v>0</v>
      </c>
      <c r="I59" s="27">
        <f>rebio23_80ml!I60/50</f>
        <v>28.2</v>
      </c>
      <c r="J59" s="27">
        <f>rebio23_80ml!J60/50</f>
        <v>6.86</v>
      </c>
      <c r="K59" s="27">
        <f>rebio23_80ml!K60/50</f>
        <v>0</v>
      </c>
      <c r="L59" s="27">
        <f>rebio23_80ml!L60/50</f>
        <v>0.2</v>
      </c>
      <c r="M59" s="27">
        <f>rebio23_80ml!M60/50</f>
        <v>0</v>
      </c>
      <c r="N59" s="27">
        <f>rebio23_80ml!N60/50</f>
        <v>0</v>
      </c>
      <c r="O59" s="27">
        <f>rebio23_80ml!O60/50</f>
        <v>0</v>
      </c>
      <c r="P59" s="27">
        <f>rebio23_80ml!P60/50</f>
        <v>0</v>
      </c>
      <c r="Q59" s="27">
        <f>rebio23_80ml!Q60/50</f>
        <v>0</v>
      </c>
      <c r="R59" s="27">
        <f>rebio23_80ml!R60/50</f>
        <v>0</v>
      </c>
      <c r="S59" s="27">
        <f>rebio23_80ml!S60/50</f>
        <v>0.12</v>
      </c>
      <c r="T59" s="27">
        <f>rebio23_80ml!T60/50</f>
        <v>0.02</v>
      </c>
      <c r="U59" s="27">
        <f>rebio23_80ml!U60/50</f>
        <v>0</v>
      </c>
      <c r="V59" s="27">
        <f>rebio23_80ml!V60/50</f>
        <v>0.02</v>
      </c>
      <c r="W59" s="27">
        <f>rebio23_80ml!W60/50</f>
        <v>0</v>
      </c>
      <c r="X59" s="27">
        <f>rebio23_80ml!X60/50</f>
        <v>0</v>
      </c>
      <c r="Y59" s="27">
        <f>rebio23_80ml!Y60/50</f>
        <v>1.04</v>
      </c>
      <c r="Z59" s="27">
        <f>rebio23_80ml!Z60/50</f>
        <v>0.02</v>
      </c>
      <c r="AA59" s="27">
        <f>rebio23_80ml!AA60/50</f>
        <v>0.02</v>
      </c>
      <c r="AB59" s="27">
        <f>rebio23_80ml!AB60/50</f>
        <v>0</v>
      </c>
      <c r="AC59" s="27">
        <f>rebio23_80ml!AC60/50</f>
        <v>0</v>
      </c>
      <c r="AD59" s="27">
        <f>rebio23_80ml!AD60/50</f>
        <v>0</v>
      </c>
      <c r="AE59" s="27">
        <f>rebio23_80ml!AE60/50</f>
        <v>0</v>
      </c>
      <c r="AF59" s="27">
        <f>rebio23_80ml!AF60/50</f>
        <v>0</v>
      </c>
      <c r="AG59" s="27">
        <f>rebio23_80ml!AG60/50</f>
        <v>0</v>
      </c>
      <c r="AH59" s="27">
        <f>rebio23_80ml!AH60/50</f>
        <v>0</v>
      </c>
      <c r="AI59" s="27">
        <f>rebio23_80ml!AI60/50</f>
        <v>0</v>
      </c>
      <c r="AJ59" s="27">
        <f>rebio23_80ml!AJ60/50</f>
        <v>0.02</v>
      </c>
      <c r="AK59" s="27">
        <f>rebio23_80ml!AK60/50</f>
        <v>0.06</v>
      </c>
      <c r="AL59" s="27">
        <f>rebio23_80ml!AL60/50</f>
        <v>1.24</v>
      </c>
      <c r="AM59" s="27">
        <f>rebio23_80ml!AM60/50</f>
        <v>0.4</v>
      </c>
      <c r="AN59" s="27">
        <f>rebio23_80ml!AN60/50</f>
        <v>0.5</v>
      </c>
      <c r="AO59" s="27">
        <f>rebio23_80ml!AO60/50</f>
        <v>0.04</v>
      </c>
      <c r="AP59" s="27">
        <f>rebio23_80ml!AP60/50</f>
        <v>0.6</v>
      </c>
      <c r="AQ59" s="27">
        <f>rebio23_80ml!AQ60/50</f>
        <v>0.24</v>
      </c>
      <c r="AR59" s="27">
        <f>rebio23_80ml!AR60/50</f>
        <v>0.02</v>
      </c>
      <c r="AS59" s="27">
        <f>rebio23_80ml!AS60/50</f>
        <v>0</v>
      </c>
      <c r="AT59" s="27">
        <f>rebio23_80ml!AT60/50</f>
        <v>0</v>
      </c>
      <c r="AU59" s="27">
        <f>rebio23_80ml!AU60/50</f>
        <v>0</v>
      </c>
      <c r="AV59" s="27">
        <f>rebio23_80ml!AV60/50</f>
        <v>4.9800000000000004</v>
      </c>
      <c r="AW59" s="27">
        <f>rebio23_80ml!AW60/50</f>
        <v>0</v>
      </c>
      <c r="AX59" s="27">
        <f>rebio23_80ml!AX60/50</f>
        <v>2.2000000000000002</v>
      </c>
      <c r="AY59" s="27">
        <f>rebio23_80ml!AY60/50</f>
        <v>0</v>
      </c>
      <c r="AZ59" s="27">
        <f>rebio23_80ml!AZ60/50</f>
        <v>0</v>
      </c>
      <c r="BA59" s="27">
        <f>rebio23_80ml!BA60/50</f>
        <v>0.02</v>
      </c>
      <c r="BB59" s="27">
        <f>rebio23_80ml!BB60/50</f>
        <v>0</v>
      </c>
      <c r="BC59" s="27">
        <f>rebio23_80ml!BC60/50</f>
        <v>0.02</v>
      </c>
      <c r="BD59" s="27">
        <f>rebio23_80ml!BD60/50</f>
        <v>0</v>
      </c>
      <c r="BE59" s="27">
        <f>rebio23_80ml!BE60/50</f>
        <v>0</v>
      </c>
      <c r="BF59" s="27">
        <f>rebio23_80ml!BF60/50</f>
        <v>0</v>
      </c>
      <c r="BG59" s="27">
        <f>rebio23_80ml!BG60/50</f>
        <v>0</v>
      </c>
    </row>
    <row r="60" spans="1:59" ht="12.75" customHeight="1" x14ac:dyDescent="0.25">
      <c r="A60" s="15" t="str">
        <f>rebio23_80ml!A61</f>
        <v>C-B-P08-H2</v>
      </c>
      <c r="B60" s="27">
        <f>rebio23_80ml!B61/50</f>
        <v>3.16</v>
      </c>
      <c r="C60" s="27">
        <f>rebio23_80ml!C61/50</f>
        <v>0.62</v>
      </c>
      <c r="D60" s="27">
        <f>rebio23_80ml!D61/50</f>
        <v>0.2</v>
      </c>
      <c r="E60" s="27">
        <f>rebio23_80ml!E61/50</f>
        <v>3.94</v>
      </c>
      <c r="F60" s="27">
        <f>rebio23_80ml!F61/50</f>
        <v>0.02</v>
      </c>
      <c r="G60" s="27">
        <f>rebio23_80ml!G61/50</f>
        <v>0</v>
      </c>
      <c r="H60" s="27">
        <f>rebio23_80ml!H61/50</f>
        <v>0</v>
      </c>
      <c r="I60" s="27">
        <f>rebio23_80ml!I61/50</f>
        <v>8.14</v>
      </c>
      <c r="J60" s="27">
        <f>rebio23_80ml!J61/50</f>
        <v>2.72</v>
      </c>
      <c r="K60" s="27">
        <f>rebio23_80ml!K61/50</f>
        <v>0</v>
      </c>
      <c r="L60" s="27">
        <f>rebio23_80ml!L61/50</f>
        <v>0.06</v>
      </c>
      <c r="M60" s="27">
        <f>rebio23_80ml!M61/50</f>
        <v>0</v>
      </c>
      <c r="N60" s="27">
        <f>rebio23_80ml!N61/50</f>
        <v>0</v>
      </c>
      <c r="O60" s="27">
        <f>rebio23_80ml!O61/50</f>
        <v>0</v>
      </c>
      <c r="P60" s="27">
        <f>rebio23_80ml!P61/50</f>
        <v>0</v>
      </c>
      <c r="Q60" s="27">
        <f>rebio23_80ml!Q61/50</f>
        <v>0</v>
      </c>
      <c r="R60" s="27">
        <f>rebio23_80ml!R61/50</f>
        <v>0</v>
      </c>
      <c r="S60" s="27">
        <f>rebio23_80ml!S61/50</f>
        <v>0.02</v>
      </c>
      <c r="T60" s="27">
        <f>rebio23_80ml!T61/50</f>
        <v>0.02</v>
      </c>
      <c r="U60" s="27">
        <f>rebio23_80ml!U61/50</f>
        <v>0</v>
      </c>
      <c r="V60" s="27">
        <f>rebio23_80ml!V61/50</f>
        <v>0</v>
      </c>
      <c r="W60" s="27">
        <f>rebio23_80ml!W61/50</f>
        <v>0</v>
      </c>
      <c r="X60" s="27">
        <f>rebio23_80ml!X61/50</f>
        <v>0</v>
      </c>
      <c r="Y60" s="27">
        <f>rebio23_80ml!Y61/50</f>
        <v>0.4</v>
      </c>
      <c r="Z60" s="27">
        <f>rebio23_80ml!Z61/50</f>
        <v>0.02</v>
      </c>
      <c r="AA60" s="27">
        <f>rebio23_80ml!AA61/50</f>
        <v>0.02</v>
      </c>
      <c r="AB60" s="27">
        <f>rebio23_80ml!AB61/50</f>
        <v>0</v>
      </c>
      <c r="AC60" s="27">
        <f>rebio23_80ml!AC61/50</f>
        <v>0</v>
      </c>
      <c r="AD60" s="27">
        <f>rebio23_80ml!AD61/50</f>
        <v>0</v>
      </c>
      <c r="AE60" s="27">
        <f>rebio23_80ml!AE61/50</f>
        <v>0</v>
      </c>
      <c r="AF60" s="27">
        <f>rebio23_80ml!AF61/50</f>
        <v>0</v>
      </c>
      <c r="AG60" s="27">
        <f>rebio23_80ml!AG61/50</f>
        <v>0</v>
      </c>
      <c r="AH60" s="27">
        <f>rebio23_80ml!AH61/50</f>
        <v>0</v>
      </c>
      <c r="AI60" s="27">
        <f>rebio23_80ml!AI61/50</f>
        <v>0</v>
      </c>
      <c r="AJ60" s="27">
        <f>rebio23_80ml!AJ61/50</f>
        <v>0.08</v>
      </c>
      <c r="AK60" s="27">
        <f>rebio23_80ml!AK61/50</f>
        <v>0</v>
      </c>
      <c r="AL60" s="27">
        <f>rebio23_80ml!AL61/50</f>
        <v>0.48</v>
      </c>
      <c r="AM60" s="27">
        <f>rebio23_80ml!AM61/50</f>
        <v>0.06</v>
      </c>
      <c r="AN60" s="27">
        <f>rebio23_80ml!AN61/50</f>
        <v>0</v>
      </c>
      <c r="AO60" s="27">
        <f>rebio23_80ml!AO61/50</f>
        <v>0.02</v>
      </c>
      <c r="AP60" s="27">
        <f>rebio23_80ml!AP61/50</f>
        <v>0.08</v>
      </c>
      <c r="AQ60" s="27">
        <f>rebio23_80ml!AQ61/50</f>
        <v>0</v>
      </c>
      <c r="AR60" s="27">
        <f>rebio23_80ml!AR61/50</f>
        <v>0.06</v>
      </c>
      <c r="AS60" s="27">
        <f>rebio23_80ml!AS61/50</f>
        <v>0</v>
      </c>
      <c r="AT60" s="27">
        <f>rebio23_80ml!AT61/50</f>
        <v>0</v>
      </c>
      <c r="AU60" s="27">
        <f>rebio23_80ml!AU61/50</f>
        <v>0</v>
      </c>
      <c r="AV60" s="27">
        <f>rebio23_80ml!AV61/50</f>
        <v>4.3600000000000003</v>
      </c>
      <c r="AW60" s="27">
        <f>rebio23_80ml!AW61/50</f>
        <v>0</v>
      </c>
      <c r="AX60" s="27">
        <f>rebio23_80ml!AX61/50</f>
        <v>0.04</v>
      </c>
      <c r="AY60" s="27">
        <f>rebio23_80ml!AY61/50</f>
        <v>0</v>
      </c>
      <c r="AZ60" s="27">
        <f>rebio23_80ml!AZ61/50</f>
        <v>0</v>
      </c>
      <c r="BA60" s="27">
        <f>rebio23_80ml!BA61/50</f>
        <v>0</v>
      </c>
      <c r="BB60" s="27">
        <f>rebio23_80ml!BB61/50</f>
        <v>0</v>
      </c>
      <c r="BC60" s="27">
        <f>rebio23_80ml!BC61/50</f>
        <v>0</v>
      </c>
      <c r="BD60" s="27">
        <f>rebio23_80ml!BD61/50</f>
        <v>0</v>
      </c>
      <c r="BE60" s="27">
        <f>rebio23_80ml!BE61/50</f>
        <v>0</v>
      </c>
      <c r="BF60" s="27">
        <f>rebio23_80ml!BF61/50</f>
        <v>0</v>
      </c>
      <c r="BG60" s="27">
        <f>rebio23_80ml!BG61/50</f>
        <v>0</v>
      </c>
    </row>
    <row r="61" spans="1:59" ht="12.75" customHeight="1" x14ac:dyDescent="0.25">
      <c r="A61" s="15" t="str">
        <f>rebio23_80ml!A62</f>
        <v>C-B-P08-H3</v>
      </c>
      <c r="B61" s="27">
        <f>rebio23_80ml!B62/50</f>
        <v>0.02</v>
      </c>
      <c r="C61" s="27">
        <f>rebio23_80ml!C62/50</f>
        <v>0</v>
      </c>
      <c r="D61" s="27">
        <f>rebio23_80ml!D62/50</f>
        <v>0</v>
      </c>
      <c r="E61" s="27">
        <f>rebio23_80ml!E62/50</f>
        <v>2.52</v>
      </c>
      <c r="F61" s="27">
        <f>rebio23_80ml!F64/50</f>
        <v>0</v>
      </c>
      <c r="G61" s="27">
        <f>rebio23_80ml!G62/50</f>
        <v>0</v>
      </c>
      <c r="H61" s="27">
        <f>rebio23_80ml!H62/50</f>
        <v>0</v>
      </c>
      <c r="I61" s="27">
        <f>rebio23_80ml!I62/50</f>
        <v>0.1</v>
      </c>
      <c r="J61" s="27">
        <f>rebio23_80ml!J62/50</f>
        <v>0</v>
      </c>
      <c r="K61" s="27">
        <f>rebio23_80ml!K62/50</f>
        <v>0</v>
      </c>
      <c r="L61" s="27">
        <f>rebio23_80ml!L62/50</f>
        <v>0.02</v>
      </c>
      <c r="M61" s="27">
        <f>rebio23_80ml!M62/50</f>
        <v>0</v>
      </c>
      <c r="N61" s="27">
        <f>rebio23_80ml!N62/50</f>
        <v>0</v>
      </c>
      <c r="O61" s="27">
        <f>rebio23_80ml!O62/50</f>
        <v>0</v>
      </c>
      <c r="P61" s="27">
        <f>rebio23_80ml!P62/50</f>
        <v>0</v>
      </c>
      <c r="Q61" s="27">
        <f>rebio23_80ml!Q62/50</f>
        <v>0.02</v>
      </c>
      <c r="R61" s="27">
        <f>rebio23_80ml!R62/50</f>
        <v>0</v>
      </c>
      <c r="S61" s="27">
        <f>rebio23_80ml!S62/50</f>
        <v>0</v>
      </c>
      <c r="T61" s="27">
        <f>rebio23_80ml!T62/50</f>
        <v>0.04</v>
      </c>
      <c r="U61" s="27">
        <f>rebio23_80ml!U62/50</f>
        <v>0</v>
      </c>
      <c r="V61" s="27">
        <f>rebio23_80ml!V62/50</f>
        <v>0</v>
      </c>
      <c r="W61" s="27">
        <f>rebio23_80ml!W62/50</f>
        <v>0</v>
      </c>
      <c r="X61" s="27">
        <f>rebio23_80ml!X62/50</f>
        <v>0</v>
      </c>
      <c r="Y61" s="27">
        <f>rebio23_80ml!Y62/50</f>
        <v>0.04</v>
      </c>
      <c r="Z61" s="27">
        <f>rebio23_80ml!Z62/50</f>
        <v>0</v>
      </c>
      <c r="AA61" s="27">
        <f>rebio23_80ml!AA62/50</f>
        <v>0</v>
      </c>
      <c r="AB61" s="27">
        <f>rebio23_80ml!AB62/50</f>
        <v>0</v>
      </c>
      <c r="AC61" s="27">
        <f>rebio23_80ml!AC62/50</f>
        <v>0</v>
      </c>
      <c r="AD61" s="27">
        <f>rebio23_80ml!AD62/50</f>
        <v>0</v>
      </c>
      <c r="AE61" s="27">
        <f>rebio23_80ml!AE62/50</f>
        <v>0</v>
      </c>
      <c r="AF61" s="27">
        <f>rebio23_80ml!AF62/50</f>
        <v>0</v>
      </c>
      <c r="AG61" s="27">
        <f>rebio23_80ml!AG62/50</f>
        <v>0</v>
      </c>
      <c r="AH61" s="27">
        <f>rebio23_80ml!AH62/50</f>
        <v>0</v>
      </c>
      <c r="AI61" s="27">
        <f>rebio23_80ml!AI62/50</f>
        <v>0</v>
      </c>
      <c r="AJ61" s="27">
        <f>rebio23_80ml!AJ62/50</f>
        <v>0</v>
      </c>
      <c r="AK61" s="27">
        <f>rebio23_80ml!AK62/50</f>
        <v>0</v>
      </c>
      <c r="AL61" s="27">
        <f>rebio23_80ml!AL62/50</f>
        <v>0.02</v>
      </c>
      <c r="AM61" s="27">
        <f>rebio23_80ml!AM62/50</f>
        <v>0</v>
      </c>
      <c r="AN61" s="27">
        <f>rebio23_80ml!AN62/50</f>
        <v>0</v>
      </c>
      <c r="AO61" s="27">
        <f>rebio23_80ml!AO62/50</f>
        <v>0</v>
      </c>
      <c r="AP61" s="27">
        <f>rebio23_80ml!AP62/50</f>
        <v>0</v>
      </c>
      <c r="AQ61" s="27">
        <f>rebio23_80ml!AQ62/50</f>
        <v>0</v>
      </c>
      <c r="AR61" s="27">
        <f>rebio23_80ml!AR62/50</f>
        <v>0</v>
      </c>
      <c r="AS61" s="27">
        <f>rebio23_80ml!AS62/50</f>
        <v>0</v>
      </c>
      <c r="AT61" s="27">
        <f>rebio23_80ml!AT62/50</f>
        <v>0</v>
      </c>
      <c r="AU61" s="27">
        <f>rebio23_80ml!AU62/50</f>
        <v>0</v>
      </c>
      <c r="AV61" s="27">
        <f>rebio23_80ml!AV62/50</f>
        <v>0.16</v>
      </c>
      <c r="AW61" s="27">
        <f>rebio23_80ml!AW62/50</f>
        <v>0</v>
      </c>
      <c r="AX61" s="27">
        <f>rebio23_80ml!AX62/50</f>
        <v>0</v>
      </c>
      <c r="AY61" s="27">
        <f>rebio23_80ml!AY62/50</f>
        <v>0</v>
      </c>
      <c r="AZ61" s="27">
        <f>rebio23_80ml!AZ62/50</f>
        <v>0</v>
      </c>
      <c r="BA61" s="27">
        <f>rebio23_80ml!BA62/50</f>
        <v>0</v>
      </c>
      <c r="BB61" s="27">
        <f>rebio23_80ml!BB62/50</f>
        <v>0</v>
      </c>
      <c r="BC61" s="27">
        <f>rebio23_80ml!BC62/50</f>
        <v>0</v>
      </c>
      <c r="BD61" s="27">
        <f>rebio23_80ml!BD62/50</f>
        <v>0</v>
      </c>
      <c r="BE61" s="27">
        <f>rebio23_80ml!BE62/50</f>
        <v>0</v>
      </c>
      <c r="BF61" s="27">
        <f>rebio23_80ml!BF62/50</f>
        <v>0</v>
      </c>
      <c r="BG61" s="27">
        <f>rebio23_80ml!BG62/50</f>
        <v>0</v>
      </c>
    </row>
    <row r="62" spans="1:59" ht="12.75" customHeight="1" x14ac:dyDescent="0.25">
      <c r="A62" s="15" t="str">
        <f>rebio23_80ml!A63</f>
        <v>C-B-P09-H1</v>
      </c>
      <c r="B62" s="27">
        <f>rebio23_80ml!B63/50</f>
        <v>0</v>
      </c>
      <c r="C62" s="27">
        <f>rebio23_80ml!C63/50</f>
        <v>0</v>
      </c>
      <c r="D62" s="27">
        <f>rebio23_80ml!D63/50</f>
        <v>0</v>
      </c>
      <c r="E62" s="27">
        <f>rebio23_80ml!E63/50</f>
        <v>1.48</v>
      </c>
      <c r="F62" s="27">
        <f>rebio23_80ml!F65/50</f>
        <v>0</v>
      </c>
      <c r="G62" s="27">
        <f>rebio23_80ml!G63/50</f>
        <v>0</v>
      </c>
      <c r="H62" s="27">
        <f>rebio23_80ml!H63/50</f>
        <v>0</v>
      </c>
      <c r="I62" s="27">
        <f>rebio23_80ml!I63/50</f>
        <v>0</v>
      </c>
      <c r="J62" s="27">
        <f>rebio23_80ml!J63/50</f>
        <v>0</v>
      </c>
      <c r="K62" s="27">
        <f>rebio23_80ml!K63/50</f>
        <v>0</v>
      </c>
      <c r="L62" s="27">
        <f>rebio23_80ml!L63/50</f>
        <v>0</v>
      </c>
      <c r="M62" s="27">
        <f>rebio23_80ml!M63/50</f>
        <v>0</v>
      </c>
      <c r="N62" s="27">
        <f>rebio23_80ml!N63/50</f>
        <v>0</v>
      </c>
      <c r="O62" s="27">
        <f>rebio23_80ml!O63/50</f>
        <v>0</v>
      </c>
      <c r="P62" s="27">
        <f>rebio23_80ml!P63/50</f>
        <v>0</v>
      </c>
      <c r="Q62" s="27">
        <f>rebio23_80ml!Q63/50</f>
        <v>0</v>
      </c>
      <c r="R62" s="27">
        <f>rebio23_80ml!R63/50</f>
        <v>0</v>
      </c>
      <c r="S62" s="27">
        <f>rebio23_80ml!S63/50</f>
        <v>0</v>
      </c>
      <c r="T62" s="27">
        <f>rebio23_80ml!T63/50</f>
        <v>0</v>
      </c>
      <c r="U62" s="27">
        <f>rebio23_80ml!U63/50</f>
        <v>0</v>
      </c>
      <c r="V62" s="27">
        <f>rebio23_80ml!V63/50</f>
        <v>0</v>
      </c>
      <c r="W62" s="27">
        <f>rebio23_80ml!W63/50</f>
        <v>0</v>
      </c>
      <c r="X62" s="27">
        <f>rebio23_80ml!X63/50</f>
        <v>0</v>
      </c>
      <c r="Y62" s="27">
        <f>rebio23_80ml!Y63/50</f>
        <v>0</v>
      </c>
      <c r="Z62" s="27">
        <f>rebio23_80ml!Z63/50</f>
        <v>0</v>
      </c>
      <c r="AA62" s="27">
        <f>rebio23_80ml!AA63/50</f>
        <v>0</v>
      </c>
      <c r="AB62" s="27">
        <f>rebio23_80ml!AB63/50</f>
        <v>0</v>
      </c>
      <c r="AC62" s="27">
        <f>rebio23_80ml!AC63/50</f>
        <v>0</v>
      </c>
      <c r="AD62" s="27">
        <f>rebio23_80ml!AD63/50</f>
        <v>0</v>
      </c>
      <c r="AE62" s="27">
        <f>rebio23_80ml!AE63/50</f>
        <v>0</v>
      </c>
      <c r="AF62" s="27">
        <f>rebio23_80ml!AF63/50</f>
        <v>0</v>
      </c>
      <c r="AG62" s="27">
        <f>rebio23_80ml!AG63/50</f>
        <v>0</v>
      </c>
      <c r="AH62" s="27">
        <f>rebio23_80ml!AH63/50</f>
        <v>0</v>
      </c>
      <c r="AI62" s="27">
        <f>rebio23_80ml!AI63/50</f>
        <v>0</v>
      </c>
      <c r="AJ62" s="27">
        <f>rebio23_80ml!AJ63/50</f>
        <v>0</v>
      </c>
      <c r="AK62" s="27">
        <f>rebio23_80ml!AK63/50</f>
        <v>0</v>
      </c>
      <c r="AL62" s="27">
        <f>rebio23_80ml!AL63/50</f>
        <v>0</v>
      </c>
      <c r="AM62" s="27">
        <f>rebio23_80ml!AM63/50</f>
        <v>0</v>
      </c>
      <c r="AN62" s="27">
        <f>rebio23_80ml!AN63/50</f>
        <v>0</v>
      </c>
      <c r="AO62" s="27">
        <f>rebio23_80ml!AO63/50</f>
        <v>0</v>
      </c>
      <c r="AP62" s="27">
        <f>rebio23_80ml!AP63/50</f>
        <v>0</v>
      </c>
      <c r="AQ62" s="27">
        <f>rebio23_80ml!AQ63/50</f>
        <v>0</v>
      </c>
      <c r="AR62" s="27">
        <f>rebio23_80ml!AR63/50</f>
        <v>0</v>
      </c>
      <c r="AS62" s="27">
        <f>rebio23_80ml!AS63/50</f>
        <v>0</v>
      </c>
      <c r="AT62" s="27">
        <f>rebio23_80ml!AT63/50</f>
        <v>0</v>
      </c>
      <c r="AU62" s="27">
        <f>rebio23_80ml!AU63/50</f>
        <v>0</v>
      </c>
      <c r="AV62" s="27">
        <f>rebio23_80ml!AV63/50</f>
        <v>0</v>
      </c>
      <c r="AW62" s="27">
        <f>rebio23_80ml!AW63/50</f>
        <v>0</v>
      </c>
      <c r="AX62" s="27">
        <f>rebio23_80ml!AX63/50</f>
        <v>0</v>
      </c>
      <c r="AY62" s="27">
        <f>rebio23_80ml!AY63/50</f>
        <v>0.02</v>
      </c>
      <c r="AZ62" s="27">
        <f>rebio23_80ml!AZ63/50</f>
        <v>0</v>
      </c>
      <c r="BA62" s="27">
        <f>rebio23_80ml!BA63/50</f>
        <v>0</v>
      </c>
      <c r="BB62" s="27">
        <f>rebio23_80ml!BB63/50</f>
        <v>0</v>
      </c>
      <c r="BC62" s="27">
        <f>rebio23_80ml!BC63/50</f>
        <v>0</v>
      </c>
      <c r="BD62" s="27">
        <f>rebio23_80ml!BD63/50</f>
        <v>0.02</v>
      </c>
      <c r="BE62" s="27">
        <f>rebio23_80ml!BE63/50</f>
        <v>0</v>
      </c>
      <c r="BF62" s="27">
        <f>rebio23_80ml!BF63/50</f>
        <v>0</v>
      </c>
      <c r="BG62" s="27">
        <f>rebio23_80ml!BG63/50</f>
        <v>0</v>
      </c>
    </row>
    <row r="63" spans="1:59" ht="12.75" customHeight="1" x14ac:dyDescent="0.25">
      <c r="A63" s="15" t="str">
        <f>rebio23_80ml!A64</f>
        <v>C-B-P09-H2</v>
      </c>
      <c r="B63" s="27">
        <f>rebio23_80ml!B64/50</f>
        <v>0.02</v>
      </c>
      <c r="C63" s="27">
        <f>rebio23_80ml!C64/50</f>
        <v>0</v>
      </c>
      <c r="D63" s="27">
        <f>rebio23_80ml!D64/50</f>
        <v>0</v>
      </c>
      <c r="E63" s="27">
        <f>rebio23_80ml!E64/50</f>
        <v>1.56</v>
      </c>
      <c r="F63" s="27">
        <f>rebio23_80ml!F64/50</f>
        <v>0</v>
      </c>
      <c r="G63" s="27">
        <f>rebio23_80ml!G64/50</f>
        <v>0</v>
      </c>
      <c r="H63" s="27">
        <f>rebio23_80ml!H64/50</f>
        <v>0</v>
      </c>
      <c r="I63" s="27">
        <f>rebio23_80ml!I64/50</f>
        <v>0</v>
      </c>
      <c r="J63" s="27">
        <f>rebio23_80ml!J64/50</f>
        <v>0</v>
      </c>
      <c r="K63" s="27">
        <f>rebio23_80ml!K64/50</f>
        <v>0</v>
      </c>
      <c r="L63" s="27">
        <f>rebio23_80ml!L64/50</f>
        <v>0</v>
      </c>
      <c r="M63" s="27">
        <f>rebio23_80ml!M64/50</f>
        <v>0</v>
      </c>
      <c r="N63" s="27">
        <f>rebio23_80ml!N64/50</f>
        <v>0</v>
      </c>
      <c r="O63" s="27">
        <f>rebio23_80ml!O64/50</f>
        <v>0</v>
      </c>
      <c r="P63" s="27">
        <f>rebio23_80ml!P64/50</f>
        <v>0</v>
      </c>
      <c r="Q63" s="27">
        <f>rebio23_80ml!Q64/50</f>
        <v>0</v>
      </c>
      <c r="R63" s="27">
        <f>rebio23_80ml!R64/50</f>
        <v>0</v>
      </c>
      <c r="S63" s="27">
        <f>rebio23_80ml!S64/50</f>
        <v>0.04</v>
      </c>
      <c r="T63" s="27">
        <f>rebio23_80ml!T64/50</f>
        <v>0</v>
      </c>
      <c r="U63" s="27">
        <f>rebio23_80ml!U64/50</f>
        <v>0</v>
      </c>
      <c r="V63" s="27">
        <f>rebio23_80ml!V64/50</f>
        <v>0</v>
      </c>
      <c r="W63" s="27">
        <f>rebio23_80ml!W64/50</f>
        <v>0</v>
      </c>
      <c r="X63" s="27">
        <f>rebio23_80ml!X64/50</f>
        <v>0</v>
      </c>
      <c r="Y63" s="27">
        <f>rebio23_80ml!Y64/50</f>
        <v>0.02</v>
      </c>
      <c r="Z63" s="27">
        <f>rebio23_80ml!Z64/50</f>
        <v>0</v>
      </c>
      <c r="AA63" s="27">
        <f>rebio23_80ml!AA64/50</f>
        <v>0</v>
      </c>
      <c r="AB63" s="27">
        <f>rebio23_80ml!AB64/50</f>
        <v>0</v>
      </c>
      <c r="AC63" s="27">
        <f>rebio23_80ml!AC64/50</f>
        <v>0</v>
      </c>
      <c r="AD63" s="27">
        <f>rebio23_80ml!AD64/50</f>
        <v>0</v>
      </c>
      <c r="AE63" s="27">
        <f>rebio23_80ml!AE64/50</f>
        <v>0</v>
      </c>
      <c r="AF63" s="27">
        <f>rebio23_80ml!AF64/50</f>
        <v>0</v>
      </c>
      <c r="AG63" s="27">
        <f>rebio23_80ml!AG64/50</f>
        <v>0</v>
      </c>
      <c r="AH63" s="27">
        <f>rebio23_80ml!AH64/50</f>
        <v>0</v>
      </c>
      <c r="AI63" s="27">
        <f>rebio23_80ml!AI64/50</f>
        <v>0</v>
      </c>
      <c r="AJ63" s="27">
        <f>rebio23_80ml!AJ64/50</f>
        <v>0</v>
      </c>
      <c r="AK63" s="27">
        <f>rebio23_80ml!AK64/50</f>
        <v>0</v>
      </c>
      <c r="AL63" s="27">
        <f>rebio23_80ml!AL64/50</f>
        <v>0</v>
      </c>
      <c r="AM63" s="27">
        <f>rebio23_80ml!AM64/50</f>
        <v>0</v>
      </c>
      <c r="AN63" s="27">
        <f>rebio23_80ml!AN64/50</f>
        <v>0</v>
      </c>
      <c r="AO63" s="27">
        <f>rebio23_80ml!AO64/50</f>
        <v>0</v>
      </c>
      <c r="AP63" s="27">
        <f>rebio23_80ml!AP64/50</f>
        <v>0</v>
      </c>
      <c r="AQ63" s="27">
        <f>rebio23_80ml!AQ64/50</f>
        <v>0</v>
      </c>
      <c r="AR63" s="27">
        <f>rebio23_80ml!AR64/50</f>
        <v>0</v>
      </c>
      <c r="AS63" s="27">
        <f>rebio23_80ml!AS64/50</f>
        <v>0</v>
      </c>
      <c r="AT63" s="27">
        <f>rebio23_80ml!AT64/50</f>
        <v>0</v>
      </c>
      <c r="AU63" s="27">
        <f>rebio23_80ml!AU64/50</f>
        <v>0</v>
      </c>
      <c r="AV63" s="27">
        <f>rebio23_80ml!AV64/50</f>
        <v>0</v>
      </c>
      <c r="AW63" s="27">
        <f>rebio23_80ml!AW64/50</f>
        <v>0</v>
      </c>
      <c r="AX63" s="27">
        <f>rebio23_80ml!AX64/50</f>
        <v>0</v>
      </c>
      <c r="AY63" s="27">
        <f>rebio23_80ml!AY64/50</f>
        <v>0.02</v>
      </c>
      <c r="AZ63" s="27">
        <f>rebio23_80ml!AZ64/50</f>
        <v>0</v>
      </c>
      <c r="BA63" s="27">
        <f>rebio23_80ml!BA64/50</f>
        <v>0</v>
      </c>
      <c r="BB63" s="27">
        <f>rebio23_80ml!BB64/50</f>
        <v>0</v>
      </c>
      <c r="BC63" s="27">
        <f>rebio23_80ml!BC64/50</f>
        <v>0</v>
      </c>
      <c r="BD63" s="27">
        <f>rebio23_80ml!BD64/50</f>
        <v>0</v>
      </c>
      <c r="BE63" s="27">
        <f>rebio23_80ml!BE64/50</f>
        <v>0</v>
      </c>
      <c r="BF63" s="27">
        <f>rebio23_80ml!BF64/50</f>
        <v>0</v>
      </c>
      <c r="BG63" s="27">
        <f>rebio23_80ml!BG64/50</f>
        <v>0</v>
      </c>
    </row>
    <row r="64" spans="1:59" ht="12.75" customHeight="1" x14ac:dyDescent="0.25">
      <c r="A64" s="15" t="str">
        <f>rebio23_80ml!A65</f>
        <v>C-B-P09-H3</v>
      </c>
      <c r="B64" s="27">
        <f>rebio23_80ml!B65/50</f>
        <v>0.02</v>
      </c>
      <c r="C64" s="27">
        <f>rebio23_80ml!C65/50</f>
        <v>0.04</v>
      </c>
      <c r="D64" s="27">
        <f>rebio23_80ml!D65/50</f>
        <v>0</v>
      </c>
      <c r="E64" s="27">
        <f>rebio23_80ml!E65/50</f>
        <v>2.98</v>
      </c>
      <c r="F64" s="27">
        <f>rebio23_80ml!F65/50</f>
        <v>0</v>
      </c>
      <c r="G64" s="27">
        <f>rebio23_80ml!G65/50</f>
        <v>0</v>
      </c>
      <c r="H64" s="27">
        <f>rebio23_80ml!H65/50</f>
        <v>0</v>
      </c>
      <c r="I64" s="27">
        <f>rebio23_80ml!I65/50</f>
        <v>0</v>
      </c>
      <c r="J64" s="27">
        <f>rebio23_80ml!J65/50</f>
        <v>0</v>
      </c>
      <c r="K64" s="27">
        <f>rebio23_80ml!K65/50</f>
        <v>0</v>
      </c>
      <c r="L64" s="27">
        <f>rebio23_80ml!L65/50</f>
        <v>0</v>
      </c>
      <c r="M64" s="27">
        <f>rebio23_80ml!M65/50</f>
        <v>0</v>
      </c>
      <c r="N64" s="27">
        <f>rebio23_80ml!N65/50</f>
        <v>0</v>
      </c>
      <c r="O64" s="27">
        <f>rebio23_80ml!O65/50</f>
        <v>0</v>
      </c>
      <c r="P64" s="27">
        <f>rebio23_80ml!P65/50</f>
        <v>0</v>
      </c>
      <c r="Q64" s="27">
        <f>rebio23_80ml!Q65/50</f>
        <v>0</v>
      </c>
      <c r="R64" s="27">
        <f>rebio23_80ml!R65/50</f>
        <v>0</v>
      </c>
      <c r="S64" s="27">
        <f>rebio23_80ml!S65/50</f>
        <v>0</v>
      </c>
      <c r="T64" s="27">
        <f>rebio23_80ml!T65/50</f>
        <v>0</v>
      </c>
      <c r="U64" s="27">
        <f>rebio23_80ml!U65/50</f>
        <v>0</v>
      </c>
      <c r="V64" s="27">
        <f>rebio23_80ml!V65/50</f>
        <v>0</v>
      </c>
      <c r="W64" s="27">
        <f>rebio23_80ml!W65/50</f>
        <v>0</v>
      </c>
      <c r="X64" s="27">
        <f>rebio23_80ml!X65/50</f>
        <v>0</v>
      </c>
      <c r="Y64" s="27">
        <f>rebio23_80ml!Y65/50</f>
        <v>0</v>
      </c>
      <c r="Z64" s="27">
        <f>rebio23_80ml!Z65/50</f>
        <v>0</v>
      </c>
      <c r="AA64" s="27">
        <f>rebio23_80ml!AA65/50</f>
        <v>0</v>
      </c>
      <c r="AB64" s="27">
        <f>rebio23_80ml!AB65/50</f>
        <v>0</v>
      </c>
      <c r="AC64" s="27">
        <f>rebio23_80ml!AC65/50</f>
        <v>0</v>
      </c>
      <c r="AD64" s="27">
        <f>rebio23_80ml!AD65/50</f>
        <v>0</v>
      </c>
      <c r="AE64" s="27">
        <f>rebio23_80ml!AE65/50</f>
        <v>0</v>
      </c>
      <c r="AF64" s="27">
        <f>rebio23_80ml!AF65/50</f>
        <v>0</v>
      </c>
      <c r="AG64" s="27">
        <f>rebio23_80ml!AG65/50</f>
        <v>0</v>
      </c>
      <c r="AH64" s="27">
        <f>rebio23_80ml!AH65/50</f>
        <v>0</v>
      </c>
      <c r="AI64" s="27">
        <f>rebio23_80ml!AI65/50</f>
        <v>0</v>
      </c>
      <c r="AJ64" s="27">
        <f>rebio23_80ml!AJ65/50</f>
        <v>0</v>
      </c>
      <c r="AK64" s="27">
        <f>rebio23_80ml!AK65/50</f>
        <v>0</v>
      </c>
      <c r="AL64" s="27">
        <f>rebio23_80ml!AL65/50</f>
        <v>0</v>
      </c>
      <c r="AM64" s="27">
        <f>rebio23_80ml!AM65/50</f>
        <v>0</v>
      </c>
      <c r="AN64" s="27">
        <f>rebio23_80ml!AN65/50</f>
        <v>0</v>
      </c>
      <c r="AO64" s="27">
        <f>rebio23_80ml!AO65/50</f>
        <v>0</v>
      </c>
      <c r="AP64" s="27">
        <f>rebio23_80ml!AP65/50</f>
        <v>0</v>
      </c>
      <c r="AQ64" s="27">
        <f>rebio23_80ml!AQ65/50</f>
        <v>0</v>
      </c>
      <c r="AR64" s="27">
        <f>rebio23_80ml!AR65/50</f>
        <v>0</v>
      </c>
      <c r="AS64" s="27">
        <f>rebio23_80ml!AS65/50</f>
        <v>0</v>
      </c>
      <c r="AT64" s="27">
        <f>rebio23_80ml!AT65/50</f>
        <v>0</v>
      </c>
      <c r="AU64" s="27">
        <f>rebio23_80ml!AU65/50</f>
        <v>0</v>
      </c>
      <c r="AV64" s="27">
        <f>rebio23_80ml!AV65/50</f>
        <v>0.1</v>
      </c>
      <c r="AW64" s="27">
        <f>rebio23_80ml!AW65/50</f>
        <v>0</v>
      </c>
      <c r="AX64" s="27">
        <f>rebio23_80ml!AX65/50</f>
        <v>0</v>
      </c>
      <c r="AY64" s="27">
        <f>rebio23_80ml!AY65/50</f>
        <v>0.02</v>
      </c>
      <c r="AZ64" s="27">
        <f>rebio23_80ml!AZ65/50</f>
        <v>0</v>
      </c>
      <c r="BA64" s="27">
        <f>rebio23_80ml!BA65/50</f>
        <v>0</v>
      </c>
      <c r="BB64" s="27">
        <f>rebio23_80ml!BB65/50</f>
        <v>0</v>
      </c>
      <c r="BC64" s="27">
        <f>rebio23_80ml!BC65/50</f>
        <v>0</v>
      </c>
      <c r="BD64" s="27">
        <f>rebio23_80ml!BD65/50</f>
        <v>0</v>
      </c>
      <c r="BE64" s="27">
        <f>rebio23_80ml!BE65/50</f>
        <v>0</v>
      </c>
      <c r="BF64" s="27">
        <f>rebio23_80ml!BF65/50</f>
        <v>0</v>
      </c>
      <c r="BG64" s="27">
        <f>rebio23_80ml!BG65/50</f>
        <v>0</v>
      </c>
    </row>
    <row r="65" spans="1:59" ht="12.75" customHeight="1" x14ac:dyDescent="0.25">
      <c r="A65" s="15" t="str">
        <f>rebio23_80ml!A66</f>
        <v>C-B-P10-H1</v>
      </c>
      <c r="B65" s="27">
        <f>rebio23_80ml!B66/50</f>
        <v>0.14000000000000001</v>
      </c>
      <c r="C65" s="27">
        <f>rebio23_80ml!C66/50</f>
        <v>0</v>
      </c>
      <c r="D65" s="27">
        <f>rebio23_80ml!D66/50</f>
        <v>0</v>
      </c>
      <c r="E65" s="27">
        <f>rebio23_80ml!E66/50</f>
        <v>2.1</v>
      </c>
      <c r="F65" s="27">
        <f>rebio23_80ml!F66/50</f>
        <v>0</v>
      </c>
      <c r="G65" s="27">
        <f>rebio23_80ml!G66/50</f>
        <v>0</v>
      </c>
      <c r="H65" s="27">
        <f>rebio23_80ml!H66/50</f>
        <v>0</v>
      </c>
      <c r="I65" s="27">
        <f>rebio23_80ml!I66/50</f>
        <v>0.04</v>
      </c>
      <c r="J65" s="27">
        <f>rebio23_80ml!J66/50</f>
        <v>0.02</v>
      </c>
      <c r="K65" s="27">
        <f>rebio23_80ml!K66/50</f>
        <v>0</v>
      </c>
      <c r="L65" s="27">
        <f>rebio23_80ml!L66/50</f>
        <v>0</v>
      </c>
      <c r="M65" s="27">
        <f>rebio23_80ml!M66/50</f>
        <v>0</v>
      </c>
      <c r="N65" s="27">
        <f>rebio23_80ml!N66/50</f>
        <v>0</v>
      </c>
      <c r="O65" s="27">
        <f>rebio23_80ml!O66/50</f>
        <v>0</v>
      </c>
      <c r="P65" s="27">
        <f>rebio23_80ml!P66/50</f>
        <v>0</v>
      </c>
      <c r="Q65" s="27">
        <f>rebio23_80ml!Q66/50</f>
        <v>0</v>
      </c>
      <c r="R65" s="27">
        <f>rebio23_80ml!R66/50</f>
        <v>0</v>
      </c>
      <c r="S65" s="27">
        <f>rebio23_80ml!S66/50</f>
        <v>0</v>
      </c>
      <c r="T65" s="27">
        <f>rebio23_80ml!T66/50</f>
        <v>0</v>
      </c>
      <c r="U65" s="27">
        <f>rebio23_80ml!U66/50</f>
        <v>0</v>
      </c>
      <c r="V65" s="27">
        <f>rebio23_80ml!V66/50</f>
        <v>0.02</v>
      </c>
      <c r="W65" s="27">
        <f>rebio23_80ml!W66/50</f>
        <v>0</v>
      </c>
      <c r="X65" s="27">
        <f>rebio23_80ml!X66/50</f>
        <v>0</v>
      </c>
      <c r="Y65" s="27">
        <f>rebio23_80ml!Y66/50</f>
        <v>0</v>
      </c>
      <c r="Z65" s="27">
        <f>rebio23_80ml!Z66/50</f>
        <v>0.02</v>
      </c>
      <c r="AA65" s="27">
        <f>rebio23_80ml!AA66/50</f>
        <v>0</v>
      </c>
      <c r="AB65" s="27">
        <f>rebio23_80ml!AB66/50</f>
        <v>0</v>
      </c>
      <c r="AC65" s="27">
        <f>rebio23_80ml!AC66/50</f>
        <v>0</v>
      </c>
      <c r="AD65" s="27">
        <f>rebio23_80ml!AD66/50</f>
        <v>0</v>
      </c>
      <c r="AE65" s="27">
        <f>rebio23_80ml!AE66/50</f>
        <v>0</v>
      </c>
      <c r="AF65" s="27">
        <f>rebio23_80ml!AF66/50</f>
        <v>0</v>
      </c>
      <c r="AG65" s="27">
        <f>rebio23_80ml!AG66/50</f>
        <v>0</v>
      </c>
      <c r="AH65" s="27">
        <f>rebio23_80ml!AH66/50</f>
        <v>0</v>
      </c>
      <c r="AI65" s="27">
        <f>rebio23_80ml!AI66/50</f>
        <v>0</v>
      </c>
      <c r="AJ65" s="27">
        <f>rebio23_80ml!AJ66/50</f>
        <v>0</v>
      </c>
      <c r="AK65" s="27">
        <f>rebio23_80ml!AK66/50</f>
        <v>0</v>
      </c>
      <c r="AL65" s="27">
        <f>rebio23_80ml!AL66/50</f>
        <v>0</v>
      </c>
      <c r="AM65" s="27">
        <f>rebio23_80ml!AM66/50</f>
        <v>0</v>
      </c>
      <c r="AN65" s="27">
        <f>rebio23_80ml!AN66/50</f>
        <v>0</v>
      </c>
      <c r="AO65" s="27">
        <f>rebio23_80ml!AO66/50</f>
        <v>0</v>
      </c>
      <c r="AP65" s="27">
        <f>rebio23_80ml!AP66/50</f>
        <v>0</v>
      </c>
      <c r="AQ65" s="27">
        <f>rebio23_80ml!AQ66/50</f>
        <v>0</v>
      </c>
      <c r="AR65" s="27">
        <f>rebio23_80ml!AR66/50</f>
        <v>0</v>
      </c>
      <c r="AS65" s="27">
        <f>rebio23_80ml!AS66/50</f>
        <v>0</v>
      </c>
      <c r="AT65" s="27">
        <f>rebio23_80ml!AT66/50</f>
        <v>0</v>
      </c>
      <c r="AU65" s="27">
        <f>rebio23_80ml!AU66/50</f>
        <v>0</v>
      </c>
      <c r="AV65" s="27">
        <f>rebio23_80ml!AV66/50</f>
        <v>0</v>
      </c>
      <c r="AW65" s="27">
        <f>rebio23_80ml!AW66/50</f>
        <v>0</v>
      </c>
      <c r="AX65" s="27">
        <f>rebio23_80ml!AX66/50</f>
        <v>0</v>
      </c>
      <c r="AY65" s="27">
        <f>rebio23_80ml!AY66/50</f>
        <v>0.18</v>
      </c>
      <c r="AZ65" s="27">
        <f>rebio23_80ml!AZ66/50</f>
        <v>0</v>
      </c>
      <c r="BA65" s="27">
        <f>rebio23_80ml!BA66/50</f>
        <v>0</v>
      </c>
      <c r="BB65" s="27">
        <f>rebio23_80ml!BB66/50</f>
        <v>0</v>
      </c>
      <c r="BC65" s="27">
        <f>rebio23_80ml!BC66/50</f>
        <v>0</v>
      </c>
      <c r="BD65" s="27">
        <f>rebio23_80ml!BD66/50</f>
        <v>0</v>
      </c>
      <c r="BE65" s="27">
        <f>rebio23_80ml!BE66/50</f>
        <v>0</v>
      </c>
      <c r="BF65" s="27">
        <f>rebio23_80ml!BF66/50</f>
        <v>0</v>
      </c>
      <c r="BG65" s="27">
        <f>rebio23_80ml!BG66/50</f>
        <v>0</v>
      </c>
    </row>
    <row r="66" spans="1:59" ht="12.75" customHeight="1" x14ac:dyDescent="0.25">
      <c r="A66" s="15" t="str">
        <f>rebio23_80ml!A67</f>
        <v>C-B-P10-H2</v>
      </c>
      <c r="B66" s="27">
        <f>rebio23_80ml!B67/50</f>
        <v>0.22</v>
      </c>
      <c r="C66" s="27">
        <f>rebio23_80ml!C67/50</f>
        <v>0.02</v>
      </c>
      <c r="D66" s="27">
        <f>rebio23_80ml!D67/50</f>
        <v>0.04</v>
      </c>
      <c r="E66" s="27">
        <f>rebio23_80ml!E67/50</f>
        <v>2.3199999999999998</v>
      </c>
      <c r="F66" s="27">
        <f>rebio23_80ml!F67/50</f>
        <v>0</v>
      </c>
      <c r="G66" s="27">
        <f>rebio23_80ml!G67/50</f>
        <v>0.02</v>
      </c>
      <c r="H66" s="27">
        <f>rebio23_80ml!H67/50</f>
        <v>0</v>
      </c>
      <c r="I66" s="27">
        <f>rebio23_80ml!I67/50</f>
        <v>0.16</v>
      </c>
      <c r="J66" s="27">
        <f>rebio23_80ml!J67/50</f>
        <v>0.2</v>
      </c>
      <c r="K66" s="27">
        <f>rebio23_80ml!K67/50</f>
        <v>0</v>
      </c>
      <c r="L66" s="27">
        <f>rebio23_80ml!L67/50</f>
        <v>0</v>
      </c>
      <c r="M66" s="27">
        <f>rebio23_80ml!M67/50</f>
        <v>0</v>
      </c>
      <c r="N66" s="27">
        <f>rebio23_80ml!N67/50</f>
        <v>0</v>
      </c>
      <c r="O66" s="27">
        <f>rebio23_80ml!O67/50</f>
        <v>0</v>
      </c>
      <c r="P66" s="27">
        <f>rebio23_80ml!P67/50</f>
        <v>0</v>
      </c>
      <c r="Q66" s="27">
        <f>rebio23_80ml!Q67/50</f>
        <v>0.1</v>
      </c>
      <c r="R66" s="27">
        <f>rebio23_80ml!R67/50</f>
        <v>0</v>
      </c>
      <c r="S66" s="27">
        <f>rebio23_80ml!S67/50</f>
        <v>0</v>
      </c>
      <c r="T66" s="27">
        <f>rebio23_80ml!T67/50</f>
        <v>0</v>
      </c>
      <c r="U66" s="27">
        <f>rebio23_80ml!U67/50</f>
        <v>0.02</v>
      </c>
      <c r="V66" s="27">
        <f>rebio23_80ml!V67/50</f>
        <v>0.06</v>
      </c>
      <c r="W66" s="27">
        <f>rebio23_80ml!W67/50</f>
        <v>0</v>
      </c>
      <c r="X66" s="27">
        <f>rebio23_80ml!X67/50</f>
        <v>0</v>
      </c>
      <c r="Y66" s="27">
        <f>rebio23_80ml!Y67/50</f>
        <v>0</v>
      </c>
      <c r="Z66" s="27">
        <f>rebio23_80ml!Z67/50</f>
        <v>0</v>
      </c>
      <c r="AA66" s="27">
        <f>rebio23_80ml!AA67/50</f>
        <v>0</v>
      </c>
      <c r="AB66" s="27">
        <f>rebio23_80ml!AB67/50</f>
        <v>0</v>
      </c>
      <c r="AC66" s="27">
        <f>rebio23_80ml!AC67/50</f>
        <v>0</v>
      </c>
      <c r="AD66" s="27">
        <f>rebio23_80ml!AD67/50</f>
        <v>0</v>
      </c>
      <c r="AE66" s="27">
        <f>rebio23_80ml!AE67/50</f>
        <v>0</v>
      </c>
      <c r="AF66" s="27">
        <f>rebio23_80ml!AF67/50</f>
        <v>0</v>
      </c>
      <c r="AG66" s="27">
        <f>rebio23_80ml!AG67/50</f>
        <v>0</v>
      </c>
      <c r="AH66" s="27">
        <f>rebio23_80ml!AH67/50</f>
        <v>0</v>
      </c>
      <c r="AI66" s="27">
        <f>rebio23_80ml!AI67/50</f>
        <v>0</v>
      </c>
      <c r="AJ66" s="27">
        <f>rebio23_80ml!AJ67/50</f>
        <v>0</v>
      </c>
      <c r="AK66" s="27">
        <f>rebio23_80ml!AK67/50</f>
        <v>0</v>
      </c>
      <c r="AL66" s="27">
        <f>rebio23_80ml!AL67/50</f>
        <v>0.02</v>
      </c>
      <c r="AM66" s="27">
        <f>rebio23_80ml!AM67/50</f>
        <v>0</v>
      </c>
      <c r="AN66" s="27">
        <f>rebio23_80ml!AN67/50</f>
        <v>0</v>
      </c>
      <c r="AO66" s="27">
        <f>rebio23_80ml!AO67/50</f>
        <v>0</v>
      </c>
      <c r="AP66" s="27">
        <f>rebio23_80ml!AP67/50</f>
        <v>0</v>
      </c>
      <c r="AQ66" s="27">
        <f>rebio23_80ml!AQ67/50</f>
        <v>0</v>
      </c>
      <c r="AR66" s="27">
        <f>rebio23_80ml!AR67/50</f>
        <v>0</v>
      </c>
      <c r="AS66" s="27">
        <f>rebio23_80ml!AS67/50</f>
        <v>0</v>
      </c>
      <c r="AT66" s="27">
        <f>rebio23_80ml!AT67/50</f>
        <v>0</v>
      </c>
      <c r="AU66" s="27">
        <f>rebio23_80ml!AU67/50</f>
        <v>0</v>
      </c>
      <c r="AV66" s="27">
        <f>rebio23_80ml!AV67/50</f>
        <v>0.14000000000000001</v>
      </c>
      <c r="AW66" s="27">
        <f>rebio23_80ml!AW67/50</f>
        <v>0</v>
      </c>
      <c r="AX66" s="27">
        <f>rebio23_80ml!AX67/50</f>
        <v>0</v>
      </c>
      <c r="AY66" s="27">
        <f>rebio23_80ml!AY67/50</f>
        <v>0.7</v>
      </c>
      <c r="AZ66" s="27">
        <f>rebio23_80ml!AZ67/50</f>
        <v>0</v>
      </c>
      <c r="BA66" s="27">
        <f>rebio23_80ml!BA67/50</f>
        <v>0</v>
      </c>
      <c r="BB66" s="27">
        <f>rebio23_80ml!BB67/50</f>
        <v>0</v>
      </c>
      <c r="BC66" s="27">
        <f>rebio23_80ml!BC67/50</f>
        <v>0</v>
      </c>
      <c r="BD66" s="27">
        <f>rebio23_80ml!BD67/50</f>
        <v>0.02</v>
      </c>
      <c r="BE66" s="27">
        <f>rebio23_80ml!BE67/50</f>
        <v>0</v>
      </c>
      <c r="BF66" s="27">
        <f>rebio23_80ml!BF67/50</f>
        <v>0</v>
      </c>
      <c r="BG66" s="27">
        <f>rebio23_80ml!BG67/50</f>
        <v>0</v>
      </c>
    </row>
    <row r="67" spans="1:59" ht="12.75" customHeight="1" x14ac:dyDescent="0.25">
      <c r="A67" s="15" t="str">
        <f>rebio23_80ml!A68</f>
        <v>C-B-P10-H3</v>
      </c>
      <c r="B67" s="27">
        <f>rebio23_80ml!B68/50</f>
        <v>0.72</v>
      </c>
      <c r="C67" s="27">
        <f>rebio23_80ml!C68/50</f>
        <v>0.16</v>
      </c>
      <c r="D67" s="27">
        <f>rebio23_80ml!D68/50</f>
        <v>0.1</v>
      </c>
      <c r="E67" s="27">
        <f>rebio23_80ml!E68/50</f>
        <v>4.4000000000000004</v>
      </c>
      <c r="F67" s="27">
        <f>rebio23_80ml!F68/50</f>
        <v>0.04</v>
      </c>
      <c r="G67" s="27">
        <f>rebio23_80ml!G68/50</f>
        <v>0.14000000000000001</v>
      </c>
      <c r="H67" s="27">
        <f>rebio23_80ml!H68/50</f>
        <v>0</v>
      </c>
      <c r="I67" s="27">
        <f>rebio23_80ml!I68/50</f>
        <v>1.4</v>
      </c>
      <c r="J67" s="27">
        <f>rebio23_80ml!J68/50</f>
        <v>0.26</v>
      </c>
      <c r="K67" s="27">
        <f>rebio23_80ml!K68/50</f>
        <v>0</v>
      </c>
      <c r="L67" s="27">
        <f>rebio23_80ml!L68/50</f>
        <v>0.2</v>
      </c>
      <c r="M67" s="27">
        <f>rebio23_80ml!M68/50</f>
        <v>0</v>
      </c>
      <c r="N67" s="27">
        <f>rebio23_80ml!N68/50</f>
        <v>0</v>
      </c>
      <c r="O67" s="27">
        <f>rebio23_80ml!O68/50</f>
        <v>0</v>
      </c>
      <c r="P67" s="27">
        <f>rebio23_80ml!P68/50</f>
        <v>0</v>
      </c>
      <c r="Q67" s="27">
        <f>rebio23_80ml!Q68/50</f>
        <v>0.2</v>
      </c>
      <c r="R67" s="27">
        <f>rebio23_80ml!R68/50</f>
        <v>0</v>
      </c>
      <c r="S67" s="27">
        <f>rebio23_80ml!S68/50</f>
        <v>0</v>
      </c>
      <c r="T67" s="27">
        <f>rebio23_80ml!T68/50</f>
        <v>0</v>
      </c>
      <c r="U67" s="27">
        <f>rebio23_80ml!U68/50</f>
        <v>0</v>
      </c>
      <c r="V67" s="27">
        <f>rebio23_80ml!V68/50</f>
        <v>0</v>
      </c>
      <c r="W67" s="27">
        <f>rebio23_80ml!W68/50</f>
        <v>0</v>
      </c>
      <c r="X67" s="27">
        <f>rebio23_80ml!X68/50</f>
        <v>0</v>
      </c>
      <c r="Y67" s="27">
        <f>rebio23_80ml!Y68/50</f>
        <v>0.12</v>
      </c>
      <c r="Z67" s="27">
        <f>rebio23_80ml!Z68/50</f>
        <v>0.04</v>
      </c>
      <c r="AA67" s="27">
        <f>rebio23_80ml!AA68/50</f>
        <v>0.04</v>
      </c>
      <c r="AB67" s="27">
        <f>rebio23_80ml!AB68/50</f>
        <v>0</v>
      </c>
      <c r="AC67" s="27">
        <f>rebio23_80ml!AC68/50</f>
        <v>0</v>
      </c>
      <c r="AD67" s="27">
        <f>rebio23_80ml!AD68/50</f>
        <v>0</v>
      </c>
      <c r="AE67" s="27">
        <f>rebio23_80ml!AE68/50</f>
        <v>0</v>
      </c>
      <c r="AF67" s="27">
        <f>rebio23_80ml!AF68/50</f>
        <v>0</v>
      </c>
      <c r="AG67" s="27">
        <f>rebio23_80ml!AG68/50</f>
        <v>0</v>
      </c>
      <c r="AH67" s="27">
        <f>rebio23_80ml!AH68/50</f>
        <v>0</v>
      </c>
      <c r="AI67" s="27">
        <f>rebio23_80ml!AI68/50</f>
        <v>0</v>
      </c>
      <c r="AJ67" s="27">
        <f>rebio23_80ml!AJ68/50</f>
        <v>0</v>
      </c>
      <c r="AK67" s="27">
        <f>rebio23_80ml!AK68/50</f>
        <v>0</v>
      </c>
      <c r="AL67" s="27">
        <f>rebio23_80ml!AL68/50</f>
        <v>0.08</v>
      </c>
      <c r="AM67" s="27">
        <f>rebio23_80ml!AM68/50</f>
        <v>0</v>
      </c>
      <c r="AN67" s="27">
        <f>rebio23_80ml!AN68/50</f>
        <v>0</v>
      </c>
      <c r="AO67" s="27">
        <f>rebio23_80ml!AO68/50</f>
        <v>0</v>
      </c>
      <c r="AP67" s="27">
        <f>rebio23_80ml!AP68/50</f>
        <v>0</v>
      </c>
      <c r="AQ67" s="27">
        <f>rebio23_80ml!AQ68/50</f>
        <v>0</v>
      </c>
      <c r="AR67" s="27">
        <f>rebio23_80ml!AR68/50</f>
        <v>0</v>
      </c>
      <c r="AS67" s="27">
        <f>rebio23_80ml!AS68/50</f>
        <v>0</v>
      </c>
      <c r="AT67" s="27">
        <f>rebio23_80ml!AT68/50</f>
        <v>0</v>
      </c>
      <c r="AU67" s="27">
        <f>rebio23_80ml!AU68/50</f>
        <v>0</v>
      </c>
      <c r="AV67" s="27">
        <f>rebio23_80ml!AV68/50</f>
        <v>2.14</v>
      </c>
      <c r="AW67" s="27">
        <f>rebio23_80ml!AW68/50</f>
        <v>0</v>
      </c>
      <c r="AX67" s="27">
        <f>rebio23_80ml!AX68/50</f>
        <v>0.02</v>
      </c>
      <c r="AY67" s="27">
        <f>rebio23_80ml!AY68/50</f>
        <v>2.58</v>
      </c>
      <c r="AZ67" s="27">
        <f>rebio23_80ml!AZ68/50</f>
        <v>0</v>
      </c>
      <c r="BA67" s="27">
        <f>rebio23_80ml!BA68/50</f>
        <v>0</v>
      </c>
      <c r="BB67" s="27">
        <f>rebio23_80ml!BB68/50</f>
        <v>0</v>
      </c>
      <c r="BC67" s="27">
        <f>rebio23_80ml!BC68/50</f>
        <v>0</v>
      </c>
      <c r="BD67" s="27">
        <f>rebio23_80ml!BD68/50</f>
        <v>0</v>
      </c>
      <c r="BE67" s="27">
        <f>rebio23_80ml!BE68/50</f>
        <v>0</v>
      </c>
      <c r="BF67" s="27">
        <f>rebio23_80ml!BF68/50</f>
        <v>0.02</v>
      </c>
      <c r="BG67" s="27">
        <f>rebio23_80ml!BG68/50</f>
        <v>0</v>
      </c>
    </row>
    <row r="68" spans="1:59" ht="12.75" customHeight="1" x14ac:dyDescent="0.25">
      <c r="A68" s="50" t="str">
        <f>rebio23_80ml!A69</f>
        <v>C-C-P11-H1</v>
      </c>
      <c r="B68" s="51">
        <f>rebio23_80ml!B69/50</f>
        <v>0</v>
      </c>
      <c r="C68" s="51">
        <f>rebio23_80ml!C69/50</f>
        <v>0</v>
      </c>
      <c r="D68" s="51">
        <f>rebio23_80ml!D69/50</f>
        <v>0</v>
      </c>
      <c r="E68" s="51">
        <f>rebio23_80ml!E69/50</f>
        <v>0</v>
      </c>
      <c r="F68" s="51">
        <f>rebio23_80ml!F69/50</f>
        <v>0</v>
      </c>
      <c r="G68" s="51">
        <f>rebio23_80ml!G69/50</f>
        <v>0</v>
      </c>
      <c r="H68" s="51">
        <f>rebio23_80ml!H69/50</f>
        <v>0</v>
      </c>
      <c r="I68" s="51">
        <f>rebio23_80ml!I69/50</f>
        <v>0</v>
      </c>
      <c r="J68" s="51">
        <f>rebio23_80ml!J69/50</f>
        <v>0</v>
      </c>
      <c r="K68" s="51">
        <f>rebio23_80ml!K69/50</f>
        <v>0</v>
      </c>
      <c r="L68" s="51">
        <f>rebio23_80ml!L69/50</f>
        <v>0</v>
      </c>
      <c r="M68" s="51">
        <f>rebio23_80ml!M69/50</f>
        <v>0</v>
      </c>
      <c r="N68" s="51">
        <f>rebio23_80ml!N69/50</f>
        <v>0</v>
      </c>
      <c r="O68" s="51">
        <f>rebio23_80ml!O69/50</f>
        <v>0</v>
      </c>
      <c r="P68" s="51">
        <f>rebio23_80ml!P69/50</f>
        <v>0</v>
      </c>
      <c r="Q68" s="51">
        <f>rebio23_80ml!Q69/50</f>
        <v>0</v>
      </c>
      <c r="R68" s="51">
        <f>rebio23_80ml!R69/50</f>
        <v>0</v>
      </c>
      <c r="S68" s="51">
        <f>rebio23_80ml!S69/50</f>
        <v>0</v>
      </c>
      <c r="T68" s="51">
        <f>rebio23_80ml!T69/50</f>
        <v>0</v>
      </c>
      <c r="U68" s="51">
        <f>rebio23_80ml!U69/50</f>
        <v>0</v>
      </c>
      <c r="V68" s="51">
        <f>rebio23_80ml!V69/50</f>
        <v>0</v>
      </c>
      <c r="W68" s="51">
        <f>rebio23_80ml!W69/50</f>
        <v>0</v>
      </c>
      <c r="X68" s="51">
        <f>rebio23_80ml!X69/50</f>
        <v>0</v>
      </c>
      <c r="Y68" s="51">
        <f>rebio23_80ml!Y69/50</f>
        <v>0</v>
      </c>
      <c r="Z68" s="51">
        <f>rebio23_80ml!Z69/50</f>
        <v>0</v>
      </c>
      <c r="AA68" s="51">
        <f>rebio23_80ml!AA69/50</f>
        <v>0</v>
      </c>
      <c r="AB68" s="51">
        <f>rebio23_80ml!AB69/50</f>
        <v>0</v>
      </c>
      <c r="AC68" s="51">
        <f>rebio23_80ml!AC69/50</f>
        <v>0</v>
      </c>
      <c r="AD68" s="51">
        <f>rebio23_80ml!AD69/50</f>
        <v>0</v>
      </c>
      <c r="AE68" s="51">
        <f>rebio23_80ml!AE69/50</f>
        <v>0</v>
      </c>
      <c r="AF68" s="51">
        <f>rebio23_80ml!AF69/50</f>
        <v>0</v>
      </c>
      <c r="AG68" s="51">
        <f>rebio23_80ml!AG69/50</f>
        <v>0</v>
      </c>
      <c r="AH68" s="51">
        <f>rebio23_80ml!AH69/50</f>
        <v>0</v>
      </c>
      <c r="AI68" s="51">
        <f>rebio23_80ml!AI69/50</f>
        <v>0</v>
      </c>
      <c r="AJ68" s="51">
        <f>rebio23_80ml!AJ69/50</f>
        <v>0</v>
      </c>
      <c r="AK68" s="51">
        <f>rebio23_80ml!AK69/50</f>
        <v>0</v>
      </c>
      <c r="AL68" s="51">
        <f>rebio23_80ml!AL69/50</f>
        <v>0</v>
      </c>
      <c r="AM68" s="51">
        <f>rebio23_80ml!AM69/50</f>
        <v>0</v>
      </c>
      <c r="AN68" s="51">
        <f>rebio23_80ml!AN69/50</f>
        <v>0</v>
      </c>
      <c r="AO68" s="51">
        <f>rebio23_80ml!AO69/50</f>
        <v>0</v>
      </c>
      <c r="AP68" s="51">
        <f>rebio23_80ml!AP69/50</f>
        <v>0</v>
      </c>
      <c r="AQ68" s="51">
        <f>rebio23_80ml!AQ69/50</f>
        <v>0</v>
      </c>
      <c r="AR68" s="51">
        <f>rebio23_80ml!AR69/50</f>
        <v>0</v>
      </c>
      <c r="AS68" s="51">
        <f>rebio23_80ml!AS69/50</f>
        <v>0</v>
      </c>
      <c r="AT68" s="51">
        <f>rebio23_80ml!AT69/50</f>
        <v>0</v>
      </c>
      <c r="AU68" s="51">
        <f>rebio23_80ml!AU69/50</f>
        <v>0</v>
      </c>
      <c r="AV68" s="51">
        <f>rebio23_80ml!AV69/50</f>
        <v>0</v>
      </c>
      <c r="AW68" s="51">
        <f>rebio23_80ml!AW69/50</f>
        <v>0</v>
      </c>
      <c r="AX68" s="51">
        <f>rebio23_80ml!AX69/50</f>
        <v>0</v>
      </c>
      <c r="AY68" s="51">
        <f>rebio23_80ml!AY69/50</f>
        <v>0</v>
      </c>
      <c r="AZ68" s="51">
        <f>rebio23_80ml!AZ69/50</f>
        <v>0</v>
      </c>
      <c r="BA68" s="51">
        <f>rebio23_80ml!BA69/50</f>
        <v>0</v>
      </c>
      <c r="BB68" s="51">
        <f>rebio23_80ml!BB69/50</f>
        <v>0</v>
      </c>
      <c r="BC68" s="51">
        <f>rebio23_80ml!BC69/50</f>
        <v>0</v>
      </c>
      <c r="BD68" s="51">
        <f>rebio23_80ml!BD69/50</f>
        <v>0</v>
      </c>
      <c r="BE68" s="51">
        <f>rebio23_80ml!BE69/50</f>
        <v>0</v>
      </c>
      <c r="BF68" s="51">
        <f>rebio23_80ml!BF69/50</f>
        <v>0</v>
      </c>
      <c r="BG68" s="51">
        <f>rebio23_80ml!BG69/50</f>
        <v>0</v>
      </c>
    </row>
    <row r="69" spans="1:59" ht="12.75" customHeight="1" x14ac:dyDescent="0.25">
      <c r="A69" s="50" t="str">
        <f>rebio23_80ml!A70</f>
        <v>C-C-P11-H2</v>
      </c>
      <c r="B69" s="51">
        <f>rebio23_80ml!B70/50</f>
        <v>0</v>
      </c>
      <c r="C69" s="51">
        <f>rebio23_80ml!C70/50</f>
        <v>0</v>
      </c>
      <c r="D69" s="51">
        <f>rebio23_80ml!D70/50</f>
        <v>0</v>
      </c>
      <c r="E69" s="51">
        <f>rebio23_80ml!E70/50</f>
        <v>0</v>
      </c>
      <c r="F69" s="51">
        <f>rebio23_80ml!F70/50</f>
        <v>0</v>
      </c>
      <c r="G69" s="51">
        <f>rebio23_80ml!G70/50</f>
        <v>0</v>
      </c>
      <c r="H69" s="51">
        <f>rebio23_80ml!H70/50</f>
        <v>0</v>
      </c>
      <c r="I69" s="51">
        <f>rebio23_80ml!I70/50</f>
        <v>0</v>
      </c>
      <c r="J69" s="51">
        <f>rebio23_80ml!J70/50</f>
        <v>0</v>
      </c>
      <c r="K69" s="51">
        <f>rebio23_80ml!K70/50</f>
        <v>0</v>
      </c>
      <c r="L69" s="51">
        <f>rebio23_80ml!L70/50</f>
        <v>0</v>
      </c>
      <c r="M69" s="51">
        <f>rebio23_80ml!M70/50</f>
        <v>0</v>
      </c>
      <c r="N69" s="51">
        <f>rebio23_80ml!N70/50</f>
        <v>0</v>
      </c>
      <c r="O69" s="51">
        <f>rebio23_80ml!O70/50</f>
        <v>0</v>
      </c>
      <c r="P69" s="51">
        <f>rebio23_80ml!P70/50</f>
        <v>0</v>
      </c>
      <c r="Q69" s="51">
        <f>rebio23_80ml!Q70/50</f>
        <v>0</v>
      </c>
      <c r="R69" s="51">
        <f>rebio23_80ml!R70/50</f>
        <v>0</v>
      </c>
      <c r="S69" s="51">
        <f>rebio23_80ml!S70/50</f>
        <v>0</v>
      </c>
      <c r="T69" s="51">
        <f>rebio23_80ml!T70/50</f>
        <v>0</v>
      </c>
      <c r="U69" s="51">
        <f>rebio23_80ml!U70/50</f>
        <v>0</v>
      </c>
      <c r="V69" s="51">
        <f>rebio23_80ml!V70/50</f>
        <v>0</v>
      </c>
      <c r="W69" s="51">
        <f>rebio23_80ml!W70/50</f>
        <v>0</v>
      </c>
      <c r="X69" s="51">
        <f>rebio23_80ml!X70/50</f>
        <v>0</v>
      </c>
      <c r="Y69" s="51">
        <f>rebio23_80ml!Y70/50</f>
        <v>0</v>
      </c>
      <c r="Z69" s="51">
        <f>rebio23_80ml!Z70/50</f>
        <v>0</v>
      </c>
      <c r="AA69" s="51">
        <f>rebio23_80ml!AA70/50</f>
        <v>0</v>
      </c>
      <c r="AB69" s="51">
        <f>rebio23_80ml!AB70/50</f>
        <v>0</v>
      </c>
      <c r="AC69" s="51">
        <f>rebio23_80ml!AC70/50</f>
        <v>0</v>
      </c>
      <c r="AD69" s="51">
        <f>rebio23_80ml!AD70/50</f>
        <v>0</v>
      </c>
      <c r="AE69" s="51">
        <f>rebio23_80ml!AE70/50</f>
        <v>0</v>
      </c>
      <c r="AF69" s="51">
        <f>rebio23_80ml!AF70/50</f>
        <v>0</v>
      </c>
      <c r="AG69" s="51">
        <f>rebio23_80ml!AG70/50</f>
        <v>0</v>
      </c>
      <c r="AH69" s="51">
        <f>rebio23_80ml!AH70/50</f>
        <v>0</v>
      </c>
      <c r="AI69" s="51">
        <f>rebio23_80ml!AI70/50</f>
        <v>0</v>
      </c>
      <c r="AJ69" s="51">
        <f>rebio23_80ml!AJ70/50</f>
        <v>0</v>
      </c>
      <c r="AK69" s="51">
        <f>rebio23_80ml!AK70/50</f>
        <v>0</v>
      </c>
      <c r="AL69" s="51">
        <f>rebio23_80ml!AL70/50</f>
        <v>0</v>
      </c>
      <c r="AM69" s="51">
        <f>rebio23_80ml!AM70/50</f>
        <v>0</v>
      </c>
      <c r="AN69" s="51">
        <f>rebio23_80ml!AN70/50</f>
        <v>0</v>
      </c>
      <c r="AO69" s="51">
        <f>rebio23_80ml!AO70/50</f>
        <v>0</v>
      </c>
      <c r="AP69" s="51">
        <f>rebio23_80ml!AP70/50</f>
        <v>0</v>
      </c>
      <c r="AQ69" s="51">
        <f>rebio23_80ml!AQ70/50</f>
        <v>0</v>
      </c>
      <c r="AR69" s="51">
        <f>rebio23_80ml!AR70/50</f>
        <v>0</v>
      </c>
      <c r="AS69" s="51">
        <f>rebio23_80ml!AS70/50</f>
        <v>0</v>
      </c>
      <c r="AT69" s="51">
        <f>rebio23_80ml!AT70/50</f>
        <v>0</v>
      </c>
      <c r="AU69" s="51">
        <f>rebio23_80ml!AU70/50</f>
        <v>0</v>
      </c>
      <c r="AV69" s="51">
        <f>rebio23_80ml!AV70/50</f>
        <v>0</v>
      </c>
      <c r="AW69" s="51">
        <f>rebio23_80ml!AW70/50</f>
        <v>0</v>
      </c>
      <c r="AX69" s="51">
        <f>rebio23_80ml!AX70/50</f>
        <v>0</v>
      </c>
      <c r="AY69" s="51">
        <f>rebio23_80ml!AY70/50</f>
        <v>0</v>
      </c>
      <c r="AZ69" s="51">
        <f>rebio23_80ml!AZ70/50</f>
        <v>0</v>
      </c>
      <c r="BA69" s="51">
        <f>rebio23_80ml!BA70/50</f>
        <v>0</v>
      </c>
      <c r="BB69" s="51">
        <f>rebio23_80ml!BB70/50</f>
        <v>0</v>
      </c>
      <c r="BC69" s="51">
        <f>rebio23_80ml!BC70/50</f>
        <v>0</v>
      </c>
      <c r="BD69" s="51">
        <f>rebio23_80ml!BD70/50</f>
        <v>0</v>
      </c>
      <c r="BE69" s="51">
        <f>rebio23_80ml!BE70/50</f>
        <v>0</v>
      </c>
      <c r="BF69" s="51">
        <f>rebio23_80ml!BF70/50</f>
        <v>0</v>
      </c>
      <c r="BG69" s="51">
        <f>rebio23_80ml!BG70/50</f>
        <v>0</v>
      </c>
    </row>
    <row r="70" spans="1:59" ht="12.75" customHeight="1" x14ac:dyDescent="0.25">
      <c r="A70" s="50" t="str">
        <f>rebio23_80ml!A71</f>
        <v>C-C-P11-H3</v>
      </c>
      <c r="B70" s="51">
        <f>rebio23_80ml!B71/50</f>
        <v>0</v>
      </c>
      <c r="C70" s="51">
        <f>rebio23_80ml!C71/50</f>
        <v>0</v>
      </c>
      <c r="D70" s="51">
        <f>rebio23_80ml!D71/50</f>
        <v>0</v>
      </c>
      <c r="E70" s="51">
        <f>rebio23_80ml!E71/50</f>
        <v>0</v>
      </c>
      <c r="F70" s="51">
        <f>rebio23_80ml!F71/50</f>
        <v>0</v>
      </c>
      <c r="G70" s="51">
        <f>rebio23_80ml!G71/50</f>
        <v>0</v>
      </c>
      <c r="H70" s="51">
        <f>rebio23_80ml!H71/50</f>
        <v>0</v>
      </c>
      <c r="I70" s="51">
        <f>rebio23_80ml!I71/50</f>
        <v>0</v>
      </c>
      <c r="J70" s="51">
        <f>rebio23_80ml!J71/50</f>
        <v>0</v>
      </c>
      <c r="K70" s="51">
        <f>rebio23_80ml!K71/50</f>
        <v>0</v>
      </c>
      <c r="L70" s="51">
        <f>rebio23_80ml!L71/50</f>
        <v>0</v>
      </c>
      <c r="M70" s="51">
        <f>rebio23_80ml!M71/50</f>
        <v>0</v>
      </c>
      <c r="N70" s="51">
        <f>rebio23_80ml!N71/50</f>
        <v>0</v>
      </c>
      <c r="O70" s="51">
        <f>rebio23_80ml!O71/50</f>
        <v>0</v>
      </c>
      <c r="P70" s="51">
        <f>rebio23_80ml!P71/50</f>
        <v>0</v>
      </c>
      <c r="Q70" s="51">
        <f>rebio23_80ml!Q71/50</f>
        <v>0</v>
      </c>
      <c r="R70" s="51">
        <f>rebio23_80ml!R71/50</f>
        <v>0</v>
      </c>
      <c r="S70" s="51">
        <f>rebio23_80ml!S71/50</f>
        <v>0</v>
      </c>
      <c r="T70" s="51">
        <f>rebio23_80ml!T71/50</f>
        <v>0</v>
      </c>
      <c r="U70" s="51">
        <f>rebio23_80ml!U71/50</f>
        <v>0</v>
      </c>
      <c r="V70" s="51">
        <f>rebio23_80ml!V71/50</f>
        <v>0</v>
      </c>
      <c r="W70" s="51">
        <f>rebio23_80ml!W71/50</f>
        <v>0</v>
      </c>
      <c r="X70" s="51">
        <f>rebio23_80ml!X71/50</f>
        <v>0</v>
      </c>
      <c r="Y70" s="51">
        <f>rebio23_80ml!Y71/50</f>
        <v>0</v>
      </c>
      <c r="Z70" s="51">
        <f>rebio23_80ml!Z71/50</f>
        <v>0</v>
      </c>
      <c r="AA70" s="51">
        <f>rebio23_80ml!AA71/50</f>
        <v>0</v>
      </c>
      <c r="AB70" s="51">
        <f>rebio23_80ml!AB71/50</f>
        <v>0</v>
      </c>
      <c r="AC70" s="51">
        <f>rebio23_80ml!AC71/50</f>
        <v>0</v>
      </c>
      <c r="AD70" s="51">
        <f>rebio23_80ml!AD71/50</f>
        <v>0</v>
      </c>
      <c r="AE70" s="51">
        <f>rebio23_80ml!AE71/50</f>
        <v>0</v>
      </c>
      <c r="AF70" s="51">
        <f>rebio23_80ml!AF71/50</f>
        <v>0</v>
      </c>
      <c r="AG70" s="51">
        <f>rebio23_80ml!AG71/50</f>
        <v>0</v>
      </c>
      <c r="AH70" s="51">
        <f>rebio23_80ml!AH71/50</f>
        <v>0</v>
      </c>
      <c r="AI70" s="51">
        <f>rebio23_80ml!AI71/50</f>
        <v>0</v>
      </c>
      <c r="AJ70" s="51">
        <f>rebio23_80ml!AJ71/50</f>
        <v>0</v>
      </c>
      <c r="AK70" s="51">
        <f>rebio23_80ml!AK71/50</f>
        <v>0</v>
      </c>
      <c r="AL70" s="51">
        <f>rebio23_80ml!AL71/50</f>
        <v>0</v>
      </c>
      <c r="AM70" s="51">
        <f>rebio23_80ml!AM71/50</f>
        <v>0</v>
      </c>
      <c r="AN70" s="51">
        <f>rebio23_80ml!AN71/50</f>
        <v>0</v>
      </c>
      <c r="AO70" s="51">
        <f>rebio23_80ml!AO71/50</f>
        <v>0</v>
      </c>
      <c r="AP70" s="51">
        <f>rebio23_80ml!AP71/50</f>
        <v>0</v>
      </c>
      <c r="AQ70" s="51">
        <f>rebio23_80ml!AQ71/50</f>
        <v>0</v>
      </c>
      <c r="AR70" s="51">
        <f>rebio23_80ml!AR71/50</f>
        <v>0</v>
      </c>
      <c r="AS70" s="51">
        <f>rebio23_80ml!AS71/50</f>
        <v>0</v>
      </c>
      <c r="AT70" s="51">
        <f>rebio23_80ml!AT71/50</f>
        <v>0</v>
      </c>
      <c r="AU70" s="51">
        <f>rebio23_80ml!AU71/50</f>
        <v>0</v>
      </c>
      <c r="AV70" s="51">
        <f>rebio23_80ml!AV71/50</f>
        <v>0</v>
      </c>
      <c r="AW70" s="51">
        <f>rebio23_80ml!AW71/50</f>
        <v>0</v>
      </c>
      <c r="AX70" s="51">
        <f>rebio23_80ml!AX71/50</f>
        <v>0</v>
      </c>
      <c r="AY70" s="51">
        <f>rebio23_80ml!AY71/50</f>
        <v>0</v>
      </c>
      <c r="AZ70" s="51">
        <f>rebio23_80ml!AZ71/50</f>
        <v>0</v>
      </c>
      <c r="BA70" s="51">
        <f>rebio23_80ml!BA71/50</f>
        <v>0</v>
      </c>
      <c r="BB70" s="51">
        <f>rebio23_80ml!BB71/50</f>
        <v>0</v>
      </c>
      <c r="BC70" s="51">
        <f>rebio23_80ml!BC71/50</f>
        <v>0</v>
      </c>
      <c r="BD70" s="51">
        <f>rebio23_80ml!BD71/50</f>
        <v>0</v>
      </c>
      <c r="BE70" s="51">
        <f>rebio23_80ml!BE71/50</f>
        <v>0</v>
      </c>
      <c r="BF70" s="51">
        <f>rebio23_80ml!BF71/50</f>
        <v>0</v>
      </c>
      <c r="BG70" s="51">
        <f>rebio23_80ml!BG71/50</f>
        <v>0</v>
      </c>
    </row>
    <row r="71" spans="1:59" ht="12.75" customHeight="1" x14ac:dyDescent="0.25">
      <c r="A71" s="15" t="str">
        <f>rebio23_80ml!A72</f>
        <v>C-C-P12-H1</v>
      </c>
      <c r="B71" s="27">
        <f>rebio23_80ml!B72/50</f>
        <v>0.06</v>
      </c>
      <c r="C71" s="27">
        <f>rebio23_80ml!C72/50</f>
        <v>0</v>
      </c>
      <c r="D71" s="27">
        <f>rebio23_80ml!D72/50</f>
        <v>0</v>
      </c>
      <c r="E71" s="27">
        <f>rebio23_80ml!E72/50</f>
        <v>2.62</v>
      </c>
      <c r="F71" s="27">
        <f>rebio23_80ml!F72/50</f>
        <v>0</v>
      </c>
      <c r="G71" s="27">
        <f>rebio23_80ml!G72/50</f>
        <v>0</v>
      </c>
      <c r="H71" s="27">
        <f>rebio23_80ml!H72/50</f>
        <v>0</v>
      </c>
      <c r="I71" s="27">
        <f>rebio23_80ml!I72/50</f>
        <v>0.2</v>
      </c>
      <c r="J71" s="27">
        <f>rebio23_80ml!J72/50</f>
        <v>0</v>
      </c>
      <c r="K71" s="27">
        <f>rebio23_80ml!K72/50</f>
        <v>0</v>
      </c>
      <c r="L71" s="27">
        <f>rebio23_80ml!L72/50</f>
        <v>0</v>
      </c>
      <c r="M71" s="27">
        <f>rebio23_80ml!M72/50</f>
        <v>0</v>
      </c>
      <c r="N71" s="27">
        <f>rebio23_80ml!N72/50</f>
        <v>0</v>
      </c>
      <c r="O71" s="27">
        <f>rebio23_80ml!O72/50</f>
        <v>0</v>
      </c>
      <c r="P71" s="27">
        <f>rebio23_80ml!P72/50</f>
        <v>0</v>
      </c>
      <c r="Q71" s="27">
        <f>rebio23_80ml!Q72/50</f>
        <v>0</v>
      </c>
      <c r="R71" s="27">
        <f>rebio23_80ml!R72/50</f>
        <v>0</v>
      </c>
      <c r="S71" s="27">
        <f>rebio23_80ml!S72/50</f>
        <v>0</v>
      </c>
      <c r="T71" s="27">
        <f>rebio23_80ml!T72/50</f>
        <v>0</v>
      </c>
      <c r="U71" s="27">
        <f>rebio23_80ml!U72/50</f>
        <v>0</v>
      </c>
      <c r="V71" s="27">
        <f>rebio23_80ml!V72/50</f>
        <v>0</v>
      </c>
      <c r="W71" s="27">
        <f>rebio23_80ml!W72/50</f>
        <v>0</v>
      </c>
      <c r="X71" s="27">
        <f>rebio23_80ml!X72/50</f>
        <v>0</v>
      </c>
      <c r="Y71" s="27">
        <f>rebio23_80ml!Y72/50</f>
        <v>0</v>
      </c>
      <c r="Z71" s="27">
        <f>rebio23_80ml!Z72/50</f>
        <v>0.04</v>
      </c>
      <c r="AA71" s="27">
        <f>rebio23_80ml!AA72/50</f>
        <v>0.06</v>
      </c>
      <c r="AB71" s="27">
        <f>rebio23_80ml!AB72/50</f>
        <v>0</v>
      </c>
      <c r="AC71" s="27">
        <f>rebio23_80ml!AC72/50</f>
        <v>0</v>
      </c>
      <c r="AD71" s="27">
        <f>rebio23_80ml!AD72/50</f>
        <v>0</v>
      </c>
      <c r="AE71" s="27">
        <f>rebio23_80ml!AE72/50</f>
        <v>0</v>
      </c>
      <c r="AF71" s="27">
        <f>rebio23_80ml!AF72/50</f>
        <v>0</v>
      </c>
      <c r="AG71" s="27">
        <f>rebio23_80ml!AG72/50</f>
        <v>0</v>
      </c>
      <c r="AH71" s="27">
        <f>rebio23_80ml!AH72/50</f>
        <v>0</v>
      </c>
      <c r="AI71" s="27">
        <f>rebio23_80ml!AI72/50</f>
        <v>0</v>
      </c>
      <c r="AJ71" s="27">
        <f>rebio23_80ml!AJ72/50</f>
        <v>0</v>
      </c>
      <c r="AK71" s="27">
        <f>rebio23_80ml!AK72/50</f>
        <v>0</v>
      </c>
      <c r="AL71" s="27">
        <f>rebio23_80ml!AL72/50</f>
        <v>0</v>
      </c>
      <c r="AM71" s="27">
        <f>rebio23_80ml!AM72/50</f>
        <v>0</v>
      </c>
      <c r="AN71" s="27">
        <f>rebio23_80ml!AN72/50</f>
        <v>0</v>
      </c>
      <c r="AO71" s="27">
        <f>rebio23_80ml!AO72/50</f>
        <v>0</v>
      </c>
      <c r="AP71" s="27">
        <f>rebio23_80ml!AP72/50</f>
        <v>0</v>
      </c>
      <c r="AQ71" s="27">
        <f>rebio23_80ml!AQ72/50</f>
        <v>0</v>
      </c>
      <c r="AR71" s="27">
        <f>rebio23_80ml!AR72/50</f>
        <v>0</v>
      </c>
      <c r="AS71" s="27">
        <f>rebio23_80ml!AS72/50</f>
        <v>0</v>
      </c>
      <c r="AT71" s="27">
        <f>rebio23_80ml!AT72/50</f>
        <v>0</v>
      </c>
      <c r="AU71" s="27">
        <f>rebio23_80ml!AU72/50</f>
        <v>0</v>
      </c>
      <c r="AV71" s="27">
        <f>rebio23_80ml!AV72/50</f>
        <v>0.08</v>
      </c>
      <c r="AW71" s="27">
        <f>rebio23_80ml!AW72/50</f>
        <v>0</v>
      </c>
      <c r="AX71" s="27">
        <f>rebio23_80ml!AX72/50</f>
        <v>0</v>
      </c>
      <c r="AY71" s="27">
        <f>rebio23_80ml!AY72/50</f>
        <v>0.02</v>
      </c>
      <c r="AZ71" s="27">
        <f>rebio23_80ml!AZ72/50</f>
        <v>0</v>
      </c>
      <c r="BA71" s="27">
        <f>rebio23_80ml!BA72/50</f>
        <v>0</v>
      </c>
      <c r="BB71" s="27">
        <f>rebio23_80ml!BB72/50</f>
        <v>0</v>
      </c>
      <c r="BC71" s="27">
        <f>rebio23_80ml!BC72/50</f>
        <v>0</v>
      </c>
      <c r="BD71" s="27">
        <f>rebio23_80ml!BD72/50</f>
        <v>0</v>
      </c>
      <c r="BE71" s="27">
        <f>rebio23_80ml!BE72/50</f>
        <v>0</v>
      </c>
      <c r="BF71" s="27">
        <f>rebio23_80ml!BF72/50</f>
        <v>0</v>
      </c>
      <c r="BG71" s="27">
        <f>rebio23_80ml!BG72/50</f>
        <v>0</v>
      </c>
    </row>
    <row r="72" spans="1:59" ht="12.75" customHeight="1" x14ac:dyDescent="0.25">
      <c r="A72" s="15" t="str">
        <f>rebio23_80ml!A73</f>
        <v>C-C-P12-H2</v>
      </c>
      <c r="B72" s="27">
        <f>rebio23_80ml!B73/50</f>
        <v>0.04</v>
      </c>
      <c r="C72" s="27">
        <f>rebio23_80ml!C73/50</f>
        <v>0</v>
      </c>
      <c r="D72" s="27">
        <f>rebio23_80ml!D73/50</f>
        <v>0</v>
      </c>
      <c r="E72" s="27">
        <f>rebio23_80ml!E73/50</f>
        <v>4.18</v>
      </c>
      <c r="F72" s="27">
        <f>rebio23_80ml!F73/50</f>
        <v>0</v>
      </c>
      <c r="G72" s="27">
        <f>rebio23_80ml!G73/50</f>
        <v>0</v>
      </c>
      <c r="H72" s="27">
        <f>rebio23_80ml!H73/50</f>
        <v>0</v>
      </c>
      <c r="I72" s="27">
        <f>rebio23_80ml!I73/50</f>
        <v>0.06</v>
      </c>
      <c r="J72" s="27">
        <f>rebio23_80ml!J73/50</f>
        <v>0</v>
      </c>
      <c r="K72" s="27">
        <f>rebio23_80ml!K73/50</f>
        <v>0</v>
      </c>
      <c r="L72" s="27">
        <f>rebio23_80ml!L73/50</f>
        <v>0</v>
      </c>
      <c r="M72" s="27">
        <f>rebio23_80ml!M73/50</f>
        <v>0</v>
      </c>
      <c r="N72" s="27">
        <f>rebio23_80ml!N73/50</f>
        <v>0</v>
      </c>
      <c r="O72" s="27">
        <f>rebio23_80ml!O73/50</f>
        <v>0</v>
      </c>
      <c r="P72" s="27">
        <f>rebio23_80ml!P73/50</f>
        <v>0</v>
      </c>
      <c r="Q72" s="27">
        <f>rebio23_80ml!Q73/50</f>
        <v>0</v>
      </c>
      <c r="R72" s="27">
        <f>rebio23_80ml!R73/50</f>
        <v>0</v>
      </c>
      <c r="S72" s="27">
        <f>rebio23_80ml!S73/50</f>
        <v>0.02</v>
      </c>
      <c r="T72" s="27">
        <f>rebio23_80ml!T73/50</f>
        <v>0</v>
      </c>
      <c r="U72" s="27">
        <f>rebio23_80ml!U73/50</f>
        <v>0</v>
      </c>
      <c r="V72" s="27">
        <f>rebio23_80ml!V73/50</f>
        <v>0</v>
      </c>
      <c r="W72" s="27">
        <f>rebio23_80ml!W73/50</f>
        <v>0</v>
      </c>
      <c r="X72" s="27">
        <f>rebio23_80ml!X73/50</f>
        <v>0</v>
      </c>
      <c r="Y72" s="27">
        <f>rebio23_80ml!Y73/50</f>
        <v>0</v>
      </c>
      <c r="Z72" s="27">
        <f>rebio23_80ml!Z73/50</f>
        <v>0.02</v>
      </c>
      <c r="AA72" s="27">
        <f>rebio23_80ml!AA73/50</f>
        <v>0</v>
      </c>
      <c r="AB72" s="27">
        <f>rebio23_80ml!AB73/50</f>
        <v>0</v>
      </c>
      <c r="AC72" s="27">
        <f>rebio23_80ml!AC73/50</f>
        <v>0</v>
      </c>
      <c r="AD72" s="27">
        <f>rebio23_80ml!AD73/50</f>
        <v>0</v>
      </c>
      <c r="AE72" s="27">
        <f>rebio23_80ml!AE73/50</f>
        <v>0</v>
      </c>
      <c r="AF72" s="27">
        <f>rebio23_80ml!AF73/50</f>
        <v>0</v>
      </c>
      <c r="AG72" s="27">
        <f>rebio23_80ml!AG73/50</f>
        <v>0</v>
      </c>
      <c r="AH72" s="27">
        <f>rebio23_80ml!AH73/50</f>
        <v>0</v>
      </c>
      <c r="AI72" s="27">
        <f>rebio23_80ml!AI73/50</f>
        <v>0</v>
      </c>
      <c r="AJ72" s="27">
        <f>rebio23_80ml!AJ73/50</f>
        <v>0</v>
      </c>
      <c r="AK72" s="27">
        <f>rebio23_80ml!AK73/50</f>
        <v>0</v>
      </c>
      <c r="AL72" s="27">
        <f>rebio23_80ml!AL73/50</f>
        <v>0</v>
      </c>
      <c r="AM72" s="27">
        <f>rebio23_80ml!AM73/50</f>
        <v>0</v>
      </c>
      <c r="AN72" s="27">
        <f>rebio23_80ml!AN73/50</f>
        <v>0</v>
      </c>
      <c r="AO72" s="27">
        <f>rebio23_80ml!AO73/50</f>
        <v>0</v>
      </c>
      <c r="AP72" s="27">
        <f>rebio23_80ml!AP73/50</f>
        <v>0</v>
      </c>
      <c r="AQ72" s="27">
        <f>rebio23_80ml!AQ73/50</f>
        <v>0</v>
      </c>
      <c r="AR72" s="27">
        <f>rebio23_80ml!AR73/50</f>
        <v>0</v>
      </c>
      <c r="AS72" s="27">
        <f>rebio23_80ml!AS73/50</f>
        <v>0</v>
      </c>
      <c r="AT72" s="27">
        <f>rebio23_80ml!AT73/50</f>
        <v>0</v>
      </c>
      <c r="AU72" s="27">
        <f>rebio23_80ml!AU73/50</f>
        <v>0</v>
      </c>
      <c r="AV72" s="27">
        <f>rebio23_80ml!AV73/50</f>
        <v>0.14000000000000001</v>
      </c>
      <c r="AW72" s="27">
        <f>rebio23_80ml!AW73/50</f>
        <v>0</v>
      </c>
      <c r="AX72" s="27">
        <f>rebio23_80ml!AX73/50</f>
        <v>0</v>
      </c>
      <c r="AY72" s="27">
        <f>rebio23_80ml!AY73/50</f>
        <v>0.02</v>
      </c>
      <c r="AZ72" s="27">
        <f>rebio23_80ml!AZ73/50</f>
        <v>0</v>
      </c>
      <c r="BA72" s="27">
        <f>rebio23_80ml!BA73/50</f>
        <v>0</v>
      </c>
      <c r="BB72" s="27">
        <f>rebio23_80ml!BB73/50</f>
        <v>0</v>
      </c>
      <c r="BC72" s="27">
        <f>rebio23_80ml!BC73/50</f>
        <v>0</v>
      </c>
      <c r="BD72" s="27">
        <f>rebio23_80ml!BD73/50</f>
        <v>0</v>
      </c>
      <c r="BE72" s="27">
        <f>rebio23_80ml!BE73/50</f>
        <v>0</v>
      </c>
      <c r="BF72" s="27">
        <f>rebio23_80ml!BF73/50</f>
        <v>0</v>
      </c>
      <c r="BG72" s="27">
        <f>rebio23_80ml!BG73/50</f>
        <v>0</v>
      </c>
    </row>
    <row r="73" spans="1:59" ht="12.75" customHeight="1" x14ac:dyDescent="0.25">
      <c r="A73" s="15" t="str">
        <f>rebio23_80ml!A74</f>
        <v>C-C-P12-H3</v>
      </c>
      <c r="B73" s="27">
        <f>rebio23_80ml!B74/50</f>
        <v>0.1</v>
      </c>
      <c r="C73" s="27">
        <f>rebio23_80ml!C74/50</f>
        <v>0</v>
      </c>
      <c r="D73" s="27">
        <f>rebio23_80ml!D74/50</f>
        <v>0</v>
      </c>
      <c r="E73" s="27">
        <f>rebio23_80ml!E74/50</f>
        <v>3.16</v>
      </c>
      <c r="F73" s="27">
        <f>rebio23_80ml!F74/50</f>
        <v>0</v>
      </c>
      <c r="G73" s="27">
        <f>rebio23_80ml!G74/50</f>
        <v>0</v>
      </c>
      <c r="H73" s="27">
        <f>rebio23_80ml!H74/50</f>
        <v>0</v>
      </c>
      <c r="I73" s="27">
        <f>rebio23_80ml!I74/50</f>
        <v>0.08</v>
      </c>
      <c r="J73" s="27">
        <f>rebio23_80ml!J74/50</f>
        <v>0</v>
      </c>
      <c r="K73" s="27">
        <f>rebio23_80ml!K74/50</f>
        <v>0</v>
      </c>
      <c r="L73" s="27">
        <f>rebio23_80ml!L74/50</f>
        <v>0</v>
      </c>
      <c r="M73" s="27">
        <f>rebio23_80ml!M74/50</f>
        <v>0</v>
      </c>
      <c r="N73" s="27">
        <f>rebio23_80ml!N74/50</f>
        <v>0</v>
      </c>
      <c r="O73" s="27">
        <f>rebio23_80ml!O74/50</f>
        <v>0</v>
      </c>
      <c r="P73" s="27">
        <f>rebio23_80ml!P74/50</f>
        <v>0</v>
      </c>
      <c r="Q73" s="27">
        <f>rebio23_80ml!Q74/50</f>
        <v>0</v>
      </c>
      <c r="R73" s="27">
        <f>rebio23_80ml!R74/50</f>
        <v>0</v>
      </c>
      <c r="S73" s="27">
        <f>rebio23_80ml!S74/50</f>
        <v>0</v>
      </c>
      <c r="T73" s="27">
        <f>rebio23_80ml!T74/50</f>
        <v>0</v>
      </c>
      <c r="U73" s="27">
        <f>rebio23_80ml!U74/50</f>
        <v>0</v>
      </c>
      <c r="V73" s="27">
        <f>rebio23_80ml!V74/50</f>
        <v>0</v>
      </c>
      <c r="W73" s="27">
        <f>rebio23_80ml!W74/50</f>
        <v>0</v>
      </c>
      <c r="X73" s="27">
        <f>rebio23_80ml!X74/50</f>
        <v>0</v>
      </c>
      <c r="Y73" s="27">
        <f>rebio23_80ml!Y74/50</f>
        <v>0</v>
      </c>
      <c r="Z73" s="27">
        <f>rebio23_80ml!Z74/50</f>
        <v>0</v>
      </c>
      <c r="AA73" s="27">
        <f>rebio23_80ml!AA74/50</f>
        <v>0.02</v>
      </c>
      <c r="AB73" s="27">
        <f>rebio23_80ml!AB74/50</f>
        <v>0</v>
      </c>
      <c r="AC73" s="27">
        <f>rebio23_80ml!AC74/50</f>
        <v>0</v>
      </c>
      <c r="AD73" s="27">
        <f>rebio23_80ml!AD74/50</f>
        <v>0</v>
      </c>
      <c r="AE73" s="27">
        <f>rebio23_80ml!AE74/50</f>
        <v>0</v>
      </c>
      <c r="AF73" s="27">
        <f>rebio23_80ml!AF74/50</f>
        <v>0</v>
      </c>
      <c r="AG73" s="27">
        <f>rebio23_80ml!AG74/50</f>
        <v>0</v>
      </c>
      <c r="AH73" s="27">
        <f>rebio23_80ml!AH74/50</f>
        <v>0</v>
      </c>
      <c r="AI73" s="27">
        <f>rebio23_80ml!AI74/50</f>
        <v>0</v>
      </c>
      <c r="AJ73" s="27">
        <f>rebio23_80ml!AJ74/50</f>
        <v>0</v>
      </c>
      <c r="AK73" s="27">
        <f>rebio23_80ml!AK74/50</f>
        <v>0</v>
      </c>
      <c r="AL73" s="27">
        <f>rebio23_80ml!AL74/50</f>
        <v>0</v>
      </c>
      <c r="AM73" s="27">
        <f>rebio23_80ml!AM74/50</f>
        <v>0</v>
      </c>
      <c r="AN73" s="27">
        <f>rebio23_80ml!AN74/50</f>
        <v>0</v>
      </c>
      <c r="AO73" s="27">
        <f>rebio23_80ml!AO74/50</f>
        <v>0</v>
      </c>
      <c r="AP73" s="27">
        <f>rebio23_80ml!AP74/50</f>
        <v>0</v>
      </c>
      <c r="AQ73" s="27">
        <f>rebio23_80ml!AQ74/50</f>
        <v>0</v>
      </c>
      <c r="AR73" s="27">
        <f>rebio23_80ml!AR74/50</f>
        <v>0</v>
      </c>
      <c r="AS73" s="27">
        <f>rebio23_80ml!AS74/50</f>
        <v>0</v>
      </c>
      <c r="AT73" s="27">
        <f>rebio23_80ml!AT74/50</f>
        <v>0</v>
      </c>
      <c r="AU73" s="27">
        <f>rebio23_80ml!AU74/50</f>
        <v>0</v>
      </c>
      <c r="AV73" s="27">
        <f>rebio23_80ml!AV74/50</f>
        <v>0.24</v>
      </c>
      <c r="AW73" s="27">
        <f>rebio23_80ml!AW74/50</f>
        <v>0</v>
      </c>
      <c r="AX73" s="27">
        <f>rebio23_80ml!AX74/50</f>
        <v>0</v>
      </c>
      <c r="AY73" s="27">
        <f>rebio23_80ml!AY74/50</f>
        <v>0</v>
      </c>
      <c r="AZ73" s="27">
        <f>rebio23_80ml!AZ74/50</f>
        <v>0</v>
      </c>
      <c r="BA73" s="27">
        <f>rebio23_80ml!BA74/50</f>
        <v>0</v>
      </c>
      <c r="BB73" s="27">
        <f>rebio23_80ml!BB74/50</f>
        <v>0</v>
      </c>
      <c r="BC73" s="27">
        <f>rebio23_80ml!BC74/50</f>
        <v>0</v>
      </c>
      <c r="BD73" s="27">
        <f>rebio23_80ml!BD74/50</f>
        <v>0</v>
      </c>
      <c r="BE73" s="27">
        <f>rebio23_80ml!BE74/50</f>
        <v>0</v>
      </c>
      <c r="BF73" s="27">
        <f>rebio23_80ml!BF74/50</f>
        <v>0</v>
      </c>
      <c r="BG73" s="27">
        <f>rebio23_80ml!BG74/50</f>
        <v>0</v>
      </c>
    </row>
    <row r="74" spans="1:59" ht="12.75" customHeight="1" x14ac:dyDescent="0.25">
      <c r="A74" s="15" t="str">
        <f>rebio23_80ml!A75</f>
        <v>C-C-P13-H1</v>
      </c>
      <c r="B74" s="27">
        <f>rebio23_80ml!B75/50</f>
        <v>0.1</v>
      </c>
      <c r="C74" s="27">
        <f>rebio23_80ml!C75/50</f>
        <v>0</v>
      </c>
      <c r="D74" s="27">
        <f>rebio23_80ml!D75/50</f>
        <v>0</v>
      </c>
      <c r="E74" s="27">
        <f>rebio23_80ml!E75/50</f>
        <v>2.14</v>
      </c>
      <c r="F74" s="27">
        <f>rebio23_80ml!F75/50</f>
        <v>0.02</v>
      </c>
      <c r="G74" s="27">
        <f>rebio23_80ml!G75/50</f>
        <v>0</v>
      </c>
      <c r="H74" s="27">
        <f>rebio23_80ml!H75/50</f>
        <v>0</v>
      </c>
      <c r="I74" s="27">
        <f>rebio23_80ml!I75/50</f>
        <v>0.28000000000000003</v>
      </c>
      <c r="J74" s="27">
        <f>rebio23_80ml!J75/50</f>
        <v>0.02</v>
      </c>
      <c r="K74" s="27">
        <f>rebio23_80ml!K75/50</f>
        <v>0</v>
      </c>
      <c r="L74" s="27">
        <f>rebio23_80ml!L75/50</f>
        <v>0.02</v>
      </c>
      <c r="M74" s="27">
        <f>rebio23_80ml!M75/50</f>
        <v>0</v>
      </c>
      <c r="N74" s="27">
        <f>rebio23_80ml!N75/50</f>
        <v>0</v>
      </c>
      <c r="O74" s="27">
        <f>rebio23_80ml!O75/50</f>
        <v>0</v>
      </c>
      <c r="P74" s="27">
        <f>rebio23_80ml!P75/50</f>
        <v>0</v>
      </c>
      <c r="Q74" s="27">
        <f>rebio23_80ml!Q75/50</f>
        <v>0</v>
      </c>
      <c r="R74" s="27">
        <f>rebio23_80ml!R75/50</f>
        <v>0</v>
      </c>
      <c r="S74" s="27">
        <f>rebio23_80ml!S75/50</f>
        <v>0</v>
      </c>
      <c r="T74" s="27">
        <f>rebio23_80ml!T75/50</f>
        <v>0.02</v>
      </c>
      <c r="U74" s="27">
        <f>rebio23_80ml!U75/50</f>
        <v>0</v>
      </c>
      <c r="V74" s="27">
        <f>rebio23_80ml!V75/50</f>
        <v>0</v>
      </c>
      <c r="W74" s="27">
        <f>rebio23_80ml!W75/50</f>
        <v>0</v>
      </c>
      <c r="X74" s="27">
        <f>rebio23_80ml!X75/50</f>
        <v>0</v>
      </c>
      <c r="Y74" s="27">
        <f>rebio23_80ml!Y75/50</f>
        <v>0</v>
      </c>
      <c r="Z74" s="27">
        <f>rebio23_80ml!Z75/50</f>
        <v>0</v>
      </c>
      <c r="AA74" s="27">
        <f>rebio23_80ml!AA75/50</f>
        <v>0.02</v>
      </c>
      <c r="AB74" s="27">
        <f>rebio23_80ml!AB75/50</f>
        <v>0</v>
      </c>
      <c r="AC74" s="27">
        <f>rebio23_80ml!AC75/50</f>
        <v>0</v>
      </c>
      <c r="AD74" s="27">
        <f>rebio23_80ml!AD75/50</f>
        <v>0</v>
      </c>
      <c r="AE74" s="27">
        <f>rebio23_80ml!AE75/50</f>
        <v>0</v>
      </c>
      <c r="AF74" s="27">
        <f>rebio23_80ml!AF75/50</f>
        <v>0</v>
      </c>
      <c r="AG74" s="27">
        <f>rebio23_80ml!AG75/50</f>
        <v>0</v>
      </c>
      <c r="AH74" s="27">
        <f>rebio23_80ml!AH75/50</f>
        <v>0</v>
      </c>
      <c r="AI74" s="27">
        <f>rebio23_80ml!AI75/50</f>
        <v>0</v>
      </c>
      <c r="AJ74" s="27">
        <f>rebio23_80ml!AJ75/50</f>
        <v>0</v>
      </c>
      <c r="AK74" s="27">
        <f>rebio23_80ml!AK75/50</f>
        <v>0</v>
      </c>
      <c r="AL74" s="27">
        <f>rebio23_80ml!AL75/50</f>
        <v>0</v>
      </c>
      <c r="AM74" s="27">
        <f>rebio23_80ml!AM75/50</f>
        <v>0</v>
      </c>
      <c r="AN74" s="27">
        <f>rebio23_80ml!AN75/50</f>
        <v>0</v>
      </c>
      <c r="AO74" s="27">
        <f>rebio23_80ml!AO75/50</f>
        <v>0</v>
      </c>
      <c r="AP74" s="27">
        <f>rebio23_80ml!AP75/50</f>
        <v>0</v>
      </c>
      <c r="AQ74" s="27">
        <f>rebio23_80ml!AQ75/50</f>
        <v>0</v>
      </c>
      <c r="AR74" s="27">
        <f>rebio23_80ml!AR75/50</f>
        <v>0</v>
      </c>
      <c r="AS74" s="27">
        <f>rebio23_80ml!AS75/50</f>
        <v>0</v>
      </c>
      <c r="AT74" s="27">
        <f>rebio23_80ml!AT75/50</f>
        <v>0</v>
      </c>
      <c r="AU74" s="27">
        <f>rebio23_80ml!AU75/50</f>
        <v>0</v>
      </c>
      <c r="AV74" s="27">
        <f>rebio23_80ml!AV75/50</f>
        <v>0.1</v>
      </c>
      <c r="AW74" s="27">
        <f>rebio23_80ml!AW75/50</f>
        <v>0</v>
      </c>
      <c r="AX74" s="27">
        <f>rebio23_80ml!AX75/50</f>
        <v>0.02</v>
      </c>
      <c r="AY74" s="27">
        <f>rebio23_80ml!AY75/50</f>
        <v>0</v>
      </c>
      <c r="AZ74" s="27">
        <f>rebio23_80ml!AZ75/50</f>
        <v>0</v>
      </c>
      <c r="BA74" s="27">
        <f>rebio23_80ml!BA75/50</f>
        <v>0</v>
      </c>
      <c r="BB74" s="27">
        <f>rebio23_80ml!BB75/50</f>
        <v>0</v>
      </c>
      <c r="BC74" s="27">
        <f>rebio23_80ml!BC75/50</f>
        <v>0</v>
      </c>
      <c r="BD74" s="27">
        <f>rebio23_80ml!BD75/50</f>
        <v>0</v>
      </c>
      <c r="BE74" s="27">
        <f>rebio23_80ml!BE75/50</f>
        <v>0</v>
      </c>
      <c r="BF74" s="27">
        <f>rebio23_80ml!BF75/50</f>
        <v>0</v>
      </c>
      <c r="BG74" s="27">
        <f>rebio23_80ml!BG75/50</f>
        <v>0</v>
      </c>
    </row>
    <row r="75" spans="1:59" ht="12.75" customHeight="1" x14ac:dyDescent="0.25">
      <c r="A75" s="15" t="str">
        <f>rebio23_80ml!A76</f>
        <v>C-C-P13-H2</v>
      </c>
      <c r="B75" s="27">
        <f>rebio23_80ml!B76/50</f>
        <v>0.08</v>
      </c>
      <c r="C75" s="27">
        <f>rebio23_80ml!C76/50</f>
        <v>0</v>
      </c>
      <c r="D75" s="27">
        <f>rebio23_80ml!D76/50</f>
        <v>0</v>
      </c>
      <c r="E75" s="27">
        <f>rebio23_80ml!E76/50</f>
        <v>2.1</v>
      </c>
      <c r="F75" s="27">
        <f>rebio23_80ml!F76/50</f>
        <v>0</v>
      </c>
      <c r="G75" s="27">
        <f>rebio23_80ml!G76/50</f>
        <v>0</v>
      </c>
      <c r="H75" s="27">
        <f>rebio23_80ml!H76/50</f>
        <v>0</v>
      </c>
      <c r="I75" s="27">
        <f>rebio23_80ml!I76/50</f>
        <v>0.22</v>
      </c>
      <c r="J75" s="27">
        <f>rebio23_80ml!J76/50</f>
        <v>0</v>
      </c>
      <c r="K75" s="27">
        <f>rebio23_80ml!K76/50</f>
        <v>0</v>
      </c>
      <c r="L75" s="27">
        <f>rebio23_80ml!L76/50</f>
        <v>0.02</v>
      </c>
      <c r="M75" s="27">
        <f>rebio23_80ml!M76/50</f>
        <v>0</v>
      </c>
      <c r="N75" s="27">
        <f>rebio23_80ml!N76/50</f>
        <v>0</v>
      </c>
      <c r="O75" s="27">
        <f>rebio23_80ml!O76/50</f>
        <v>0</v>
      </c>
      <c r="P75" s="27">
        <f>rebio23_80ml!P76/50</f>
        <v>0</v>
      </c>
      <c r="Q75" s="27">
        <f>rebio23_80ml!Q76/50</f>
        <v>0</v>
      </c>
      <c r="R75" s="27">
        <f>rebio23_80ml!R76/50</f>
        <v>0</v>
      </c>
      <c r="S75" s="27">
        <f>rebio23_80ml!S76/50</f>
        <v>0</v>
      </c>
      <c r="T75" s="27">
        <f>rebio23_80ml!T76/50</f>
        <v>0.02</v>
      </c>
      <c r="U75" s="27">
        <f>rebio23_80ml!U76/50</f>
        <v>0</v>
      </c>
      <c r="V75" s="27">
        <f>rebio23_80ml!V76/50</f>
        <v>0</v>
      </c>
      <c r="W75" s="27">
        <f>rebio23_80ml!W76/50</f>
        <v>0</v>
      </c>
      <c r="X75" s="27">
        <f>rebio23_80ml!X76/50</f>
        <v>0</v>
      </c>
      <c r="Y75" s="27">
        <f>rebio23_80ml!Y76/50</f>
        <v>0</v>
      </c>
      <c r="Z75" s="27">
        <f>rebio23_80ml!Z76/50</f>
        <v>0.02</v>
      </c>
      <c r="AA75" s="27">
        <f>rebio23_80ml!AA76/50</f>
        <v>0</v>
      </c>
      <c r="AB75" s="27">
        <f>rebio23_80ml!AB76/50</f>
        <v>0</v>
      </c>
      <c r="AC75" s="27">
        <f>rebio23_80ml!AC76/50</f>
        <v>0</v>
      </c>
      <c r="AD75" s="27">
        <f>rebio23_80ml!AD76/50</f>
        <v>0</v>
      </c>
      <c r="AE75" s="27">
        <f>rebio23_80ml!AE76/50</f>
        <v>0</v>
      </c>
      <c r="AF75" s="27">
        <f>rebio23_80ml!AF76/50</f>
        <v>0</v>
      </c>
      <c r="AG75" s="27">
        <f>rebio23_80ml!AG76/50</f>
        <v>0</v>
      </c>
      <c r="AH75" s="27">
        <f>rebio23_80ml!AH76/50</f>
        <v>0</v>
      </c>
      <c r="AI75" s="27">
        <f>rebio23_80ml!AI76/50</f>
        <v>0</v>
      </c>
      <c r="AJ75" s="27">
        <f>rebio23_80ml!AJ76/50</f>
        <v>0</v>
      </c>
      <c r="AK75" s="27">
        <f>rebio23_80ml!AK76/50</f>
        <v>0</v>
      </c>
      <c r="AL75" s="27">
        <f>rebio23_80ml!AL76/50</f>
        <v>0.04</v>
      </c>
      <c r="AM75" s="27">
        <f>rebio23_80ml!AM76/50</f>
        <v>0</v>
      </c>
      <c r="AN75" s="27">
        <f>rebio23_80ml!AN76/50</f>
        <v>0</v>
      </c>
      <c r="AO75" s="27">
        <f>rebio23_80ml!AO76/50</f>
        <v>0</v>
      </c>
      <c r="AP75" s="27">
        <f>rebio23_80ml!AP76/50</f>
        <v>0</v>
      </c>
      <c r="AQ75" s="27">
        <f>rebio23_80ml!AQ76/50</f>
        <v>0</v>
      </c>
      <c r="AR75" s="27">
        <f>rebio23_80ml!AR76/50</f>
        <v>0</v>
      </c>
      <c r="AS75" s="27">
        <f>rebio23_80ml!AS76/50</f>
        <v>0</v>
      </c>
      <c r="AT75" s="27">
        <f>rebio23_80ml!AT76/50</f>
        <v>0</v>
      </c>
      <c r="AU75" s="27">
        <f>rebio23_80ml!AU76/50</f>
        <v>0</v>
      </c>
      <c r="AV75" s="27">
        <f>rebio23_80ml!AV76/50</f>
        <v>0.32</v>
      </c>
      <c r="AW75" s="27">
        <f>rebio23_80ml!AW76/50</f>
        <v>0</v>
      </c>
      <c r="AX75" s="27">
        <f>rebio23_80ml!AX76/50</f>
        <v>0.06</v>
      </c>
      <c r="AY75" s="27">
        <f>rebio23_80ml!AY76/50</f>
        <v>0</v>
      </c>
      <c r="AZ75" s="27">
        <f>rebio23_80ml!AZ76/50</f>
        <v>0</v>
      </c>
      <c r="BA75" s="27">
        <f>rebio23_80ml!BA76/50</f>
        <v>0</v>
      </c>
      <c r="BB75" s="27">
        <f>rebio23_80ml!BB76/50</f>
        <v>0</v>
      </c>
      <c r="BC75" s="27">
        <f>rebio23_80ml!BC76/50</f>
        <v>0</v>
      </c>
      <c r="BD75" s="27">
        <f>rebio23_80ml!BD76/50</f>
        <v>0</v>
      </c>
      <c r="BE75" s="27">
        <f>rebio23_80ml!BE76/50</f>
        <v>0</v>
      </c>
      <c r="BF75" s="27">
        <f>rebio23_80ml!BF76/50</f>
        <v>0</v>
      </c>
      <c r="BG75" s="27">
        <f>rebio23_80ml!BG76/50</f>
        <v>0</v>
      </c>
    </row>
    <row r="76" spans="1:59" ht="12.75" customHeight="1" x14ac:dyDescent="0.25">
      <c r="A76" s="15" t="str">
        <f>rebio23_80ml!A77</f>
        <v>C-C-P13-H3</v>
      </c>
      <c r="B76" s="27">
        <f>rebio23_80ml!B77/50</f>
        <v>0.06</v>
      </c>
      <c r="C76" s="27">
        <f>rebio23_80ml!C77/50</f>
        <v>0.04</v>
      </c>
      <c r="D76" s="27">
        <f>rebio23_80ml!D77/50</f>
        <v>0</v>
      </c>
      <c r="E76" s="27">
        <f>rebio23_80ml!E77/50</f>
        <v>3.14</v>
      </c>
      <c r="F76" s="27">
        <f>rebio23_80ml!F77/50</f>
        <v>0</v>
      </c>
      <c r="G76" s="27">
        <f>rebio23_80ml!G77/50</f>
        <v>0</v>
      </c>
      <c r="H76" s="27">
        <f>rebio23_80ml!H77/50</f>
        <v>0</v>
      </c>
      <c r="I76" s="27">
        <f>rebio23_80ml!I77/50</f>
        <v>0.26</v>
      </c>
      <c r="J76" s="27">
        <f>rebio23_80ml!J77/50</f>
        <v>0</v>
      </c>
      <c r="K76" s="27">
        <f>rebio23_80ml!K77/50</f>
        <v>0</v>
      </c>
      <c r="L76" s="27">
        <f>rebio23_80ml!L77/50</f>
        <v>0</v>
      </c>
      <c r="M76" s="27">
        <f>rebio23_80ml!M77/50</f>
        <v>0</v>
      </c>
      <c r="N76" s="27">
        <f>rebio23_80ml!N77/50</f>
        <v>0</v>
      </c>
      <c r="O76" s="27">
        <f>rebio23_80ml!O77/50</f>
        <v>0</v>
      </c>
      <c r="P76" s="27">
        <f>rebio23_80ml!P77/50</f>
        <v>0</v>
      </c>
      <c r="Q76" s="27">
        <f>rebio23_80ml!Q77/50</f>
        <v>0</v>
      </c>
      <c r="R76" s="27">
        <f>rebio23_80ml!R77/50</f>
        <v>0</v>
      </c>
      <c r="S76" s="27">
        <f>rebio23_80ml!S77/50</f>
        <v>0</v>
      </c>
      <c r="T76" s="27">
        <f>rebio23_80ml!T77/50</f>
        <v>0</v>
      </c>
      <c r="U76" s="27">
        <f>rebio23_80ml!U77/50</f>
        <v>0</v>
      </c>
      <c r="V76" s="27">
        <f>rebio23_80ml!V77/50</f>
        <v>0</v>
      </c>
      <c r="W76" s="27">
        <f>rebio23_80ml!W77/50</f>
        <v>0</v>
      </c>
      <c r="X76" s="27">
        <f>rebio23_80ml!X77/50</f>
        <v>0</v>
      </c>
      <c r="Y76" s="27">
        <f>rebio23_80ml!Y77/50</f>
        <v>0</v>
      </c>
      <c r="Z76" s="27">
        <f>rebio23_80ml!Z77/50</f>
        <v>0</v>
      </c>
      <c r="AA76" s="27">
        <f>rebio23_80ml!AA77/50</f>
        <v>0</v>
      </c>
      <c r="AB76" s="27">
        <f>rebio23_80ml!AB77/50</f>
        <v>0</v>
      </c>
      <c r="AC76" s="27">
        <f>rebio23_80ml!AC77/50</f>
        <v>0</v>
      </c>
      <c r="AD76" s="27">
        <f>rebio23_80ml!AD77/50</f>
        <v>0</v>
      </c>
      <c r="AE76" s="27">
        <f>rebio23_80ml!AE77/50</f>
        <v>0</v>
      </c>
      <c r="AF76" s="27">
        <f>rebio23_80ml!AF77/50</f>
        <v>0</v>
      </c>
      <c r="AG76" s="27">
        <f>rebio23_80ml!AG77/50</f>
        <v>0</v>
      </c>
      <c r="AH76" s="27">
        <f>rebio23_80ml!AH77/50</f>
        <v>0</v>
      </c>
      <c r="AI76" s="27">
        <f>rebio23_80ml!AI77/50</f>
        <v>0</v>
      </c>
      <c r="AJ76" s="27">
        <f>rebio23_80ml!AJ77/50</f>
        <v>0</v>
      </c>
      <c r="AK76" s="27">
        <f>rebio23_80ml!AK77/50</f>
        <v>0</v>
      </c>
      <c r="AL76" s="27">
        <f>rebio23_80ml!AL77/50</f>
        <v>0</v>
      </c>
      <c r="AM76" s="27">
        <f>rebio23_80ml!AM77/50</f>
        <v>0</v>
      </c>
      <c r="AN76" s="27">
        <f>rebio23_80ml!AN77/50</f>
        <v>0</v>
      </c>
      <c r="AO76" s="27">
        <f>rebio23_80ml!AO77/50</f>
        <v>0</v>
      </c>
      <c r="AP76" s="27">
        <f>rebio23_80ml!AP77/50</f>
        <v>0</v>
      </c>
      <c r="AQ76" s="27">
        <f>rebio23_80ml!AQ77/50</f>
        <v>0</v>
      </c>
      <c r="AR76" s="27">
        <f>rebio23_80ml!AR77/50</f>
        <v>0</v>
      </c>
      <c r="AS76" s="27">
        <f>rebio23_80ml!AS77/50</f>
        <v>0</v>
      </c>
      <c r="AT76" s="27">
        <f>rebio23_80ml!AT77/50</f>
        <v>0</v>
      </c>
      <c r="AU76" s="27">
        <f>rebio23_80ml!AU77/50</f>
        <v>0</v>
      </c>
      <c r="AV76" s="27">
        <f>rebio23_80ml!AV77/50</f>
        <v>0.02</v>
      </c>
      <c r="AW76" s="27">
        <f>rebio23_80ml!AW77/50</f>
        <v>0</v>
      </c>
      <c r="AX76" s="27">
        <f>rebio23_80ml!AX77/50</f>
        <v>0</v>
      </c>
      <c r="AY76" s="27">
        <f>rebio23_80ml!AY77/50</f>
        <v>0</v>
      </c>
      <c r="AZ76" s="27">
        <f>rebio23_80ml!AZ77/50</f>
        <v>0</v>
      </c>
      <c r="BA76" s="27">
        <f>rebio23_80ml!BA77/50</f>
        <v>0</v>
      </c>
      <c r="BB76" s="27">
        <f>rebio23_80ml!BB77/50</f>
        <v>0</v>
      </c>
      <c r="BC76" s="27">
        <f>rebio23_80ml!BC77/50</f>
        <v>0</v>
      </c>
      <c r="BD76" s="27">
        <f>rebio23_80ml!BD77/50</f>
        <v>0</v>
      </c>
      <c r="BE76" s="27">
        <f>rebio23_80ml!BE77/50</f>
        <v>0</v>
      </c>
      <c r="BF76" s="27">
        <f>rebio23_80ml!BF77/50</f>
        <v>0</v>
      </c>
      <c r="BG76" s="27">
        <f>rebio23_80ml!BG77/50</f>
        <v>0</v>
      </c>
    </row>
    <row r="77" spans="1:59" ht="12.75" customHeight="1" x14ac:dyDescent="0.25">
      <c r="A77" s="15" t="str">
        <f>rebio23_80ml!A78</f>
        <v>C-C-P14-H1</v>
      </c>
      <c r="B77" s="27">
        <f>rebio23_80ml!B78/50</f>
        <v>0</v>
      </c>
      <c r="C77" s="27">
        <f>rebio23_80ml!C78/50</f>
        <v>0.02</v>
      </c>
      <c r="D77" s="27">
        <f>rebio23_80ml!D78/50</f>
        <v>0</v>
      </c>
      <c r="E77" s="27">
        <f>rebio23_80ml!E78/50</f>
        <v>1.92</v>
      </c>
      <c r="F77" s="27">
        <f>rebio23_80ml!F78/50</f>
        <v>0.02</v>
      </c>
      <c r="G77" s="27">
        <f>rebio23_80ml!G78/50</f>
        <v>0</v>
      </c>
      <c r="H77" s="27">
        <f>rebio23_80ml!H78/50</f>
        <v>0</v>
      </c>
      <c r="I77" s="27">
        <f>rebio23_80ml!I78/50</f>
        <v>0.08</v>
      </c>
      <c r="J77" s="27">
        <f>rebio23_80ml!J78/50</f>
        <v>0</v>
      </c>
      <c r="K77" s="27">
        <f>rebio23_80ml!K78/50</f>
        <v>0</v>
      </c>
      <c r="L77" s="27">
        <f>rebio23_80ml!L78/50</f>
        <v>0</v>
      </c>
      <c r="M77" s="27">
        <f>rebio23_80ml!M78/50</f>
        <v>0</v>
      </c>
      <c r="N77" s="27">
        <f>rebio23_80ml!N78/50</f>
        <v>0</v>
      </c>
      <c r="O77" s="27">
        <f>rebio23_80ml!O78/50</f>
        <v>0</v>
      </c>
      <c r="P77" s="27">
        <f>rebio23_80ml!P78/50</f>
        <v>0</v>
      </c>
      <c r="Q77" s="27">
        <f>rebio23_80ml!Q78/50</f>
        <v>0</v>
      </c>
      <c r="R77" s="27">
        <f>rebio23_80ml!R78/50</f>
        <v>0</v>
      </c>
      <c r="S77" s="27">
        <f>rebio23_80ml!S78/50</f>
        <v>0</v>
      </c>
      <c r="T77" s="27">
        <f>rebio23_80ml!T78/50</f>
        <v>0</v>
      </c>
      <c r="U77" s="27">
        <f>rebio23_80ml!U78/50</f>
        <v>0</v>
      </c>
      <c r="V77" s="27">
        <f>rebio23_80ml!V78/50</f>
        <v>0</v>
      </c>
      <c r="W77" s="27">
        <f>rebio23_80ml!W78/50</f>
        <v>0</v>
      </c>
      <c r="X77" s="27">
        <f>rebio23_80ml!X78/50</f>
        <v>0</v>
      </c>
      <c r="Y77" s="27">
        <f>rebio23_80ml!Y78/50</f>
        <v>0</v>
      </c>
      <c r="Z77" s="27">
        <f>rebio23_80ml!Z78/50</f>
        <v>0</v>
      </c>
      <c r="AA77" s="27">
        <f>rebio23_80ml!AA78/50</f>
        <v>0</v>
      </c>
      <c r="AB77" s="27">
        <f>rebio23_80ml!AB78/50</f>
        <v>0</v>
      </c>
      <c r="AC77" s="27">
        <f>rebio23_80ml!AC78/50</f>
        <v>0</v>
      </c>
      <c r="AD77" s="27">
        <f>rebio23_80ml!AD78/50</f>
        <v>0</v>
      </c>
      <c r="AE77" s="27">
        <f>rebio23_80ml!AE78/50</f>
        <v>0</v>
      </c>
      <c r="AF77" s="27">
        <f>rebio23_80ml!AF78/50</f>
        <v>0</v>
      </c>
      <c r="AG77" s="27">
        <f>rebio23_80ml!AG78/50</f>
        <v>0</v>
      </c>
      <c r="AH77" s="27">
        <f>rebio23_80ml!AH78/50</f>
        <v>0</v>
      </c>
      <c r="AI77" s="27">
        <f>rebio23_80ml!AI78/50</f>
        <v>0</v>
      </c>
      <c r="AJ77" s="27">
        <f>rebio23_80ml!AJ78/50</f>
        <v>0</v>
      </c>
      <c r="AK77" s="27">
        <f>rebio23_80ml!AK78/50</f>
        <v>0</v>
      </c>
      <c r="AL77" s="27">
        <f>rebio23_80ml!AL78/50</f>
        <v>0</v>
      </c>
      <c r="AM77" s="27">
        <f>rebio23_80ml!AM78/50</f>
        <v>0</v>
      </c>
      <c r="AN77" s="27">
        <f>rebio23_80ml!AN78/50</f>
        <v>0</v>
      </c>
      <c r="AO77" s="27">
        <f>rebio23_80ml!AO78/50</f>
        <v>0</v>
      </c>
      <c r="AP77" s="27">
        <f>rebio23_80ml!AP78/50</f>
        <v>0</v>
      </c>
      <c r="AQ77" s="27">
        <f>rebio23_80ml!AQ78/50</f>
        <v>0</v>
      </c>
      <c r="AR77" s="27">
        <f>rebio23_80ml!AR78/50</f>
        <v>0</v>
      </c>
      <c r="AS77" s="27">
        <f>rebio23_80ml!AS78/50</f>
        <v>0</v>
      </c>
      <c r="AT77" s="27">
        <f>rebio23_80ml!AT78/50</f>
        <v>0</v>
      </c>
      <c r="AU77" s="27">
        <f>rebio23_80ml!AU78/50</f>
        <v>0</v>
      </c>
      <c r="AV77" s="27">
        <f>rebio23_80ml!AV78/50</f>
        <v>0.18</v>
      </c>
      <c r="AW77" s="27">
        <f>rebio23_80ml!AW78/50</f>
        <v>0</v>
      </c>
      <c r="AX77" s="27">
        <f>rebio23_80ml!AX78/50</f>
        <v>0</v>
      </c>
      <c r="AY77" s="27">
        <f>rebio23_80ml!AY78/50</f>
        <v>0</v>
      </c>
      <c r="AZ77" s="27">
        <f>rebio23_80ml!AZ78/50</f>
        <v>0</v>
      </c>
      <c r="BA77" s="27">
        <f>rebio23_80ml!BA78/50</f>
        <v>0</v>
      </c>
      <c r="BB77" s="27">
        <f>rebio23_80ml!BB78/50</f>
        <v>0</v>
      </c>
      <c r="BC77" s="27">
        <f>rebio23_80ml!BC78/50</f>
        <v>0.02</v>
      </c>
      <c r="BD77" s="27">
        <f>rebio23_80ml!BD78/50</f>
        <v>0</v>
      </c>
      <c r="BE77" s="27">
        <f>rebio23_80ml!BE78/50</f>
        <v>0</v>
      </c>
      <c r="BF77" s="27">
        <f>rebio23_80ml!BF78/50</f>
        <v>0</v>
      </c>
      <c r="BG77" s="27">
        <f>rebio23_80ml!BG78/50</f>
        <v>0</v>
      </c>
    </row>
    <row r="78" spans="1:59" ht="12.75" customHeight="1" x14ac:dyDescent="0.25">
      <c r="A78" s="15" t="str">
        <f>rebio23_80ml!A79</f>
        <v>C-C-P14-H2</v>
      </c>
      <c r="B78" s="27">
        <f>rebio23_80ml!B79/50</f>
        <v>0.16</v>
      </c>
      <c r="C78" s="27">
        <f>rebio23_80ml!C79/50</f>
        <v>0</v>
      </c>
      <c r="D78" s="27">
        <f>rebio23_80ml!D79/50</f>
        <v>0</v>
      </c>
      <c r="E78" s="27">
        <f>rebio23_80ml!E79/50</f>
        <v>1.96</v>
      </c>
      <c r="F78" s="27">
        <f>rebio23_80ml!F79/50</f>
        <v>0</v>
      </c>
      <c r="G78" s="27">
        <f>rebio23_80ml!G79/50</f>
        <v>0</v>
      </c>
      <c r="H78" s="27">
        <f>rebio23_80ml!H79/50</f>
        <v>0</v>
      </c>
      <c r="I78" s="27">
        <f>rebio23_80ml!I79/50</f>
        <v>0.18</v>
      </c>
      <c r="J78" s="27">
        <f>rebio23_80ml!J79/50</f>
        <v>0</v>
      </c>
      <c r="K78" s="27">
        <f>rebio23_80ml!K79/50</f>
        <v>0</v>
      </c>
      <c r="L78" s="27">
        <f>rebio23_80ml!L79/50</f>
        <v>0.1</v>
      </c>
      <c r="M78" s="27">
        <f>rebio23_80ml!M79/50</f>
        <v>0</v>
      </c>
      <c r="N78" s="27">
        <f>rebio23_80ml!N79/50</f>
        <v>0</v>
      </c>
      <c r="O78" s="27">
        <f>rebio23_80ml!O79/50</f>
        <v>0</v>
      </c>
      <c r="P78" s="27">
        <f>rebio23_80ml!P79/50</f>
        <v>0</v>
      </c>
      <c r="Q78" s="27">
        <f>rebio23_80ml!Q79/50</f>
        <v>0</v>
      </c>
      <c r="R78" s="27">
        <f>rebio23_80ml!R79/50</f>
        <v>0</v>
      </c>
      <c r="S78" s="27">
        <f>rebio23_80ml!S79/50</f>
        <v>0</v>
      </c>
      <c r="T78" s="27">
        <f>rebio23_80ml!T79/50</f>
        <v>0.04</v>
      </c>
      <c r="U78" s="27">
        <f>rebio23_80ml!U79/50</f>
        <v>0</v>
      </c>
      <c r="V78" s="27">
        <f>rebio23_80ml!V79/50</f>
        <v>0</v>
      </c>
      <c r="W78" s="27">
        <f>rebio23_80ml!W79/50</f>
        <v>0</v>
      </c>
      <c r="X78" s="27">
        <f>rebio23_80ml!X79/50</f>
        <v>0</v>
      </c>
      <c r="Y78" s="27">
        <f>rebio23_80ml!Y79/50</f>
        <v>0</v>
      </c>
      <c r="Z78" s="27">
        <f>rebio23_80ml!Z79/50</f>
        <v>0.1</v>
      </c>
      <c r="AA78" s="27">
        <f>rebio23_80ml!AA79/50</f>
        <v>0</v>
      </c>
      <c r="AB78" s="27">
        <f>rebio23_80ml!AB79/50</f>
        <v>0</v>
      </c>
      <c r="AC78" s="27">
        <f>rebio23_80ml!AC79/50</f>
        <v>0</v>
      </c>
      <c r="AD78" s="27">
        <f>rebio23_80ml!AD79/50</f>
        <v>0</v>
      </c>
      <c r="AE78" s="27">
        <f>rebio23_80ml!AE79/50</f>
        <v>0</v>
      </c>
      <c r="AF78" s="27">
        <f>rebio23_80ml!AF79/50</f>
        <v>0</v>
      </c>
      <c r="AG78" s="27">
        <f>rebio23_80ml!AG79/50</f>
        <v>0</v>
      </c>
      <c r="AH78" s="27">
        <f>rebio23_80ml!AH79/50</f>
        <v>0</v>
      </c>
      <c r="AI78" s="27">
        <f>rebio23_80ml!AI79/50</f>
        <v>0</v>
      </c>
      <c r="AJ78" s="27">
        <f>rebio23_80ml!AJ79/50</f>
        <v>0</v>
      </c>
      <c r="AK78" s="27">
        <f>rebio23_80ml!AK79/50</f>
        <v>0</v>
      </c>
      <c r="AL78" s="27">
        <f>rebio23_80ml!AL79/50</f>
        <v>0</v>
      </c>
      <c r="AM78" s="27">
        <f>rebio23_80ml!AM79/50</f>
        <v>0</v>
      </c>
      <c r="AN78" s="27">
        <f>rebio23_80ml!AN79/50</f>
        <v>0</v>
      </c>
      <c r="AO78" s="27">
        <f>rebio23_80ml!AO79/50</f>
        <v>0</v>
      </c>
      <c r="AP78" s="27">
        <f>rebio23_80ml!AP79/50</f>
        <v>0</v>
      </c>
      <c r="AQ78" s="27">
        <f>rebio23_80ml!AQ79/50</f>
        <v>0</v>
      </c>
      <c r="AR78" s="27">
        <f>rebio23_80ml!AR79/50</f>
        <v>0</v>
      </c>
      <c r="AS78" s="27">
        <f>rebio23_80ml!AS79/50</f>
        <v>0</v>
      </c>
      <c r="AT78" s="27">
        <f>rebio23_80ml!AT79/50</f>
        <v>0</v>
      </c>
      <c r="AU78" s="27">
        <f>rebio23_80ml!AU79/50</f>
        <v>0</v>
      </c>
      <c r="AV78" s="27">
        <f>rebio23_80ml!AV79/50</f>
        <v>0.12</v>
      </c>
      <c r="AW78" s="27">
        <f>rebio23_80ml!AW79/50</f>
        <v>0</v>
      </c>
      <c r="AX78" s="27">
        <f>rebio23_80ml!AX79/50</f>
        <v>0</v>
      </c>
      <c r="AY78" s="27">
        <f>rebio23_80ml!AY79/50</f>
        <v>0</v>
      </c>
      <c r="AZ78" s="27">
        <f>rebio23_80ml!AZ79/50</f>
        <v>0</v>
      </c>
      <c r="BA78" s="27">
        <f>rebio23_80ml!BA79/50</f>
        <v>0</v>
      </c>
      <c r="BB78" s="27">
        <f>rebio23_80ml!BB79/50</f>
        <v>0</v>
      </c>
      <c r="BC78" s="27">
        <f>rebio23_80ml!BC79/50</f>
        <v>0</v>
      </c>
      <c r="BD78" s="27">
        <f>rebio23_80ml!BD79/50</f>
        <v>0</v>
      </c>
      <c r="BE78" s="27">
        <f>rebio23_80ml!BE79/50</f>
        <v>0</v>
      </c>
      <c r="BF78" s="27">
        <f>rebio23_80ml!BF79/50</f>
        <v>0</v>
      </c>
      <c r="BG78" s="27">
        <f>rebio23_80ml!BG79/50</f>
        <v>0</v>
      </c>
    </row>
    <row r="79" spans="1:59" ht="12.75" customHeight="1" x14ac:dyDescent="0.25">
      <c r="A79" s="15" t="str">
        <f>rebio23_80ml!A80</f>
        <v>C-C-P14-H3</v>
      </c>
      <c r="B79" s="27">
        <f>rebio23_80ml!B80/50</f>
        <v>0.04</v>
      </c>
      <c r="C79" s="27">
        <f>rebio23_80ml!C80/50</f>
        <v>0</v>
      </c>
      <c r="D79" s="27">
        <f>rebio23_80ml!D80/50</f>
        <v>0</v>
      </c>
      <c r="E79" s="27">
        <f>rebio23_80ml!E80/50</f>
        <v>1.36</v>
      </c>
      <c r="F79" s="27">
        <f>rebio23_80ml!F80/50</f>
        <v>0</v>
      </c>
      <c r="G79" s="27">
        <f>rebio23_80ml!G80/50</f>
        <v>0</v>
      </c>
      <c r="H79" s="27">
        <f>rebio23_80ml!H80/50</f>
        <v>0</v>
      </c>
      <c r="I79" s="27">
        <f>rebio23_80ml!I80/50</f>
        <v>0.04</v>
      </c>
      <c r="J79" s="27">
        <f>rebio23_80ml!J80/50</f>
        <v>0</v>
      </c>
      <c r="K79" s="27">
        <f>rebio23_80ml!K80/50</f>
        <v>0</v>
      </c>
      <c r="L79" s="27">
        <f>rebio23_80ml!L80/50</f>
        <v>0.04</v>
      </c>
      <c r="M79" s="27">
        <f>rebio23_80ml!M80/50</f>
        <v>0</v>
      </c>
      <c r="N79" s="27">
        <f>rebio23_80ml!N80/50</f>
        <v>0</v>
      </c>
      <c r="O79" s="27">
        <f>rebio23_80ml!O80/50</f>
        <v>0</v>
      </c>
      <c r="P79" s="27">
        <f>rebio23_80ml!P80/50</f>
        <v>0</v>
      </c>
      <c r="Q79" s="27">
        <f>rebio23_80ml!Q80/50</f>
        <v>0.02</v>
      </c>
      <c r="R79" s="27">
        <f>rebio23_80ml!R80/50</f>
        <v>0</v>
      </c>
      <c r="S79" s="27">
        <f>rebio23_80ml!S80/50</f>
        <v>0</v>
      </c>
      <c r="T79" s="27">
        <f>rebio23_80ml!T80/50</f>
        <v>0.02</v>
      </c>
      <c r="U79" s="27">
        <f>rebio23_80ml!U80/50</f>
        <v>0</v>
      </c>
      <c r="V79" s="27">
        <f>rebio23_80ml!V80/50</f>
        <v>0.02</v>
      </c>
      <c r="W79" s="27">
        <f>rebio23_80ml!W80/50</f>
        <v>0</v>
      </c>
      <c r="X79" s="27">
        <f>rebio23_80ml!X80/50</f>
        <v>0</v>
      </c>
      <c r="Y79" s="27">
        <f>rebio23_80ml!Y80/50</f>
        <v>0.02</v>
      </c>
      <c r="Z79" s="27">
        <f>rebio23_80ml!Z80/50</f>
        <v>0</v>
      </c>
      <c r="AA79" s="27">
        <f>rebio23_80ml!AA80/50</f>
        <v>0</v>
      </c>
      <c r="AB79" s="27">
        <f>rebio23_80ml!AB80/50</f>
        <v>0</v>
      </c>
      <c r="AC79" s="27">
        <f>rebio23_80ml!AC80/50</f>
        <v>0</v>
      </c>
      <c r="AD79" s="27">
        <f>rebio23_80ml!AD80/50</f>
        <v>0</v>
      </c>
      <c r="AE79" s="27">
        <f>rebio23_80ml!AE80/50</f>
        <v>0</v>
      </c>
      <c r="AF79" s="27">
        <f>rebio23_80ml!AF80/50</f>
        <v>0</v>
      </c>
      <c r="AG79" s="27">
        <f>rebio23_80ml!AG80/50</f>
        <v>0</v>
      </c>
      <c r="AH79" s="27">
        <f>rebio23_80ml!AH80/50</f>
        <v>0</v>
      </c>
      <c r="AI79" s="27">
        <f>rebio23_80ml!AI80/50</f>
        <v>0</v>
      </c>
      <c r="AJ79" s="27">
        <f>rebio23_80ml!AJ80/50</f>
        <v>0</v>
      </c>
      <c r="AK79" s="27">
        <f>rebio23_80ml!AK80/50</f>
        <v>0</v>
      </c>
      <c r="AL79" s="27">
        <f>rebio23_80ml!AL80/50</f>
        <v>0</v>
      </c>
      <c r="AM79" s="27">
        <f>rebio23_80ml!AM80/50</f>
        <v>0</v>
      </c>
      <c r="AN79" s="27">
        <f>rebio23_80ml!AN80/50</f>
        <v>0</v>
      </c>
      <c r="AO79" s="27">
        <f>rebio23_80ml!AO80/50</f>
        <v>0</v>
      </c>
      <c r="AP79" s="27">
        <f>rebio23_80ml!AP80/50</f>
        <v>0</v>
      </c>
      <c r="AQ79" s="27">
        <f>rebio23_80ml!AQ80/50</f>
        <v>0</v>
      </c>
      <c r="AR79" s="27">
        <f>rebio23_80ml!AR80/50</f>
        <v>0</v>
      </c>
      <c r="AS79" s="27">
        <f>rebio23_80ml!AS80/50</f>
        <v>0</v>
      </c>
      <c r="AT79" s="27">
        <f>rebio23_80ml!AT80/50</f>
        <v>0</v>
      </c>
      <c r="AU79" s="27">
        <f>rebio23_80ml!AU80/50</f>
        <v>0</v>
      </c>
      <c r="AV79" s="27">
        <f>rebio23_80ml!AV80/50</f>
        <v>0.1</v>
      </c>
      <c r="AW79" s="27">
        <f>rebio23_80ml!AW80/50</f>
        <v>0</v>
      </c>
      <c r="AX79" s="27">
        <f>rebio23_80ml!AX80/50</f>
        <v>0</v>
      </c>
      <c r="AY79" s="27">
        <f>rebio23_80ml!AY80/50</f>
        <v>0</v>
      </c>
      <c r="AZ79" s="27">
        <f>rebio23_80ml!AZ80/50</f>
        <v>0</v>
      </c>
      <c r="BA79" s="27">
        <f>rebio23_80ml!BA80/50</f>
        <v>0</v>
      </c>
      <c r="BB79" s="27">
        <f>rebio23_80ml!BB80/50</f>
        <v>0</v>
      </c>
      <c r="BC79" s="27">
        <f>rebio23_80ml!BC80/50</f>
        <v>0</v>
      </c>
      <c r="BD79" s="27">
        <f>rebio23_80ml!BD80/50</f>
        <v>0</v>
      </c>
      <c r="BE79" s="27">
        <f>rebio23_80ml!BE80/50</f>
        <v>0</v>
      </c>
      <c r="BF79" s="27">
        <f>rebio23_80ml!BF80/50</f>
        <v>0</v>
      </c>
      <c r="BG79" s="27">
        <f>rebio23_80ml!BG80/50</f>
        <v>0</v>
      </c>
    </row>
    <row r="80" spans="1:59" ht="12.75" customHeight="1" x14ac:dyDescent="0.25">
      <c r="A80" s="15" t="str">
        <f>rebio23_80ml!A81</f>
        <v>C-C-P15-H1</v>
      </c>
      <c r="B80" s="27">
        <f>rebio23_80ml!B81/50</f>
        <v>0.04</v>
      </c>
      <c r="C80" s="27">
        <f>rebio23_80ml!C81/50</f>
        <v>0</v>
      </c>
      <c r="D80" s="27">
        <f>rebio23_80ml!D81/50</f>
        <v>0</v>
      </c>
      <c r="E80" s="27">
        <f>rebio23_80ml!E81/50</f>
        <v>2.68</v>
      </c>
      <c r="F80" s="27">
        <f>rebio23_80ml!F81/50</f>
        <v>0.08</v>
      </c>
      <c r="G80" s="27">
        <f>rebio23_80ml!G81/50</f>
        <v>0</v>
      </c>
      <c r="H80" s="27">
        <f>rebio23_80ml!H81/50</f>
        <v>0</v>
      </c>
      <c r="I80" s="27">
        <f>rebio23_80ml!I81/50</f>
        <v>0.04</v>
      </c>
      <c r="J80" s="27">
        <f>rebio23_80ml!J81/50</f>
        <v>0</v>
      </c>
      <c r="K80" s="27">
        <f>rebio23_80ml!K81/50</f>
        <v>0</v>
      </c>
      <c r="L80" s="27">
        <f>rebio23_80ml!L81/50</f>
        <v>0</v>
      </c>
      <c r="M80" s="27">
        <f>rebio23_80ml!M81/50</f>
        <v>0</v>
      </c>
      <c r="N80" s="27">
        <f>rebio23_80ml!N81/50</f>
        <v>0</v>
      </c>
      <c r="O80" s="27">
        <f>rebio23_80ml!O81/50</f>
        <v>0</v>
      </c>
      <c r="P80" s="27">
        <f>rebio23_80ml!P81/50</f>
        <v>0</v>
      </c>
      <c r="Q80" s="27">
        <f>rebio23_80ml!Q81/50</f>
        <v>0</v>
      </c>
      <c r="R80" s="27">
        <f>rebio23_80ml!R81/50</f>
        <v>0</v>
      </c>
      <c r="S80" s="27">
        <f>rebio23_80ml!S81/50</f>
        <v>0</v>
      </c>
      <c r="T80" s="27">
        <f>rebio23_80ml!T81/50</f>
        <v>0</v>
      </c>
      <c r="U80" s="27">
        <f>rebio23_80ml!U81/50</f>
        <v>0</v>
      </c>
      <c r="V80" s="27">
        <f>rebio23_80ml!V81/50</f>
        <v>0</v>
      </c>
      <c r="W80" s="27">
        <f>rebio23_80ml!W81/50</f>
        <v>0</v>
      </c>
      <c r="X80" s="27">
        <f>rebio23_80ml!X81/50</f>
        <v>0</v>
      </c>
      <c r="Y80" s="27">
        <f>rebio23_80ml!Y81/50</f>
        <v>0</v>
      </c>
      <c r="Z80" s="27">
        <f>rebio23_80ml!Z81/50</f>
        <v>0</v>
      </c>
      <c r="AA80" s="27">
        <f>rebio23_80ml!AA81/50</f>
        <v>0</v>
      </c>
      <c r="AB80" s="27">
        <f>rebio23_80ml!AB81/50</f>
        <v>0</v>
      </c>
      <c r="AC80" s="27">
        <f>rebio23_80ml!AC81/50</f>
        <v>0</v>
      </c>
      <c r="AD80" s="27">
        <f>rebio23_80ml!AD81/50</f>
        <v>0</v>
      </c>
      <c r="AE80" s="27">
        <f>rebio23_80ml!AE81/50</f>
        <v>0</v>
      </c>
      <c r="AF80" s="27">
        <f>rebio23_80ml!AF81/50</f>
        <v>0</v>
      </c>
      <c r="AG80" s="27">
        <f>rebio23_80ml!AG81/50</f>
        <v>0</v>
      </c>
      <c r="AH80" s="27">
        <f>rebio23_80ml!AH81/50</f>
        <v>0</v>
      </c>
      <c r="AI80" s="27">
        <f>rebio23_80ml!AI81/50</f>
        <v>0</v>
      </c>
      <c r="AJ80" s="27">
        <f>rebio23_80ml!AJ81/50</f>
        <v>0</v>
      </c>
      <c r="AK80" s="27">
        <f>rebio23_80ml!AK81/50</f>
        <v>0</v>
      </c>
      <c r="AL80" s="27">
        <f>rebio23_80ml!AL81/50</f>
        <v>0</v>
      </c>
      <c r="AM80" s="27">
        <f>rebio23_80ml!AM81/50</f>
        <v>0</v>
      </c>
      <c r="AN80" s="27">
        <f>rebio23_80ml!AN81/50</f>
        <v>0</v>
      </c>
      <c r="AO80" s="27">
        <f>rebio23_80ml!AO81/50</f>
        <v>0</v>
      </c>
      <c r="AP80" s="27">
        <f>rebio23_80ml!AP81/50</f>
        <v>0</v>
      </c>
      <c r="AQ80" s="27">
        <f>rebio23_80ml!AQ81/50</f>
        <v>0</v>
      </c>
      <c r="AR80" s="27">
        <f>rebio23_80ml!AR81/50</f>
        <v>0</v>
      </c>
      <c r="AS80" s="27">
        <f>rebio23_80ml!AS81/50</f>
        <v>0</v>
      </c>
      <c r="AT80" s="27">
        <f>rebio23_80ml!AT81/50</f>
        <v>0</v>
      </c>
      <c r="AU80" s="27">
        <f>rebio23_80ml!AU81/50</f>
        <v>0</v>
      </c>
      <c r="AV80" s="27">
        <f>rebio23_80ml!AV81/50</f>
        <v>0.08</v>
      </c>
      <c r="AW80" s="27">
        <f>rebio23_80ml!AW81/50</f>
        <v>0</v>
      </c>
      <c r="AX80" s="27">
        <f>rebio23_80ml!AX81/50</f>
        <v>0.02</v>
      </c>
      <c r="AY80" s="27">
        <f>rebio23_80ml!AY81/50</f>
        <v>0.08</v>
      </c>
      <c r="AZ80" s="27">
        <f>rebio23_80ml!AZ81/50</f>
        <v>0</v>
      </c>
      <c r="BA80" s="27">
        <f>rebio23_80ml!BA81/50</f>
        <v>0</v>
      </c>
      <c r="BB80" s="27">
        <f>rebio23_80ml!BB81/50</f>
        <v>0</v>
      </c>
      <c r="BC80" s="27">
        <f>rebio23_80ml!BC81/50</f>
        <v>0</v>
      </c>
      <c r="BD80" s="27">
        <f>rebio23_80ml!BD81/50</f>
        <v>0</v>
      </c>
      <c r="BE80" s="27">
        <f>rebio23_80ml!BE81/50</f>
        <v>0.02</v>
      </c>
      <c r="BF80" s="27">
        <f>rebio23_80ml!BF81/50</f>
        <v>0</v>
      </c>
      <c r="BG80" s="27">
        <f>rebio23_80ml!BG81/50</f>
        <v>0</v>
      </c>
    </row>
    <row r="81" spans="1:59" ht="12.75" customHeight="1" x14ac:dyDescent="0.25">
      <c r="A81" s="15" t="str">
        <f>rebio23_80ml!A82</f>
        <v>C-C-P15-H2</v>
      </c>
      <c r="B81" s="27">
        <f>rebio23_80ml!B82/50</f>
        <v>0</v>
      </c>
      <c r="C81" s="27">
        <f>rebio23_80ml!C82/50</f>
        <v>0</v>
      </c>
      <c r="D81" s="27">
        <f>rebio23_80ml!D82/50</f>
        <v>0</v>
      </c>
      <c r="E81" s="27">
        <f>rebio23_80ml!E82/50</f>
        <v>1.38</v>
      </c>
      <c r="F81" s="27">
        <f>rebio23_80ml!F82/50</f>
        <v>0.04</v>
      </c>
      <c r="G81" s="27">
        <f>rebio23_80ml!G82/50</f>
        <v>0</v>
      </c>
      <c r="H81" s="27">
        <f>rebio23_80ml!H82/50</f>
        <v>0</v>
      </c>
      <c r="I81" s="27">
        <f>rebio23_80ml!I82/50</f>
        <v>0.04</v>
      </c>
      <c r="J81" s="27">
        <f>rebio23_80ml!J82/50</f>
        <v>0</v>
      </c>
      <c r="K81" s="27">
        <f>rebio23_80ml!K82/50</f>
        <v>0</v>
      </c>
      <c r="L81" s="27">
        <f>rebio23_80ml!L82/50</f>
        <v>0</v>
      </c>
      <c r="M81" s="27">
        <f>rebio23_80ml!M82/50</f>
        <v>0</v>
      </c>
      <c r="N81" s="27">
        <f>rebio23_80ml!N82/50</f>
        <v>0</v>
      </c>
      <c r="O81" s="27">
        <f>rebio23_80ml!O82/50</f>
        <v>0</v>
      </c>
      <c r="P81" s="27">
        <f>rebio23_80ml!P82/50</f>
        <v>0</v>
      </c>
      <c r="Q81" s="27">
        <f>rebio23_80ml!Q82/50</f>
        <v>0</v>
      </c>
      <c r="R81" s="27">
        <f>rebio23_80ml!R82/50</f>
        <v>0</v>
      </c>
      <c r="S81" s="27">
        <f>rebio23_80ml!S82/50</f>
        <v>0</v>
      </c>
      <c r="T81" s="27">
        <f>rebio23_80ml!T82/50</f>
        <v>0</v>
      </c>
      <c r="U81" s="27">
        <f>rebio23_80ml!U82/50</f>
        <v>0</v>
      </c>
      <c r="V81" s="27">
        <f>rebio23_80ml!V82/50</f>
        <v>0.02</v>
      </c>
      <c r="W81" s="27">
        <f>rebio23_80ml!W82/50</f>
        <v>0</v>
      </c>
      <c r="X81" s="27">
        <f>rebio23_80ml!X82/50</f>
        <v>0</v>
      </c>
      <c r="Y81" s="27">
        <f>rebio23_80ml!Y82/50</f>
        <v>0</v>
      </c>
      <c r="Z81" s="27">
        <f>rebio23_80ml!Z82/50</f>
        <v>0.02</v>
      </c>
      <c r="AA81" s="27">
        <f>rebio23_80ml!AA82/50</f>
        <v>0</v>
      </c>
      <c r="AB81" s="27">
        <f>rebio23_80ml!AB82/50</f>
        <v>0</v>
      </c>
      <c r="AC81" s="27">
        <f>rebio23_80ml!AC82/50</f>
        <v>0</v>
      </c>
      <c r="AD81" s="27">
        <f>rebio23_80ml!AD82/50</f>
        <v>0</v>
      </c>
      <c r="AE81" s="27">
        <f>rebio23_80ml!AE82/50</f>
        <v>0</v>
      </c>
      <c r="AF81" s="27">
        <f>rebio23_80ml!AF82/50</f>
        <v>0</v>
      </c>
      <c r="AG81" s="27">
        <f>rebio23_80ml!AG82/50</f>
        <v>0</v>
      </c>
      <c r="AH81" s="27">
        <f>rebio23_80ml!AH82/50</f>
        <v>0</v>
      </c>
      <c r="AI81" s="27">
        <f>rebio23_80ml!AI82/50</f>
        <v>0</v>
      </c>
      <c r="AJ81" s="27">
        <f>rebio23_80ml!AJ82/50</f>
        <v>0</v>
      </c>
      <c r="AK81" s="27">
        <f>rebio23_80ml!AK82/50</f>
        <v>0</v>
      </c>
      <c r="AL81" s="27">
        <f>rebio23_80ml!AL82/50</f>
        <v>0</v>
      </c>
      <c r="AM81" s="27">
        <f>rebio23_80ml!AM82/50</f>
        <v>0</v>
      </c>
      <c r="AN81" s="27">
        <f>rebio23_80ml!AN82/50</f>
        <v>0</v>
      </c>
      <c r="AO81" s="27">
        <f>rebio23_80ml!AO82/50</f>
        <v>0</v>
      </c>
      <c r="AP81" s="27">
        <f>rebio23_80ml!AP82/50</f>
        <v>0</v>
      </c>
      <c r="AQ81" s="27">
        <f>rebio23_80ml!AQ82/50</f>
        <v>0</v>
      </c>
      <c r="AR81" s="27">
        <f>rebio23_80ml!AR82/50</f>
        <v>0</v>
      </c>
      <c r="AS81" s="27">
        <f>rebio23_80ml!AS82/50</f>
        <v>0</v>
      </c>
      <c r="AT81" s="27">
        <f>rebio23_80ml!AT82/50</f>
        <v>0</v>
      </c>
      <c r="AU81" s="27">
        <f>rebio23_80ml!AU82/50</f>
        <v>0</v>
      </c>
      <c r="AV81" s="27">
        <f>rebio23_80ml!AV82/50</f>
        <v>0.04</v>
      </c>
      <c r="AW81" s="27">
        <f>rebio23_80ml!AW82/50</f>
        <v>0</v>
      </c>
      <c r="AX81" s="27">
        <f>rebio23_80ml!AX82/50</f>
        <v>0</v>
      </c>
      <c r="AY81" s="27">
        <f>rebio23_80ml!AY82/50</f>
        <v>0.02</v>
      </c>
      <c r="AZ81" s="27">
        <f>rebio23_80ml!AZ82/50</f>
        <v>0</v>
      </c>
      <c r="BA81" s="27">
        <f>rebio23_80ml!BA82/50</f>
        <v>0</v>
      </c>
      <c r="BB81" s="27">
        <f>rebio23_80ml!BB82/50</f>
        <v>0</v>
      </c>
      <c r="BC81" s="27">
        <f>rebio23_80ml!BC82/50</f>
        <v>0</v>
      </c>
      <c r="BD81" s="27">
        <f>rebio23_80ml!BD82/50</f>
        <v>0.04</v>
      </c>
      <c r="BE81" s="27">
        <f>rebio23_80ml!BE82/50</f>
        <v>0</v>
      </c>
      <c r="BF81" s="27">
        <f>rebio23_80ml!BF82/50</f>
        <v>0</v>
      </c>
      <c r="BG81" s="27">
        <f>rebio23_80ml!BG82/50</f>
        <v>0</v>
      </c>
    </row>
    <row r="82" spans="1:59" ht="12.75" customHeight="1" x14ac:dyDescent="0.25">
      <c r="A82" s="15" t="str">
        <f>rebio23_80ml!A83</f>
        <v>C-C-P15-H3</v>
      </c>
      <c r="B82" s="27">
        <f>rebio23_80ml!B83/50</f>
        <v>0.04</v>
      </c>
      <c r="C82" s="27">
        <f>rebio23_80ml!C83/50</f>
        <v>0</v>
      </c>
      <c r="D82" s="27">
        <f>rebio23_80ml!D83/50</f>
        <v>0</v>
      </c>
      <c r="E82" s="27">
        <f>rebio23_80ml!E83/50</f>
        <v>1.56</v>
      </c>
      <c r="F82" s="27">
        <f>rebio23_80ml!F83/50</f>
        <v>0</v>
      </c>
      <c r="G82" s="27">
        <f>rebio23_80ml!G83/50</f>
        <v>0</v>
      </c>
      <c r="H82" s="27">
        <f>rebio23_80ml!H83/50</f>
        <v>0</v>
      </c>
      <c r="I82" s="27">
        <f>rebio23_80ml!I83/50</f>
        <v>0.04</v>
      </c>
      <c r="J82" s="27">
        <f>rebio23_80ml!J83/50</f>
        <v>0</v>
      </c>
      <c r="K82" s="27">
        <f>rebio23_80ml!K83/50</f>
        <v>0</v>
      </c>
      <c r="L82" s="27">
        <f>rebio23_80ml!L83/50</f>
        <v>0</v>
      </c>
      <c r="M82" s="27">
        <f>rebio23_80ml!M83/50</f>
        <v>0</v>
      </c>
      <c r="N82" s="27">
        <f>rebio23_80ml!N83/50</f>
        <v>0</v>
      </c>
      <c r="O82" s="27">
        <f>rebio23_80ml!O83/50</f>
        <v>0</v>
      </c>
      <c r="P82" s="27">
        <f>rebio23_80ml!P83/50</f>
        <v>0</v>
      </c>
      <c r="Q82" s="27">
        <f>rebio23_80ml!Q83/50</f>
        <v>0</v>
      </c>
      <c r="R82" s="27">
        <f>rebio23_80ml!R83/50</f>
        <v>0</v>
      </c>
      <c r="S82" s="27">
        <f>rebio23_80ml!S83/50</f>
        <v>0</v>
      </c>
      <c r="T82" s="27">
        <f>rebio23_80ml!T83/50</f>
        <v>0</v>
      </c>
      <c r="U82" s="27">
        <f>rebio23_80ml!U83/50</f>
        <v>0</v>
      </c>
      <c r="V82" s="27">
        <f>rebio23_80ml!V83/50</f>
        <v>0</v>
      </c>
      <c r="W82" s="27">
        <f>rebio23_80ml!W83/50</f>
        <v>0</v>
      </c>
      <c r="X82" s="27">
        <f>rebio23_80ml!X83/50</f>
        <v>0</v>
      </c>
      <c r="Y82" s="27">
        <f>rebio23_80ml!Y83/50</f>
        <v>0</v>
      </c>
      <c r="Z82" s="27">
        <f>rebio23_80ml!Z83/50</f>
        <v>0</v>
      </c>
      <c r="AA82" s="27">
        <f>rebio23_80ml!AA83/50</f>
        <v>0.02</v>
      </c>
      <c r="AB82" s="27">
        <f>rebio23_80ml!AB83/50</f>
        <v>0</v>
      </c>
      <c r="AC82" s="27">
        <f>rebio23_80ml!AC83/50</f>
        <v>0</v>
      </c>
      <c r="AD82" s="27">
        <f>rebio23_80ml!AD83/50</f>
        <v>0</v>
      </c>
      <c r="AE82" s="27">
        <f>rebio23_80ml!AE83/50</f>
        <v>0</v>
      </c>
      <c r="AF82" s="27">
        <f>rebio23_80ml!AF83/50</f>
        <v>0</v>
      </c>
      <c r="AG82" s="27">
        <f>rebio23_80ml!AG83/50</f>
        <v>0</v>
      </c>
      <c r="AH82" s="27">
        <f>rebio23_80ml!AH83/50</f>
        <v>0</v>
      </c>
      <c r="AI82" s="27">
        <f>rebio23_80ml!AI83/50</f>
        <v>0</v>
      </c>
      <c r="AJ82" s="27">
        <f>rebio23_80ml!AJ83/50</f>
        <v>0</v>
      </c>
      <c r="AK82" s="27">
        <f>rebio23_80ml!AK83/50</f>
        <v>0</v>
      </c>
      <c r="AL82" s="27">
        <f>rebio23_80ml!AL83/50</f>
        <v>0</v>
      </c>
      <c r="AM82" s="27">
        <f>rebio23_80ml!AM83/50</f>
        <v>0</v>
      </c>
      <c r="AN82" s="27">
        <f>rebio23_80ml!AN83/50</f>
        <v>0</v>
      </c>
      <c r="AO82" s="27">
        <f>rebio23_80ml!AO83/50</f>
        <v>0</v>
      </c>
      <c r="AP82" s="27">
        <f>rebio23_80ml!AP83/50</f>
        <v>0</v>
      </c>
      <c r="AQ82" s="27">
        <f>rebio23_80ml!AQ83/50</f>
        <v>0</v>
      </c>
      <c r="AR82" s="27">
        <f>rebio23_80ml!AR83/50</f>
        <v>0</v>
      </c>
      <c r="AS82" s="27">
        <f>rebio23_80ml!AS83/50</f>
        <v>0</v>
      </c>
      <c r="AT82" s="27">
        <f>rebio23_80ml!AT83/50</f>
        <v>0</v>
      </c>
      <c r="AU82" s="27">
        <f>rebio23_80ml!AU83/50</f>
        <v>0</v>
      </c>
      <c r="AV82" s="27">
        <f>rebio23_80ml!AV83/50</f>
        <v>0.04</v>
      </c>
      <c r="AW82" s="27">
        <f>rebio23_80ml!AW83/50</f>
        <v>0</v>
      </c>
      <c r="AX82" s="27">
        <f>rebio23_80ml!AX83/50</f>
        <v>0</v>
      </c>
      <c r="AY82" s="27">
        <f>rebio23_80ml!AY83/50</f>
        <v>0</v>
      </c>
      <c r="AZ82" s="27">
        <f>rebio23_80ml!AZ83/50</f>
        <v>0</v>
      </c>
      <c r="BA82" s="27">
        <f>rebio23_80ml!BA83/50</f>
        <v>0</v>
      </c>
      <c r="BB82" s="27">
        <f>rebio23_80ml!BB83/50</f>
        <v>0</v>
      </c>
      <c r="BC82" s="27">
        <f>rebio23_80ml!BC83/50</f>
        <v>0</v>
      </c>
      <c r="BD82" s="27">
        <f>rebio23_80ml!BD83/50</f>
        <v>0</v>
      </c>
      <c r="BE82" s="27">
        <f>rebio23_80ml!BE83/50</f>
        <v>0</v>
      </c>
      <c r="BF82" s="27">
        <f>rebio23_80ml!BF83/50</f>
        <v>0</v>
      </c>
      <c r="BG82" s="27">
        <f>rebio23_80ml!BG83/50</f>
        <v>0</v>
      </c>
    </row>
    <row r="83" spans="1:59" ht="12.75" customHeight="1" x14ac:dyDescent="0.25">
      <c r="A83" s="15" t="str">
        <f>rebio23_80ml!A84</f>
        <v>C-C-P16-H1</v>
      </c>
      <c r="B83" s="27">
        <f>rebio23_80ml!B84/50</f>
        <v>1</v>
      </c>
      <c r="C83" s="27">
        <f>rebio23_80ml!C84/50</f>
        <v>0.34</v>
      </c>
      <c r="D83" s="27">
        <f>rebio23_80ml!D84/50</f>
        <v>0.52</v>
      </c>
      <c r="E83" s="27">
        <f>rebio23_80ml!E84/50</f>
        <v>3.38</v>
      </c>
      <c r="F83" s="27">
        <f>rebio23_80ml!F84/50</f>
        <v>1.7</v>
      </c>
      <c r="G83" s="27">
        <f>rebio23_80ml!G84/50</f>
        <v>0</v>
      </c>
      <c r="H83" s="27">
        <f>rebio23_80ml!H84/50</f>
        <v>0</v>
      </c>
      <c r="I83" s="27">
        <f>rebio23_80ml!I84/50</f>
        <v>8.9</v>
      </c>
      <c r="J83" s="27">
        <f>rebio23_80ml!J84/50</f>
        <v>2.84</v>
      </c>
      <c r="K83" s="27">
        <f>rebio23_80ml!K84/50</f>
        <v>0</v>
      </c>
      <c r="L83" s="27">
        <f>rebio23_80ml!L84/50</f>
        <v>2.9</v>
      </c>
      <c r="M83" s="27">
        <f>rebio23_80ml!M84/50</f>
        <v>0</v>
      </c>
      <c r="N83" s="27">
        <f>rebio23_80ml!N84/50</f>
        <v>0</v>
      </c>
      <c r="O83" s="27">
        <f>rebio23_80ml!O84/50</f>
        <v>0</v>
      </c>
      <c r="P83" s="27">
        <f>rebio23_80ml!P84/50</f>
        <v>0</v>
      </c>
      <c r="Q83" s="27">
        <f>rebio23_80ml!Q84/50</f>
        <v>1.3</v>
      </c>
      <c r="R83" s="27">
        <f>rebio23_80ml!R84/50</f>
        <v>0.5</v>
      </c>
      <c r="S83" s="27">
        <f>rebio23_80ml!S84/50</f>
        <v>0.34</v>
      </c>
      <c r="T83" s="27">
        <f>rebio23_80ml!T84/50</f>
        <v>0.76</v>
      </c>
      <c r="U83" s="27">
        <f>rebio23_80ml!U84/50</f>
        <v>0</v>
      </c>
      <c r="V83" s="27">
        <f>rebio23_80ml!V84/50</f>
        <v>2.82</v>
      </c>
      <c r="W83" s="27">
        <f>rebio23_80ml!W84/50</f>
        <v>0</v>
      </c>
      <c r="X83" s="27">
        <f>rebio23_80ml!X84/50</f>
        <v>0</v>
      </c>
      <c r="Y83" s="27">
        <f>rebio23_80ml!Y84/50</f>
        <v>0.26</v>
      </c>
      <c r="Z83" s="27">
        <f>rebio23_80ml!Z84/50</f>
        <v>0.72</v>
      </c>
      <c r="AA83" s="27">
        <f>rebio23_80ml!AA84/50</f>
        <v>0.68</v>
      </c>
      <c r="AB83" s="27">
        <f>rebio23_80ml!AB84/50</f>
        <v>0</v>
      </c>
      <c r="AC83" s="27">
        <f>rebio23_80ml!AC84/50</f>
        <v>0</v>
      </c>
      <c r="AD83" s="27">
        <f>rebio23_80ml!AD84/50</f>
        <v>0.38</v>
      </c>
      <c r="AE83" s="27">
        <f>rebio23_80ml!AE84/50</f>
        <v>0</v>
      </c>
      <c r="AF83" s="27">
        <f>rebio23_80ml!AF84/50</f>
        <v>0</v>
      </c>
      <c r="AG83" s="27">
        <f>rebio23_80ml!AG84/50</f>
        <v>0.22</v>
      </c>
      <c r="AH83" s="27">
        <f>rebio23_80ml!AH84/50</f>
        <v>0</v>
      </c>
      <c r="AI83" s="27">
        <f>rebio23_80ml!AI84/50</f>
        <v>0</v>
      </c>
      <c r="AJ83" s="27">
        <f>rebio23_80ml!AJ84/50</f>
        <v>0</v>
      </c>
      <c r="AK83" s="27">
        <f>rebio23_80ml!AK84/50</f>
        <v>0</v>
      </c>
      <c r="AL83" s="27">
        <f>rebio23_80ml!AL84/50</f>
        <v>0.24</v>
      </c>
      <c r="AM83" s="27">
        <f>rebio23_80ml!AM84/50</f>
        <v>0</v>
      </c>
      <c r="AN83" s="27">
        <f>rebio23_80ml!AN84/50</f>
        <v>0</v>
      </c>
      <c r="AO83" s="27">
        <f>rebio23_80ml!AO84/50</f>
        <v>0</v>
      </c>
      <c r="AP83" s="27">
        <f>rebio23_80ml!AP84/50</f>
        <v>0.82</v>
      </c>
      <c r="AQ83" s="27">
        <f>rebio23_80ml!AQ84/50</f>
        <v>2.12</v>
      </c>
      <c r="AR83" s="27">
        <f>rebio23_80ml!AR84/50</f>
        <v>0.08</v>
      </c>
      <c r="AS83" s="27">
        <f>rebio23_80ml!AS84/50</f>
        <v>0</v>
      </c>
      <c r="AT83" s="27">
        <f>rebio23_80ml!AT84/50</f>
        <v>0</v>
      </c>
      <c r="AU83" s="27">
        <f>rebio23_80ml!AU84/50</f>
        <v>0</v>
      </c>
      <c r="AV83" s="27">
        <f>rebio23_80ml!AV84/50</f>
        <v>3.38</v>
      </c>
      <c r="AW83" s="27">
        <f>rebio23_80ml!AW84/50</f>
        <v>0</v>
      </c>
      <c r="AX83" s="27">
        <f>rebio23_80ml!AX84/50</f>
        <v>0.28000000000000003</v>
      </c>
      <c r="AY83" s="27">
        <f>rebio23_80ml!AY84/50</f>
        <v>0.56000000000000005</v>
      </c>
      <c r="AZ83" s="27">
        <f>rebio23_80ml!AZ84/50</f>
        <v>0</v>
      </c>
      <c r="BA83" s="27">
        <f>rebio23_80ml!BA84/50</f>
        <v>0</v>
      </c>
      <c r="BB83" s="27">
        <f>rebio23_80ml!BB84/50</f>
        <v>0</v>
      </c>
      <c r="BC83" s="27">
        <f>rebio23_80ml!BC84/50</f>
        <v>0</v>
      </c>
      <c r="BD83" s="27">
        <f>rebio23_80ml!BD84/50</f>
        <v>0.36</v>
      </c>
      <c r="BE83" s="27">
        <f>rebio23_80ml!BE84/50</f>
        <v>0.26</v>
      </c>
      <c r="BF83" s="27">
        <f>rebio23_80ml!BF84/50</f>
        <v>0</v>
      </c>
      <c r="BG83" s="27">
        <f>rebio23_80ml!BG84/50</f>
        <v>0</v>
      </c>
    </row>
    <row r="84" spans="1:59" ht="12.75" customHeight="1" x14ac:dyDescent="0.25">
      <c r="A84" s="15" t="str">
        <f>rebio23_80ml!A85</f>
        <v>C-C-P16-H2</v>
      </c>
      <c r="B84" s="27">
        <f>rebio23_80ml!B85/50</f>
        <v>0.06</v>
      </c>
      <c r="C84" s="27">
        <f>rebio23_80ml!C85/50</f>
        <v>0</v>
      </c>
      <c r="D84" s="27">
        <f>rebio23_80ml!D85/50</f>
        <v>0.1</v>
      </c>
      <c r="E84" s="27">
        <f>rebio23_80ml!E85/50</f>
        <v>1.36</v>
      </c>
      <c r="F84" s="27">
        <f>rebio23_80ml!F85/50</f>
        <v>0.8</v>
      </c>
      <c r="G84" s="27">
        <f>rebio23_80ml!G85/50</f>
        <v>0</v>
      </c>
      <c r="H84" s="27">
        <f>rebio23_80ml!H85/50</f>
        <v>0.14000000000000001</v>
      </c>
      <c r="I84" s="27">
        <f>rebio23_80ml!I85/50</f>
        <v>7.1</v>
      </c>
      <c r="J84" s="27">
        <f>rebio23_80ml!J85/50</f>
        <v>1.1599999999999999</v>
      </c>
      <c r="K84" s="27">
        <f>rebio23_80ml!K85/50</f>
        <v>0</v>
      </c>
      <c r="L84" s="27">
        <f>rebio23_80ml!L85/50</f>
        <v>1.3</v>
      </c>
      <c r="M84" s="27">
        <f>rebio23_80ml!M85/50</f>
        <v>0</v>
      </c>
      <c r="N84" s="27">
        <f>rebio23_80ml!N85/50</f>
        <v>0</v>
      </c>
      <c r="O84" s="27">
        <f>rebio23_80ml!O85/50</f>
        <v>0</v>
      </c>
      <c r="P84" s="27">
        <f>rebio23_80ml!P85/50</f>
        <v>0</v>
      </c>
      <c r="Q84" s="27">
        <f>rebio23_80ml!Q85/50</f>
        <v>1</v>
      </c>
      <c r="R84" s="27">
        <f>rebio23_80ml!R85/50</f>
        <v>0</v>
      </c>
      <c r="S84" s="27">
        <f>rebio23_80ml!S85/50</f>
        <v>0</v>
      </c>
      <c r="T84" s="27">
        <f>rebio23_80ml!T85/50</f>
        <v>0.7</v>
      </c>
      <c r="U84" s="27">
        <f>rebio23_80ml!U85/50</f>
        <v>0</v>
      </c>
      <c r="V84" s="27">
        <f>rebio23_80ml!V85/50</f>
        <v>0.8</v>
      </c>
      <c r="W84" s="27">
        <f>rebio23_80ml!W85/50</f>
        <v>0</v>
      </c>
      <c r="X84" s="27">
        <f>rebio23_80ml!X85/50</f>
        <v>0</v>
      </c>
      <c r="Y84" s="27">
        <f>rebio23_80ml!Y85/50</f>
        <v>0.08</v>
      </c>
      <c r="Z84" s="27">
        <f>rebio23_80ml!Z85/50</f>
        <v>0</v>
      </c>
      <c r="AA84" s="27">
        <f>rebio23_80ml!AA85/50</f>
        <v>0.7</v>
      </c>
      <c r="AB84" s="27">
        <f>rebio23_80ml!AB85/50</f>
        <v>0</v>
      </c>
      <c r="AC84" s="27">
        <f>rebio23_80ml!AC85/50</f>
        <v>0</v>
      </c>
      <c r="AD84" s="27">
        <f>rebio23_80ml!AD85/50</f>
        <v>0.2</v>
      </c>
      <c r="AE84" s="27">
        <f>rebio23_80ml!AE85/50</f>
        <v>0</v>
      </c>
      <c r="AF84" s="27">
        <f>rebio23_80ml!AF85/50</f>
        <v>0</v>
      </c>
      <c r="AG84" s="27">
        <f>rebio23_80ml!AG85/50</f>
        <v>0</v>
      </c>
      <c r="AH84" s="27">
        <f>rebio23_80ml!AH85/50</f>
        <v>0</v>
      </c>
      <c r="AI84" s="27">
        <f>rebio23_80ml!AI85/50</f>
        <v>0</v>
      </c>
      <c r="AJ84" s="27">
        <f>rebio23_80ml!AJ85/50</f>
        <v>0</v>
      </c>
      <c r="AK84" s="27">
        <f>rebio23_80ml!AK85/50</f>
        <v>0</v>
      </c>
      <c r="AL84" s="27">
        <f>rebio23_80ml!AL85/50</f>
        <v>0.32</v>
      </c>
      <c r="AM84" s="27">
        <f>rebio23_80ml!AM85/50</f>
        <v>0</v>
      </c>
      <c r="AN84" s="27">
        <f>rebio23_80ml!AN85/50</f>
        <v>0</v>
      </c>
      <c r="AO84" s="27">
        <f>rebio23_80ml!AO85/50</f>
        <v>0</v>
      </c>
      <c r="AP84" s="27">
        <f>rebio23_80ml!AP85/50</f>
        <v>1.62</v>
      </c>
      <c r="AQ84" s="27">
        <f>rebio23_80ml!AQ85/50</f>
        <v>0.5</v>
      </c>
      <c r="AR84" s="27">
        <f>rebio23_80ml!AR85/50</f>
        <v>0.08</v>
      </c>
      <c r="AS84" s="27">
        <f>rebio23_80ml!AS85/50</f>
        <v>0</v>
      </c>
      <c r="AT84" s="27">
        <f>rebio23_80ml!AT85/50</f>
        <v>0</v>
      </c>
      <c r="AU84" s="27">
        <f>rebio23_80ml!AU85/50</f>
        <v>0</v>
      </c>
      <c r="AV84" s="27">
        <f>rebio23_80ml!AV85/50</f>
        <v>1.84</v>
      </c>
      <c r="AW84" s="27">
        <f>rebio23_80ml!AW85/50</f>
        <v>0.3</v>
      </c>
      <c r="AX84" s="27">
        <f>rebio23_80ml!AX85/50</f>
        <v>0.1</v>
      </c>
      <c r="AY84" s="27">
        <f>rebio23_80ml!AY85/50</f>
        <v>0.5</v>
      </c>
      <c r="AZ84" s="27">
        <f>rebio23_80ml!AZ85/50</f>
        <v>0</v>
      </c>
      <c r="BA84" s="27">
        <f>rebio23_80ml!BA85/50</f>
        <v>0</v>
      </c>
      <c r="BB84" s="27">
        <f>rebio23_80ml!BB85/50</f>
        <v>0</v>
      </c>
      <c r="BC84" s="27">
        <f>rebio23_80ml!BC85/50</f>
        <v>0</v>
      </c>
      <c r="BD84" s="27">
        <f>rebio23_80ml!BD85/50</f>
        <v>0.22</v>
      </c>
      <c r="BE84" s="27">
        <f>rebio23_80ml!BE85/50</f>
        <v>0.2</v>
      </c>
      <c r="BF84" s="27">
        <f>rebio23_80ml!BF85/50</f>
        <v>0</v>
      </c>
      <c r="BG84" s="27">
        <f>rebio23_80ml!BG85/50</f>
        <v>0</v>
      </c>
    </row>
    <row r="85" spans="1:59" ht="12.75" customHeight="1" x14ac:dyDescent="0.25">
      <c r="A85" s="15" t="str">
        <f>rebio23_80ml!A86</f>
        <v>C-C-P16-H3</v>
      </c>
      <c r="B85" s="27">
        <f>rebio23_80ml!B86/50</f>
        <v>0.84</v>
      </c>
      <c r="C85" s="27">
        <f>rebio23_80ml!C86/50</f>
        <v>0.32</v>
      </c>
      <c r="D85" s="27">
        <f>rebio23_80ml!D86/50</f>
        <v>0</v>
      </c>
      <c r="E85" s="27">
        <f>rebio23_80ml!E86/50</f>
        <v>0.88</v>
      </c>
      <c r="F85" s="27">
        <f>rebio23_80ml!F86/50</f>
        <v>1.22</v>
      </c>
      <c r="G85" s="27">
        <f>rebio23_80ml!G86/50</f>
        <v>0</v>
      </c>
      <c r="H85" s="27">
        <f>rebio23_80ml!H86/50</f>
        <v>0.02</v>
      </c>
      <c r="I85" s="27">
        <f>rebio23_80ml!I86/50</f>
        <v>7.62</v>
      </c>
      <c r="J85" s="27">
        <f>rebio23_80ml!J86/50</f>
        <v>1.56</v>
      </c>
      <c r="K85" s="27">
        <f>rebio23_80ml!K86/50</f>
        <v>0</v>
      </c>
      <c r="L85" s="27">
        <f>rebio23_80ml!L86/50</f>
        <v>1.54</v>
      </c>
      <c r="M85" s="27">
        <f>rebio23_80ml!M86/50</f>
        <v>0</v>
      </c>
      <c r="N85" s="27">
        <f>rebio23_80ml!N86/50</f>
        <v>0</v>
      </c>
      <c r="O85" s="27">
        <f>rebio23_80ml!O86/50</f>
        <v>0</v>
      </c>
      <c r="P85" s="27">
        <f>rebio23_80ml!P86/50</f>
        <v>0</v>
      </c>
      <c r="Q85" s="27">
        <f>rebio23_80ml!Q86/50</f>
        <v>1.64</v>
      </c>
      <c r="R85" s="27">
        <f>rebio23_80ml!R86/50</f>
        <v>0.38</v>
      </c>
      <c r="S85" s="27">
        <f>rebio23_80ml!S86/50</f>
        <v>0.04</v>
      </c>
      <c r="T85" s="27">
        <f>rebio23_80ml!T86/50</f>
        <v>0.6</v>
      </c>
      <c r="U85" s="27">
        <f>rebio23_80ml!U86/50</f>
        <v>0.2</v>
      </c>
      <c r="V85" s="27">
        <f>rebio23_80ml!V86/50</f>
        <v>8.34</v>
      </c>
      <c r="W85" s="27">
        <f>rebio23_80ml!W86/50</f>
        <v>0</v>
      </c>
      <c r="X85" s="27">
        <f>rebio23_80ml!X86/50</f>
        <v>0</v>
      </c>
      <c r="Y85" s="27">
        <f>rebio23_80ml!Y86/50</f>
        <v>0.06</v>
      </c>
      <c r="Z85" s="27">
        <f>rebio23_80ml!Z86/50</f>
        <v>0.38</v>
      </c>
      <c r="AA85" s="27">
        <f>rebio23_80ml!AA86/50</f>
        <v>1.34</v>
      </c>
      <c r="AB85" s="27">
        <f>rebio23_80ml!AB86/50</f>
        <v>0</v>
      </c>
      <c r="AC85" s="27">
        <f>rebio23_80ml!AC86/50</f>
        <v>0</v>
      </c>
      <c r="AD85" s="27">
        <f>rebio23_80ml!AD86/50</f>
        <v>0</v>
      </c>
      <c r="AE85" s="27">
        <f>rebio23_80ml!AE86/50</f>
        <v>0</v>
      </c>
      <c r="AF85" s="27">
        <f>rebio23_80ml!AF86/50</f>
        <v>0</v>
      </c>
      <c r="AG85" s="27">
        <f>rebio23_80ml!AG86/50</f>
        <v>0.24</v>
      </c>
      <c r="AH85" s="27">
        <f>rebio23_80ml!AH86/50</f>
        <v>0</v>
      </c>
      <c r="AI85" s="27">
        <f>rebio23_80ml!AI86/50</f>
        <v>0</v>
      </c>
      <c r="AJ85" s="27">
        <f>rebio23_80ml!AJ86/50</f>
        <v>0</v>
      </c>
      <c r="AK85" s="27">
        <f>rebio23_80ml!AK86/50</f>
        <v>0</v>
      </c>
      <c r="AL85" s="27">
        <f>rebio23_80ml!AL86/50</f>
        <v>0.18</v>
      </c>
      <c r="AM85" s="27">
        <f>rebio23_80ml!AM86/50</f>
        <v>0</v>
      </c>
      <c r="AN85" s="27">
        <f>rebio23_80ml!AN86/50</f>
        <v>0</v>
      </c>
      <c r="AO85" s="27">
        <f>rebio23_80ml!AO86/50</f>
        <v>0</v>
      </c>
      <c r="AP85" s="27">
        <f>rebio23_80ml!AP86/50</f>
        <v>1.08</v>
      </c>
      <c r="AQ85" s="27">
        <f>rebio23_80ml!AQ86/50</f>
        <v>1.64</v>
      </c>
      <c r="AR85" s="27">
        <f>rebio23_80ml!AR86/50</f>
        <v>0.72</v>
      </c>
      <c r="AS85" s="27">
        <f>rebio23_80ml!AS86/50</f>
        <v>0</v>
      </c>
      <c r="AT85" s="27">
        <f>rebio23_80ml!AT86/50</f>
        <v>0</v>
      </c>
      <c r="AU85" s="27">
        <f>rebio23_80ml!AU86/50</f>
        <v>0</v>
      </c>
      <c r="AV85" s="27">
        <f>rebio23_80ml!AV86/50</f>
        <v>1.98</v>
      </c>
      <c r="AW85" s="27">
        <f>rebio23_80ml!AW86/50</f>
        <v>0</v>
      </c>
      <c r="AX85" s="27">
        <f>rebio23_80ml!AX86/50</f>
        <v>0.2</v>
      </c>
      <c r="AY85" s="27">
        <f>rebio23_80ml!AY86/50</f>
        <v>2.56</v>
      </c>
      <c r="AZ85" s="27">
        <f>rebio23_80ml!AZ86/50</f>
        <v>0</v>
      </c>
      <c r="BA85" s="27">
        <f>rebio23_80ml!BA86/50</f>
        <v>0</v>
      </c>
      <c r="BB85" s="27">
        <f>rebio23_80ml!BB86/50</f>
        <v>0</v>
      </c>
      <c r="BC85" s="27">
        <f>rebio23_80ml!BC86/50</f>
        <v>0</v>
      </c>
      <c r="BD85" s="27">
        <f>rebio23_80ml!BD86/50</f>
        <v>0.16</v>
      </c>
      <c r="BE85" s="27">
        <f>rebio23_80ml!BE86/50</f>
        <v>0.2</v>
      </c>
      <c r="BF85" s="27">
        <f>rebio23_80ml!BF86/50</f>
        <v>0</v>
      </c>
      <c r="BG85" s="27">
        <f>rebio23_80ml!BG86/50</f>
        <v>0</v>
      </c>
    </row>
    <row r="86" spans="1:59" ht="12.75" customHeight="1" x14ac:dyDescent="0.25">
      <c r="A86" s="15" t="str">
        <f>rebio23_80ml!A87</f>
        <v>C-C-P17-H1</v>
      </c>
      <c r="B86" s="27">
        <f>rebio23_80ml!B87/50</f>
        <v>0.02</v>
      </c>
      <c r="C86" s="27">
        <f>rebio23_80ml!C87/50</f>
        <v>0</v>
      </c>
      <c r="D86" s="27">
        <f>rebio23_80ml!D87/50</f>
        <v>0</v>
      </c>
      <c r="E86" s="27">
        <f>rebio23_80ml!E87/50</f>
        <v>1.66</v>
      </c>
      <c r="F86" s="27">
        <f>rebio23_80ml!F87/50</f>
        <v>0.04</v>
      </c>
      <c r="G86" s="27">
        <f>rebio23_80ml!G87/50</f>
        <v>0</v>
      </c>
      <c r="H86" s="27">
        <f>rebio23_80ml!H87/50</f>
        <v>0</v>
      </c>
      <c r="I86" s="27">
        <f>rebio23_80ml!I87/50</f>
        <v>0.1</v>
      </c>
      <c r="J86" s="27">
        <f>rebio23_80ml!J87/50</f>
        <v>0.06</v>
      </c>
      <c r="K86" s="27">
        <f>rebio23_80ml!K87/50</f>
        <v>0</v>
      </c>
      <c r="L86" s="27">
        <f>rebio23_80ml!L87/50</f>
        <v>0</v>
      </c>
      <c r="M86" s="27">
        <f>rebio23_80ml!M87/50</f>
        <v>0</v>
      </c>
      <c r="N86" s="27">
        <f>rebio23_80ml!N87/50</f>
        <v>0</v>
      </c>
      <c r="O86" s="27">
        <f>rebio23_80ml!O87/50</f>
        <v>0</v>
      </c>
      <c r="P86" s="27">
        <f>rebio23_80ml!P87/50</f>
        <v>0</v>
      </c>
      <c r="Q86" s="27">
        <f>rebio23_80ml!Q87/50</f>
        <v>0</v>
      </c>
      <c r="R86" s="27">
        <f>rebio23_80ml!R87/50</f>
        <v>0</v>
      </c>
      <c r="S86" s="27">
        <f>rebio23_80ml!S87/50</f>
        <v>0</v>
      </c>
      <c r="T86" s="27">
        <f>rebio23_80ml!T87/50</f>
        <v>0.04</v>
      </c>
      <c r="U86" s="27">
        <f>rebio23_80ml!U87/50</f>
        <v>0</v>
      </c>
      <c r="V86" s="27">
        <f>rebio23_80ml!V87/50</f>
        <v>0</v>
      </c>
      <c r="W86" s="27">
        <f>rebio23_80ml!W87/50</f>
        <v>0</v>
      </c>
      <c r="X86" s="27">
        <f>rebio23_80ml!X87/50</f>
        <v>0</v>
      </c>
      <c r="Y86" s="27">
        <f>rebio23_80ml!Y87/50</f>
        <v>0</v>
      </c>
      <c r="Z86" s="27">
        <f>rebio23_80ml!Z87/50</f>
        <v>0</v>
      </c>
      <c r="AA86" s="27">
        <f>rebio23_80ml!AA87/50</f>
        <v>0.04</v>
      </c>
      <c r="AB86" s="27">
        <f>rebio23_80ml!AB87/50</f>
        <v>0</v>
      </c>
      <c r="AC86" s="27">
        <f>rebio23_80ml!AC87/50</f>
        <v>0</v>
      </c>
      <c r="AD86" s="27">
        <f>rebio23_80ml!AD87/50</f>
        <v>0</v>
      </c>
      <c r="AE86" s="27">
        <f>rebio23_80ml!AE87/50</f>
        <v>0</v>
      </c>
      <c r="AF86" s="27">
        <f>rebio23_80ml!AF87/50</f>
        <v>0</v>
      </c>
      <c r="AG86" s="27">
        <f>rebio23_80ml!AG87/50</f>
        <v>0</v>
      </c>
      <c r="AH86" s="27">
        <f>rebio23_80ml!AH87/50</f>
        <v>0</v>
      </c>
      <c r="AI86" s="27">
        <f>rebio23_80ml!AI87/50</f>
        <v>0</v>
      </c>
      <c r="AJ86" s="27">
        <f>rebio23_80ml!AJ87/50</f>
        <v>0</v>
      </c>
      <c r="AK86" s="27">
        <f>rebio23_80ml!AK87/50</f>
        <v>0</v>
      </c>
      <c r="AL86" s="27">
        <f>rebio23_80ml!AL87/50</f>
        <v>0</v>
      </c>
      <c r="AM86" s="27">
        <f>rebio23_80ml!AM87/50</f>
        <v>0</v>
      </c>
      <c r="AN86" s="27">
        <f>rebio23_80ml!AN87/50</f>
        <v>0</v>
      </c>
      <c r="AO86" s="27">
        <f>rebio23_80ml!AO87/50</f>
        <v>0</v>
      </c>
      <c r="AP86" s="27">
        <f>rebio23_80ml!AP87/50</f>
        <v>0</v>
      </c>
      <c r="AQ86" s="27">
        <f>rebio23_80ml!AQ87/50</f>
        <v>0</v>
      </c>
      <c r="AR86" s="27">
        <f>rebio23_80ml!AR87/50</f>
        <v>0</v>
      </c>
      <c r="AS86" s="27">
        <f>rebio23_80ml!AS87/50</f>
        <v>0</v>
      </c>
      <c r="AT86" s="27">
        <f>rebio23_80ml!AT87/50</f>
        <v>0</v>
      </c>
      <c r="AU86" s="27">
        <f>rebio23_80ml!AU87/50</f>
        <v>0</v>
      </c>
      <c r="AV86" s="27">
        <f>rebio23_80ml!AV87/50</f>
        <v>0.14000000000000001</v>
      </c>
      <c r="AW86" s="27">
        <f>rebio23_80ml!AW87/50</f>
        <v>0</v>
      </c>
      <c r="AX86" s="27">
        <f>rebio23_80ml!AX87/50</f>
        <v>0</v>
      </c>
      <c r="AY86" s="27">
        <f>rebio23_80ml!AY87/50</f>
        <v>0.02</v>
      </c>
      <c r="AZ86" s="27">
        <f>rebio23_80ml!AZ87/50</f>
        <v>0</v>
      </c>
      <c r="BA86" s="27">
        <f>rebio23_80ml!BA87/50</f>
        <v>0</v>
      </c>
      <c r="BB86" s="27">
        <f>rebio23_80ml!BB87/50</f>
        <v>0</v>
      </c>
      <c r="BC86" s="27">
        <f>rebio23_80ml!BC87/50</f>
        <v>0</v>
      </c>
      <c r="BD86" s="27">
        <f>rebio23_80ml!BD87/50</f>
        <v>0</v>
      </c>
      <c r="BE86" s="27">
        <f>rebio23_80ml!BE87/50</f>
        <v>0</v>
      </c>
      <c r="BF86" s="27">
        <f>rebio23_80ml!BF87/50</f>
        <v>0</v>
      </c>
      <c r="BG86" s="27">
        <f>rebio23_80ml!BG87/50</f>
        <v>0</v>
      </c>
    </row>
    <row r="87" spans="1:59" ht="12.75" customHeight="1" x14ac:dyDescent="0.25">
      <c r="A87" s="15" t="str">
        <f>rebio23_80ml!A88</f>
        <v>C-C-P17-H2</v>
      </c>
      <c r="B87" s="27">
        <f>rebio23_80ml!B88/50</f>
        <v>0.36</v>
      </c>
      <c r="C87" s="27">
        <f>rebio23_80ml!C88/50</f>
        <v>0</v>
      </c>
      <c r="D87" s="27">
        <f>rebio23_80ml!D88/50</f>
        <v>0.06</v>
      </c>
      <c r="E87" s="27">
        <f>rebio23_80ml!E88/50</f>
        <v>1.82</v>
      </c>
      <c r="F87" s="27">
        <f>rebio23_80ml!F88/50</f>
        <v>0.28000000000000003</v>
      </c>
      <c r="G87" s="27">
        <f>rebio23_80ml!G88/50</f>
        <v>0</v>
      </c>
      <c r="H87" s="27">
        <f>rebio23_80ml!H88/50</f>
        <v>0</v>
      </c>
      <c r="I87" s="27">
        <f>rebio23_80ml!I88/50</f>
        <v>0.76</v>
      </c>
      <c r="J87" s="27">
        <f>rebio23_80ml!J88/50</f>
        <v>0.42</v>
      </c>
      <c r="K87" s="27">
        <f>rebio23_80ml!K88/50</f>
        <v>0</v>
      </c>
      <c r="L87" s="27">
        <f>rebio23_80ml!L88/50</f>
        <v>0.24</v>
      </c>
      <c r="M87" s="27">
        <f>rebio23_80ml!M88/50</f>
        <v>0</v>
      </c>
      <c r="N87" s="27">
        <f>rebio23_80ml!N88/50</f>
        <v>0</v>
      </c>
      <c r="O87" s="27">
        <f>rebio23_80ml!O88/50</f>
        <v>0</v>
      </c>
      <c r="P87" s="27">
        <f>rebio23_80ml!P88/50</f>
        <v>0.02</v>
      </c>
      <c r="Q87" s="27">
        <f>rebio23_80ml!Q88/50</f>
        <v>0.04</v>
      </c>
      <c r="R87" s="27">
        <f>rebio23_80ml!R88/50</f>
        <v>0.22</v>
      </c>
      <c r="S87" s="27">
        <f>rebio23_80ml!S88/50</f>
        <v>0.04</v>
      </c>
      <c r="T87" s="27">
        <f>rebio23_80ml!T88/50</f>
        <v>0.02</v>
      </c>
      <c r="U87" s="27">
        <f>rebio23_80ml!U88/50</f>
        <v>0</v>
      </c>
      <c r="V87" s="27">
        <f>rebio23_80ml!V88/50</f>
        <v>0.16</v>
      </c>
      <c r="W87" s="27">
        <f>rebio23_80ml!W88/50</f>
        <v>0</v>
      </c>
      <c r="X87" s="27">
        <f>rebio23_80ml!X88/50</f>
        <v>0</v>
      </c>
      <c r="Y87" s="27">
        <f>rebio23_80ml!Y88/50</f>
        <v>0</v>
      </c>
      <c r="Z87" s="27">
        <f>rebio23_80ml!Z88/50</f>
        <v>0.16</v>
      </c>
      <c r="AA87" s="27">
        <f>rebio23_80ml!AA88/50</f>
        <v>0.56000000000000005</v>
      </c>
      <c r="AB87" s="27">
        <f>rebio23_80ml!AB88/50</f>
        <v>0</v>
      </c>
      <c r="AC87" s="27">
        <f>rebio23_80ml!AC88/50</f>
        <v>0</v>
      </c>
      <c r="AD87" s="27">
        <f>rebio23_80ml!AD88/50</f>
        <v>0.02</v>
      </c>
      <c r="AE87" s="27">
        <f>rebio23_80ml!AE88/50</f>
        <v>0</v>
      </c>
      <c r="AF87" s="27">
        <f>rebio23_80ml!AF88/50</f>
        <v>0</v>
      </c>
      <c r="AG87" s="27">
        <f>rebio23_80ml!AG88/50</f>
        <v>0.08</v>
      </c>
      <c r="AH87" s="27">
        <f>rebio23_80ml!AH88/50</f>
        <v>0</v>
      </c>
      <c r="AI87" s="27">
        <f>rebio23_80ml!AI88/50</f>
        <v>0</v>
      </c>
      <c r="AJ87" s="27">
        <f>rebio23_80ml!AJ88/50</f>
        <v>0</v>
      </c>
      <c r="AK87" s="27">
        <f>rebio23_80ml!AK88/50</f>
        <v>0</v>
      </c>
      <c r="AL87" s="27">
        <f>rebio23_80ml!AL88/50</f>
        <v>0</v>
      </c>
      <c r="AM87" s="27">
        <f>rebio23_80ml!AM88/50</f>
        <v>0</v>
      </c>
      <c r="AN87" s="27">
        <f>rebio23_80ml!AN88/50</f>
        <v>0</v>
      </c>
      <c r="AO87" s="27">
        <f>rebio23_80ml!AO88/50</f>
        <v>0</v>
      </c>
      <c r="AP87" s="27">
        <f>rebio23_80ml!AP88/50</f>
        <v>0</v>
      </c>
      <c r="AQ87" s="27">
        <f>rebio23_80ml!AQ88/50</f>
        <v>0.28000000000000003</v>
      </c>
      <c r="AR87" s="27">
        <f>rebio23_80ml!AR88/50</f>
        <v>0</v>
      </c>
      <c r="AS87" s="27">
        <f>rebio23_80ml!AS88/50</f>
        <v>0</v>
      </c>
      <c r="AT87" s="27">
        <f>rebio23_80ml!AT88/50</f>
        <v>0</v>
      </c>
      <c r="AU87" s="27">
        <f>rebio23_80ml!AU88/50</f>
        <v>0</v>
      </c>
      <c r="AV87" s="27">
        <f>rebio23_80ml!AV88/50</f>
        <v>0.26</v>
      </c>
      <c r="AW87" s="27">
        <f>rebio23_80ml!AW88/50</f>
        <v>0</v>
      </c>
      <c r="AX87" s="27">
        <f>rebio23_80ml!AX88/50</f>
        <v>0</v>
      </c>
      <c r="AY87" s="27">
        <f>rebio23_80ml!AY88/50</f>
        <v>0.12</v>
      </c>
      <c r="AZ87" s="27">
        <f>rebio23_80ml!AZ88/50</f>
        <v>0</v>
      </c>
      <c r="BA87" s="27">
        <f>rebio23_80ml!BA88/50</f>
        <v>0</v>
      </c>
      <c r="BB87" s="27">
        <f>rebio23_80ml!BB88/50</f>
        <v>0</v>
      </c>
      <c r="BC87" s="27">
        <f>rebio23_80ml!BC88/50</f>
        <v>0</v>
      </c>
      <c r="BD87" s="27">
        <f>rebio23_80ml!BD88/50</f>
        <v>0.32</v>
      </c>
      <c r="BE87" s="27">
        <f>rebio23_80ml!BE88/50</f>
        <v>0.08</v>
      </c>
      <c r="BF87" s="27">
        <f>rebio23_80ml!BF88/50</f>
        <v>0</v>
      </c>
      <c r="BG87" s="27">
        <f>rebio23_80ml!BG88/50</f>
        <v>0</v>
      </c>
    </row>
    <row r="88" spans="1:59" ht="12.75" customHeight="1" x14ac:dyDescent="0.25">
      <c r="A88" s="15" t="str">
        <f>rebio23_80ml!A89</f>
        <v>C-C-P17-H3</v>
      </c>
      <c r="B88" s="27">
        <f>rebio23_80ml!B89/50</f>
        <v>0</v>
      </c>
      <c r="C88" s="27">
        <f>rebio23_80ml!C89/50</f>
        <v>0</v>
      </c>
      <c r="D88" s="27">
        <f>rebio23_80ml!D89/50</f>
        <v>0</v>
      </c>
      <c r="E88" s="27">
        <f>rebio23_80ml!E89/50</f>
        <v>1.1399999999999999</v>
      </c>
      <c r="F88" s="27">
        <f>rebio23_80ml!F89/50</f>
        <v>0.08</v>
      </c>
      <c r="G88" s="27">
        <f>rebio23_80ml!G89/50</f>
        <v>0</v>
      </c>
      <c r="H88" s="27">
        <f>rebio23_80ml!H89/50</f>
        <v>0</v>
      </c>
      <c r="I88" s="27">
        <f>rebio23_80ml!I89/50</f>
        <v>0.26</v>
      </c>
      <c r="J88" s="27">
        <f>rebio23_80ml!J89/50</f>
        <v>0.18</v>
      </c>
      <c r="K88" s="27">
        <f>rebio23_80ml!K89/50</f>
        <v>0</v>
      </c>
      <c r="L88" s="27">
        <f>rebio23_80ml!L89/50</f>
        <v>0.1</v>
      </c>
      <c r="M88" s="27">
        <f>rebio23_80ml!M89/50</f>
        <v>0</v>
      </c>
      <c r="N88" s="27">
        <f>rebio23_80ml!N89/50</f>
        <v>0</v>
      </c>
      <c r="O88" s="27">
        <f>rebio23_80ml!O89/50</f>
        <v>0</v>
      </c>
      <c r="P88" s="27">
        <f>rebio23_80ml!P89/50</f>
        <v>0</v>
      </c>
      <c r="Q88" s="27">
        <f>rebio23_80ml!Q89/50</f>
        <v>0</v>
      </c>
      <c r="R88" s="27">
        <f>rebio23_80ml!R89/50</f>
        <v>0.1</v>
      </c>
      <c r="S88" s="27">
        <f>rebio23_80ml!S89/50</f>
        <v>0</v>
      </c>
      <c r="T88" s="27">
        <f>rebio23_80ml!T89/50</f>
        <v>0.12</v>
      </c>
      <c r="U88" s="27">
        <f>rebio23_80ml!U89/50</f>
        <v>0</v>
      </c>
      <c r="V88" s="27">
        <f>rebio23_80ml!V89/50</f>
        <v>0</v>
      </c>
      <c r="W88" s="27">
        <f>rebio23_80ml!W89/50</f>
        <v>0</v>
      </c>
      <c r="X88" s="27">
        <f>rebio23_80ml!X89/50</f>
        <v>0</v>
      </c>
      <c r="Y88" s="27">
        <f>rebio23_80ml!Y89/50</f>
        <v>0</v>
      </c>
      <c r="Z88" s="27">
        <f>rebio23_80ml!Z89/50</f>
        <v>0</v>
      </c>
      <c r="AA88" s="27">
        <f>rebio23_80ml!AA89/50</f>
        <v>0.04</v>
      </c>
      <c r="AB88" s="27">
        <f>rebio23_80ml!AB89/50</f>
        <v>0</v>
      </c>
      <c r="AC88" s="27">
        <f>rebio23_80ml!AC89/50</f>
        <v>0</v>
      </c>
      <c r="AD88" s="27">
        <f>rebio23_80ml!AD89/50</f>
        <v>0</v>
      </c>
      <c r="AE88" s="27">
        <f>rebio23_80ml!AE89/50</f>
        <v>0</v>
      </c>
      <c r="AF88" s="27">
        <f>rebio23_80ml!AF89/50</f>
        <v>0</v>
      </c>
      <c r="AG88" s="27">
        <f>rebio23_80ml!AG89/50</f>
        <v>0.02</v>
      </c>
      <c r="AH88" s="27">
        <f>rebio23_80ml!AH89/50</f>
        <v>0</v>
      </c>
      <c r="AI88" s="27">
        <f>rebio23_80ml!AI89/50</f>
        <v>0</v>
      </c>
      <c r="AJ88" s="27">
        <f>rebio23_80ml!AJ89/50</f>
        <v>0</v>
      </c>
      <c r="AK88" s="27">
        <f>rebio23_80ml!AK89/50</f>
        <v>0</v>
      </c>
      <c r="AL88" s="27">
        <f>rebio23_80ml!AL89/50</f>
        <v>0</v>
      </c>
      <c r="AM88" s="27">
        <f>rebio23_80ml!AM89/50</f>
        <v>0</v>
      </c>
      <c r="AN88" s="27">
        <f>rebio23_80ml!AN89/50</f>
        <v>0</v>
      </c>
      <c r="AO88" s="27">
        <f>rebio23_80ml!AO89/50</f>
        <v>0</v>
      </c>
      <c r="AP88" s="27">
        <f>rebio23_80ml!AP89/50</f>
        <v>0</v>
      </c>
      <c r="AQ88" s="27">
        <f>rebio23_80ml!AQ89/50</f>
        <v>0</v>
      </c>
      <c r="AR88" s="27">
        <f>rebio23_80ml!AR89/50</f>
        <v>0</v>
      </c>
      <c r="AS88" s="27">
        <f>rebio23_80ml!AS89/50</f>
        <v>0</v>
      </c>
      <c r="AT88" s="27">
        <f>rebio23_80ml!AT89/50</f>
        <v>0</v>
      </c>
      <c r="AU88" s="27">
        <f>rebio23_80ml!AU89/50</f>
        <v>0</v>
      </c>
      <c r="AV88" s="27">
        <f>rebio23_80ml!AV89/50</f>
        <v>0</v>
      </c>
      <c r="AW88" s="27">
        <f>rebio23_80ml!AW89/50</f>
        <v>0</v>
      </c>
      <c r="AX88" s="27">
        <f>rebio23_80ml!AX89/50</f>
        <v>0</v>
      </c>
      <c r="AY88" s="27">
        <f>rebio23_80ml!AY89/50</f>
        <v>0</v>
      </c>
      <c r="AZ88" s="27">
        <f>rebio23_80ml!AZ89/50</f>
        <v>0</v>
      </c>
      <c r="BA88" s="27">
        <f>rebio23_80ml!BA89/50</f>
        <v>0</v>
      </c>
      <c r="BB88" s="27">
        <f>rebio23_80ml!BB89/50</f>
        <v>0</v>
      </c>
      <c r="BC88" s="27">
        <f>rebio23_80ml!BC89/50</f>
        <v>0</v>
      </c>
      <c r="BD88" s="27">
        <f>rebio23_80ml!BD89/50</f>
        <v>0</v>
      </c>
      <c r="BE88" s="27">
        <f>rebio23_80ml!BE89/50</f>
        <v>0</v>
      </c>
      <c r="BF88" s="27">
        <f>rebio23_80ml!BF89/50</f>
        <v>0</v>
      </c>
      <c r="BG88" s="27">
        <f>rebio23_80ml!BG89/50</f>
        <v>0</v>
      </c>
    </row>
    <row r="89" spans="1:59" ht="12.75" customHeight="1" x14ac:dyDescent="0.25">
      <c r="A89" s="15" t="str">
        <f>rebio23_80ml!A90</f>
        <v>C-C-P18-H1</v>
      </c>
      <c r="B89" s="27">
        <f>rebio23_80ml!B90/50</f>
        <v>0.08</v>
      </c>
      <c r="C89" s="27">
        <f>rebio23_80ml!C90/50</f>
        <v>0.02</v>
      </c>
      <c r="D89" s="27">
        <f>rebio23_80ml!D90/50</f>
        <v>0</v>
      </c>
      <c r="E89" s="27">
        <f>rebio23_80ml!E90/50</f>
        <v>1.3</v>
      </c>
      <c r="F89" s="27">
        <f>rebio23_80ml!F90/50</f>
        <v>0.04</v>
      </c>
      <c r="G89" s="27">
        <f>rebio23_80ml!G90/50</f>
        <v>0</v>
      </c>
      <c r="H89" s="27">
        <f>rebio23_80ml!H90/50</f>
        <v>0</v>
      </c>
      <c r="I89" s="27">
        <f>rebio23_80ml!I90/50</f>
        <v>0.12</v>
      </c>
      <c r="J89" s="27">
        <f>rebio23_80ml!J90/50</f>
        <v>0.06</v>
      </c>
      <c r="K89" s="27">
        <f>rebio23_80ml!K90/50</f>
        <v>0</v>
      </c>
      <c r="L89" s="27">
        <f>rebio23_80ml!L90/50</f>
        <v>0.02</v>
      </c>
      <c r="M89" s="27">
        <f>rebio23_80ml!M90/50</f>
        <v>0</v>
      </c>
      <c r="N89" s="27">
        <f>rebio23_80ml!N90/50</f>
        <v>0</v>
      </c>
      <c r="O89" s="27">
        <f>rebio23_80ml!O90/50</f>
        <v>0</v>
      </c>
      <c r="P89" s="27">
        <f>rebio23_80ml!P90/50</f>
        <v>0</v>
      </c>
      <c r="Q89" s="27">
        <f>rebio23_80ml!Q90/50</f>
        <v>0</v>
      </c>
      <c r="R89" s="27">
        <f>rebio23_80ml!R90/50</f>
        <v>0.02</v>
      </c>
      <c r="S89" s="27">
        <f>rebio23_80ml!S90/50</f>
        <v>0</v>
      </c>
      <c r="T89" s="27">
        <f>rebio23_80ml!T90/50</f>
        <v>0</v>
      </c>
      <c r="U89" s="27">
        <f>rebio23_80ml!U90/50</f>
        <v>0</v>
      </c>
      <c r="V89" s="27">
        <f>rebio23_80ml!V90/50</f>
        <v>0</v>
      </c>
      <c r="W89" s="27">
        <f>rebio23_80ml!W90/50</f>
        <v>0</v>
      </c>
      <c r="X89" s="27">
        <f>rebio23_80ml!X90/50</f>
        <v>0</v>
      </c>
      <c r="Y89" s="27">
        <f>rebio23_80ml!Y90/50</f>
        <v>0</v>
      </c>
      <c r="Z89" s="27">
        <f>rebio23_80ml!Z90/50</f>
        <v>0</v>
      </c>
      <c r="AA89" s="27">
        <f>rebio23_80ml!AA90/50</f>
        <v>0.02</v>
      </c>
      <c r="AB89" s="27">
        <f>rebio23_80ml!AB90/50</f>
        <v>0</v>
      </c>
      <c r="AC89" s="27">
        <f>rebio23_80ml!AC90/50</f>
        <v>0</v>
      </c>
      <c r="AD89" s="27">
        <f>rebio23_80ml!AD90/50</f>
        <v>0</v>
      </c>
      <c r="AE89" s="27">
        <f>rebio23_80ml!AE90/50</f>
        <v>0</v>
      </c>
      <c r="AF89" s="27">
        <f>rebio23_80ml!AF90/50</f>
        <v>0</v>
      </c>
      <c r="AG89" s="27">
        <f>rebio23_80ml!AG90/50</f>
        <v>0</v>
      </c>
      <c r="AH89" s="27">
        <f>rebio23_80ml!AH90/50</f>
        <v>0</v>
      </c>
      <c r="AI89" s="27">
        <f>rebio23_80ml!AI90/50</f>
        <v>0</v>
      </c>
      <c r="AJ89" s="27">
        <f>rebio23_80ml!AJ90/50</f>
        <v>0</v>
      </c>
      <c r="AK89" s="27">
        <f>rebio23_80ml!AK90/50</f>
        <v>0</v>
      </c>
      <c r="AL89" s="27">
        <f>rebio23_80ml!AL90/50</f>
        <v>0</v>
      </c>
      <c r="AM89" s="27">
        <f>rebio23_80ml!AM90/50</f>
        <v>0</v>
      </c>
      <c r="AN89" s="27">
        <f>rebio23_80ml!AN90/50</f>
        <v>0</v>
      </c>
      <c r="AO89" s="27">
        <f>rebio23_80ml!AO90/50</f>
        <v>0</v>
      </c>
      <c r="AP89" s="27">
        <f>rebio23_80ml!AP90/50</f>
        <v>0</v>
      </c>
      <c r="AQ89" s="27">
        <f>rebio23_80ml!AQ90/50</f>
        <v>0.04</v>
      </c>
      <c r="AR89" s="27">
        <f>rebio23_80ml!AR90/50</f>
        <v>0</v>
      </c>
      <c r="AS89" s="27">
        <f>rebio23_80ml!AS90/50</f>
        <v>0</v>
      </c>
      <c r="AT89" s="27">
        <f>rebio23_80ml!AT90/50</f>
        <v>0</v>
      </c>
      <c r="AU89" s="27">
        <f>rebio23_80ml!AU90/50</f>
        <v>0</v>
      </c>
      <c r="AV89" s="27">
        <f>rebio23_80ml!AV90/50</f>
        <v>0.02</v>
      </c>
      <c r="AW89" s="27">
        <f>rebio23_80ml!AW90/50</f>
        <v>0</v>
      </c>
      <c r="AX89" s="27">
        <f>rebio23_80ml!AX90/50</f>
        <v>0</v>
      </c>
      <c r="AY89" s="27">
        <f>rebio23_80ml!AY90/50</f>
        <v>0.06</v>
      </c>
      <c r="AZ89" s="27">
        <f>rebio23_80ml!AZ90/50</f>
        <v>0</v>
      </c>
      <c r="BA89" s="27">
        <f>rebio23_80ml!BA90/50</f>
        <v>0</v>
      </c>
      <c r="BB89" s="27">
        <f>rebio23_80ml!BB90/50</f>
        <v>0</v>
      </c>
      <c r="BC89" s="27">
        <f>rebio23_80ml!BC90/50</f>
        <v>0</v>
      </c>
      <c r="BD89" s="27">
        <f>rebio23_80ml!BD90/50</f>
        <v>0</v>
      </c>
      <c r="BE89" s="27">
        <f>rebio23_80ml!BE90/50</f>
        <v>0</v>
      </c>
      <c r="BF89" s="27">
        <f>rebio23_80ml!BF90/50</f>
        <v>0</v>
      </c>
      <c r="BG89" s="27">
        <f>rebio23_80ml!BG90/50</f>
        <v>0</v>
      </c>
    </row>
    <row r="90" spans="1:59" ht="12.75" customHeight="1" x14ac:dyDescent="0.25">
      <c r="A90" s="15" t="str">
        <f>rebio23_80ml!A91</f>
        <v>C-C-P18-H2</v>
      </c>
      <c r="B90" s="27">
        <f>rebio23_80ml!B91/50</f>
        <v>0.12</v>
      </c>
      <c r="C90" s="27">
        <f>rebio23_80ml!C91/50</f>
        <v>0</v>
      </c>
      <c r="D90" s="27">
        <f>rebio23_80ml!D91/50</f>
        <v>0</v>
      </c>
      <c r="E90" s="27">
        <f>rebio23_80ml!E91/50</f>
        <v>2.14</v>
      </c>
      <c r="F90" s="27">
        <f>rebio23_80ml!F91/50</f>
        <v>0.08</v>
      </c>
      <c r="G90" s="27">
        <f>rebio23_80ml!G91/50</f>
        <v>0</v>
      </c>
      <c r="H90" s="27">
        <f>rebio23_80ml!H91/50</f>
        <v>0</v>
      </c>
      <c r="I90" s="27">
        <f>rebio23_80ml!I91/50</f>
        <v>1.68</v>
      </c>
      <c r="J90" s="27">
        <f>rebio23_80ml!J91/50</f>
        <v>0.24</v>
      </c>
      <c r="K90" s="27">
        <f>rebio23_80ml!K91/50</f>
        <v>0</v>
      </c>
      <c r="L90" s="27">
        <f>rebio23_80ml!L91/50</f>
        <v>0.46</v>
      </c>
      <c r="M90" s="27">
        <f>rebio23_80ml!M91/50</f>
        <v>0</v>
      </c>
      <c r="N90" s="27">
        <f>rebio23_80ml!N91/50</f>
        <v>0</v>
      </c>
      <c r="O90" s="27">
        <f>rebio23_80ml!O91/50</f>
        <v>0</v>
      </c>
      <c r="P90" s="27">
        <f>rebio23_80ml!P91/50</f>
        <v>0</v>
      </c>
      <c r="Q90" s="27">
        <f>rebio23_80ml!Q91/50</f>
        <v>0.04</v>
      </c>
      <c r="R90" s="27">
        <f>rebio23_80ml!R91/50</f>
        <v>0</v>
      </c>
      <c r="S90" s="27">
        <f>rebio23_80ml!S91/50</f>
        <v>0</v>
      </c>
      <c r="T90" s="27">
        <f>rebio23_80ml!T91/50</f>
        <v>0.02</v>
      </c>
      <c r="U90" s="27">
        <f>rebio23_80ml!U91/50</f>
        <v>0</v>
      </c>
      <c r="V90" s="27">
        <f>rebio23_80ml!V91/50</f>
        <v>0.08</v>
      </c>
      <c r="W90" s="27">
        <f>rebio23_80ml!W91/50</f>
        <v>0</v>
      </c>
      <c r="X90" s="27">
        <f>rebio23_80ml!X91/50</f>
        <v>0</v>
      </c>
      <c r="Y90" s="27">
        <f>rebio23_80ml!Y91/50</f>
        <v>0.06</v>
      </c>
      <c r="Z90" s="27">
        <f>rebio23_80ml!Z91/50</f>
        <v>0.02</v>
      </c>
      <c r="AA90" s="27">
        <f>rebio23_80ml!AA91/50</f>
        <v>0.06</v>
      </c>
      <c r="AB90" s="27">
        <f>rebio23_80ml!AB91/50</f>
        <v>0</v>
      </c>
      <c r="AC90" s="27">
        <f>rebio23_80ml!AC91/50</f>
        <v>0</v>
      </c>
      <c r="AD90" s="27">
        <f>rebio23_80ml!AD91/50</f>
        <v>0</v>
      </c>
      <c r="AE90" s="27">
        <f>rebio23_80ml!AE91/50</f>
        <v>0</v>
      </c>
      <c r="AF90" s="27">
        <f>rebio23_80ml!AF91/50</f>
        <v>0</v>
      </c>
      <c r="AG90" s="27">
        <f>rebio23_80ml!AG91/50</f>
        <v>0</v>
      </c>
      <c r="AH90" s="27">
        <f>rebio23_80ml!AH91/50</f>
        <v>0</v>
      </c>
      <c r="AI90" s="27">
        <f>rebio23_80ml!AI91/50</f>
        <v>0</v>
      </c>
      <c r="AJ90" s="27">
        <f>rebio23_80ml!AJ91/50</f>
        <v>0</v>
      </c>
      <c r="AK90" s="27">
        <f>rebio23_80ml!AK91/50</f>
        <v>0</v>
      </c>
      <c r="AL90" s="27">
        <f>rebio23_80ml!AL91/50</f>
        <v>0.06</v>
      </c>
      <c r="AM90" s="27">
        <f>rebio23_80ml!AM91/50</f>
        <v>0</v>
      </c>
      <c r="AN90" s="27">
        <f>rebio23_80ml!AN91/50</f>
        <v>0</v>
      </c>
      <c r="AO90" s="27">
        <f>rebio23_80ml!AO91/50</f>
        <v>0</v>
      </c>
      <c r="AP90" s="27">
        <f>rebio23_80ml!AP91/50</f>
        <v>0</v>
      </c>
      <c r="AQ90" s="27">
        <f>rebio23_80ml!AQ91/50</f>
        <v>0.02</v>
      </c>
      <c r="AR90" s="27">
        <f>rebio23_80ml!AR91/50</f>
        <v>0</v>
      </c>
      <c r="AS90" s="27">
        <f>rebio23_80ml!AS91/50</f>
        <v>0</v>
      </c>
      <c r="AT90" s="27">
        <f>rebio23_80ml!AT91/50</f>
        <v>0</v>
      </c>
      <c r="AU90" s="27">
        <f>rebio23_80ml!AU91/50</f>
        <v>0</v>
      </c>
      <c r="AV90" s="27">
        <f>rebio23_80ml!AV91/50</f>
        <v>0.82</v>
      </c>
      <c r="AW90" s="27">
        <f>rebio23_80ml!AW91/50</f>
        <v>0.02</v>
      </c>
      <c r="AX90" s="27">
        <f>rebio23_80ml!AX91/50</f>
        <v>0.24</v>
      </c>
      <c r="AY90" s="27">
        <f>rebio23_80ml!AY91/50</f>
        <v>0.08</v>
      </c>
      <c r="AZ90" s="27">
        <f>rebio23_80ml!AZ91/50</f>
        <v>0</v>
      </c>
      <c r="BA90" s="27">
        <f>rebio23_80ml!BA91/50</f>
        <v>0</v>
      </c>
      <c r="BB90" s="27">
        <f>rebio23_80ml!BB91/50</f>
        <v>0</v>
      </c>
      <c r="BC90" s="27">
        <f>rebio23_80ml!BC91/50</f>
        <v>0</v>
      </c>
      <c r="BD90" s="27">
        <f>rebio23_80ml!BD91/50</f>
        <v>0</v>
      </c>
      <c r="BE90" s="27">
        <f>rebio23_80ml!BE91/50</f>
        <v>0</v>
      </c>
      <c r="BF90" s="27">
        <f>rebio23_80ml!BF91/50</f>
        <v>0</v>
      </c>
      <c r="BG90" s="27">
        <f>rebio23_80ml!BG91/50</f>
        <v>0</v>
      </c>
    </row>
    <row r="91" spans="1:59" ht="12.75" customHeight="1" x14ac:dyDescent="0.25">
      <c r="A91" s="15" t="str">
        <f>rebio23_80ml!A92</f>
        <v>C-C-P18-H3</v>
      </c>
      <c r="B91" s="27">
        <f>rebio23_80ml!B92/50</f>
        <v>0.14000000000000001</v>
      </c>
      <c r="C91" s="27">
        <f>rebio23_80ml!C92/50</f>
        <v>0</v>
      </c>
      <c r="D91" s="27">
        <f>rebio23_80ml!D92/50</f>
        <v>0</v>
      </c>
      <c r="E91" s="27">
        <f>rebio23_80ml!E92/50</f>
        <v>0.78</v>
      </c>
      <c r="F91" s="27">
        <f>rebio23_80ml!F92/50</f>
        <v>0.02</v>
      </c>
      <c r="G91" s="27">
        <f>rebio23_80ml!G92/50</f>
        <v>0</v>
      </c>
      <c r="H91" s="27">
        <f>rebio23_80ml!H92/50</f>
        <v>0</v>
      </c>
      <c r="I91" s="27">
        <f>rebio23_80ml!I92/50</f>
        <v>0.98</v>
      </c>
      <c r="J91" s="27">
        <f>rebio23_80ml!J92/50</f>
        <v>0.04</v>
      </c>
      <c r="K91" s="27">
        <f>rebio23_80ml!K92/50</f>
        <v>0</v>
      </c>
      <c r="L91" s="27">
        <f>rebio23_80ml!L92/50</f>
        <v>0.18</v>
      </c>
      <c r="M91" s="27">
        <f>rebio23_80ml!M92/50</f>
        <v>0</v>
      </c>
      <c r="N91" s="27">
        <f>rebio23_80ml!N92/50</f>
        <v>0</v>
      </c>
      <c r="O91" s="27">
        <f>rebio23_80ml!O92/50</f>
        <v>0</v>
      </c>
      <c r="P91" s="27">
        <f>rebio23_80ml!P92/50</f>
        <v>0</v>
      </c>
      <c r="Q91" s="27">
        <f>rebio23_80ml!Q92/50</f>
        <v>0</v>
      </c>
      <c r="R91" s="27">
        <f>rebio23_80ml!R92/50</f>
        <v>0.02</v>
      </c>
      <c r="S91" s="27">
        <f>rebio23_80ml!S92/50</f>
        <v>0</v>
      </c>
      <c r="T91" s="27">
        <f>rebio23_80ml!T92/50</f>
        <v>0.04</v>
      </c>
      <c r="U91" s="27">
        <f>rebio23_80ml!U92/50</f>
        <v>0</v>
      </c>
      <c r="V91" s="27">
        <f>rebio23_80ml!V92/50</f>
        <v>0.04</v>
      </c>
      <c r="W91" s="27">
        <f>rebio23_80ml!W92/50</f>
        <v>0</v>
      </c>
      <c r="X91" s="27">
        <f>rebio23_80ml!X92/50</f>
        <v>0</v>
      </c>
      <c r="Y91" s="27">
        <f>rebio23_80ml!Y92/50</f>
        <v>0.04</v>
      </c>
      <c r="Z91" s="27">
        <f>rebio23_80ml!Z92/50</f>
        <v>0</v>
      </c>
      <c r="AA91" s="27">
        <f>rebio23_80ml!AA92/50</f>
        <v>0.04</v>
      </c>
      <c r="AB91" s="27">
        <f>rebio23_80ml!AB92/50</f>
        <v>0</v>
      </c>
      <c r="AC91" s="27">
        <f>rebio23_80ml!AC92/50</f>
        <v>0</v>
      </c>
      <c r="AD91" s="27">
        <f>rebio23_80ml!AD92/50</f>
        <v>0.02</v>
      </c>
      <c r="AE91" s="27">
        <f>rebio23_80ml!AE92/50</f>
        <v>0</v>
      </c>
      <c r="AF91" s="27">
        <f>rebio23_80ml!AF92/50</f>
        <v>0</v>
      </c>
      <c r="AG91" s="27">
        <f>rebio23_80ml!AG92/50</f>
        <v>0</v>
      </c>
      <c r="AH91" s="27">
        <f>rebio23_80ml!AH92/50</f>
        <v>0</v>
      </c>
      <c r="AI91" s="27">
        <f>rebio23_80ml!AI92/50</f>
        <v>0</v>
      </c>
      <c r="AJ91" s="27">
        <f>rebio23_80ml!AJ92/50</f>
        <v>0</v>
      </c>
      <c r="AK91" s="27">
        <f>rebio23_80ml!AK92/50</f>
        <v>0</v>
      </c>
      <c r="AL91" s="27">
        <f>rebio23_80ml!AL92/50</f>
        <v>0</v>
      </c>
      <c r="AM91" s="27">
        <f>rebio23_80ml!AM92/50</f>
        <v>0</v>
      </c>
      <c r="AN91" s="27">
        <f>rebio23_80ml!AN92/50</f>
        <v>0</v>
      </c>
      <c r="AO91" s="27">
        <f>rebio23_80ml!AO92/50</f>
        <v>0</v>
      </c>
      <c r="AP91" s="27">
        <f>rebio23_80ml!AP92/50</f>
        <v>0</v>
      </c>
      <c r="AQ91" s="27">
        <f>rebio23_80ml!AQ92/50</f>
        <v>0.04</v>
      </c>
      <c r="AR91" s="27">
        <f>rebio23_80ml!AR92/50</f>
        <v>0</v>
      </c>
      <c r="AS91" s="27">
        <f>rebio23_80ml!AS92/50</f>
        <v>0</v>
      </c>
      <c r="AT91" s="27">
        <f>rebio23_80ml!AT92/50</f>
        <v>0</v>
      </c>
      <c r="AU91" s="27">
        <f>rebio23_80ml!AU92/50</f>
        <v>0</v>
      </c>
      <c r="AV91" s="27">
        <f>rebio23_80ml!AV92/50</f>
        <v>0.42</v>
      </c>
      <c r="AW91" s="27">
        <f>rebio23_80ml!AW92/50</f>
        <v>0.32</v>
      </c>
      <c r="AX91" s="27">
        <f>rebio23_80ml!AX92/50</f>
        <v>0.04</v>
      </c>
      <c r="AY91" s="27">
        <f>rebio23_80ml!AY92/50</f>
        <v>0.08</v>
      </c>
      <c r="AZ91" s="27">
        <f>rebio23_80ml!AZ92/50</f>
        <v>0</v>
      </c>
      <c r="BA91" s="27">
        <f>rebio23_80ml!BA92/50</f>
        <v>0.02</v>
      </c>
      <c r="BB91" s="27">
        <f>rebio23_80ml!BB92/50</f>
        <v>0</v>
      </c>
      <c r="BC91" s="27">
        <f>rebio23_80ml!BC92/50</f>
        <v>0</v>
      </c>
      <c r="BD91" s="27">
        <f>rebio23_80ml!BD92/50</f>
        <v>0.02</v>
      </c>
      <c r="BE91" s="27">
        <f>rebio23_80ml!BE92/50</f>
        <v>0.02</v>
      </c>
      <c r="BF91" s="27">
        <f>rebio23_80ml!BF92/50</f>
        <v>0</v>
      </c>
      <c r="BG91" s="27">
        <f>rebio23_80ml!BG92/50</f>
        <v>0</v>
      </c>
    </row>
    <row r="92" spans="1:59" ht="12.75" customHeight="1" x14ac:dyDescent="0.25">
      <c r="A92" s="15" t="str">
        <f>rebio23_80ml!A93</f>
        <v>C-C-P19-H1</v>
      </c>
      <c r="B92" s="27">
        <f>rebio23_80ml!B93/50</f>
        <v>0.02</v>
      </c>
      <c r="C92" s="27">
        <f>rebio23_80ml!C93/50</f>
        <v>0.04</v>
      </c>
      <c r="D92" s="27">
        <f>rebio23_80ml!D93/50</f>
        <v>0</v>
      </c>
      <c r="E92" s="27">
        <f>rebio23_80ml!E93/50</f>
        <v>2.1</v>
      </c>
      <c r="F92" s="27">
        <f>rebio23_80ml!F93/50</f>
        <v>0</v>
      </c>
      <c r="G92" s="27">
        <f>rebio23_80ml!G93/50</f>
        <v>0</v>
      </c>
      <c r="H92" s="27">
        <f>rebio23_80ml!H93/50</f>
        <v>0</v>
      </c>
      <c r="I92" s="27">
        <f>rebio23_80ml!I93/50</f>
        <v>0.06</v>
      </c>
      <c r="J92" s="27">
        <f>rebio23_80ml!J93/50</f>
        <v>0</v>
      </c>
      <c r="K92" s="27">
        <f>rebio23_80ml!K93/50</f>
        <v>0</v>
      </c>
      <c r="L92" s="27">
        <f>rebio23_80ml!L93/50</f>
        <v>0</v>
      </c>
      <c r="M92" s="27">
        <f>rebio23_80ml!M93/50</f>
        <v>0</v>
      </c>
      <c r="N92" s="27">
        <f>rebio23_80ml!N93/50</f>
        <v>0</v>
      </c>
      <c r="O92" s="27">
        <f>rebio23_80ml!O93/50</f>
        <v>0</v>
      </c>
      <c r="P92" s="27">
        <f>rebio23_80ml!P93/50</f>
        <v>0</v>
      </c>
      <c r="Q92" s="27">
        <f>rebio23_80ml!Q93/50</f>
        <v>0</v>
      </c>
      <c r="R92" s="27">
        <f>rebio23_80ml!R93/50</f>
        <v>0</v>
      </c>
      <c r="S92" s="27">
        <f>rebio23_80ml!S93/50</f>
        <v>0</v>
      </c>
      <c r="T92" s="27">
        <f>rebio23_80ml!T93/50</f>
        <v>0</v>
      </c>
      <c r="U92" s="27">
        <f>rebio23_80ml!U93/50</f>
        <v>0</v>
      </c>
      <c r="V92" s="27">
        <f>rebio23_80ml!V93/50</f>
        <v>0</v>
      </c>
      <c r="W92" s="27">
        <f>rebio23_80ml!W93/50</f>
        <v>0</v>
      </c>
      <c r="X92" s="27">
        <f>rebio23_80ml!X93/50</f>
        <v>0</v>
      </c>
      <c r="Y92" s="27">
        <f>rebio23_80ml!Y93/50</f>
        <v>0.02</v>
      </c>
      <c r="Z92" s="27">
        <f>rebio23_80ml!Z93/50</f>
        <v>0</v>
      </c>
      <c r="AA92" s="27">
        <f>rebio23_80ml!AA93/50</f>
        <v>0</v>
      </c>
      <c r="AB92" s="27">
        <f>rebio23_80ml!AB93/50</f>
        <v>0</v>
      </c>
      <c r="AC92" s="27">
        <f>rebio23_80ml!AC93/50</f>
        <v>0</v>
      </c>
      <c r="AD92" s="27">
        <f>rebio23_80ml!AD93/50</f>
        <v>0</v>
      </c>
      <c r="AE92" s="27">
        <f>rebio23_80ml!AE93/50</f>
        <v>0</v>
      </c>
      <c r="AF92" s="27">
        <f>rebio23_80ml!AF93/50</f>
        <v>0</v>
      </c>
      <c r="AG92" s="27">
        <f>rebio23_80ml!AG93/50</f>
        <v>0</v>
      </c>
      <c r="AH92" s="27">
        <f>rebio23_80ml!AH93/50</f>
        <v>0</v>
      </c>
      <c r="AI92" s="27">
        <f>rebio23_80ml!AI93/50</f>
        <v>0</v>
      </c>
      <c r="AJ92" s="27">
        <f>rebio23_80ml!AJ93/50</f>
        <v>0</v>
      </c>
      <c r="AK92" s="27">
        <f>rebio23_80ml!AK93/50</f>
        <v>0</v>
      </c>
      <c r="AL92" s="27">
        <f>rebio23_80ml!AL93/50</f>
        <v>0</v>
      </c>
      <c r="AM92" s="27">
        <f>rebio23_80ml!AM93/50</f>
        <v>0</v>
      </c>
      <c r="AN92" s="27">
        <f>rebio23_80ml!AN93/50</f>
        <v>0</v>
      </c>
      <c r="AO92" s="27">
        <f>rebio23_80ml!AO93/50</f>
        <v>0</v>
      </c>
      <c r="AP92" s="27">
        <f>rebio23_80ml!AP93/50</f>
        <v>0</v>
      </c>
      <c r="AQ92" s="27">
        <f>rebio23_80ml!AQ93/50</f>
        <v>0</v>
      </c>
      <c r="AR92" s="27">
        <f>rebio23_80ml!AR93/50</f>
        <v>0</v>
      </c>
      <c r="AS92" s="27">
        <f>rebio23_80ml!AS93/50</f>
        <v>0</v>
      </c>
      <c r="AT92" s="27">
        <f>rebio23_80ml!AT93/50</f>
        <v>0</v>
      </c>
      <c r="AU92" s="27">
        <f>rebio23_80ml!AU93/50</f>
        <v>0</v>
      </c>
      <c r="AV92" s="27">
        <f>rebio23_80ml!AV93/50</f>
        <v>0.06</v>
      </c>
      <c r="AW92" s="27">
        <f>rebio23_80ml!AW93/50</f>
        <v>0</v>
      </c>
      <c r="AX92" s="27">
        <f>rebio23_80ml!AX93/50</f>
        <v>0</v>
      </c>
      <c r="AY92" s="27">
        <f>rebio23_80ml!AY93/50</f>
        <v>0</v>
      </c>
      <c r="AZ92" s="27">
        <f>rebio23_80ml!AZ93/50</f>
        <v>0</v>
      </c>
      <c r="BA92" s="27">
        <f>rebio23_80ml!BA93/50</f>
        <v>0</v>
      </c>
      <c r="BB92" s="27">
        <f>rebio23_80ml!BB93/50</f>
        <v>0</v>
      </c>
      <c r="BC92" s="27">
        <f>rebio23_80ml!BC93/50</f>
        <v>0</v>
      </c>
      <c r="BD92" s="27">
        <f>rebio23_80ml!BD93/50</f>
        <v>0</v>
      </c>
      <c r="BE92" s="27">
        <f>rebio23_80ml!BE93/50</f>
        <v>0</v>
      </c>
      <c r="BF92" s="27">
        <f>rebio23_80ml!BF93/50</f>
        <v>0</v>
      </c>
      <c r="BG92" s="27">
        <f>rebio23_80ml!BG93/50</f>
        <v>0</v>
      </c>
    </row>
    <row r="93" spans="1:59" ht="12.75" customHeight="1" x14ac:dyDescent="0.25">
      <c r="A93" s="15" t="str">
        <f>rebio23_80ml!A94</f>
        <v>C-C-P19-H2</v>
      </c>
      <c r="B93" s="27">
        <f>rebio23_80ml!B94/50</f>
        <v>0</v>
      </c>
      <c r="C93" s="27">
        <f>rebio23_80ml!C94/50</f>
        <v>0.06</v>
      </c>
      <c r="D93" s="27">
        <f>rebio23_80ml!D94/50</f>
        <v>0</v>
      </c>
      <c r="E93" s="27">
        <f>rebio23_80ml!E94/50</f>
        <v>0.74</v>
      </c>
      <c r="F93" s="27">
        <f>rebio23_80ml!F94/50</f>
        <v>0</v>
      </c>
      <c r="G93" s="27">
        <f>rebio23_80ml!G94/50</f>
        <v>0</v>
      </c>
      <c r="H93" s="27">
        <f>rebio23_80ml!H94/50</f>
        <v>0</v>
      </c>
      <c r="I93" s="27">
        <f>rebio23_80ml!I94/50</f>
        <v>0.02</v>
      </c>
      <c r="J93" s="27">
        <f>rebio23_80ml!J94/50</f>
        <v>0</v>
      </c>
      <c r="K93" s="27">
        <f>rebio23_80ml!K94/50</f>
        <v>0</v>
      </c>
      <c r="L93" s="27">
        <f>rebio23_80ml!L94/50</f>
        <v>0</v>
      </c>
      <c r="M93" s="27">
        <f>rebio23_80ml!M94/50</f>
        <v>0</v>
      </c>
      <c r="N93" s="27">
        <f>rebio23_80ml!N94/50</f>
        <v>0</v>
      </c>
      <c r="O93" s="27">
        <f>rebio23_80ml!O94/50</f>
        <v>0</v>
      </c>
      <c r="P93" s="27">
        <f>rebio23_80ml!P94/50</f>
        <v>0</v>
      </c>
      <c r="Q93" s="27">
        <f>rebio23_80ml!Q94/50</f>
        <v>0</v>
      </c>
      <c r="R93" s="27">
        <f>rebio23_80ml!R94/50</f>
        <v>0</v>
      </c>
      <c r="S93" s="27">
        <f>rebio23_80ml!S94/50</f>
        <v>0</v>
      </c>
      <c r="T93" s="27">
        <f>rebio23_80ml!T94/50</f>
        <v>0</v>
      </c>
      <c r="U93" s="27">
        <f>rebio23_80ml!U94/50</f>
        <v>0</v>
      </c>
      <c r="V93" s="27">
        <f>rebio23_80ml!V94/50</f>
        <v>0</v>
      </c>
      <c r="W93" s="27">
        <f>rebio23_80ml!W94/50</f>
        <v>0</v>
      </c>
      <c r="X93" s="27">
        <f>rebio23_80ml!X94/50</f>
        <v>0</v>
      </c>
      <c r="Y93" s="27">
        <f>rebio23_80ml!Y94/50</f>
        <v>0</v>
      </c>
      <c r="Z93" s="27">
        <f>rebio23_80ml!Z94/50</f>
        <v>0</v>
      </c>
      <c r="AA93" s="27">
        <f>rebio23_80ml!AA94/50</f>
        <v>0</v>
      </c>
      <c r="AB93" s="27">
        <f>rebio23_80ml!AB94/50</f>
        <v>0</v>
      </c>
      <c r="AC93" s="27">
        <f>rebio23_80ml!AC94/50</f>
        <v>0</v>
      </c>
      <c r="AD93" s="27">
        <f>rebio23_80ml!AD94/50</f>
        <v>0</v>
      </c>
      <c r="AE93" s="27">
        <f>rebio23_80ml!AE94/50</f>
        <v>0</v>
      </c>
      <c r="AF93" s="27">
        <f>rebio23_80ml!AF94/50</f>
        <v>0</v>
      </c>
      <c r="AG93" s="27">
        <f>rebio23_80ml!AG94/50</f>
        <v>0</v>
      </c>
      <c r="AH93" s="27">
        <f>rebio23_80ml!AH94/50</f>
        <v>0</v>
      </c>
      <c r="AI93" s="27">
        <f>rebio23_80ml!AI94/50</f>
        <v>0</v>
      </c>
      <c r="AJ93" s="27">
        <f>rebio23_80ml!AJ94/50</f>
        <v>0</v>
      </c>
      <c r="AK93" s="27">
        <f>rebio23_80ml!AK94/50</f>
        <v>0</v>
      </c>
      <c r="AL93" s="27">
        <f>rebio23_80ml!AL94/50</f>
        <v>0</v>
      </c>
      <c r="AM93" s="27">
        <f>rebio23_80ml!AM94/50</f>
        <v>0</v>
      </c>
      <c r="AN93" s="27">
        <f>rebio23_80ml!AN94/50</f>
        <v>0</v>
      </c>
      <c r="AO93" s="27">
        <f>rebio23_80ml!AO94/50</f>
        <v>0</v>
      </c>
      <c r="AP93" s="27">
        <f>rebio23_80ml!AP94/50</f>
        <v>0</v>
      </c>
      <c r="AQ93" s="27">
        <f>rebio23_80ml!AQ94/50</f>
        <v>0</v>
      </c>
      <c r="AR93" s="27">
        <f>rebio23_80ml!AR94/50</f>
        <v>0</v>
      </c>
      <c r="AS93" s="27">
        <f>rebio23_80ml!AS94/50</f>
        <v>0</v>
      </c>
      <c r="AT93" s="27">
        <f>rebio23_80ml!AT94/50</f>
        <v>0</v>
      </c>
      <c r="AU93" s="27">
        <f>rebio23_80ml!AU94/50</f>
        <v>0</v>
      </c>
      <c r="AV93" s="27">
        <f>rebio23_80ml!AV94/50</f>
        <v>0.04</v>
      </c>
      <c r="AW93" s="27">
        <f>rebio23_80ml!AW94/50</f>
        <v>0</v>
      </c>
      <c r="AX93" s="27">
        <f>rebio23_80ml!AX94/50</f>
        <v>0</v>
      </c>
      <c r="AY93" s="27">
        <f>rebio23_80ml!AY94/50</f>
        <v>0</v>
      </c>
      <c r="AZ93" s="27">
        <f>rebio23_80ml!AZ94/50</f>
        <v>0</v>
      </c>
      <c r="BA93" s="27">
        <f>rebio23_80ml!BA94/50</f>
        <v>0</v>
      </c>
      <c r="BB93" s="27">
        <f>rebio23_80ml!BB94/50</f>
        <v>0</v>
      </c>
      <c r="BC93" s="27">
        <f>rebio23_80ml!BC94/50</f>
        <v>0</v>
      </c>
      <c r="BD93" s="27">
        <f>rebio23_80ml!BD94/50</f>
        <v>0</v>
      </c>
      <c r="BE93" s="27">
        <f>rebio23_80ml!BE94/50</f>
        <v>0</v>
      </c>
      <c r="BF93" s="27">
        <f>rebio23_80ml!BF94/50</f>
        <v>0</v>
      </c>
      <c r="BG93" s="27">
        <f>rebio23_80ml!BG94/50</f>
        <v>0</v>
      </c>
    </row>
    <row r="94" spans="1:59" ht="12.75" customHeight="1" x14ac:dyDescent="0.25">
      <c r="A94" s="15" t="str">
        <f>rebio23_80ml!A95</f>
        <v>C-C-P19-H3</v>
      </c>
      <c r="B94" s="27">
        <f>rebio23_80ml!B95/50</f>
        <v>0</v>
      </c>
      <c r="C94" s="27">
        <f>rebio23_80ml!C95/50</f>
        <v>0.1</v>
      </c>
      <c r="D94" s="27">
        <f>rebio23_80ml!D95/50</f>
        <v>0</v>
      </c>
      <c r="E94" s="27">
        <f>rebio23_80ml!E95/50</f>
        <v>0.72</v>
      </c>
      <c r="F94" s="27">
        <f>rebio23_80ml!F95/50</f>
        <v>0</v>
      </c>
      <c r="G94" s="27">
        <f>rebio23_80ml!G95/50</f>
        <v>0</v>
      </c>
      <c r="H94" s="27">
        <f>rebio23_80ml!H95/50</f>
        <v>0</v>
      </c>
      <c r="I94" s="27">
        <f>rebio23_80ml!I95/50</f>
        <v>0.02</v>
      </c>
      <c r="J94" s="27">
        <f>rebio23_80ml!J95/50</f>
        <v>0</v>
      </c>
      <c r="K94" s="27">
        <f>rebio23_80ml!K95/50</f>
        <v>0</v>
      </c>
      <c r="L94" s="27">
        <f>rebio23_80ml!L95/50</f>
        <v>0</v>
      </c>
      <c r="M94" s="27">
        <f>rebio23_80ml!M95/50</f>
        <v>0</v>
      </c>
      <c r="N94" s="27">
        <f>rebio23_80ml!N95/50</f>
        <v>0</v>
      </c>
      <c r="O94" s="27">
        <f>rebio23_80ml!O95/50</f>
        <v>0</v>
      </c>
      <c r="P94" s="27">
        <f>rebio23_80ml!P95/50</f>
        <v>0</v>
      </c>
      <c r="Q94" s="27">
        <f>rebio23_80ml!Q95/50</f>
        <v>0</v>
      </c>
      <c r="R94" s="27">
        <f>rebio23_80ml!R95/50</f>
        <v>0</v>
      </c>
      <c r="S94" s="27">
        <f>rebio23_80ml!S95/50</f>
        <v>0</v>
      </c>
      <c r="T94" s="27">
        <f>rebio23_80ml!T95/50</f>
        <v>0</v>
      </c>
      <c r="U94" s="27">
        <f>rebio23_80ml!U95/50</f>
        <v>0</v>
      </c>
      <c r="V94" s="27">
        <f>rebio23_80ml!V95/50</f>
        <v>0</v>
      </c>
      <c r="W94" s="27">
        <f>rebio23_80ml!W95/50</f>
        <v>0</v>
      </c>
      <c r="X94" s="27">
        <f>rebio23_80ml!X95/50</f>
        <v>0</v>
      </c>
      <c r="Y94" s="27">
        <f>rebio23_80ml!Y95/50</f>
        <v>0</v>
      </c>
      <c r="Z94" s="27">
        <f>rebio23_80ml!Z95/50</f>
        <v>0</v>
      </c>
      <c r="AA94" s="27">
        <f>rebio23_80ml!AA95/50</f>
        <v>0</v>
      </c>
      <c r="AB94" s="27">
        <f>rebio23_80ml!AB95/50</f>
        <v>0</v>
      </c>
      <c r="AC94" s="27">
        <f>rebio23_80ml!AC95/50</f>
        <v>0</v>
      </c>
      <c r="AD94" s="27">
        <f>rebio23_80ml!AD95/50</f>
        <v>0</v>
      </c>
      <c r="AE94" s="27">
        <f>rebio23_80ml!AE95/50</f>
        <v>0</v>
      </c>
      <c r="AF94" s="27">
        <f>rebio23_80ml!AF95/50</f>
        <v>0</v>
      </c>
      <c r="AG94" s="27">
        <f>rebio23_80ml!AG95/50</f>
        <v>0</v>
      </c>
      <c r="AH94" s="27">
        <f>rebio23_80ml!AH95/50</f>
        <v>0</v>
      </c>
      <c r="AI94" s="27">
        <f>rebio23_80ml!AI95/50</f>
        <v>0</v>
      </c>
      <c r="AJ94" s="27">
        <f>rebio23_80ml!AJ95/50</f>
        <v>0</v>
      </c>
      <c r="AK94" s="27">
        <f>rebio23_80ml!AK95/50</f>
        <v>0</v>
      </c>
      <c r="AL94" s="27">
        <f>rebio23_80ml!AL95/50</f>
        <v>0</v>
      </c>
      <c r="AM94" s="27">
        <f>rebio23_80ml!AM95/50</f>
        <v>0</v>
      </c>
      <c r="AN94" s="27">
        <f>rebio23_80ml!AN95/50</f>
        <v>0</v>
      </c>
      <c r="AO94" s="27">
        <f>rebio23_80ml!AO95/50</f>
        <v>0</v>
      </c>
      <c r="AP94" s="27">
        <f>rebio23_80ml!AP95/50</f>
        <v>0</v>
      </c>
      <c r="AQ94" s="27">
        <f>rebio23_80ml!AQ95/50</f>
        <v>0</v>
      </c>
      <c r="AR94" s="27">
        <f>rebio23_80ml!AR95/50</f>
        <v>0</v>
      </c>
      <c r="AS94" s="27">
        <f>rebio23_80ml!AS95/50</f>
        <v>0</v>
      </c>
      <c r="AT94" s="27">
        <f>rebio23_80ml!AT95/50</f>
        <v>0</v>
      </c>
      <c r="AU94" s="27">
        <f>rebio23_80ml!AU95/50</f>
        <v>0</v>
      </c>
      <c r="AV94" s="27">
        <f>rebio23_80ml!AV95/50</f>
        <v>0.04</v>
      </c>
      <c r="AW94" s="27">
        <f>rebio23_80ml!AW95/50</f>
        <v>0</v>
      </c>
      <c r="AX94" s="27">
        <f>rebio23_80ml!AX95/50</f>
        <v>0</v>
      </c>
      <c r="AY94" s="27">
        <f>rebio23_80ml!AY95/50</f>
        <v>0</v>
      </c>
      <c r="AZ94" s="27">
        <f>rebio23_80ml!AZ95/50</f>
        <v>0</v>
      </c>
      <c r="BA94" s="27">
        <f>rebio23_80ml!BA95/50</f>
        <v>0</v>
      </c>
      <c r="BB94" s="27">
        <f>rebio23_80ml!BB95/50</f>
        <v>0</v>
      </c>
      <c r="BC94" s="27">
        <f>rebio23_80ml!BC95/50</f>
        <v>0</v>
      </c>
      <c r="BD94" s="27">
        <f>rebio23_80ml!BD95/50</f>
        <v>0</v>
      </c>
      <c r="BE94" s="27">
        <f>rebio23_80ml!BE95/50</f>
        <v>0</v>
      </c>
      <c r="BF94" s="27">
        <f>rebio23_80ml!BF95/50</f>
        <v>0</v>
      </c>
      <c r="BG94" s="27">
        <f>rebio23_80ml!BG95/50</f>
        <v>0</v>
      </c>
    </row>
    <row r="95" spans="1:59" ht="12.75" customHeight="1" x14ac:dyDescent="0.25">
      <c r="A95" s="15" t="str">
        <f>rebio23_80ml!A96</f>
        <v>C-C-P20-H1</v>
      </c>
      <c r="B95" s="27">
        <f>rebio23_80ml!B96/50</f>
        <v>0.02</v>
      </c>
      <c r="C95" s="27">
        <f>rebio23_80ml!C96/50</f>
        <v>0</v>
      </c>
      <c r="D95" s="27">
        <f>rebio23_80ml!D96/50</f>
        <v>0</v>
      </c>
      <c r="E95" s="27">
        <f>rebio23_80ml!E96/50</f>
        <v>0.7</v>
      </c>
      <c r="F95" s="27">
        <f>rebio23_80ml!F96/50</f>
        <v>0</v>
      </c>
      <c r="G95" s="27">
        <f>rebio23_80ml!G96/50</f>
        <v>0</v>
      </c>
      <c r="H95" s="27">
        <f>rebio23_80ml!H96/50</f>
        <v>0</v>
      </c>
      <c r="I95" s="27">
        <f>rebio23_80ml!I96/50</f>
        <v>0.02</v>
      </c>
      <c r="J95" s="27">
        <f>rebio23_80ml!J96/50</f>
        <v>0.04</v>
      </c>
      <c r="K95" s="27">
        <f>rebio23_80ml!K96/50</f>
        <v>0</v>
      </c>
      <c r="L95" s="27">
        <f>rebio23_80ml!L96/50</f>
        <v>0</v>
      </c>
      <c r="M95" s="27">
        <f>rebio23_80ml!M96/50</f>
        <v>0</v>
      </c>
      <c r="N95" s="27">
        <f>rebio23_80ml!N96/50</f>
        <v>0</v>
      </c>
      <c r="O95" s="27">
        <f>rebio23_80ml!O96/50</f>
        <v>0</v>
      </c>
      <c r="P95" s="27">
        <f>rebio23_80ml!P96/50</f>
        <v>0</v>
      </c>
      <c r="Q95" s="27">
        <f>rebio23_80ml!Q96/50</f>
        <v>0</v>
      </c>
      <c r="R95" s="27">
        <f>rebio23_80ml!R96/50</f>
        <v>0</v>
      </c>
      <c r="S95" s="27">
        <f>rebio23_80ml!S96/50</f>
        <v>0</v>
      </c>
      <c r="T95" s="27">
        <f>rebio23_80ml!T96/50</f>
        <v>0</v>
      </c>
      <c r="U95" s="27">
        <f>rebio23_80ml!U96/50</f>
        <v>0</v>
      </c>
      <c r="V95" s="27">
        <f>rebio23_80ml!V96/50</f>
        <v>0</v>
      </c>
      <c r="W95" s="27">
        <f>rebio23_80ml!W96/50</f>
        <v>0</v>
      </c>
      <c r="X95" s="27">
        <f>rebio23_80ml!X96/50</f>
        <v>0</v>
      </c>
      <c r="Y95" s="27">
        <f>rebio23_80ml!Y96/50</f>
        <v>0</v>
      </c>
      <c r="Z95" s="27">
        <f>rebio23_80ml!Z96/50</f>
        <v>0</v>
      </c>
      <c r="AA95" s="27">
        <f>rebio23_80ml!AA96/50</f>
        <v>0</v>
      </c>
      <c r="AB95" s="27">
        <f>rebio23_80ml!AB96/50</f>
        <v>0</v>
      </c>
      <c r="AC95" s="27">
        <f>rebio23_80ml!AC96/50</f>
        <v>0</v>
      </c>
      <c r="AD95" s="27">
        <f>rebio23_80ml!AD96/50</f>
        <v>0</v>
      </c>
      <c r="AE95" s="27">
        <f>rebio23_80ml!AE96/50</f>
        <v>0</v>
      </c>
      <c r="AF95" s="27">
        <f>rebio23_80ml!AF96/50</f>
        <v>0</v>
      </c>
      <c r="AG95" s="27">
        <f>rebio23_80ml!AG96/50</f>
        <v>0</v>
      </c>
      <c r="AH95" s="27">
        <f>rebio23_80ml!AH96/50</f>
        <v>0</v>
      </c>
      <c r="AI95" s="27">
        <f>rebio23_80ml!AI96/50</f>
        <v>0</v>
      </c>
      <c r="AJ95" s="27">
        <f>rebio23_80ml!AJ96/50</f>
        <v>0</v>
      </c>
      <c r="AK95" s="27">
        <f>rebio23_80ml!AK96/50</f>
        <v>0</v>
      </c>
      <c r="AL95" s="27">
        <f>rebio23_80ml!AL96/50</f>
        <v>0</v>
      </c>
      <c r="AM95" s="27">
        <f>rebio23_80ml!AM96/50</f>
        <v>0</v>
      </c>
      <c r="AN95" s="27">
        <f>rebio23_80ml!AN96/50</f>
        <v>0</v>
      </c>
      <c r="AO95" s="27">
        <f>rebio23_80ml!AO96/50</f>
        <v>0</v>
      </c>
      <c r="AP95" s="27">
        <f>rebio23_80ml!AP96/50</f>
        <v>0.02</v>
      </c>
      <c r="AQ95" s="27">
        <f>rebio23_80ml!AQ96/50</f>
        <v>0</v>
      </c>
      <c r="AR95" s="27">
        <f>rebio23_80ml!AR96/50</f>
        <v>0</v>
      </c>
      <c r="AS95" s="27">
        <f>rebio23_80ml!AS96/50</f>
        <v>0</v>
      </c>
      <c r="AT95" s="27">
        <f>rebio23_80ml!AT96/50</f>
        <v>0</v>
      </c>
      <c r="AU95" s="27">
        <f>rebio23_80ml!AU96/50</f>
        <v>0</v>
      </c>
      <c r="AV95" s="27">
        <f>rebio23_80ml!AV96/50</f>
        <v>0.02</v>
      </c>
      <c r="AW95" s="27">
        <f>rebio23_80ml!AW96/50</f>
        <v>0</v>
      </c>
      <c r="AX95" s="27">
        <f>rebio23_80ml!AX96/50</f>
        <v>0</v>
      </c>
      <c r="AY95" s="27">
        <f>rebio23_80ml!AY96/50</f>
        <v>0</v>
      </c>
      <c r="AZ95" s="27">
        <f>rebio23_80ml!AZ96/50</f>
        <v>0</v>
      </c>
      <c r="BA95" s="27">
        <f>rebio23_80ml!BA96/50</f>
        <v>0</v>
      </c>
      <c r="BB95" s="27">
        <f>rebio23_80ml!BB96/50</f>
        <v>0</v>
      </c>
      <c r="BC95" s="27">
        <f>rebio23_80ml!BC96/50</f>
        <v>0</v>
      </c>
      <c r="BD95" s="27">
        <f>rebio23_80ml!BD96/50</f>
        <v>0</v>
      </c>
      <c r="BE95" s="27">
        <f>rebio23_80ml!BE96/50</f>
        <v>0</v>
      </c>
      <c r="BF95" s="27">
        <f>rebio23_80ml!BF96/50</f>
        <v>0</v>
      </c>
      <c r="BG95" s="27">
        <f>rebio23_80ml!BG96/50</f>
        <v>0</v>
      </c>
    </row>
    <row r="96" spans="1:59" ht="12.75" customHeight="1" x14ac:dyDescent="0.25">
      <c r="A96" s="15" t="str">
        <f>rebio23_80ml!A97</f>
        <v>C-C-P20-H2</v>
      </c>
      <c r="B96" s="27">
        <f>rebio23_80ml!B97/50</f>
        <v>0</v>
      </c>
      <c r="C96" s="27">
        <f>rebio23_80ml!C97/50</f>
        <v>0.02</v>
      </c>
      <c r="D96" s="27">
        <f>rebio23_80ml!D97/50</f>
        <v>0</v>
      </c>
      <c r="E96" s="27">
        <f>rebio23_80ml!E97/50</f>
        <v>0.78</v>
      </c>
      <c r="F96" s="27">
        <f>rebio23_80ml!F97/50</f>
        <v>0</v>
      </c>
      <c r="G96" s="27">
        <f>rebio23_80ml!G97/50</f>
        <v>0</v>
      </c>
      <c r="H96" s="27">
        <f>rebio23_80ml!H97/50</f>
        <v>0</v>
      </c>
      <c r="I96" s="27">
        <f>rebio23_80ml!I97/50</f>
        <v>0</v>
      </c>
      <c r="J96" s="27">
        <f>rebio23_80ml!J97/50</f>
        <v>0</v>
      </c>
      <c r="K96" s="27">
        <f>rebio23_80ml!K97/50</f>
        <v>0</v>
      </c>
      <c r="L96" s="27">
        <f>rebio23_80ml!L97/50</f>
        <v>0</v>
      </c>
      <c r="M96" s="27">
        <f>rebio23_80ml!M97/50</f>
        <v>0</v>
      </c>
      <c r="N96" s="27">
        <f>rebio23_80ml!N97/50</f>
        <v>0</v>
      </c>
      <c r="O96" s="27">
        <f>rebio23_80ml!O97/50</f>
        <v>0</v>
      </c>
      <c r="P96" s="27">
        <f>rebio23_80ml!P97/50</f>
        <v>0</v>
      </c>
      <c r="Q96" s="27">
        <f>rebio23_80ml!Q97/50</f>
        <v>0</v>
      </c>
      <c r="R96" s="27">
        <f>rebio23_80ml!R97/50</f>
        <v>0</v>
      </c>
      <c r="S96" s="27">
        <f>rebio23_80ml!S97/50</f>
        <v>0</v>
      </c>
      <c r="T96" s="27">
        <f>rebio23_80ml!T97/50</f>
        <v>0</v>
      </c>
      <c r="U96" s="27">
        <f>rebio23_80ml!U97/50</f>
        <v>0</v>
      </c>
      <c r="V96" s="27">
        <f>rebio23_80ml!V97/50</f>
        <v>0</v>
      </c>
      <c r="W96" s="27">
        <f>rebio23_80ml!W97/50</f>
        <v>0</v>
      </c>
      <c r="X96" s="27">
        <f>rebio23_80ml!X97/50</f>
        <v>0</v>
      </c>
      <c r="Y96" s="27">
        <f>rebio23_80ml!Y97/50</f>
        <v>0</v>
      </c>
      <c r="Z96" s="27">
        <f>rebio23_80ml!Z97/50</f>
        <v>0</v>
      </c>
      <c r="AA96" s="27">
        <f>rebio23_80ml!AA97/50</f>
        <v>0.02</v>
      </c>
      <c r="AB96" s="27">
        <f>rebio23_80ml!AB97/50</f>
        <v>0</v>
      </c>
      <c r="AC96" s="27">
        <f>rebio23_80ml!AC97/50</f>
        <v>0</v>
      </c>
      <c r="AD96" s="27">
        <f>rebio23_80ml!AD97/50</f>
        <v>0</v>
      </c>
      <c r="AE96" s="27">
        <f>rebio23_80ml!AE97/50</f>
        <v>0</v>
      </c>
      <c r="AF96" s="27">
        <f>rebio23_80ml!AF97/50</f>
        <v>0</v>
      </c>
      <c r="AG96" s="27">
        <f>rebio23_80ml!AG97/50</f>
        <v>0</v>
      </c>
      <c r="AH96" s="27">
        <f>rebio23_80ml!AH97/50</f>
        <v>0</v>
      </c>
      <c r="AI96" s="27">
        <f>rebio23_80ml!AI97/50</f>
        <v>0</v>
      </c>
      <c r="AJ96" s="27">
        <f>rebio23_80ml!AJ97/50</f>
        <v>0</v>
      </c>
      <c r="AK96" s="27">
        <f>rebio23_80ml!AK97/50</f>
        <v>0</v>
      </c>
      <c r="AL96" s="27">
        <f>rebio23_80ml!AL97/50</f>
        <v>0</v>
      </c>
      <c r="AM96" s="27">
        <f>rebio23_80ml!AM97/50</f>
        <v>0</v>
      </c>
      <c r="AN96" s="27">
        <f>rebio23_80ml!AN97/50</f>
        <v>0</v>
      </c>
      <c r="AO96" s="27">
        <f>rebio23_80ml!AO97/50</f>
        <v>0</v>
      </c>
      <c r="AP96" s="27">
        <f>rebio23_80ml!AP97/50</f>
        <v>0</v>
      </c>
      <c r="AQ96" s="27">
        <f>rebio23_80ml!AQ97/50</f>
        <v>0</v>
      </c>
      <c r="AR96" s="27">
        <f>rebio23_80ml!AR97/50</f>
        <v>0</v>
      </c>
      <c r="AS96" s="27">
        <f>rebio23_80ml!AS97/50</f>
        <v>0</v>
      </c>
      <c r="AT96" s="27">
        <f>rebio23_80ml!AT97/50</f>
        <v>0</v>
      </c>
      <c r="AU96" s="27">
        <f>rebio23_80ml!AU97/50</f>
        <v>0</v>
      </c>
      <c r="AV96" s="27">
        <f>rebio23_80ml!AV97/50</f>
        <v>0.02</v>
      </c>
      <c r="AW96" s="27">
        <f>rebio23_80ml!AW97/50</f>
        <v>0</v>
      </c>
      <c r="AX96" s="27">
        <f>rebio23_80ml!AX97/50</f>
        <v>0</v>
      </c>
      <c r="AY96" s="27">
        <f>rebio23_80ml!AY97/50</f>
        <v>0.02</v>
      </c>
      <c r="AZ96" s="27">
        <f>rebio23_80ml!AZ97/50</f>
        <v>0</v>
      </c>
      <c r="BA96" s="27">
        <f>rebio23_80ml!BA97/50</f>
        <v>0</v>
      </c>
      <c r="BB96" s="27">
        <f>rebio23_80ml!BB97/50</f>
        <v>0</v>
      </c>
      <c r="BC96" s="27">
        <f>rebio23_80ml!BC97/50</f>
        <v>0</v>
      </c>
      <c r="BD96" s="27">
        <f>rebio23_80ml!BD97/50</f>
        <v>0.02</v>
      </c>
      <c r="BE96" s="27">
        <f>rebio23_80ml!BE97/50</f>
        <v>0</v>
      </c>
      <c r="BF96" s="27">
        <f>rebio23_80ml!BF97/50</f>
        <v>0.04</v>
      </c>
      <c r="BG96" s="27">
        <f>rebio23_80ml!BG97/50</f>
        <v>0</v>
      </c>
    </row>
    <row r="97" spans="1:59" ht="12.75" customHeight="1" x14ac:dyDescent="0.25">
      <c r="A97" s="15" t="str">
        <f>rebio23_80ml!A98</f>
        <v>C-C-P20-H3</v>
      </c>
      <c r="B97" s="27">
        <f>rebio23_80ml!B98/50</f>
        <v>0</v>
      </c>
      <c r="C97" s="27">
        <f>rebio23_80ml!C98/50</f>
        <v>0</v>
      </c>
      <c r="D97" s="27">
        <f>rebio23_80ml!D98/50</f>
        <v>0</v>
      </c>
      <c r="E97" s="27">
        <f>rebio23_80ml!E98/50</f>
        <v>1</v>
      </c>
      <c r="F97" s="27">
        <f>rebio23_80ml!F98/50</f>
        <v>0</v>
      </c>
      <c r="G97" s="27">
        <f>rebio23_80ml!G98/50</f>
        <v>0</v>
      </c>
      <c r="H97" s="27">
        <f>rebio23_80ml!H98/50</f>
        <v>0</v>
      </c>
      <c r="I97" s="27">
        <f>rebio23_80ml!I98/50</f>
        <v>0.02</v>
      </c>
      <c r="J97" s="27">
        <f>rebio23_80ml!J98/50</f>
        <v>0</v>
      </c>
      <c r="K97" s="27">
        <f>rebio23_80ml!K98/50</f>
        <v>0</v>
      </c>
      <c r="L97" s="27">
        <f>rebio23_80ml!L98/50</f>
        <v>0</v>
      </c>
      <c r="M97" s="27">
        <f>rebio23_80ml!M98/50</f>
        <v>0</v>
      </c>
      <c r="N97" s="27">
        <f>rebio23_80ml!N98/50</f>
        <v>0</v>
      </c>
      <c r="O97" s="27">
        <f>rebio23_80ml!O98/50</f>
        <v>0</v>
      </c>
      <c r="P97" s="27">
        <f>rebio23_80ml!P98/50</f>
        <v>0</v>
      </c>
      <c r="Q97" s="27">
        <f>rebio23_80ml!Q98/50</f>
        <v>0</v>
      </c>
      <c r="R97" s="27">
        <f>rebio23_80ml!R98/50</f>
        <v>0</v>
      </c>
      <c r="S97" s="27">
        <f>rebio23_80ml!S98/50</f>
        <v>0</v>
      </c>
      <c r="T97" s="27">
        <f>rebio23_80ml!T98/50</f>
        <v>0</v>
      </c>
      <c r="U97" s="27">
        <f>rebio23_80ml!U98/50</f>
        <v>0</v>
      </c>
      <c r="V97" s="27">
        <f>rebio23_80ml!V98/50</f>
        <v>0</v>
      </c>
      <c r="W97" s="27">
        <f>rebio23_80ml!W98/50</f>
        <v>0</v>
      </c>
      <c r="X97" s="27">
        <f>rebio23_80ml!X98/50</f>
        <v>0</v>
      </c>
      <c r="Y97" s="27">
        <f>rebio23_80ml!Y98/50</f>
        <v>0</v>
      </c>
      <c r="Z97" s="27">
        <f>rebio23_80ml!Z98/50</f>
        <v>0</v>
      </c>
      <c r="AA97" s="27">
        <f>rebio23_80ml!AA98/50</f>
        <v>0</v>
      </c>
      <c r="AB97" s="27">
        <f>rebio23_80ml!AB98/50</f>
        <v>0</v>
      </c>
      <c r="AC97" s="27">
        <f>rebio23_80ml!AC98/50</f>
        <v>0</v>
      </c>
      <c r="AD97" s="27">
        <f>rebio23_80ml!AD98/50</f>
        <v>0</v>
      </c>
      <c r="AE97" s="27">
        <f>rebio23_80ml!AE98/50</f>
        <v>0</v>
      </c>
      <c r="AF97" s="27">
        <f>rebio23_80ml!AF98/50</f>
        <v>0</v>
      </c>
      <c r="AG97" s="27">
        <f>rebio23_80ml!AG98/50</f>
        <v>0</v>
      </c>
      <c r="AH97" s="27">
        <f>rebio23_80ml!AH98/50</f>
        <v>0</v>
      </c>
      <c r="AI97" s="27">
        <f>rebio23_80ml!AI98/50</f>
        <v>0</v>
      </c>
      <c r="AJ97" s="27">
        <f>rebio23_80ml!AJ98/50</f>
        <v>0</v>
      </c>
      <c r="AK97" s="27">
        <f>rebio23_80ml!AK98/50</f>
        <v>0</v>
      </c>
      <c r="AL97" s="27">
        <f>rebio23_80ml!AL98/50</f>
        <v>0</v>
      </c>
      <c r="AM97" s="27">
        <f>rebio23_80ml!AM98/50</f>
        <v>0</v>
      </c>
      <c r="AN97" s="27">
        <f>rebio23_80ml!AN98/50</f>
        <v>0</v>
      </c>
      <c r="AO97" s="27">
        <f>rebio23_80ml!AO98/50</f>
        <v>0</v>
      </c>
      <c r="AP97" s="27">
        <f>rebio23_80ml!AP98/50</f>
        <v>0</v>
      </c>
      <c r="AQ97" s="27">
        <f>rebio23_80ml!AQ98/50</f>
        <v>0</v>
      </c>
      <c r="AR97" s="27">
        <f>rebio23_80ml!AR98/50</f>
        <v>0</v>
      </c>
      <c r="AS97" s="27">
        <f>rebio23_80ml!AS98/50</f>
        <v>0</v>
      </c>
      <c r="AT97" s="27">
        <f>rebio23_80ml!AT98/50</f>
        <v>0</v>
      </c>
      <c r="AU97" s="27">
        <f>rebio23_80ml!AU98/50</f>
        <v>0</v>
      </c>
      <c r="AV97" s="27">
        <f>rebio23_80ml!AV98/50</f>
        <v>0</v>
      </c>
      <c r="AW97" s="27">
        <f>rebio23_80ml!AW98/50</f>
        <v>0</v>
      </c>
      <c r="AX97" s="27">
        <f>rebio23_80ml!AX98/50</f>
        <v>0</v>
      </c>
      <c r="AY97" s="27">
        <f>rebio23_80ml!AY98/50</f>
        <v>0</v>
      </c>
      <c r="AZ97" s="27">
        <f>rebio23_80ml!AZ98/50</f>
        <v>0</v>
      </c>
      <c r="BA97" s="27">
        <f>rebio23_80ml!BA98/50</f>
        <v>0</v>
      </c>
      <c r="BB97" s="27">
        <f>rebio23_80ml!BB98/50</f>
        <v>0</v>
      </c>
      <c r="BC97" s="27">
        <f>rebio23_80ml!BC98/50</f>
        <v>0</v>
      </c>
      <c r="BD97" s="27">
        <f>rebio23_80ml!BD98/50</f>
        <v>0</v>
      </c>
      <c r="BE97" s="27">
        <f>rebio23_80ml!BE98/50</f>
        <v>0</v>
      </c>
      <c r="BF97" s="27">
        <f>rebio23_80ml!BF98/50</f>
        <v>0</v>
      </c>
      <c r="BG97" s="27">
        <f>rebio23_80ml!BG98/50</f>
        <v>0</v>
      </c>
    </row>
    <row r="98" spans="1:59" ht="12.75" customHeight="1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59" ht="12.75" customHeight="1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59" ht="12.75" customHeight="1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59" ht="12.75" customHeight="1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59" ht="12.75" customHeight="1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59" ht="12.75" customHeight="1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59" ht="12.75" customHeight="1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59" ht="12.75" customHeight="1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59" ht="12.75" customHeight="1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59" ht="12.75" customHeight="1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59" ht="12.75" customHeight="1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59" ht="12.75" customHeight="1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59" ht="12.75" customHeight="1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59" ht="12.75" customHeight="1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59" ht="12.75" customHeight="1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2.75" customHeight="1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2.75" customHeight="1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2.75" customHeight="1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2.75" customHeight="1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2.75" customHeight="1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2.75" customHeight="1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2.75" customHeight="1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2.75" customHeight="1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2.75" customHeight="1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2.75" customHeight="1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2.75" customHeight="1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2.75" customHeight="1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2.75" customHeight="1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2.75" customHeight="1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2.75" customHeight="1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2.75" customHeight="1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2.75" customHeight="1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2.75" customHeight="1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2.75" customHeight="1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2.75" customHeight="1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2.75" customHeight="1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2.75" customHeight="1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2.75" customHeight="1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2.75" customHeight="1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2.75" customHeight="1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2.75" customHeight="1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2.75" customHeight="1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2.75" customHeight="1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2.75" customHeight="1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2.75" customHeight="1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2.75" customHeight="1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2.75" customHeight="1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2.75" customHeight="1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2.75" customHeight="1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2.75" customHeight="1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2.75" customHeight="1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2.75" customHeight="1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2.75" customHeight="1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2.75" customHeight="1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2.75" customHeight="1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2.75" customHeight="1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2.75" customHeight="1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2.75" customHeight="1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2.75" customHeight="1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2.75" customHeight="1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2.75" customHeight="1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2.75" customHeight="1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2.75" customHeight="1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2.75" customHeight="1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2.75" customHeight="1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2.75" customHeight="1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2.75" customHeight="1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2.75" customHeight="1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2.75" customHeight="1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2.75" customHeight="1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2.75" customHeight="1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2.75" customHeight="1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2.75" customHeight="1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2.75" customHeight="1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2.75" customHeight="1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2.75" customHeight="1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2.75" customHeight="1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2.75" customHeight="1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2.75" customHeight="1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2.75" customHeight="1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2.75" customHeight="1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2.75" customHeight="1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2.75" customHeight="1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2.75" customHeight="1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2.75" customHeight="1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2.75" customHeight="1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2.75" customHeight="1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2.75" customHeight="1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2.75" customHeight="1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2.75" customHeight="1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2.75" customHeight="1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2.75" customHeight="1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2.75" customHeight="1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2.75" customHeight="1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2.75" customHeight="1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2.75" customHeight="1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2.75" customHeight="1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2.75" customHeight="1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2.75" customHeight="1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2.75" customHeight="1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2.75" customHeight="1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2.75" customHeight="1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2.75" customHeight="1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2.75" customHeight="1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2.75" customHeight="1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2.75" customHeight="1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2.75" customHeight="1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2.75" customHeight="1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2.75" customHeight="1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2.75" customHeight="1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2.75" customHeight="1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2.75" customHeight="1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2.75" customHeight="1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2.75" customHeight="1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2.75" customHeight="1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2.75" customHeight="1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2.75" customHeight="1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2.75" customHeight="1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2.75" customHeight="1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2.75" customHeight="1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2.75" customHeight="1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2.75" customHeight="1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2.75" customHeight="1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2.75" customHeight="1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2.75" customHeight="1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2.75" customHeight="1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2.75" customHeight="1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2.75" customHeight="1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2.75" customHeight="1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2.75" customHeight="1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2.75" customHeight="1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2.75" customHeight="1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2.75" customHeight="1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2.75" customHeight="1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2.75" customHeight="1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2.75" customHeight="1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4.25" customHeight="1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4.25" customHeight="1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4.25" customHeight="1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4.25" customHeight="1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4.25" customHeight="1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4.25" customHeight="1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4.25" customHeight="1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4.25" customHeight="1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4.25" customHeight="1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4.25" customHeight="1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4.25" customHeight="1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4.25" customHeight="1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4.25" customHeight="1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4.25" customHeight="1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4.25" customHeight="1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4.25" customHeight="1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4.25" customHeight="1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4.25" customHeight="1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4.25" customHeight="1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4.25" customHeight="1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4.25" customHeight="1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4.25" customHeight="1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4.25" customHeight="1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4.25" customHeight="1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4.25" customHeight="1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4.25" customHeight="1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4.25" customHeight="1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4.25" customHeight="1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4.25" customHeight="1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4.25" customHeight="1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4.25" customHeight="1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4.25" customHeight="1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4.25" customHeight="1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4.25" customHeight="1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4.25" customHeight="1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4.25" customHeight="1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4.25" customHeight="1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4.25" customHeight="1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4.25" customHeight="1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4.25" customHeight="1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4.25" customHeight="1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4.25" customHeight="1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4.25" customHeight="1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4.25" customHeight="1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4.25" customHeight="1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4.25" customHeight="1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4.25" customHeight="1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4.25" customHeight="1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4.25" customHeight="1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4.25" customHeight="1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4.25" customHeight="1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4.25" customHeight="1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4.25" customHeight="1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4.25" customHeight="1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4.25" customHeight="1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4.25" customHeight="1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4.25" customHeight="1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4.25" customHeight="1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4.25" customHeight="1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4.25" customHeight="1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4.25" customHeight="1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4.25" customHeight="1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4.25" customHeight="1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4.25" customHeight="1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4.25" customHeight="1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4.25" customHeight="1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4.25" customHeight="1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4.25" customHeight="1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4.25" customHeight="1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4.25" customHeight="1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4.25" customHeight="1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4.25" customHeight="1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4.25" customHeight="1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4.25" customHeight="1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4.25" customHeight="1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4.25" customHeight="1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4.25" customHeight="1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4.25" customHeight="1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4.25" customHeight="1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4.25" customHeight="1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4.25" customHeight="1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4.25" customHeight="1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4.25" customHeight="1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4.25" customHeight="1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4.25" customHeight="1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4.25" customHeight="1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4.25" customHeight="1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4.25" customHeight="1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4.25" customHeight="1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4.25" customHeight="1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4.25" customHeight="1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4.25" customHeight="1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4.25" customHeight="1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4.25" customHeight="1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4.25" customHeight="1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4.25" customHeight="1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4.25" customHeight="1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4.25" customHeight="1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4.25" customHeight="1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4.25" customHeight="1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4.25" customHeight="1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4.25" customHeight="1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4.25" customHeight="1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4.25" customHeight="1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4.25" customHeight="1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4.25" customHeight="1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4.25" customHeight="1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4.25" customHeight="1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4.25" customHeight="1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4.25" customHeight="1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4.25" customHeight="1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4.25" customHeight="1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4.25" customHeight="1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4.25" customHeight="1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4.25" customHeight="1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4.25" customHeight="1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4.25" customHeight="1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4.25" customHeight="1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4.25" customHeight="1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4.25" customHeight="1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4.25" customHeight="1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4.25" customHeight="1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4.25" customHeight="1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4.25" customHeight="1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4.25" customHeight="1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4.25" customHeight="1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4.25" customHeight="1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4.25" customHeight="1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4.25" customHeight="1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4.25" customHeight="1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4.25" customHeight="1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4.25" customHeight="1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4.25" customHeight="1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4.25" customHeight="1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4.25" customHeight="1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4.25" customHeight="1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4.25" customHeight="1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4.25" customHeight="1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4.25" customHeight="1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4.25" customHeight="1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4.25" customHeight="1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4.25" customHeight="1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4.25" customHeight="1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4.25" customHeight="1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4.25" customHeight="1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4.25" customHeight="1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4.25" customHeight="1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4.25" customHeight="1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4.25" customHeight="1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4.25" customHeight="1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4.25" customHeight="1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4.25" customHeight="1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4.25" customHeight="1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4.25" customHeight="1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4.25" customHeight="1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4.25" customHeight="1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4.25" customHeight="1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4.25" customHeight="1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4.25" customHeight="1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4.25" customHeight="1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4.25" customHeight="1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4.25" customHeight="1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4.25" customHeight="1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4.25" customHeight="1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4.25" customHeight="1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4.25" customHeight="1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4.25" customHeight="1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4.25" customHeight="1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4.25" customHeight="1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4.25" customHeight="1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4.25" customHeight="1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4.25" customHeight="1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4.25" customHeight="1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4.25" customHeight="1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4.25" customHeight="1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4.25" customHeight="1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4.25" customHeight="1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4.25" customHeight="1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4.25" customHeight="1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4.25" customHeight="1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4.25" customHeight="1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4.25" customHeight="1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4.25" customHeight="1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4.25" customHeight="1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4.25" customHeight="1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4.25" customHeight="1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4.25" customHeight="1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4.25" customHeight="1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4.25" customHeight="1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4.25" customHeight="1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4.25" customHeight="1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4.25" customHeight="1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4.25" customHeight="1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4.25" customHeight="1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4.25" customHeight="1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4.25" customHeight="1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4.25" customHeight="1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4.25" customHeight="1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4.25" customHeight="1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4.25" customHeight="1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4.25" customHeight="1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4.25" customHeight="1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4.25" customHeight="1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4.25" customHeight="1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4.25" customHeight="1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4.25" customHeight="1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4.25" customHeight="1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4.25" customHeight="1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4.25" customHeight="1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4.25" customHeight="1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4.25" customHeight="1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4.25" customHeight="1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4.25" customHeight="1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4.25" customHeight="1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4.25" customHeight="1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4.25" customHeight="1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4.25" customHeight="1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4.25" customHeight="1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4.25" customHeight="1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4.25" customHeight="1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4.25" customHeight="1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4.25" customHeight="1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4.25" customHeight="1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4.25" customHeight="1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4.25" customHeight="1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4.25" customHeight="1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4.25" customHeight="1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4.25" customHeight="1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4.25" customHeight="1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4.25" customHeight="1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4.25" customHeight="1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4.25" customHeight="1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4.25" customHeight="1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4.25" customHeight="1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4.25" customHeight="1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4.25" customHeight="1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4.25" customHeight="1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4.25" customHeight="1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4.25" customHeight="1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4.25" customHeight="1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4.25" customHeight="1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4.25" customHeight="1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4.25" customHeight="1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4.25" customHeight="1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4.25" customHeight="1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4.25" customHeight="1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4.25" customHeight="1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4.25" customHeight="1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4.25" customHeight="1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4.25" customHeight="1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4.25" customHeight="1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4.25" customHeight="1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4.25" customHeight="1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4.25" customHeight="1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4.25" customHeight="1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4.25" customHeight="1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4.25" customHeight="1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4.25" customHeight="1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4.25" customHeight="1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4.25" customHeight="1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4.25" customHeight="1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4.25" customHeight="1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4.25" customHeight="1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4.25" customHeight="1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4.25" customHeight="1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4.25" customHeight="1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4.25" customHeight="1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4.25" customHeight="1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4.25" customHeight="1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4.25" customHeight="1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4.25" customHeight="1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4.25" customHeight="1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4.25" customHeight="1" x14ac:dyDescent="0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4.25" customHeight="1" x14ac:dyDescent="0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4.25" customHeight="1" x14ac:dyDescent="0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4.25" customHeight="1" x14ac:dyDescent="0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4.25" customHeight="1" x14ac:dyDescent="0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4.25" customHeight="1" x14ac:dyDescent="0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4.25" customHeight="1" x14ac:dyDescent="0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4.25" customHeight="1" x14ac:dyDescent="0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4.25" customHeight="1" x14ac:dyDescent="0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4.25" customHeight="1" x14ac:dyDescent="0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4.25" customHeight="1" x14ac:dyDescent="0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4.25" customHeight="1" x14ac:dyDescent="0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4.25" customHeight="1" x14ac:dyDescent="0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4.25" customHeight="1" x14ac:dyDescent="0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4.25" customHeight="1" x14ac:dyDescent="0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4.25" customHeight="1" x14ac:dyDescent="0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4.25" customHeight="1" x14ac:dyDescent="0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4.25" customHeight="1" x14ac:dyDescent="0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4.25" customHeight="1" x14ac:dyDescent="0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4.25" customHeight="1" x14ac:dyDescent="0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4.25" customHeight="1" x14ac:dyDescent="0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4.25" customHeight="1" x14ac:dyDescent="0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4.25" customHeight="1" x14ac:dyDescent="0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4.25" customHeight="1" x14ac:dyDescent="0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4.25" customHeight="1" x14ac:dyDescent="0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4.25" customHeight="1" x14ac:dyDescent="0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4.25" customHeight="1" x14ac:dyDescent="0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4.25" customHeight="1" x14ac:dyDescent="0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4.25" customHeight="1" x14ac:dyDescent="0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4.25" customHeight="1" x14ac:dyDescent="0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4.25" customHeight="1" x14ac:dyDescent="0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4.25" customHeight="1" x14ac:dyDescent="0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4.25" customHeight="1" x14ac:dyDescent="0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4.25" customHeight="1" x14ac:dyDescent="0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4.25" customHeight="1" x14ac:dyDescent="0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4.25" customHeight="1" x14ac:dyDescent="0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4.25" customHeight="1" x14ac:dyDescent="0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4.25" customHeight="1" x14ac:dyDescent="0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4.25" customHeight="1" x14ac:dyDescent="0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4.25" customHeight="1" x14ac:dyDescent="0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4.25" customHeight="1" x14ac:dyDescent="0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4.25" customHeight="1" x14ac:dyDescent="0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4.25" customHeight="1" x14ac:dyDescent="0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4.25" customHeight="1" x14ac:dyDescent="0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4.25" customHeight="1" x14ac:dyDescent="0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4.25" customHeight="1" x14ac:dyDescent="0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4.25" customHeight="1" x14ac:dyDescent="0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4.25" customHeight="1" x14ac:dyDescent="0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4.25" customHeight="1" x14ac:dyDescent="0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4.25" customHeight="1" x14ac:dyDescent="0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4.25" customHeight="1" x14ac:dyDescent="0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4.25" customHeight="1" x14ac:dyDescent="0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4.25" customHeight="1" x14ac:dyDescent="0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4.25" customHeight="1" x14ac:dyDescent="0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4.25" customHeight="1" x14ac:dyDescent="0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4.25" customHeight="1" x14ac:dyDescent="0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4.25" customHeight="1" x14ac:dyDescent="0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4.25" customHeight="1" x14ac:dyDescent="0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4.25" customHeight="1" x14ac:dyDescent="0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4.25" customHeight="1" x14ac:dyDescent="0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4.25" customHeight="1" x14ac:dyDescent="0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4.25" customHeight="1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4.25" customHeight="1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4.25" customHeight="1" x14ac:dyDescent="0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4.25" customHeight="1" x14ac:dyDescent="0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4.25" customHeight="1" x14ac:dyDescent="0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4.25" customHeight="1" x14ac:dyDescent="0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4.25" customHeight="1" x14ac:dyDescent="0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4.25" customHeight="1" x14ac:dyDescent="0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4.25" customHeight="1" x14ac:dyDescent="0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4.25" customHeight="1" x14ac:dyDescent="0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4.25" customHeight="1" x14ac:dyDescent="0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4.25" customHeight="1" x14ac:dyDescent="0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4.25" customHeight="1" x14ac:dyDescent="0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4.25" customHeight="1" x14ac:dyDescent="0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4.25" customHeight="1" x14ac:dyDescent="0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4.25" customHeight="1" x14ac:dyDescent="0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4.25" customHeight="1" x14ac:dyDescent="0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4.25" customHeight="1" x14ac:dyDescent="0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4.25" customHeight="1" x14ac:dyDescent="0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4.25" customHeight="1" x14ac:dyDescent="0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4.25" customHeight="1" x14ac:dyDescent="0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4.25" customHeight="1" x14ac:dyDescent="0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4.25" customHeight="1" x14ac:dyDescent="0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4.25" customHeight="1" x14ac:dyDescent="0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4.25" customHeight="1" x14ac:dyDescent="0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4.25" customHeight="1" x14ac:dyDescent="0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4.25" customHeight="1" x14ac:dyDescent="0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4.25" customHeight="1" x14ac:dyDescent="0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4.25" customHeight="1" x14ac:dyDescent="0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4.25" customHeight="1" x14ac:dyDescent="0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4.25" customHeight="1" x14ac:dyDescent="0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4.25" customHeight="1" x14ac:dyDescent="0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4.25" customHeight="1" x14ac:dyDescent="0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4.25" customHeight="1" x14ac:dyDescent="0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4.25" customHeight="1" x14ac:dyDescent="0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4.25" customHeight="1" x14ac:dyDescent="0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4.25" customHeight="1" x14ac:dyDescent="0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4.25" customHeight="1" x14ac:dyDescent="0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4.25" customHeight="1" x14ac:dyDescent="0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4.25" customHeight="1" x14ac:dyDescent="0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4.25" customHeight="1" x14ac:dyDescent="0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4.25" customHeight="1" x14ac:dyDescent="0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4.25" customHeight="1" x14ac:dyDescent="0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4.25" customHeight="1" x14ac:dyDescent="0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4.25" customHeight="1" x14ac:dyDescent="0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4.25" customHeight="1" x14ac:dyDescent="0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4.25" customHeight="1" x14ac:dyDescent="0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4.25" customHeight="1" x14ac:dyDescent="0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4.25" customHeight="1" x14ac:dyDescent="0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4.25" customHeight="1" x14ac:dyDescent="0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4.25" customHeight="1" x14ac:dyDescent="0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4.25" customHeight="1" x14ac:dyDescent="0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4.25" customHeight="1" x14ac:dyDescent="0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4.25" customHeight="1" x14ac:dyDescent="0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4.25" customHeight="1" x14ac:dyDescent="0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4.25" customHeight="1" x14ac:dyDescent="0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4.25" customHeight="1" x14ac:dyDescent="0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4.25" customHeight="1" x14ac:dyDescent="0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4.25" customHeight="1" x14ac:dyDescent="0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4.25" customHeight="1" x14ac:dyDescent="0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4.25" customHeight="1" x14ac:dyDescent="0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4.25" customHeight="1" x14ac:dyDescent="0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4.25" customHeight="1" x14ac:dyDescent="0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4.25" customHeight="1" x14ac:dyDescent="0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4.25" customHeight="1" x14ac:dyDescent="0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4.25" customHeight="1" x14ac:dyDescent="0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4.25" customHeight="1" x14ac:dyDescent="0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4.25" customHeight="1" x14ac:dyDescent="0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4.25" customHeight="1" x14ac:dyDescent="0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4.25" customHeight="1" x14ac:dyDescent="0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4.25" customHeight="1" x14ac:dyDescent="0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4.25" customHeight="1" x14ac:dyDescent="0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4.25" customHeight="1" x14ac:dyDescent="0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4.25" customHeight="1" x14ac:dyDescent="0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4.25" customHeight="1" x14ac:dyDescent="0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4.25" customHeight="1" x14ac:dyDescent="0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4.25" customHeight="1" x14ac:dyDescent="0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4.25" customHeight="1" x14ac:dyDescent="0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4.25" customHeight="1" x14ac:dyDescent="0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4.25" customHeight="1" x14ac:dyDescent="0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4.25" customHeight="1" x14ac:dyDescent="0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4.25" customHeight="1" x14ac:dyDescent="0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4.25" customHeight="1" x14ac:dyDescent="0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4.25" customHeight="1" x14ac:dyDescent="0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4.25" customHeight="1" x14ac:dyDescent="0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4.25" customHeight="1" x14ac:dyDescent="0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4.25" customHeight="1" x14ac:dyDescent="0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4.25" customHeight="1" x14ac:dyDescent="0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4.25" customHeight="1" x14ac:dyDescent="0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4.25" customHeight="1" x14ac:dyDescent="0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4.25" customHeight="1" x14ac:dyDescent="0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4.25" customHeight="1" x14ac:dyDescent="0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4.25" customHeight="1" x14ac:dyDescent="0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4.25" customHeight="1" x14ac:dyDescent="0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4.25" customHeight="1" x14ac:dyDescent="0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4.25" customHeight="1" x14ac:dyDescent="0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4.25" customHeight="1" x14ac:dyDescent="0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4.25" customHeight="1" x14ac:dyDescent="0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4.25" customHeight="1" x14ac:dyDescent="0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4.25" customHeight="1" x14ac:dyDescent="0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4.25" customHeight="1" x14ac:dyDescent="0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4.25" customHeight="1" x14ac:dyDescent="0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4.25" customHeight="1" x14ac:dyDescent="0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4.25" customHeight="1" x14ac:dyDescent="0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4.25" customHeight="1" x14ac:dyDescent="0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4.25" customHeight="1" x14ac:dyDescent="0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4.25" customHeight="1" x14ac:dyDescent="0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4.25" customHeight="1" x14ac:dyDescent="0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4.25" customHeight="1" x14ac:dyDescent="0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4.25" customHeight="1" x14ac:dyDescent="0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4.25" customHeight="1" x14ac:dyDescent="0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4.25" customHeight="1" x14ac:dyDescent="0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4.25" customHeight="1" x14ac:dyDescent="0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4.25" customHeight="1" x14ac:dyDescent="0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4.25" customHeight="1" x14ac:dyDescent="0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4.25" customHeight="1" x14ac:dyDescent="0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4.25" customHeight="1" x14ac:dyDescent="0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4.25" customHeight="1" x14ac:dyDescent="0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4.25" customHeight="1" x14ac:dyDescent="0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4.25" customHeight="1" x14ac:dyDescent="0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4.25" customHeight="1" x14ac:dyDescent="0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4.25" customHeight="1" x14ac:dyDescent="0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4.25" customHeight="1" x14ac:dyDescent="0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4.25" customHeight="1" x14ac:dyDescent="0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4.25" customHeight="1" x14ac:dyDescent="0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4.25" customHeight="1" x14ac:dyDescent="0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4.25" customHeight="1" x14ac:dyDescent="0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4.25" customHeight="1" x14ac:dyDescent="0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4.25" customHeight="1" x14ac:dyDescent="0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4.25" customHeight="1" x14ac:dyDescent="0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4.25" customHeight="1" x14ac:dyDescent="0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4.25" customHeight="1" x14ac:dyDescent="0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4.25" customHeight="1" x14ac:dyDescent="0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4.25" customHeight="1" x14ac:dyDescent="0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4.25" customHeight="1" x14ac:dyDescent="0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4.25" customHeight="1" x14ac:dyDescent="0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4.25" customHeight="1" x14ac:dyDescent="0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4.25" customHeight="1" x14ac:dyDescent="0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4.25" customHeight="1" x14ac:dyDescent="0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4.25" customHeight="1" x14ac:dyDescent="0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4.25" customHeight="1" x14ac:dyDescent="0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4.25" customHeight="1" x14ac:dyDescent="0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4.25" customHeight="1" x14ac:dyDescent="0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4.25" customHeight="1" x14ac:dyDescent="0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4.25" customHeight="1" x14ac:dyDescent="0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4.25" customHeight="1" x14ac:dyDescent="0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4.25" customHeight="1" x14ac:dyDescent="0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4.25" customHeight="1" x14ac:dyDescent="0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4.25" customHeight="1" x14ac:dyDescent="0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4.25" customHeight="1" x14ac:dyDescent="0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4.25" customHeight="1" x14ac:dyDescent="0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4.25" customHeight="1" x14ac:dyDescent="0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4.25" customHeight="1" x14ac:dyDescent="0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4.25" customHeight="1" x14ac:dyDescent="0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4.25" customHeight="1" x14ac:dyDescent="0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4.25" customHeight="1" x14ac:dyDescent="0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4.25" customHeight="1" x14ac:dyDescent="0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4.25" customHeight="1" x14ac:dyDescent="0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4.25" customHeight="1" x14ac:dyDescent="0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4.25" customHeight="1" x14ac:dyDescent="0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4.25" customHeight="1" x14ac:dyDescent="0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4.25" customHeight="1" x14ac:dyDescent="0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4.25" customHeight="1" x14ac:dyDescent="0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4.25" customHeight="1" x14ac:dyDescent="0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4.25" customHeight="1" x14ac:dyDescent="0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4.25" customHeight="1" x14ac:dyDescent="0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4.25" customHeight="1" x14ac:dyDescent="0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4.25" customHeight="1" x14ac:dyDescent="0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4.25" customHeight="1" x14ac:dyDescent="0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4.25" customHeight="1" x14ac:dyDescent="0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4.25" customHeight="1" x14ac:dyDescent="0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4.25" customHeight="1" x14ac:dyDescent="0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4.25" customHeight="1" x14ac:dyDescent="0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4.25" customHeight="1" x14ac:dyDescent="0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4.25" customHeight="1" x14ac:dyDescent="0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4.25" customHeight="1" x14ac:dyDescent="0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4.25" customHeight="1" x14ac:dyDescent="0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4.25" customHeight="1" x14ac:dyDescent="0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4.25" customHeight="1" x14ac:dyDescent="0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4.25" customHeight="1" x14ac:dyDescent="0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4.25" customHeight="1" x14ac:dyDescent="0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4.25" customHeight="1" x14ac:dyDescent="0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4.25" customHeight="1" x14ac:dyDescent="0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4.25" customHeight="1" x14ac:dyDescent="0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4.25" customHeight="1" x14ac:dyDescent="0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4.25" customHeight="1" x14ac:dyDescent="0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4.25" customHeight="1" x14ac:dyDescent="0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4.25" customHeight="1" x14ac:dyDescent="0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4.25" customHeight="1" x14ac:dyDescent="0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4.25" customHeight="1" x14ac:dyDescent="0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4.25" customHeight="1" x14ac:dyDescent="0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4.25" customHeight="1" x14ac:dyDescent="0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4.25" customHeight="1" x14ac:dyDescent="0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4.25" customHeight="1" x14ac:dyDescent="0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4.25" customHeight="1" x14ac:dyDescent="0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4.25" customHeight="1" x14ac:dyDescent="0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4.25" customHeight="1" x14ac:dyDescent="0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4.25" customHeight="1" x14ac:dyDescent="0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4.25" customHeight="1" x14ac:dyDescent="0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4.25" customHeight="1" x14ac:dyDescent="0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4.25" customHeight="1" x14ac:dyDescent="0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4.25" customHeight="1" x14ac:dyDescent="0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4.25" customHeight="1" x14ac:dyDescent="0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4.25" customHeight="1" x14ac:dyDescent="0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4.25" customHeight="1" x14ac:dyDescent="0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4.25" customHeight="1" x14ac:dyDescent="0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4.25" customHeight="1" x14ac:dyDescent="0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4.25" customHeight="1" x14ac:dyDescent="0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4.25" customHeight="1" x14ac:dyDescent="0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4.25" customHeight="1" x14ac:dyDescent="0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4.25" customHeight="1" x14ac:dyDescent="0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4.25" customHeight="1" x14ac:dyDescent="0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4.25" customHeight="1" x14ac:dyDescent="0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4.25" customHeight="1" x14ac:dyDescent="0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4.25" customHeight="1" x14ac:dyDescent="0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4.25" customHeight="1" x14ac:dyDescent="0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4.25" customHeight="1" x14ac:dyDescent="0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4.25" customHeight="1" x14ac:dyDescent="0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4.25" customHeight="1" x14ac:dyDescent="0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4.25" customHeight="1" x14ac:dyDescent="0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4.25" customHeight="1" x14ac:dyDescent="0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4.25" customHeight="1" x14ac:dyDescent="0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4.25" customHeight="1" x14ac:dyDescent="0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4.25" customHeight="1" x14ac:dyDescent="0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4.25" customHeight="1" x14ac:dyDescent="0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4.25" customHeight="1" x14ac:dyDescent="0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4.25" customHeight="1" x14ac:dyDescent="0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4.25" customHeight="1" x14ac:dyDescent="0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4.25" customHeight="1" x14ac:dyDescent="0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4.25" customHeight="1" x14ac:dyDescent="0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4.25" customHeight="1" x14ac:dyDescent="0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4.25" customHeight="1" x14ac:dyDescent="0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4.25" customHeight="1" x14ac:dyDescent="0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4.25" customHeight="1" x14ac:dyDescent="0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4.25" customHeight="1" x14ac:dyDescent="0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4.25" customHeight="1" x14ac:dyDescent="0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4.25" customHeight="1" x14ac:dyDescent="0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4.25" customHeight="1" x14ac:dyDescent="0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4.25" customHeight="1" x14ac:dyDescent="0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4.25" customHeight="1" x14ac:dyDescent="0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4.25" customHeight="1" x14ac:dyDescent="0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4.25" customHeight="1" x14ac:dyDescent="0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4.25" customHeight="1" x14ac:dyDescent="0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4.25" customHeight="1" x14ac:dyDescent="0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4.25" customHeight="1" x14ac:dyDescent="0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4.25" customHeight="1" x14ac:dyDescent="0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4.25" customHeight="1" x14ac:dyDescent="0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4.25" customHeight="1" x14ac:dyDescent="0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4.25" customHeight="1" x14ac:dyDescent="0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4.25" customHeight="1" x14ac:dyDescent="0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4.25" customHeight="1" x14ac:dyDescent="0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4.25" customHeight="1" x14ac:dyDescent="0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4.25" customHeight="1" x14ac:dyDescent="0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4.25" customHeight="1" x14ac:dyDescent="0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4.25" customHeight="1" x14ac:dyDescent="0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4.25" customHeight="1" x14ac:dyDescent="0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4.25" customHeight="1" x14ac:dyDescent="0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4.25" customHeight="1" x14ac:dyDescent="0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4.25" customHeight="1" x14ac:dyDescent="0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4.25" customHeight="1" x14ac:dyDescent="0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4.25" customHeight="1" x14ac:dyDescent="0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4.25" customHeight="1" x14ac:dyDescent="0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4.25" customHeight="1" x14ac:dyDescent="0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4.25" customHeight="1" x14ac:dyDescent="0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4.25" customHeight="1" x14ac:dyDescent="0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4.25" customHeight="1" x14ac:dyDescent="0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4.25" customHeight="1" x14ac:dyDescent="0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4.25" customHeight="1" x14ac:dyDescent="0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4.25" customHeight="1" x14ac:dyDescent="0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4.25" customHeight="1" x14ac:dyDescent="0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4.25" customHeight="1" x14ac:dyDescent="0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4.25" customHeight="1" x14ac:dyDescent="0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4.25" customHeight="1" x14ac:dyDescent="0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4.25" customHeight="1" x14ac:dyDescent="0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4.25" customHeight="1" x14ac:dyDescent="0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4.25" customHeight="1" x14ac:dyDescent="0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4.25" customHeight="1" x14ac:dyDescent="0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4.25" customHeight="1" x14ac:dyDescent="0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4.25" customHeight="1" x14ac:dyDescent="0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4.25" customHeight="1" x14ac:dyDescent="0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4.25" customHeight="1" x14ac:dyDescent="0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4.25" customHeight="1" x14ac:dyDescent="0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4.25" customHeight="1" x14ac:dyDescent="0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4.25" customHeight="1" x14ac:dyDescent="0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4.25" customHeight="1" x14ac:dyDescent="0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4.25" customHeight="1" x14ac:dyDescent="0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4.25" customHeight="1" x14ac:dyDescent="0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4.25" customHeight="1" x14ac:dyDescent="0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4.25" customHeight="1" x14ac:dyDescent="0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4.25" customHeight="1" x14ac:dyDescent="0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4.25" customHeight="1" x14ac:dyDescent="0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4.25" customHeight="1" x14ac:dyDescent="0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4.25" customHeight="1" x14ac:dyDescent="0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4.25" customHeight="1" x14ac:dyDescent="0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4.25" customHeight="1" x14ac:dyDescent="0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4.25" customHeight="1" x14ac:dyDescent="0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4.25" customHeight="1" x14ac:dyDescent="0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4.25" customHeight="1" x14ac:dyDescent="0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4.25" customHeight="1" x14ac:dyDescent="0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4.25" customHeight="1" x14ac:dyDescent="0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4.25" customHeight="1" x14ac:dyDescent="0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4.25" customHeight="1" x14ac:dyDescent="0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4.25" customHeight="1" x14ac:dyDescent="0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4.25" customHeight="1" x14ac:dyDescent="0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4.25" customHeight="1" x14ac:dyDescent="0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4.25" customHeight="1" x14ac:dyDescent="0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4.25" customHeight="1" x14ac:dyDescent="0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4.25" customHeight="1" x14ac:dyDescent="0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4.25" customHeight="1" x14ac:dyDescent="0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4.25" customHeight="1" x14ac:dyDescent="0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4.25" customHeight="1" x14ac:dyDescent="0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4.25" customHeight="1" x14ac:dyDescent="0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4.25" customHeight="1" x14ac:dyDescent="0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4.25" customHeight="1" x14ac:dyDescent="0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4.25" customHeight="1" x14ac:dyDescent="0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4.25" customHeight="1" x14ac:dyDescent="0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4.25" customHeight="1" x14ac:dyDescent="0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4.25" customHeight="1" x14ac:dyDescent="0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4.25" customHeight="1" x14ac:dyDescent="0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4.25" customHeight="1" x14ac:dyDescent="0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4.25" customHeight="1" x14ac:dyDescent="0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4.25" customHeight="1" x14ac:dyDescent="0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4.25" customHeight="1" x14ac:dyDescent="0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4.25" customHeight="1" x14ac:dyDescent="0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4.25" customHeight="1" x14ac:dyDescent="0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4.25" customHeight="1" x14ac:dyDescent="0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4.25" customHeight="1" x14ac:dyDescent="0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4.25" customHeight="1" x14ac:dyDescent="0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4.25" customHeight="1" x14ac:dyDescent="0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4.25" customHeight="1" x14ac:dyDescent="0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4.25" customHeight="1" x14ac:dyDescent="0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4.25" customHeight="1" x14ac:dyDescent="0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4.25" customHeight="1" x14ac:dyDescent="0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4.25" customHeight="1" x14ac:dyDescent="0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4.25" customHeight="1" x14ac:dyDescent="0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4.25" customHeight="1" x14ac:dyDescent="0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4.25" customHeight="1" x14ac:dyDescent="0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4.25" customHeight="1" x14ac:dyDescent="0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4.25" customHeight="1" x14ac:dyDescent="0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4.25" customHeight="1" x14ac:dyDescent="0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4.25" customHeight="1" x14ac:dyDescent="0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4.25" customHeight="1" x14ac:dyDescent="0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4.25" customHeight="1" x14ac:dyDescent="0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4.25" customHeight="1" x14ac:dyDescent="0.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4.25" customHeight="1" x14ac:dyDescent="0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4.25" customHeight="1" x14ac:dyDescent="0.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4.25" customHeight="1" x14ac:dyDescent="0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4.25" customHeight="1" x14ac:dyDescent="0.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4.25" customHeight="1" x14ac:dyDescent="0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4.25" customHeight="1" x14ac:dyDescent="0.2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4.25" customHeight="1" x14ac:dyDescent="0.2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4.25" customHeight="1" x14ac:dyDescent="0.2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4.25" customHeight="1" x14ac:dyDescent="0.2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4.25" customHeight="1" x14ac:dyDescent="0.2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4.25" customHeight="1" x14ac:dyDescent="0.2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4.25" customHeight="1" x14ac:dyDescent="0.2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4.25" customHeight="1" x14ac:dyDescent="0.2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4.25" customHeight="1" x14ac:dyDescent="0.2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4.25" customHeight="1" x14ac:dyDescent="0.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4.25" customHeight="1" x14ac:dyDescent="0.2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4.25" customHeight="1" x14ac:dyDescent="0.2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4.25" customHeight="1" x14ac:dyDescent="0.2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4.25" customHeight="1" x14ac:dyDescent="0.2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4.25" customHeight="1" x14ac:dyDescent="0.2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4.25" customHeight="1" x14ac:dyDescent="0.2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4.25" customHeight="1" x14ac:dyDescent="0.2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4.25" customHeight="1" x14ac:dyDescent="0.2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4.25" customHeight="1" x14ac:dyDescent="0.2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4.25" customHeight="1" x14ac:dyDescent="0.2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4.25" customHeight="1" x14ac:dyDescent="0.2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4.25" customHeight="1" x14ac:dyDescent="0.2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4.25" customHeight="1" x14ac:dyDescent="0.2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4.25" customHeight="1" x14ac:dyDescent="0.2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4.25" customHeight="1" x14ac:dyDescent="0.2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4.25" customHeight="1" x14ac:dyDescent="0.2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4.25" customHeight="1" x14ac:dyDescent="0.2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4.25" customHeight="1" x14ac:dyDescent="0.2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4.25" customHeight="1" x14ac:dyDescent="0.2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4.25" customHeight="1" x14ac:dyDescent="0.2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4.25" customHeight="1" x14ac:dyDescent="0.2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4.25" customHeight="1" x14ac:dyDescent="0.2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4.25" customHeight="1" x14ac:dyDescent="0.2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4.25" customHeight="1" x14ac:dyDescent="0.2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4.25" customHeight="1" x14ac:dyDescent="0.2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4.25" customHeight="1" x14ac:dyDescent="0.2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4.25" customHeight="1" x14ac:dyDescent="0.2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4.25" customHeight="1" x14ac:dyDescent="0.2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4.25" customHeight="1" x14ac:dyDescent="0.2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4.25" customHeight="1" x14ac:dyDescent="0.2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4.25" customHeight="1" x14ac:dyDescent="0.2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4.25" customHeight="1" x14ac:dyDescent="0.2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4.25" customHeight="1" x14ac:dyDescent="0.2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4.25" customHeight="1" x14ac:dyDescent="0.2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4.25" customHeight="1" x14ac:dyDescent="0.2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4.25" customHeight="1" x14ac:dyDescent="0.2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4.25" customHeight="1" x14ac:dyDescent="0.2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4.25" customHeight="1" x14ac:dyDescent="0.2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4.25" customHeight="1" x14ac:dyDescent="0.2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4.25" customHeight="1" x14ac:dyDescent="0.2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4.25" customHeight="1" x14ac:dyDescent="0.2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4.25" customHeight="1" x14ac:dyDescent="0.2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4.25" customHeight="1" x14ac:dyDescent="0.2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4.25" customHeight="1" x14ac:dyDescent="0.2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4.25" customHeight="1" x14ac:dyDescent="0.2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4.25" customHeight="1" x14ac:dyDescent="0.2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4.25" customHeight="1" x14ac:dyDescent="0.2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4.25" customHeight="1" x14ac:dyDescent="0.2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4.25" customHeight="1" x14ac:dyDescent="0.2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4.25" customHeight="1" x14ac:dyDescent="0.2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4.25" customHeight="1" x14ac:dyDescent="0.2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4.25" customHeight="1" x14ac:dyDescent="0.2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4.25" customHeight="1" x14ac:dyDescent="0.2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4.25" customHeight="1" x14ac:dyDescent="0.2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4.25" customHeight="1" x14ac:dyDescent="0.2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4.25" customHeight="1" x14ac:dyDescent="0.2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4.25" customHeight="1" x14ac:dyDescent="0.2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4.25" customHeight="1" x14ac:dyDescent="0.2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4.25" customHeight="1" x14ac:dyDescent="0.2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1048561" ht="12.75" customHeight="1" x14ac:dyDescent="0.25"/>
    <row r="1048562" ht="12.75" customHeight="1" x14ac:dyDescent="0.25"/>
    <row r="1048563" ht="12.75" customHeight="1" x14ac:dyDescent="0.25"/>
    <row r="1048564" ht="12.75" customHeight="1" x14ac:dyDescent="0.25"/>
    <row r="1048565" ht="12.75" customHeight="1" x14ac:dyDescent="0.25"/>
    <row r="1048566" ht="12.75" customHeight="1" x14ac:dyDescent="0.25"/>
    <row r="1048567" ht="12.75" customHeight="1" x14ac:dyDescent="0.25"/>
    <row r="1048568" ht="12.75" customHeight="1" x14ac:dyDescent="0.25"/>
    <row r="1048569" ht="12.75" customHeight="1" x14ac:dyDescent="0.25"/>
    <row r="1048570" ht="12.75" customHeight="1" x14ac:dyDescent="0.25"/>
    <row r="1048571" ht="12.75" customHeight="1" x14ac:dyDescent="0.25"/>
    <row r="1048572" ht="12.75" customHeight="1" x14ac:dyDescent="0.25"/>
    <row r="1048573" ht="12.75" customHeight="1" x14ac:dyDescent="0.25"/>
    <row r="1048574" ht="12.75" customHeight="1" x14ac:dyDescent="0.25"/>
    <row r="1048575" ht="12.75" customHeight="1" x14ac:dyDescent="0.25"/>
    <row r="1048576" ht="12.75" customHeight="1" x14ac:dyDescent="0.25"/>
  </sheetData>
  <pageMargins left="0.7" right="0.7" top="2.3250000000000002" bottom="2.3250000000000002" header="0.511811023622047" footer="0.511811023622047"/>
  <pageSetup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O1000"/>
  <sheetViews>
    <sheetView zoomScale="60" zoomScaleNormal="60" workbookViewId="0"/>
  </sheetViews>
  <sheetFormatPr defaultColWidth="11.5703125" defaultRowHeight="15" customHeight="1" x14ac:dyDescent="0.25"/>
  <cols>
    <col min="1" max="1" width="8.42578125" customWidth="1"/>
    <col min="2" max="1024" width="9.42578125" customWidth="1"/>
  </cols>
  <sheetData>
    <row r="1" spans="1:67" ht="12.75" customHeight="1" x14ac:dyDescent="0.25">
      <c r="A1" s="26"/>
      <c r="B1" s="3" t="str">
        <f>rebio23_80ml!B2</f>
        <v>Alo.dadayi</v>
      </c>
      <c r="C1" s="3" t="str">
        <f>rebio23_80ml!C2</f>
        <v>Alo.hamulata</v>
      </c>
      <c r="D1" s="3" t="str">
        <f>rebio23_80ml!D2</f>
        <v>Alonella.sp</v>
      </c>
      <c r="E1" s="3" t="str">
        <f>rebio23_80ml!E2</f>
        <v>Bdelloidea</v>
      </c>
      <c r="F1" s="3" t="str">
        <f>rebio23_80ml!F2</f>
        <v>Bra.patulus</v>
      </c>
      <c r="G1" s="3" t="str">
        <f>rebio23_80ml!G2</f>
        <v>Cephalodella.sp</v>
      </c>
      <c r="H1" s="3" t="str">
        <f>rebio23_80ml!H2</f>
        <v>Colurella.sp</v>
      </c>
      <c r="I1" s="3" t="str">
        <f>rebio23_80ml!I2</f>
        <v>Copepodite</v>
      </c>
      <c r="J1" s="3" t="str">
        <f>rebio23_80ml!J2</f>
        <v>Chydorus.sp</v>
      </c>
      <c r="K1" s="3" t="str">
        <f>rebio23_80ml!K2</f>
        <v>Dicranophoroides.sp</v>
      </c>
      <c r="L1" s="3" t="str">
        <f>rebio23_80ml!L2</f>
        <v>Dia.birgei</v>
      </c>
      <c r="M1" s="3" t="str">
        <f>rebio23_80ml!M2</f>
        <v>Dia.spinulosum</v>
      </c>
      <c r="N1" s="3" t="str">
        <f>rebio23_80ml!N2</f>
        <v>Dis.aculeata</v>
      </c>
      <c r="O1" s="3" t="str">
        <f>rebio23_80ml!O2</f>
        <v>Euc.dilatata</v>
      </c>
      <c r="P1" s="3" t="str">
        <f>rebio23_80ml!P2</f>
        <v>Fil.longiseta</v>
      </c>
      <c r="Q1" s="3" t="str">
        <f>rebio23_80ml!Q2</f>
        <v>Ily.spinifer</v>
      </c>
      <c r="R1" s="3" t="str">
        <f>rebio23_80ml!R2</f>
        <v>Lec.aculeata</v>
      </c>
      <c r="S1" s="3" t="str">
        <f>rebio23_80ml!S2</f>
        <v>Lec.bulla</v>
      </c>
      <c r="T1" s="3" t="str">
        <f>rebio23_80ml!T2</f>
        <v>Lec.cornuta</v>
      </c>
      <c r="U1" s="3" t="str">
        <f>rebio23_80ml!U2</f>
        <v>Lec.crepida</v>
      </c>
      <c r="V1" s="3" t="str">
        <f>rebio23_80ml!V2</f>
        <v>Lec.curvicornis</v>
      </c>
      <c r="W1" s="3" t="str">
        <f>rebio23_80ml!W2</f>
        <v>Lec.furcata</v>
      </c>
      <c r="X1" s="3" t="str">
        <f>rebio23_80ml!X2</f>
        <v>Lecane.sp1</v>
      </c>
      <c r="Y1" s="3" t="str">
        <f>rebio23_80ml!Y2</f>
        <v>Lec.leontina</v>
      </c>
      <c r="Z1" s="3" t="str">
        <f>rebio23_80ml!Z2</f>
        <v>Lec.lunaris</v>
      </c>
      <c r="AA1" s="3" t="str">
        <f>rebio23_80ml!AA2</f>
        <v>Lec.luna</v>
      </c>
      <c r="AB1" s="3" t="str">
        <f>rebio23_80ml!AB2</f>
        <v>Lec.monostyla</v>
      </c>
      <c r="AC1" s="3" t="str">
        <f>rebio23_80ml!AC2</f>
        <v>Lecane.sp2</v>
      </c>
      <c r="AD1" s="3" t="str">
        <f>rebio23_80ml!AD2</f>
        <v>Lec.papuana</v>
      </c>
      <c r="AE1" s="3" t="str">
        <f>rebio23_80ml!AE2</f>
        <v>Lec.quadridentata</v>
      </c>
      <c r="AF1" s="3" t="str">
        <f>rebio23_80ml!AF2</f>
        <v>Lecane.sp3</v>
      </c>
      <c r="AG1" s="3" t="str">
        <f>rebio23_80ml!AG2</f>
        <v>Leydigia.sp</v>
      </c>
      <c r="AH1" s="3" t="str">
        <f>rebio23_80ml!AH2</f>
        <v>Lepadella.sp1</v>
      </c>
      <c r="AI1" s="3" t="str">
        <f>rebio23_80ml!AI2</f>
        <v>Lepadella.sp2</v>
      </c>
      <c r="AJ1" s="3" t="str">
        <f>rebio23_80ml!AJ2</f>
        <v>Lep.ovalis</v>
      </c>
      <c r="AK1" s="3" t="str">
        <f>rebio23_80ml!AK2</f>
        <v>Lep.patella</v>
      </c>
      <c r="AL1" s="3" t="str">
        <f>rebio23_80ml!AL2</f>
        <v>Mesocyclops.sp</v>
      </c>
      <c r="AM1" s="3" t="str">
        <f>rebio23_80ml!AM2</f>
        <v>Macrocyclops.sp</v>
      </c>
      <c r="AN1" s="3" t="str">
        <f>rebio23_80ml!AN2</f>
        <v>Macrochaetus.sp</v>
      </c>
      <c r="AO1" s="3" t="str">
        <f>rebio23_80ml!AO2</f>
        <v>Macrothrix.sp</v>
      </c>
      <c r="AP1" s="3" t="str">
        <f>rebio23_80ml!AP2</f>
        <v>Mac.mira</v>
      </c>
      <c r="AQ1" s="3" t="str">
        <f>rebio23_80ml!AQ2</f>
        <v>Mac.laticornis</v>
      </c>
      <c r="AR1" s="3" t="str">
        <f>rebio23_80ml!AR2</f>
        <v>Moi.minuta</v>
      </c>
      <c r="AS1" s="3" t="str">
        <f>rebio23_80ml!AS2</f>
        <v>Myt.crassipes</v>
      </c>
      <c r="AT1" s="3" t="str">
        <f>rebio23_80ml!AT2</f>
        <v>Mytilina.sp</v>
      </c>
      <c r="AU1" s="3" t="str">
        <f>rebio23_80ml!AU2</f>
        <v>Myt.bisulcata</v>
      </c>
      <c r="AV1" s="3" t="str">
        <f>rebio23_80ml!AV2</f>
        <v>Nauplii</v>
      </c>
      <c r="AW1" s="3" t="str">
        <f>rebio23_80ml!AW2</f>
        <v>Notodiaptomus.sp</v>
      </c>
      <c r="AX1" s="3" t="str">
        <f>rebio23_80ml!AX2</f>
        <v>Paracyclops.sp</v>
      </c>
      <c r="AY1" s="3" t="str">
        <f>rebio23_80ml!AY2</f>
        <v>Pla.quadricornis</v>
      </c>
      <c r="AZ1" s="3" t="str">
        <f>rebio23_80ml!AZ2</f>
        <v>Polyarthra.sp</v>
      </c>
      <c r="BA1" s="3" t="str">
        <f>rebio23_80ml!BA2</f>
        <v>Pol.bicerca</v>
      </c>
      <c r="BB1" s="3" t="str">
        <f>rebio23_80ml!BB2</f>
        <v>Pol.dolichoptera</v>
      </c>
      <c r="BC1" s="3" t="str">
        <f>rebio23_80ml!BC2</f>
        <v>Pol.vulgaris</v>
      </c>
      <c r="BD1" s="3" t="str">
        <f>rebio23_80ml!BD2</f>
        <v>Tes.patina</v>
      </c>
      <c r="BE1" s="3" t="str">
        <f>rebio23_80ml!BE2</f>
        <v>Tes.mucronata</v>
      </c>
      <c r="BF1" s="3" t="str">
        <f>rebio23_80ml!BF2</f>
        <v>Trichocerca.sp</v>
      </c>
      <c r="BG1" s="3" t="str">
        <f>rebio23_80ml!BG2</f>
        <v>Tri.tetractis</v>
      </c>
      <c r="BI1" s="3"/>
      <c r="BJ1" s="3"/>
      <c r="BK1" s="3"/>
      <c r="BL1" s="3"/>
      <c r="BM1" s="3"/>
      <c r="BN1" s="3"/>
      <c r="BO1" s="3"/>
    </row>
    <row r="2" spans="1:67" ht="12.75" customHeight="1" x14ac:dyDescent="0.25">
      <c r="A2" s="4" t="s">
        <v>305</v>
      </c>
      <c r="B2" s="28">
        <f>AVERAGE(densidade_hab_indL!B2:B4)</f>
        <v>0</v>
      </c>
      <c r="C2" s="28">
        <f>AVERAGE(densidade_hab_indL!C2:C4)</f>
        <v>0</v>
      </c>
      <c r="D2" s="28">
        <f>AVERAGE(densidade_hab_indL!D2:D4)</f>
        <v>0</v>
      </c>
      <c r="E2" s="28">
        <f>AVERAGE(densidade_hab_indL!E2:E4)</f>
        <v>0.61333333333333329</v>
      </c>
      <c r="F2" s="28">
        <f>AVERAGE(densidade_hab_indL!F2:F4)</f>
        <v>0</v>
      </c>
      <c r="G2" s="28">
        <f>AVERAGE(densidade_hab_indL!G2:G4)</f>
        <v>0</v>
      </c>
      <c r="H2" s="28">
        <f>AVERAGE(densidade_hab_indL!H2:H4)</f>
        <v>0</v>
      </c>
      <c r="I2" s="28">
        <f>AVERAGE(densidade_hab_indL!I2:I4)</f>
        <v>0.04</v>
      </c>
      <c r="J2" s="28">
        <f>AVERAGE(densidade_hab_indL!J2:J4)</f>
        <v>0</v>
      </c>
      <c r="K2" s="28">
        <f>AVERAGE(densidade_hab_indL!K2:K4)</f>
        <v>0</v>
      </c>
      <c r="L2" s="28">
        <f>AVERAGE(densidade_hab_indL!L2:L4)</f>
        <v>0</v>
      </c>
      <c r="M2" s="28">
        <f>AVERAGE(densidade_hab_indL!M2:M4)</f>
        <v>0</v>
      </c>
      <c r="N2" s="28">
        <f>AVERAGE(densidade_hab_indL!N2:N4)</f>
        <v>0</v>
      </c>
      <c r="O2" s="28">
        <f>AVERAGE(densidade_hab_indL!O2:O4)</f>
        <v>0</v>
      </c>
      <c r="P2" s="28">
        <f>AVERAGE(densidade_hab_indL!P2:P4)</f>
        <v>0</v>
      </c>
      <c r="Q2" s="28">
        <f>AVERAGE(densidade_hab_indL!Q2:Q4)</f>
        <v>0</v>
      </c>
      <c r="R2" s="28">
        <f>AVERAGE(densidade_hab_indL!R2:R4)</f>
        <v>0</v>
      </c>
      <c r="S2" s="28">
        <f>AVERAGE(densidade_hab_indL!S2:S4)</f>
        <v>0.02</v>
      </c>
      <c r="T2" s="28">
        <f>AVERAGE(densidade_hab_indL!T2:T4)</f>
        <v>0</v>
      </c>
      <c r="U2" s="28">
        <f>AVERAGE(densidade_hab_indL!U2:U4)</f>
        <v>0</v>
      </c>
      <c r="V2" s="28">
        <f>AVERAGE(densidade_hab_indL!V2:V4)</f>
        <v>0</v>
      </c>
      <c r="W2" s="28">
        <f>AVERAGE(densidade_hab_indL!W2:W4)</f>
        <v>0</v>
      </c>
      <c r="X2" s="28">
        <f>AVERAGE(densidade_hab_indL!X2:X4)</f>
        <v>0</v>
      </c>
      <c r="Y2" s="28">
        <f>AVERAGE(densidade_hab_indL!Y2:Y4)</f>
        <v>0</v>
      </c>
      <c r="Z2" s="28">
        <f>AVERAGE(densidade_hab_indL!Z2:Z4)</f>
        <v>0</v>
      </c>
      <c r="AA2" s="28">
        <f>AVERAGE(densidade_hab_indL!AA2:AA4)</f>
        <v>0</v>
      </c>
      <c r="AB2" s="28">
        <f>AVERAGE(densidade_hab_indL!AB2:AB4)</f>
        <v>0</v>
      </c>
      <c r="AC2" s="28">
        <f>AVERAGE(densidade_hab_indL!AC2:AC4)</f>
        <v>0</v>
      </c>
      <c r="AD2" s="28">
        <f>AVERAGE(densidade_hab_indL!AD2:AD4)</f>
        <v>0</v>
      </c>
      <c r="AE2" s="28">
        <f>AVERAGE(densidade_hab_indL!AE2:AE4)</f>
        <v>0</v>
      </c>
      <c r="AF2" s="28">
        <f>AVERAGE(densidade_hab_indL!AF2:AF4)</f>
        <v>0</v>
      </c>
      <c r="AG2" s="28">
        <f>AVERAGE(densidade_hab_indL!AG2:AG4)</f>
        <v>0</v>
      </c>
      <c r="AH2" s="28">
        <f>AVERAGE(densidade_hab_indL!AH2:AH4)</f>
        <v>0</v>
      </c>
      <c r="AI2" s="28">
        <f>AVERAGE(densidade_hab_indL!AI2:AI4)</f>
        <v>0</v>
      </c>
      <c r="AJ2" s="28">
        <f>AVERAGE(densidade_hab_indL!AJ2:AJ4)</f>
        <v>0</v>
      </c>
      <c r="AK2" s="28">
        <f>AVERAGE(densidade_hab_indL!AK2:AK4)</f>
        <v>0</v>
      </c>
      <c r="AL2" s="28">
        <f>AVERAGE(densidade_hab_indL!AL2:AL4)</f>
        <v>0</v>
      </c>
      <c r="AM2" s="28">
        <f>AVERAGE(densidade_hab_indL!AM2:AM4)</f>
        <v>0</v>
      </c>
      <c r="AN2" s="28">
        <f>AVERAGE(densidade_hab_indL!AN2:AN4)</f>
        <v>0</v>
      </c>
      <c r="AO2" s="28">
        <f>AVERAGE(densidade_hab_indL!AO2:AO4)</f>
        <v>6.6666666666666671E-3</v>
      </c>
      <c r="AP2" s="28">
        <f>AVERAGE(densidade_hab_indL!AP2:AP4)</f>
        <v>0</v>
      </c>
      <c r="AQ2" s="28">
        <f>AVERAGE(densidade_hab_indL!AQ2:AQ4)</f>
        <v>0</v>
      </c>
      <c r="AR2" s="28">
        <f>AVERAGE(densidade_hab_indL!AR2:AR4)</f>
        <v>0</v>
      </c>
      <c r="AS2" s="28">
        <f>AVERAGE(densidade_hab_indL!AS2:AS4)</f>
        <v>0</v>
      </c>
      <c r="AT2" s="28">
        <f>AVERAGE(densidade_hab_indL!AT2:AT4)</f>
        <v>0</v>
      </c>
      <c r="AU2" s="28">
        <f>AVERAGE(densidade_hab_indL!AU2:AU4)</f>
        <v>0</v>
      </c>
      <c r="AV2" s="28">
        <f>AVERAGE(densidade_hab_indL!AV2:AV4)</f>
        <v>0.06</v>
      </c>
      <c r="AW2" s="28">
        <f>AVERAGE(densidade_hab_indL!AW2:AW4)</f>
        <v>0</v>
      </c>
      <c r="AX2" s="28">
        <f>AVERAGE(densidade_hab_indL!AX2:AX4)</f>
        <v>1.3333333333333334E-2</v>
      </c>
      <c r="AY2" s="28">
        <f>AVERAGE(densidade_hab_indL!AY2:AY4)</f>
        <v>0</v>
      </c>
      <c r="AZ2" s="28">
        <f>AVERAGE(densidade_hab_indL!AZ2:AZ4)</f>
        <v>6.6666666666666671E-3</v>
      </c>
      <c r="BA2" s="28">
        <f>AVERAGE(densidade_hab_indL!BA2:BA4)</f>
        <v>0</v>
      </c>
      <c r="BB2" s="28">
        <f>AVERAGE(densidade_hab_indL!BB2:BB4)</f>
        <v>6.6666666666666671E-3</v>
      </c>
      <c r="BC2" s="28">
        <f>AVERAGE(densidade_hab_indL!BC2:BC4)</f>
        <v>0</v>
      </c>
      <c r="BD2" s="28">
        <f>AVERAGE(densidade_hab_indL!BD2:BD4)</f>
        <v>0</v>
      </c>
      <c r="BE2" s="28">
        <f>AVERAGE(densidade_hab_indL!BE2:BE4)</f>
        <v>0</v>
      </c>
      <c r="BF2" s="28">
        <f>AVERAGE(densidade_hab_indL!BF2:BF4)</f>
        <v>0</v>
      </c>
      <c r="BG2" s="28">
        <f>AVERAGE(densidade_hab_indL!BG2:BG4)</f>
        <v>0</v>
      </c>
    </row>
    <row r="3" spans="1:67" ht="12.75" customHeight="1" x14ac:dyDescent="0.25">
      <c r="A3" s="4" t="s">
        <v>306</v>
      </c>
      <c r="B3" s="28">
        <f>AVERAGE(densidade_hab_indL!B5:B7)</f>
        <v>6.6666666666666671E-3</v>
      </c>
      <c r="C3" s="28">
        <f>AVERAGE(densidade_hab_indL!C5:C7)</f>
        <v>0</v>
      </c>
      <c r="D3" s="28">
        <f>AVERAGE(densidade_hab_indL!D5:D7)</f>
        <v>0</v>
      </c>
      <c r="E3" s="28">
        <f>AVERAGE(densidade_hab_indL!E5:E7)</f>
        <v>1.1533333333333333</v>
      </c>
      <c r="F3" s="28">
        <f>AVERAGE(densidade_hab_indL!F5:F7)</f>
        <v>0</v>
      </c>
      <c r="G3" s="28">
        <f>AVERAGE(densidade_hab_indL!G5:G7)</f>
        <v>0</v>
      </c>
      <c r="H3" s="28">
        <f>AVERAGE(densidade_hab_indL!H5:H7)</f>
        <v>0</v>
      </c>
      <c r="I3" s="28">
        <f>AVERAGE(densidade_hab_indL!I5:I7)</f>
        <v>6.6666666666666671E-3</v>
      </c>
      <c r="J3" s="28">
        <f>AVERAGE(densidade_hab_indL!J5:J7)</f>
        <v>0</v>
      </c>
      <c r="K3" s="28">
        <f>AVERAGE(densidade_hab_indL!K5:K7)</f>
        <v>0</v>
      </c>
      <c r="L3" s="28">
        <f>AVERAGE(densidade_hab_indL!L5:L7)</f>
        <v>0</v>
      </c>
      <c r="M3" s="28">
        <f>AVERAGE(densidade_hab_indL!M5:M7)</f>
        <v>0</v>
      </c>
      <c r="N3" s="28">
        <f>AVERAGE(densidade_hab_indL!N5:N7)</f>
        <v>0</v>
      </c>
      <c r="O3" s="28">
        <f>AVERAGE(densidade_hab_indL!O5:O7)</f>
        <v>0</v>
      </c>
      <c r="P3" s="28">
        <f>AVERAGE(densidade_hab_indL!P5:P7)</f>
        <v>0</v>
      </c>
      <c r="Q3" s="28">
        <f>AVERAGE(densidade_hab_indL!Q5:Q7)</f>
        <v>0</v>
      </c>
      <c r="R3" s="28">
        <f>AVERAGE(densidade_hab_indL!R5:R7)</f>
        <v>0</v>
      </c>
      <c r="S3" s="28">
        <f>AVERAGE(densidade_hab_indL!S5:S7)</f>
        <v>0</v>
      </c>
      <c r="T3" s="28">
        <f>AVERAGE(densidade_hab_indL!T5:T7)</f>
        <v>0</v>
      </c>
      <c r="U3" s="28">
        <f>AVERAGE(densidade_hab_indL!U5:U7)</f>
        <v>0</v>
      </c>
      <c r="V3" s="28">
        <f>AVERAGE(densidade_hab_indL!V5:V7)</f>
        <v>0</v>
      </c>
      <c r="W3" s="28">
        <f>AVERAGE(densidade_hab_indL!W5:W7)</f>
        <v>0</v>
      </c>
      <c r="X3" s="28">
        <f>AVERAGE(densidade_hab_indL!X5:X7)</f>
        <v>0</v>
      </c>
      <c r="Y3" s="28">
        <f>AVERAGE(densidade_hab_indL!Y5:Y7)</f>
        <v>0</v>
      </c>
      <c r="Z3" s="28">
        <f>AVERAGE(densidade_hab_indL!Z5:Z7)</f>
        <v>0</v>
      </c>
      <c r="AA3" s="28">
        <f>AVERAGE(densidade_hab_indL!AA5:AA7)</f>
        <v>0</v>
      </c>
      <c r="AB3" s="28">
        <f>AVERAGE(densidade_hab_indL!AB5:AB7)</f>
        <v>0</v>
      </c>
      <c r="AC3" s="28">
        <f>AVERAGE(densidade_hab_indL!AC5:AC7)</f>
        <v>0</v>
      </c>
      <c r="AD3" s="28">
        <f>AVERAGE(densidade_hab_indL!AD5:AD7)</f>
        <v>0</v>
      </c>
      <c r="AE3" s="28">
        <f>AVERAGE(densidade_hab_indL!AE5:AE7)</f>
        <v>0</v>
      </c>
      <c r="AF3" s="28">
        <f>AVERAGE(densidade_hab_indL!AF5:AF7)</f>
        <v>0</v>
      </c>
      <c r="AG3" s="28">
        <f>AVERAGE(densidade_hab_indL!AG5:AG7)</f>
        <v>0</v>
      </c>
      <c r="AH3" s="28">
        <f>AVERAGE(densidade_hab_indL!AH5:AH7)</f>
        <v>0</v>
      </c>
      <c r="AI3" s="28">
        <f>AVERAGE(densidade_hab_indL!AI5:AI7)</f>
        <v>0</v>
      </c>
      <c r="AJ3" s="28">
        <f>AVERAGE(densidade_hab_indL!AJ5:AJ7)</f>
        <v>0</v>
      </c>
      <c r="AK3" s="28">
        <f>AVERAGE(densidade_hab_indL!AK5:AK7)</f>
        <v>0</v>
      </c>
      <c r="AL3" s="28">
        <f>AVERAGE(densidade_hab_indL!AL5:AL7)</f>
        <v>0</v>
      </c>
      <c r="AM3" s="28">
        <f>AVERAGE(densidade_hab_indL!AM5:AM7)</f>
        <v>0</v>
      </c>
      <c r="AN3" s="28">
        <f>AVERAGE(densidade_hab_indL!AN5:AN7)</f>
        <v>0</v>
      </c>
      <c r="AO3" s="28">
        <f>AVERAGE(densidade_hab_indL!AO5:AO7)</f>
        <v>0</v>
      </c>
      <c r="AP3" s="28">
        <f>AVERAGE(densidade_hab_indL!AP5:AP7)</f>
        <v>0</v>
      </c>
      <c r="AQ3" s="28">
        <f>AVERAGE(densidade_hab_indL!AQ5:AQ7)</f>
        <v>0</v>
      </c>
      <c r="AR3" s="28">
        <f>AVERAGE(densidade_hab_indL!AR5:AR7)</f>
        <v>0</v>
      </c>
      <c r="AS3" s="28">
        <f>AVERAGE(densidade_hab_indL!AS5:AS7)</f>
        <v>0</v>
      </c>
      <c r="AT3" s="28">
        <f>AVERAGE(densidade_hab_indL!AT5:AT7)</f>
        <v>0</v>
      </c>
      <c r="AU3" s="28">
        <f>AVERAGE(densidade_hab_indL!AU5:AU7)</f>
        <v>0</v>
      </c>
      <c r="AV3" s="28">
        <f>AVERAGE(densidade_hab_indL!AV5:AV7)</f>
        <v>2.6666666666666668E-2</v>
      </c>
      <c r="AW3" s="28">
        <f>AVERAGE(densidade_hab_indL!AW5:AW7)</f>
        <v>0</v>
      </c>
      <c r="AX3" s="28">
        <f>AVERAGE(densidade_hab_indL!AX5:AX7)</f>
        <v>0</v>
      </c>
      <c r="AY3" s="28">
        <f>AVERAGE(densidade_hab_indL!AY5:AY7)</f>
        <v>0</v>
      </c>
      <c r="AZ3" s="28">
        <f>AVERAGE(densidade_hab_indL!AZ5:AZ7)</f>
        <v>0</v>
      </c>
      <c r="BA3" s="28">
        <f>AVERAGE(densidade_hab_indL!BA5:BA7)</f>
        <v>0</v>
      </c>
      <c r="BB3" s="28">
        <f>AVERAGE(densidade_hab_indL!BB5:BB7)</f>
        <v>0</v>
      </c>
      <c r="BC3" s="28">
        <f>AVERAGE(densidade_hab_indL!BC5:BC7)</f>
        <v>0</v>
      </c>
      <c r="BD3" s="28">
        <f>AVERAGE(densidade_hab_indL!BD5:BD7)</f>
        <v>0</v>
      </c>
      <c r="BE3" s="28">
        <f>AVERAGE(densidade_hab_indL!BE5:BE7)</f>
        <v>0</v>
      </c>
      <c r="BF3" s="28">
        <f>AVERAGE(densidade_hab_indL!BF5:BF7)</f>
        <v>0</v>
      </c>
      <c r="BG3" s="28">
        <f>AVERAGE(densidade_hab_indL!BG5:BG7)</f>
        <v>0</v>
      </c>
    </row>
    <row r="4" spans="1:67" ht="12.75" customHeight="1" x14ac:dyDescent="0.25">
      <c r="A4" s="4" t="s">
        <v>307</v>
      </c>
      <c r="B4" s="28">
        <f>AVERAGE(densidade_hab_indL!B8:B10)</f>
        <v>0</v>
      </c>
      <c r="C4" s="28">
        <f>AVERAGE(densidade_hab_indL!C8:C10)</f>
        <v>0</v>
      </c>
      <c r="D4" s="28">
        <f>AVERAGE(densidade_hab_indL!D8:D10)</f>
        <v>0</v>
      </c>
      <c r="E4" s="28">
        <f>AVERAGE(densidade_hab_indL!E8:E10)</f>
        <v>0.97333333333333327</v>
      </c>
      <c r="F4" s="28">
        <f>AVERAGE(densidade_hab_indL!F8:F10)</f>
        <v>0</v>
      </c>
      <c r="G4" s="28">
        <f>AVERAGE(densidade_hab_indL!G8:G10)</f>
        <v>0</v>
      </c>
      <c r="H4" s="28">
        <f>AVERAGE(densidade_hab_indL!H8:H10)</f>
        <v>0</v>
      </c>
      <c r="I4" s="28">
        <f>AVERAGE(densidade_hab_indL!I8:I10)</f>
        <v>1.3333333333333334E-2</v>
      </c>
      <c r="J4" s="28">
        <f>AVERAGE(densidade_hab_indL!J8:J10)</f>
        <v>0</v>
      </c>
      <c r="K4" s="28">
        <f>AVERAGE(densidade_hab_indL!K8:K10)</f>
        <v>0</v>
      </c>
      <c r="L4" s="28">
        <f>AVERAGE(densidade_hab_indL!L8:L10)</f>
        <v>0</v>
      </c>
      <c r="M4" s="28">
        <f>AVERAGE(densidade_hab_indL!M8:M10)</f>
        <v>0</v>
      </c>
      <c r="N4" s="28">
        <f>AVERAGE(densidade_hab_indL!N8:N10)</f>
        <v>0</v>
      </c>
      <c r="O4" s="28">
        <f>AVERAGE(densidade_hab_indL!O8:O10)</f>
        <v>0</v>
      </c>
      <c r="P4" s="28">
        <f>AVERAGE(densidade_hab_indL!P8:P10)</f>
        <v>0</v>
      </c>
      <c r="Q4" s="28">
        <f>AVERAGE(densidade_hab_indL!Q8:Q10)</f>
        <v>0</v>
      </c>
      <c r="R4" s="28">
        <f>AVERAGE(densidade_hab_indL!R8:R10)</f>
        <v>0</v>
      </c>
      <c r="S4" s="28">
        <f>AVERAGE(densidade_hab_indL!S8:S10)</f>
        <v>6.6666666666666671E-3</v>
      </c>
      <c r="T4" s="28">
        <f>AVERAGE(densidade_hab_indL!T8:T10)</f>
        <v>0</v>
      </c>
      <c r="U4" s="28">
        <f>AVERAGE(densidade_hab_indL!U8:U10)</f>
        <v>0</v>
      </c>
      <c r="V4" s="28">
        <f>AVERAGE(densidade_hab_indL!V8:V10)</f>
        <v>0</v>
      </c>
      <c r="W4" s="28">
        <f>AVERAGE(densidade_hab_indL!W8:W10)</f>
        <v>0</v>
      </c>
      <c r="X4" s="28">
        <f>AVERAGE(densidade_hab_indL!X8:X10)</f>
        <v>0</v>
      </c>
      <c r="Y4" s="28">
        <f>AVERAGE(densidade_hab_indL!Y8:Y10)</f>
        <v>0</v>
      </c>
      <c r="Z4" s="28">
        <f>AVERAGE(densidade_hab_indL!Z8:Z10)</f>
        <v>0</v>
      </c>
      <c r="AA4" s="28">
        <f>AVERAGE(densidade_hab_indL!AA8:AA10)</f>
        <v>0</v>
      </c>
      <c r="AB4" s="28">
        <f>AVERAGE(densidade_hab_indL!AB8:AB10)</f>
        <v>0</v>
      </c>
      <c r="AC4" s="28">
        <f>AVERAGE(densidade_hab_indL!AC8:AC10)</f>
        <v>0</v>
      </c>
      <c r="AD4" s="28">
        <f>AVERAGE(densidade_hab_indL!AD8:AD10)</f>
        <v>0</v>
      </c>
      <c r="AE4" s="28">
        <f>AVERAGE(densidade_hab_indL!AE8:AE10)</f>
        <v>0</v>
      </c>
      <c r="AF4" s="28">
        <f>AVERAGE(densidade_hab_indL!AF8:AF10)</f>
        <v>6.6666666666666671E-3</v>
      </c>
      <c r="AG4" s="28">
        <f>AVERAGE(densidade_hab_indL!AG8:AG10)</f>
        <v>0</v>
      </c>
      <c r="AH4" s="28">
        <f>AVERAGE(densidade_hab_indL!AH8:AH10)</f>
        <v>0</v>
      </c>
      <c r="AI4" s="28">
        <f>AVERAGE(densidade_hab_indL!AI8:AI10)</f>
        <v>0</v>
      </c>
      <c r="AJ4" s="28">
        <f>AVERAGE(densidade_hab_indL!AJ8:AJ10)</f>
        <v>0</v>
      </c>
      <c r="AK4" s="28">
        <f>AVERAGE(densidade_hab_indL!AK8:AK10)</f>
        <v>0</v>
      </c>
      <c r="AL4" s="28">
        <f>AVERAGE(densidade_hab_indL!AL8:AL10)</f>
        <v>0</v>
      </c>
      <c r="AM4" s="28">
        <f>AVERAGE(densidade_hab_indL!AM8:AM10)</f>
        <v>0</v>
      </c>
      <c r="AN4" s="28">
        <f>AVERAGE(densidade_hab_indL!AN8:AN10)</f>
        <v>0</v>
      </c>
      <c r="AO4" s="28">
        <f>AVERAGE(densidade_hab_indL!AO8:AO10)</f>
        <v>0</v>
      </c>
      <c r="AP4" s="28">
        <f>AVERAGE(densidade_hab_indL!AP8:AP10)</f>
        <v>0</v>
      </c>
      <c r="AQ4" s="28">
        <f>AVERAGE(densidade_hab_indL!AQ8:AQ10)</f>
        <v>0</v>
      </c>
      <c r="AR4" s="28">
        <f>AVERAGE(densidade_hab_indL!AR8:AR10)</f>
        <v>0</v>
      </c>
      <c r="AS4" s="28">
        <f>AVERAGE(densidade_hab_indL!AS8:AS10)</f>
        <v>0</v>
      </c>
      <c r="AT4" s="28">
        <f>AVERAGE(densidade_hab_indL!AT8:AT10)</f>
        <v>0</v>
      </c>
      <c r="AU4" s="28">
        <f>AVERAGE(densidade_hab_indL!AU8:AU10)</f>
        <v>0</v>
      </c>
      <c r="AV4" s="28">
        <f>AVERAGE(densidade_hab_indL!AV8:AV10)</f>
        <v>4.6666666666666669E-2</v>
      </c>
      <c r="AW4" s="28">
        <f>AVERAGE(densidade_hab_indL!AW8:AW10)</f>
        <v>0</v>
      </c>
      <c r="AX4" s="28">
        <f>AVERAGE(densidade_hab_indL!AX8:AX10)</f>
        <v>6.6666666666666671E-3</v>
      </c>
      <c r="AY4" s="28">
        <f>AVERAGE(densidade_hab_indL!AY8:AY10)</f>
        <v>0</v>
      </c>
      <c r="AZ4" s="28">
        <f>AVERAGE(densidade_hab_indL!AZ8:AZ10)</f>
        <v>1.3333333333333334E-2</v>
      </c>
      <c r="BA4" s="28">
        <f>AVERAGE(densidade_hab_indL!BA8:BA10)</f>
        <v>0</v>
      </c>
      <c r="BB4" s="28">
        <f>AVERAGE(densidade_hab_indL!BB8:BB10)</f>
        <v>0</v>
      </c>
      <c r="BC4" s="28">
        <f>AVERAGE(densidade_hab_indL!BC8:BC10)</f>
        <v>0</v>
      </c>
      <c r="BD4" s="28">
        <f>AVERAGE(densidade_hab_indL!BD8:BD10)</f>
        <v>0</v>
      </c>
      <c r="BE4" s="28">
        <f>AVERAGE(densidade_hab_indL!BE8:BE10)</f>
        <v>0</v>
      </c>
      <c r="BF4" s="28">
        <f>AVERAGE(densidade_hab_indL!BF8:BF10)</f>
        <v>0</v>
      </c>
      <c r="BG4" s="28">
        <f>AVERAGE(densidade_hab_indL!BG8:BG10)</f>
        <v>0</v>
      </c>
    </row>
    <row r="5" spans="1:67" ht="12.75" customHeight="1" x14ac:dyDescent="0.25">
      <c r="A5" s="4" t="s">
        <v>308</v>
      </c>
      <c r="B5" s="28">
        <f>AVERAGE(densidade_hab_indL!B11:B13)</f>
        <v>5.3333333333333323E-2</v>
      </c>
      <c r="C5" s="28">
        <f>AVERAGE(densidade_hab_indL!C11:C13)</f>
        <v>0</v>
      </c>
      <c r="D5" s="28">
        <f>AVERAGE(densidade_hab_indL!D11:D13)</f>
        <v>0</v>
      </c>
      <c r="E5" s="28">
        <f>AVERAGE(densidade_hab_indL!E11:E13)</f>
        <v>1.1333333333333333</v>
      </c>
      <c r="F5" s="28">
        <f>AVERAGE(densidade_hab_indL!F11:F13)</f>
        <v>0</v>
      </c>
      <c r="G5" s="28">
        <f>AVERAGE(densidade_hab_indL!G11:G13)</f>
        <v>0</v>
      </c>
      <c r="H5" s="28">
        <f>AVERAGE(densidade_hab_indL!H11:H13)</f>
        <v>6.6666666666666671E-3</v>
      </c>
      <c r="I5" s="28">
        <f>AVERAGE(densidade_hab_indL!I11:I13)</f>
        <v>1.04</v>
      </c>
      <c r="J5" s="28">
        <f>AVERAGE(densidade_hab_indL!J11:J13)</f>
        <v>0</v>
      </c>
      <c r="K5" s="28">
        <f>AVERAGE(densidade_hab_indL!K11:K13)</f>
        <v>0</v>
      </c>
      <c r="L5" s="28">
        <f>AVERAGE(densidade_hab_indL!L11:L13)</f>
        <v>0</v>
      </c>
      <c r="M5" s="28">
        <f>AVERAGE(densidade_hab_indL!M11:M13)</f>
        <v>0</v>
      </c>
      <c r="N5" s="28">
        <f>AVERAGE(densidade_hab_indL!N11:N13)</f>
        <v>0</v>
      </c>
      <c r="O5" s="28">
        <f>AVERAGE(densidade_hab_indL!O11:O13)</f>
        <v>0</v>
      </c>
      <c r="P5" s="28">
        <f>AVERAGE(densidade_hab_indL!P11:P13)</f>
        <v>6.6666666666666671E-3</v>
      </c>
      <c r="Q5" s="28">
        <f>AVERAGE(densidade_hab_indL!Q11:Q13)</f>
        <v>6.6666666666666671E-3</v>
      </c>
      <c r="R5" s="28">
        <f>AVERAGE(densidade_hab_indL!R11:R13)</f>
        <v>0</v>
      </c>
      <c r="S5" s="28">
        <f>AVERAGE(densidade_hab_indL!S11:S13)</f>
        <v>6.6666666666666666E-2</v>
      </c>
      <c r="T5" s="28">
        <f>AVERAGE(densidade_hab_indL!T11:T13)</f>
        <v>0</v>
      </c>
      <c r="U5" s="28">
        <f>AVERAGE(densidade_hab_indL!U11:U13)</f>
        <v>3.3333333333333333E-2</v>
      </c>
      <c r="V5" s="28">
        <f>AVERAGE(densidade_hab_indL!V11:V13)</f>
        <v>6.6666666666666671E-3</v>
      </c>
      <c r="W5" s="28">
        <f>AVERAGE(densidade_hab_indL!W11:W13)</f>
        <v>0</v>
      </c>
      <c r="X5" s="28">
        <f>AVERAGE(densidade_hab_indL!X11:X13)</f>
        <v>6.6666666666666671E-3</v>
      </c>
      <c r="Y5" s="28">
        <f>AVERAGE(densidade_hab_indL!Y11:Y13)</f>
        <v>6.6666666666666671E-3</v>
      </c>
      <c r="Z5" s="28">
        <f>AVERAGE(densidade_hab_indL!Z11:Z13)</f>
        <v>1.3333333333333334E-2</v>
      </c>
      <c r="AA5" s="28">
        <f>AVERAGE(densidade_hab_indL!AA11:AA13)</f>
        <v>6.6666666666666666E-2</v>
      </c>
      <c r="AB5" s="28">
        <f>AVERAGE(densidade_hab_indL!AB11:AB13)</f>
        <v>6.6666666666666671E-3</v>
      </c>
      <c r="AC5" s="28">
        <f>AVERAGE(densidade_hab_indL!AC11:AC13)</f>
        <v>0</v>
      </c>
      <c r="AD5" s="28">
        <f>AVERAGE(densidade_hab_indL!AD11:AD13)</f>
        <v>1.3333333333333334E-2</v>
      </c>
      <c r="AE5" s="28">
        <f>AVERAGE(densidade_hab_indL!AE11:AE13)</f>
        <v>1.3333333333333334E-2</v>
      </c>
      <c r="AF5" s="28">
        <f>AVERAGE(densidade_hab_indL!AF11:AF13)</f>
        <v>0</v>
      </c>
      <c r="AG5" s="28">
        <f>AVERAGE(densidade_hab_indL!AG11:AG13)</f>
        <v>0</v>
      </c>
      <c r="AH5" s="28">
        <f>AVERAGE(densidade_hab_indL!AH11:AH13)</f>
        <v>0</v>
      </c>
      <c r="AI5" s="28">
        <f>AVERAGE(densidade_hab_indL!AI11:AI13)</f>
        <v>0</v>
      </c>
      <c r="AJ5" s="28">
        <f>AVERAGE(densidade_hab_indL!AJ11:AJ13)</f>
        <v>1.3333333333333334E-2</v>
      </c>
      <c r="AK5" s="28">
        <f>AVERAGE(densidade_hab_indL!AK11:AK13)</f>
        <v>0</v>
      </c>
      <c r="AL5" s="28">
        <f>AVERAGE(densidade_hab_indL!AL11:AL13)</f>
        <v>2.6666666666666668E-2</v>
      </c>
      <c r="AM5" s="28">
        <f>AVERAGE(densidade_hab_indL!AM11:AM13)</f>
        <v>1.3333333333333334E-2</v>
      </c>
      <c r="AN5" s="28">
        <f>AVERAGE(densidade_hab_indL!AN11:AN13)</f>
        <v>0</v>
      </c>
      <c r="AO5" s="28">
        <f>AVERAGE(densidade_hab_indL!AO11:AO13)</f>
        <v>0</v>
      </c>
      <c r="AP5" s="28">
        <f>AVERAGE(densidade_hab_indL!AP11:AP13)</f>
        <v>6.6666666666666671E-3</v>
      </c>
      <c r="AQ5" s="28">
        <f>AVERAGE(densidade_hab_indL!AQ11:AQ13)</f>
        <v>0</v>
      </c>
      <c r="AR5" s="28">
        <f>AVERAGE(densidade_hab_indL!AR11:AR13)</f>
        <v>0</v>
      </c>
      <c r="AS5" s="28">
        <f>AVERAGE(densidade_hab_indL!AS11:AS13)</f>
        <v>0</v>
      </c>
      <c r="AT5" s="28">
        <f>AVERAGE(densidade_hab_indL!AT11:AT13)</f>
        <v>0</v>
      </c>
      <c r="AU5" s="28">
        <f>AVERAGE(densidade_hab_indL!AU11:AU13)</f>
        <v>6.6666666666666671E-3</v>
      </c>
      <c r="AV5" s="28">
        <f>AVERAGE(densidade_hab_indL!AV11:AV13)</f>
        <v>0.6</v>
      </c>
      <c r="AW5" s="28">
        <f>AVERAGE(densidade_hab_indL!AW11:AW13)</f>
        <v>0</v>
      </c>
      <c r="AX5" s="28">
        <f>AVERAGE(densidade_hab_indL!AX11:AX13)</f>
        <v>9.3333333333333338E-2</v>
      </c>
      <c r="AY5" s="28">
        <f>AVERAGE(densidade_hab_indL!AY11:AY13)</f>
        <v>0</v>
      </c>
      <c r="AZ5" s="28">
        <f>AVERAGE(densidade_hab_indL!AZ11:AZ13)</f>
        <v>0</v>
      </c>
      <c r="BA5" s="28">
        <f>AVERAGE(densidade_hab_indL!BA11:BA13)</f>
        <v>0</v>
      </c>
      <c r="BB5" s="28">
        <f>AVERAGE(densidade_hab_indL!BB11:BB13)</f>
        <v>6.6666666666666671E-3</v>
      </c>
      <c r="BC5" s="28">
        <f>AVERAGE(densidade_hab_indL!BC11:BC13)</f>
        <v>0</v>
      </c>
      <c r="BD5" s="28">
        <f>AVERAGE(densidade_hab_indL!BD11:BD13)</f>
        <v>0</v>
      </c>
      <c r="BE5" s="28">
        <f>AVERAGE(densidade_hab_indL!BE11:BE13)</f>
        <v>0</v>
      </c>
      <c r="BF5" s="28">
        <f>AVERAGE(densidade_hab_indL!BF11:BF13)</f>
        <v>0</v>
      </c>
      <c r="BG5" s="28">
        <f>AVERAGE(densidade_hab_indL!BG11:BG13)</f>
        <v>0</v>
      </c>
    </row>
    <row r="6" spans="1:67" ht="12.75" customHeight="1" x14ac:dyDescent="0.25">
      <c r="A6" s="4" t="s">
        <v>309</v>
      </c>
      <c r="B6" s="28">
        <f>AVERAGE(densidade_hab_indL!B14:B16)</f>
        <v>0</v>
      </c>
      <c r="C6" s="28">
        <f>AVERAGE(densidade_hab_indL!C14:C16)</f>
        <v>0</v>
      </c>
      <c r="D6" s="28">
        <f>AVERAGE(densidade_hab_indL!D14:D16)</f>
        <v>0</v>
      </c>
      <c r="E6" s="28">
        <f>AVERAGE(densidade_hab_indL!E14:E16)</f>
        <v>1.4866666666666666</v>
      </c>
      <c r="F6" s="28">
        <f>AVERAGE(densidade_hab_indL!F14:F16)</f>
        <v>0</v>
      </c>
      <c r="G6" s="28">
        <f>AVERAGE(densidade_hab_indL!G14:G16)</f>
        <v>0</v>
      </c>
      <c r="H6" s="28">
        <f>AVERAGE(densidade_hab_indL!H14:H16)</f>
        <v>1.3333333333333334E-2</v>
      </c>
      <c r="I6" s="28">
        <f>AVERAGE(densidade_hab_indL!I14:I16)</f>
        <v>6.6666666666666671E-3</v>
      </c>
      <c r="J6" s="28">
        <f>AVERAGE(densidade_hab_indL!J14:J16)</f>
        <v>6.6666666666666671E-3</v>
      </c>
      <c r="K6" s="28">
        <f>AVERAGE(densidade_hab_indL!K14:K16)</f>
        <v>0</v>
      </c>
      <c r="L6" s="28">
        <f>AVERAGE(densidade_hab_indL!L14:L16)</f>
        <v>0</v>
      </c>
      <c r="M6" s="28">
        <f>AVERAGE(densidade_hab_indL!M14:M16)</f>
        <v>0</v>
      </c>
      <c r="N6" s="28">
        <f>AVERAGE(densidade_hab_indL!N14:N16)</f>
        <v>0</v>
      </c>
      <c r="O6" s="28">
        <f>AVERAGE(densidade_hab_indL!O14:O16)</f>
        <v>0</v>
      </c>
      <c r="P6" s="28">
        <f>AVERAGE(densidade_hab_indL!P14:P16)</f>
        <v>0</v>
      </c>
      <c r="Q6" s="28">
        <f>AVERAGE(densidade_hab_indL!Q14:Q16)</f>
        <v>0</v>
      </c>
      <c r="R6" s="28">
        <f>AVERAGE(densidade_hab_indL!R14:R16)</f>
        <v>0</v>
      </c>
      <c r="S6" s="28">
        <f>AVERAGE(densidade_hab_indL!S14:S16)</f>
        <v>4.6666666666666669E-2</v>
      </c>
      <c r="T6" s="28">
        <f>AVERAGE(densidade_hab_indL!T14:T16)</f>
        <v>1.3333333333333334E-2</v>
      </c>
      <c r="U6" s="28">
        <f>AVERAGE(densidade_hab_indL!U14:U16)</f>
        <v>6.6666666666666671E-3</v>
      </c>
      <c r="V6" s="28">
        <f>AVERAGE(densidade_hab_indL!V14:V16)</f>
        <v>0</v>
      </c>
      <c r="W6" s="28">
        <f>AVERAGE(densidade_hab_indL!W14:W16)</f>
        <v>0</v>
      </c>
      <c r="X6" s="28">
        <f>AVERAGE(densidade_hab_indL!X14:X16)</f>
        <v>0</v>
      </c>
      <c r="Y6" s="28">
        <f>AVERAGE(densidade_hab_indL!Y14:Y16)</f>
        <v>6.6666666666666671E-3</v>
      </c>
      <c r="Z6" s="28">
        <f>AVERAGE(densidade_hab_indL!Z14:Z16)</f>
        <v>0.02</v>
      </c>
      <c r="AA6" s="28">
        <f>AVERAGE(densidade_hab_indL!AA14:AA16)</f>
        <v>0</v>
      </c>
      <c r="AB6" s="28">
        <f>AVERAGE(densidade_hab_indL!AB14:AB16)</f>
        <v>0</v>
      </c>
      <c r="AC6" s="28">
        <f>AVERAGE(densidade_hab_indL!AC14:AC16)</f>
        <v>0</v>
      </c>
      <c r="AD6" s="28">
        <f>AVERAGE(densidade_hab_indL!AD14:AD16)</f>
        <v>0</v>
      </c>
      <c r="AE6" s="28">
        <f>AVERAGE(densidade_hab_indL!AE14:AE16)</f>
        <v>0</v>
      </c>
      <c r="AF6" s="28">
        <f>AVERAGE(densidade_hab_indL!AF14:AF16)</f>
        <v>0</v>
      </c>
      <c r="AG6" s="28">
        <f>AVERAGE(densidade_hab_indL!AG14:AG16)</f>
        <v>0</v>
      </c>
      <c r="AH6" s="28">
        <f>AVERAGE(densidade_hab_indL!AH14:AH16)</f>
        <v>0</v>
      </c>
      <c r="AI6" s="28">
        <f>AVERAGE(densidade_hab_indL!AI14:AI16)</f>
        <v>0</v>
      </c>
      <c r="AJ6" s="28">
        <f>AVERAGE(densidade_hab_indL!AJ14:AJ16)</f>
        <v>0.02</v>
      </c>
      <c r="AK6" s="28">
        <f>AVERAGE(densidade_hab_indL!AK14:AK16)</f>
        <v>6.6666666666666671E-3</v>
      </c>
      <c r="AL6" s="28">
        <f>AVERAGE(densidade_hab_indL!AL14:AL16)</f>
        <v>0</v>
      </c>
      <c r="AM6" s="28">
        <f>AVERAGE(densidade_hab_indL!AM14:AM16)</f>
        <v>0</v>
      </c>
      <c r="AN6" s="28">
        <f>AVERAGE(densidade_hab_indL!AN14:AN16)</f>
        <v>0</v>
      </c>
      <c r="AO6" s="28">
        <f>AVERAGE(densidade_hab_indL!AO14:AO16)</f>
        <v>0</v>
      </c>
      <c r="AP6" s="28">
        <f>AVERAGE(densidade_hab_indL!AP14:AP16)</f>
        <v>0</v>
      </c>
      <c r="AQ6" s="28">
        <f>AVERAGE(densidade_hab_indL!AQ14:AQ16)</f>
        <v>0</v>
      </c>
      <c r="AR6" s="28">
        <f>AVERAGE(densidade_hab_indL!AR14:AR16)</f>
        <v>0</v>
      </c>
      <c r="AS6" s="28">
        <f>AVERAGE(densidade_hab_indL!AS14:AS16)</f>
        <v>0</v>
      </c>
      <c r="AT6" s="28">
        <f>AVERAGE(densidade_hab_indL!AT14:AT16)</f>
        <v>0</v>
      </c>
      <c r="AU6" s="28">
        <f>AVERAGE(densidade_hab_indL!AU14:AU16)</f>
        <v>0</v>
      </c>
      <c r="AV6" s="28">
        <f>AVERAGE(densidade_hab_indL!AV14:AV16)</f>
        <v>0.06</v>
      </c>
      <c r="AW6" s="28">
        <f>AVERAGE(densidade_hab_indL!AW14:AW16)</f>
        <v>0</v>
      </c>
      <c r="AX6" s="28">
        <f>AVERAGE(densidade_hab_indL!AX14:AX16)</f>
        <v>0</v>
      </c>
      <c r="AY6" s="28">
        <f>AVERAGE(densidade_hab_indL!AY14:AY16)</f>
        <v>6.6666666666666671E-3</v>
      </c>
      <c r="AZ6" s="28">
        <f>AVERAGE(densidade_hab_indL!AZ14:AZ16)</f>
        <v>3.3333333333333333E-2</v>
      </c>
      <c r="BA6" s="28">
        <f>AVERAGE(densidade_hab_indL!BA14:BA16)</f>
        <v>0</v>
      </c>
      <c r="BB6" s="28">
        <f>AVERAGE(densidade_hab_indL!BB14:BB16)</f>
        <v>0</v>
      </c>
      <c r="BC6" s="28">
        <f>AVERAGE(densidade_hab_indL!BC14:BC16)</f>
        <v>0</v>
      </c>
      <c r="BD6" s="28">
        <f>AVERAGE(densidade_hab_indL!BD14:BD16)</f>
        <v>6.6666666666666671E-3</v>
      </c>
      <c r="BE6" s="28">
        <f>AVERAGE(densidade_hab_indL!BE14:BE16)</f>
        <v>0</v>
      </c>
      <c r="BF6" s="28">
        <f>AVERAGE(densidade_hab_indL!BF14:BF16)</f>
        <v>0</v>
      </c>
      <c r="BG6" s="28">
        <f>AVERAGE(densidade_hab_indL!BG14:BG16)</f>
        <v>0</v>
      </c>
    </row>
    <row r="7" spans="1:67" ht="12.75" customHeight="1" x14ac:dyDescent="0.25">
      <c r="A7" s="4" t="s">
        <v>310</v>
      </c>
      <c r="B7" s="28">
        <f>AVERAGE(densidade_hab_indL!B17:B19)</f>
        <v>2.6666666666666668E-2</v>
      </c>
      <c r="C7" s="28">
        <f>AVERAGE(densidade_hab_indL!C17:C19)</f>
        <v>0</v>
      </c>
      <c r="D7" s="28">
        <f>AVERAGE(densidade_hab_indL!D17:D19)</f>
        <v>0</v>
      </c>
      <c r="E7" s="28">
        <f>AVERAGE(densidade_hab_indL!E17:E19)</f>
        <v>1.2666666666666666</v>
      </c>
      <c r="F7" s="28">
        <f>AVERAGE(densidade_hab_indL!F17:F19)</f>
        <v>0.02</v>
      </c>
      <c r="G7" s="28">
        <f>AVERAGE(densidade_hab_indL!G17:G19)</f>
        <v>1.3333333333333334E-2</v>
      </c>
      <c r="H7" s="28">
        <f>AVERAGE(densidade_hab_indL!H17:H19)</f>
        <v>3.3333333333333333E-2</v>
      </c>
      <c r="I7" s="28">
        <f>AVERAGE(densidade_hab_indL!I17:I19)</f>
        <v>6.6666666666666671E-3</v>
      </c>
      <c r="J7" s="28">
        <f>AVERAGE(densidade_hab_indL!J17:J19)</f>
        <v>6.6666666666666671E-3</v>
      </c>
      <c r="K7" s="28">
        <f>AVERAGE(densidade_hab_indL!K17:K19)</f>
        <v>0</v>
      </c>
      <c r="L7" s="28">
        <f>AVERAGE(densidade_hab_indL!L17:L19)</f>
        <v>0</v>
      </c>
      <c r="M7" s="28">
        <f>AVERAGE(densidade_hab_indL!M17:M19)</f>
        <v>0</v>
      </c>
      <c r="N7" s="28">
        <f>AVERAGE(densidade_hab_indL!N17:N19)</f>
        <v>0</v>
      </c>
      <c r="O7" s="28">
        <f>AVERAGE(densidade_hab_indL!O17:O19)</f>
        <v>0</v>
      </c>
      <c r="P7" s="28">
        <f>AVERAGE(densidade_hab_indL!P17:P19)</f>
        <v>0</v>
      </c>
      <c r="Q7" s="28">
        <f>AVERAGE(densidade_hab_indL!Q17:Q19)</f>
        <v>0</v>
      </c>
      <c r="R7" s="28">
        <f>AVERAGE(densidade_hab_indL!R17:R19)</f>
        <v>6.6666666666666671E-3</v>
      </c>
      <c r="S7" s="28">
        <f>AVERAGE(densidade_hab_indL!S17:S19)</f>
        <v>0.26</v>
      </c>
      <c r="T7" s="28">
        <f>AVERAGE(densidade_hab_indL!T17:T19)</f>
        <v>1.3333333333333334E-2</v>
      </c>
      <c r="U7" s="28">
        <f>AVERAGE(densidade_hab_indL!U17:U19)</f>
        <v>4.6666666666666669E-2</v>
      </c>
      <c r="V7" s="28">
        <f>AVERAGE(densidade_hab_indL!V17:V19)</f>
        <v>0</v>
      </c>
      <c r="W7" s="28">
        <f>AVERAGE(densidade_hab_indL!W17:W19)</f>
        <v>6.6666666666666671E-3</v>
      </c>
      <c r="X7" s="28">
        <f>AVERAGE(densidade_hab_indL!X17:X19)</f>
        <v>0</v>
      </c>
      <c r="Y7" s="28">
        <f>AVERAGE(densidade_hab_indL!Y17:Y19)</f>
        <v>6.6666666666666671E-3</v>
      </c>
      <c r="Z7" s="28">
        <f>AVERAGE(densidade_hab_indL!Z17:Z19)</f>
        <v>1.3333333333333334E-2</v>
      </c>
      <c r="AA7" s="28">
        <f>AVERAGE(densidade_hab_indL!AA17:AA19)</f>
        <v>0.02</v>
      </c>
      <c r="AB7" s="28">
        <f>AVERAGE(densidade_hab_indL!AB17:AB19)</f>
        <v>0</v>
      </c>
      <c r="AC7" s="28">
        <f>AVERAGE(densidade_hab_indL!AC17:AC19)</f>
        <v>0</v>
      </c>
      <c r="AD7" s="28">
        <f>AVERAGE(densidade_hab_indL!AD17:AD19)</f>
        <v>0</v>
      </c>
      <c r="AE7" s="28">
        <f>AVERAGE(densidade_hab_indL!AE17:AE19)</f>
        <v>0</v>
      </c>
      <c r="AF7" s="28">
        <f>AVERAGE(densidade_hab_indL!AF17:AF19)</f>
        <v>0</v>
      </c>
      <c r="AG7" s="28">
        <f>AVERAGE(densidade_hab_indL!AG17:AG19)</f>
        <v>0</v>
      </c>
      <c r="AH7" s="28">
        <f>AVERAGE(densidade_hab_indL!AH17:AH19)</f>
        <v>0</v>
      </c>
      <c r="AI7" s="28">
        <f>AVERAGE(densidade_hab_indL!AI17:AI19)</f>
        <v>0</v>
      </c>
      <c r="AJ7" s="28">
        <f>AVERAGE(densidade_hab_indL!AJ17:AJ19)</f>
        <v>0.08</v>
      </c>
      <c r="AK7" s="28">
        <f>AVERAGE(densidade_hab_indL!AK17:AK19)</f>
        <v>6.6666666666666671E-3</v>
      </c>
      <c r="AL7" s="28">
        <f>AVERAGE(densidade_hab_indL!AL17:AL19)</f>
        <v>0</v>
      </c>
      <c r="AM7" s="28">
        <f>AVERAGE(densidade_hab_indL!AM17:AM19)</f>
        <v>0</v>
      </c>
      <c r="AN7" s="28">
        <f>AVERAGE(densidade_hab_indL!AN17:AN19)</f>
        <v>1.3333333333333334E-2</v>
      </c>
      <c r="AO7" s="28">
        <f>AVERAGE(densidade_hab_indL!AO17:AO19)</f>
        <v>1.3333333333333334E-2</v>
      </c>
      <c r="AP7" s="28">
        <f>AVERAGE(densidade_hab_indL!AP17:AP19)</f>
        <v>0</v>
      </c>
      <c r="AQ7" s="28">
        <f>AVERAGE(densidade_hab_indL!AQ17:AQ19)</f>
        <v>0</v>
      </c>
      <c r="AR7" s="28">
        <f>AVERAGE(densidade_hab_indL!AR17:AR19)</f>
        <v>0</v>
      </c>
      <c r="AS7" s="28">
        <f>AVERAGE(densidade_hab_indL!AS17:AS19)</f>
        <v>0</v>
      </c>
      <c r="AT7" s="28">
        <f>AVERAGE(densidade_hab_indL!AT17:AT19)</f>
        <v>6.6666666666666671E-3</v>
      </c>
      <c r="AU7" s="28">
        <f>AVERAGE(densidade_hab_indL!AU17:AU19)</f>
        <v>0</v>
      </c>
      <c r="AV7" s="28">
        <f>AVERAGE(densidade_hab_indL!AV17:AV19)</f>
        <v>0.24666666666666667</v>
      </c>
      <c r="AW7" s="28">
        <f>AVERAGE(densidade_hab_indL!AW17:AW19)</f>
        <v>0</v>
      </c>
      <c r="AX7" s="28">
        <f>AVERAGE(densidade_hab_indL!AX17:AX19)</f>
        <v>0</v>
      </c>
      <c r="AY7" s="28">
        <f>AVERAGE(densidade_hab_indL!AY17:AY19)</f>
        <v>3.3333333333333333E-2</v>
      </c>
      <c r="AZ7" s="28">
        <f>AVERAGE(densidade_hab_indL!AZ17:AZ19)</f>
        <v>0</v>
      </c>
      <c r="BA7" s="28">
        <f>AVERAGE(densidade_hab_indL!BA17:BA19)</f>
        <v>0</v>
      </c>
      <c r="BB7" s="28">
        <f>AVERAGE(densidade_hab_indL!BB17:BB19)</f>
        <v>0</v>
      </c>
      <c r="BC7" s="28">
        <f>AVERAGE(densidade_hab_indL!BC17:BC19)</f>
        <v>0</v>
      </c>
      <c r="BD7" s="28">
        <f>AVERAGE(densidade_hab_indL!BD17:BD19)</f>
        <v>0.02</v>
      </c>
      <c r="BE7" s="28">
        <f>AVERAGE(densidade_hab_indL!BE17:BE19)</f>
        <v>0</v>
      </c>
      <c r="BF7" s="28">
        <f>AVERAGE(densidade_hab_indL!BF17:BF19)</f>
        <v>0</v>
      </c>
      <c r="BG7" s="28">
        <f>AVERAGE(densidade_hab_indL!BG17:BG19)</f>
        <v>1.3333333333333334E-2</v>
      </c>
    </row>
    <row r="8" spans="1:67" ht="12.75" customHeight="1" x14ac:dyDescent="0.25">
      <c r="A8" s="4" t="s">
        <v>311</v>
      </c>
      <c r="B8" s="28" t="s">
        <v>304</v>
      </c>
      <c r="C8" s="28" t="s">
        <v>304</v>
      </c>
      <c r="D8" s="28" t="s">
        <v>304</v>
      </c>
      <c r="E8" s="28" t="s">
        <v>304</v>
      </c>
      <c r="F8" s="28" t="s">
        <v>304</v>
      </c>
      <c r="G8" s="28" t="s">
        <v>304</v>
      </c>
      <c r="H8" s="28" t="s">
        <v>304</v>
      </c>
      <c r="I8" s="28" t="s">
        <v>304</v>
      </c>
      <c r="J8" s="28" t="s">
        <v>304</v>
      </c>
      <c r="K8" s="28" t="s">
        <v>304</v>
      </c>
      <c r="L8" s="28" t="s">
        <v>304</v>
      </c>
      <c r="M8" s="28" t="s">
        <v>304</v>
      </c>
      <c r="N8" s="28" t="s">
        <v>304</v>
      </c>
      <c r="O8" s="28" t="s">
        <v>304</v>
      </c>
      <c r="P8" s="28" t="s">
        <v>304</v>
      </c>
      <c r="Q8" s="28" t="s">
        <v>304</v>
      </c>
      <c r="R8" s="28" t="s">
        <v>304</v>
      </c>
      <c r="S8" s="28" t="s">
        <v>304</v>
      </c>
      <c r="T8" s="28" t="s">
        <v>304</v>
      </c>
      <c r="U8" s="28" t="s">
        <v>304</v>
      </c>
      <c r="V8" s="28" t="s">
        <v>304</v>
      </c>
      <c r="W8" s="28" t="s">
        <v>304</v>
      </c>
      <c r="X8" s="28" t="s">
        <v>304</v>
      </c>
      <c r="Y8" s="28" t="s">
        <v>304</v>
      </c>
      <c r="Z8" s="28" t="s">
        <v>304</v>
      </c>
      <c r="AA8" s="28" t="s">
        <v>304</v>
      </c>
      <c r="AB8" s="28" t="s">
        <v>304</v>
      </c>
      <c r="AC8" s="28" t="s">
        <v>304</v>
      </c>
      <c r="AD8" s="28" t="s">
        <v>304</v>
      </c>
      <c r="AE8" s="28" t="s">
        <v>304</v>
      </c>
      <c r="AF8" s="28" t="s">
        <v>304</v>
      </c>
      <c r="AG8" s="28" t="s">
        <v>304</v>
      </c>
      <c r="AH8" s="28" t="s">
        <v>304</v>
      </c>
      <c r="AI8" s="28" t="s">
        <v>304</v>
      </c>
      <c r="AJ8" s="28" t="s">
        <v>304</v>
      </c>
      <c r="AK8" s="28" t="s">
        <v>304</v>
      </c>
      <c r="AL8" s="28" t="s">
        <v>304</v>
      </c>
      <c r="AM8" s="28" t="s">
        <v>304</v>
      </c>
      <c r="AN8" s="28" t="s">
        <v>304</v>
      </c>
      <c r="AO8" s="28" t="s">
        <v>304</v>
      </c>
      <c r="AP8" s="28" t="s">
        <v>304</v>
      </c>
      <c r="AQ8" s="28" t="s">
        <v>304</v>
      </c>
      <c r="AR8" s="28" t="s">
        <v>304</v>
      </c>
      <c r="AS8" s="28" t="s">
        <v>304</v>
      </c>
      <c r="AT8" s="28" t="s">
        <v>304</v>
      </c>
      <c r="AU8" s="28" t="s">
        <v>304</v>
      </c>
      <c r="AV8" s="28" t="s">
        <v>304</v>
      </c>
      <c r="AW8" s="28" t="s">
        <v>304</v>
      </c>
      <c r="AX8" s="28" t="s">
        <v>304</v>
      </c>
      <c r="AY8" s="28" t="s">
        <v>304</v>
      </c>
      <c r="AZ8" s="28" t="s">
        <v>304</v>
      </c>
      <c r="BA8" s="28" t="s">
        <v>304</v>
      </c>
      <c r="BB8" s="28" t="s">
        <v>304</v>
      </c>
      <c r="BC8" s="28" t="s">
        <v>304</v>
      </c>
      <c r="BD8" s="28" t="s">
        <v>304</v>
      </c>
      <c r="BE8" s="28" t="s">
        <v>304</v>
      </c>
      <c r="BF8" s="28" t="s">
        <v>304</v>
      </c>
      <c r="BG8" s="28" t="s">
        <v>304</v>
      </c>
    </row>
    <row r="9" spans="1:67" ht="12.75" customHeight="1" x14ac:dyDescent="0.25">
      <c r="A9" s="4" t="s">
        <v>312</v>
      </c>
      <c r="B9" s="28">
        <f>AVERAGE(densidade_hab_indL!B23:B25)</f>
        <v>2.6666666666666668E-2</v>
      </c>
      <c r="C9" s="28">
        <f>AVERAGE(densidade_hab_indL!C23:C25)</f>
        <v>0</v>
      </c>
      <c r="D9" s="28">
        <f>AVERAGE(densidade_hab_indL!D23:D25)</f>
        <v>0</v>
      </c>
      <c r="E9" s="28">
        <f>AVERAGE(densidade_hab_indL!E23:E25)</f>
        <v>0.44666666666666671</v>
      </c>
      <c r="F9" s="28">
        <f>AVERAGE(densidade_hab_indL!F23:F25)</f>
        <v>0</v>
      </c>
      <c r="G9" s="28">
        <f>AVERAGE(densidade_hab_indL!G23:G25)</f>
        <v>0</v>
      </c>
      <c r="H9" s="28">
        <f>AVERAGE(densidade_hab_indL!H23:H25)</f>
        <v>0</v>
      </c>
      <c r="I9" s="28">
        <f>AVERAGE(densidade_hab_indL!I23:I25)</f>
        <v>6.6666666666666666E-2</v>
      </c>
      <c r="J9" s="28">
        <f>AVERAGE(densidade_hab_indL!J23:J25)</f>
        <v>0</v>
      </c>
      <c r="K9" s="28">
        <f>AVERAGE(densidade_hab_indL!K23:K25)</f>
        <v>0</v>
      </c>
      <c r="L9" s="28">
        <f>AVERAGE(densidade_hab_indL!L23:L25)</f>
        <v>0</v>
      </c>
      <c r="M9" s="28">
        <f>AVERAGE(densidade_hab_indL!M23:M25)</f>
        <v>0</v>
      </c>
      <c r="N9" s="28">
        <f>AVERAGE(densidade_hab_indL!N23:N25)</f>
        <v>0</v>
      </c>
      <c r="O9" s="28">
        <f>AVERAGE(densidade_hab_indL!O23:O25)</f>
        <v>0</v>
      </c>
      <c r="P9" s="28">
        <f>AVERAGE(densidade_hab_indL!P23:P25)</f>
        <v>0</v>
      </c>
      <c r="Q9" s="28">
        <f>AVERAGE(densidade_hab_indL!Q23:Q25)</f>
        <v>0</v>
      </c>
      <c r="R9" s="28">
        <f>AVERAGE(densidade_hab_indL!R23:R25)</f>
        <v>0</v>
      </c>
      <c r="S9" s="28">
        <f>AVERAGE(densidade_hab_indL!S23:S25)</f>
        <v>5.3333333333333337E-2</v>
      </c>
      <c r="T9" s="28">
        <f>AVERAGE(densidade_hab_indL!T23:T25)</f>
        <v>1.3333333333333334E-2</v>
      </c>
      <c r="U9" s="28">
        <f>AVERAGE(densidade_hab_indL!U23:U25)</f>
        <v>6.6666666666666671E-3</v>
      </c>
      <c r="V9" s="28">
        <f>AVERAGE(densidade_hab_indL!V23:V25)</f>
        <v>0</v>
      </c>
      <c r="W9" s="28">
        <f>AVERAGE(densidade_hab_indL!W23:W25)</f>
        <v>0</v>
      </c>
      <c r="X9" s="28">
        <f>AVERAGE(densidade_hab_indL!X23:X25)</f>
        <v>6.6666666666666671E-3</v>
      </c>
      <c r="Y9" s="28">
        <f>AVERAGE(densidade_hab_indL!Y23:Y25)</f>
        <v>0</v>
      </c>
      <c r="Z9" s="28">
        <f>AVERAGE(densidade_hab_indL!Z23:Z25)</f>
        <v>6.6666666666666671E-3</v>
      </c>
      <c r="AA9" s="28">
        <f>AVERAGE(densidade_hab_indL!AA23:AA25)</f>
        <v>0.02</v>
      </c>
      <c r="AB9" s="28">
        <f>AVERAGE(densidade_hab_indL!AB23:AB25)</f>
        <v>0</v>
      </c>
      <c r="AC9" s="28">
        <f>AVERAGE(densidade_hab_indL!AC23:AC25)</f>
        <v>1.3333333333333334E-2</v>
      </c>
      <c r="AD9" s="28">
        <f>AVERAGE(densidade_hab_indL!AD23:AD25)</f>
        <v>6.6666666666666671E-3</v>
      </c>
      <c r="AE9" s="28">
        <f>AVERAGE(densidade_hab_indL!AE23:AE25)</f>
        <v>0</v>
      </c>
      <c r="AF9" s="28">
        <f>AVERAGE(densidade_hab_indL!AF23:AF25)</f>
        <v>0</v>
      </c>
      <c r="AG9" s="28">
        <f>AVERAGE(densidade_hab_indL!AG23:AG25)</f>
        <v>0</v>
      </c>
      <c r="AH9" s="28">
        <f>AVERAGE(densidade_hab_indL!AH23:AH25)</f>
        <v>6.6666666666666671E-3</v>
      </c>
      <c r="AI9" s="28">
        <f>AVERAGE(densidade_hab_indL!AI23:AI25)</f>
        <v>6.6666666666666671E-3</v>
      </c>
      <c r="AJ9" s="28">
        <f>AVERAGE(densidade_hab_indL!AJ23:AJ25)</f>
        <v>6.6666666666666671E-3</v>
      </c>
      <c r="AK9" s="28">
        <f>AVERAGE(densidade_hab_indL!AK23:AK25)</f>
        <v>0</v>
      </c>
      <c r="AL9" s="28">
        <f>AVERAGE(densidade_hab_indL!AL23:AL25)</f>
        <v>6.6666666666666671E-3</v>
      </c>
      <c r="AM9" s="28">
        <f>AVERAGE(densidade_hab_indL!AM23:AM25)</f>
        <v>0</v>
      </c>
      <c r="AN9" s="28">
        <f>AVERAGE(densidade_hab_indL!AN23:AN25)</f>
        <v>0</v>
      </c>
      <c r="AO9" s="28">
        <f>AVERAGE(densidade_hab_indL!AO23:AO25)</f>
        <v>0</v>
      </c>
      <c r="AP9" s="28">
        <f>AVERAGE(densidade_hab_indL!AP23:AP25)</f>
        <v>0</v>
      </c>
      <c r="AQ9" s="28">
        <f>AVERAGE(densidade_hab_indL!AQ23:AQ25)</f>
        <v>0</v>
      </c>
      <c r="AR9" s="28">
        <f>AVERAGE(densidade_hab_indL!AR23:AR25)</f>
        <v>0</v>
      </c>
      <c r="AS9" s="28">
        <f>AVERAGE(densidade_hab_indL!AS23:AS25)</f>
        <v>0</v>
      </c>
      <c r="AT9" s="28">
        <f>AVERAGE(densidade_hab_indL!AT23:AT25)</f>
        <v>0</v>
      </c>
      <c r="AU9" s="28">
        <f>AVERAGE(densidade_hab_indL!AU23:AU25)</f>
        <v>0</v>
      </c>
      <c r="AV9" s="28">
        <f>AVERAGE(densidade_hab_indL!AV23:AV25)</f>
        <v>0.12666666666666668</v>
      </c>
      <c r="AW9" s="28">
        <f>AVERAGE(densidade_hab_indL!AW23:AW25)</f>
        <v>0</v>
      </c>
      <c r="AX9" s="28">
        <f>AVERAGE(densidade_hab_indL!AX23:AX25)</f>
        <v>6.6666666666666671E-3</v>
      </c>
      <c r="AY9" s="28">
        <f>AVERAGE(densidade_hab_indL!AY23:AY25)</f>
        <v>0</v>
      </c>
      <c r="AZ9" s="28">
        <f>AVERAGE(densidade_hab_indL!AZ23:AZ25)</f>
        <v>0</v>
      </c>
      <c r="BA9" s="28">
        <f>AVERAGE(densidade_hab_indL!BA23:BA25)</f>
        <v>0</v>
      </c>
      <c r="BB9" s="28">
        <f>AVERAGE(densidade_hab_indL!BB23:BB25)</f>
        <v>0</v>
      </c>
      <c r="BC9" s="28">
        <f>AVERAGE(densidade_hab_indL!BC23:BC25)</f>
        <v>0</v>
      </c>
      <c r="BD9" s="28">
        <f>AVERAGE(densidade_hab_indL!BD23:BD25)</f>
        <v>0</v>
      </c>
      <c r="BE9" s="28">
        <f>AVERAGE(densidade_hab_indL!BE23:BE25)</f>
        <v>0</v>
      </c>
      <c r="BF9" s="28">
        <f>AVERAGE(densidade_hab_indL!BF23:BF25)</f>
        <v>0</v>
      </c>
      <c r="BG9" s="28">
        <f>AVERAGE(densidade_hab_indL!BG23:BG25)</f>
        <v>0</v>
      </c>
    </row>
    <row r="10" spans="1:67" ht="12.75" customHeight="1" x14ac:dyDescent="0.25">
      <c r="A10" s="4" t="s">
        <v>313</v>
      </c>
      <c r="B10" s="28">
        <f>AVERAGE(densidade_hab_indL!B26:B28)</f>
        <v>0</v>
      </c>
      <c r="C10" s="28">
        <f>AVERAGE(densidade_hab_indL!C26:C28)</f>
        <v>0</v>
      </c>
      <c r="D10" s="28">
        <f>AVERAGE(densidade_hab_indL!D26:D28)</f>
        <v>0</v>
      </c>
      <c r="E10" s="28">
        <f>AVERAGE(densidade_hab_indL!E26:E28)</f>
        <v>0.3666666666666667</v>
      </c>
      <c r="F10" s="28">
        <f>AVERAGE(densidade_hab_indL!F26:F28)</f>
        <v>0</v>
      </c>
      <c r="G10" s="28">
        <f>AVERAGE(densidade_hab_indL!G26:G28)</f>
        <v>0</v>
      </c>
      <c r="H10" s="28">
        <f>AVERAGE(densidade_hab_indL!H26:H28)</f>
        <v>0</v>
      </c>
      <c r="I10" s="28">
        <f>AVERAGE(densidade_hab_indL!I26:I28)</f>
        <v>0</v>
      </c>
      <c r="J10" s="28">
        <f>AVERAGE(densidade_hab_indL!J26:J28)</f>
        <v>0</v>
      </c>
      <c r="K10" s="28">
        <f>AVERAGE(densidade_hab_indL!K26:K28)</f>
        <v>0</v>
      </c>
      <c r="L10" s="28">
        <f>AVERAGE(densidade_hab_indL!L26:L28)</f>
        <v>0</v>
      </c>
      <c r="M10" s="28">
        <f>AVERAGE(densidade_hab_indL!M26:M28)</f>
        <v>0</v>
      </c>
      <c r="N10" s="28">
        <f>AVERAGE(densidade_hab_indL!N26:N28)</f>
        <v>0</v>
      </c>
      <c r="O10" s="28">
        <f>AVERAGE(densidade_hab_indL!O26:O28)</f>
        <v>0</v>
      </c>
      <c r="P10" s="28">
        <f>AVERAGE(densidade_hab_indL!P26:P28)</f>
        <v>0</v>
      </c>
      <c r="Q10" s="28">
        <f>AVERAGE(densidade_hab_indL!Q26:Q28)</f>
        <v>0</v>
      </c>
      <c r="R10" s="28">
        <f>AVERAGE(densidade_hab_indL!R26:R28)</f>
        <v>0</v>
      </c>
      <c r="S10" s="28">
        <f>AVERAGE(densidade_hab_indL!S26:S28)</f>
        <v>1.3333333333333334E-2</v>
      </c>
      <c r="T10" s="28">
        <f>AVERAGE(densidade_hab_indL!T26:T28)</f>
        <v>0</v>
      </c>
      <c r="U10" s="28">
        <f>AVERAGE(densidade_hab_indL!U26:U28)</f>
        <v>0</v>
      </c>
      <c r="V10" s="28">
        <f>AVERAGE(densidade_hab_indL!V26:V28)</f>
        <v>0</v>
      </c>
      <c r="W10" s="28">
        <f>AVERAGE(densidade_hab_indL!W26:W28)</f>
        <v>0</v>
      </c>
      <c r="X10" s="28">
        <f>AVERAGE(densidade_hab_indL!X26:X28)</f>
        <v>0</v>
      </c>
      <c r="Y10" s="28">
        <f>AVERAGE(densidade_hab_indL!Y26:Y28)</f>
        <v>0</v>
      </c>
      <c r="Z10" s="28">
        <f>AVERAGE(densidade_hab_indL!Z26:Z28)</f>
        <v>0</v>
      </c>
      <c r="AA10" s="28">
        <f>AVERAGE(densidade_hab_indL!AA26:AA28)</f>
        <v>0</v>
      </c>
      <c r="AB10" s="28">
        <f>AVERAGE(densidade_hab_indL!AB26:AB28)</f>
        <v>0</v>
      </c>
      <c r="AC10" s="28">
        <f>AVERAGE(densidade_hab_indL!AC26:AC28)</f>
        <v>0</v>
      </c>
      <c r="AD10" s="28">
        <f>AVERAGE(densidade_hab_indL!AD26:AD28)</f>
        <v>0</v>
      </c>
      <c r="AE10" s="28">
        <f>AVERAGE(densidade_hab_indL!AE26:AE28)</f>
        <v>0</v>
      </c>
      <c r="AF10" s="28">
        <f>AVERAGE(densidade_hab_indL!AF26:AF28)</f>
        <v>0</v>
      </c>
      <c r="AG10" s="28">
        <f>AVERAGE(densidade_hab_indL!AG26:AG28)</f>
        <v>0</v>
      </c>
      <c r="AH10" s="28">
        <f>AVERAGE(densidade_hab_indL!AH26:AH28)</f>
        <v>0</v>
      </c>
      <c r="AI10" s="28">
        <f>AVERAGE(densidade_hab_indL!AI26:AI28)</f>
        <v>0</v>
      </c>
      <c r="AJ10" s="28">
        <f>AVERAGE(densidade_hab_indL!AJ26:AJ28)</f>
        <v>0</v>
      </c>
      <c r="AK10" s="28">
        <f>AVERAGE(densidade_hab_indL!AK26:AK28)</f>
        <v>0</v>
      </c>
      <c r="AL10" s="28">
        <f>AVERAGE(densidade_hab_indL!AL26:AL28)</f>
        <v>0</v>
      </c>
      <c r="AM10" s="28">
        <f>AVERAGE(densidade_hab_indL!AM26:AM28)</f>
        <v>0</v>
      </c>
      <c r="AN10" s="28">
        <f>AVERAGE(densidade_hab_indL!AN26:AN28)</f>
        <v>0</v>
      </c>
      <c r="AO10" s="28">
        <f>AVERAGE(densidade_hab_indL!AO26:AO28)</f>
        <v>0</v>
      </c>
      <c r="AP10" s="28">
        <f>AVERAGE(densidade_hab_indL!AP26:AP28)</f>
        <v>0</v>
      </c>
      <c r="AQ10" s="28">
        <f>AVERAGE(densidade_hab_indL!AQ26:AQ28)</f>
        <v>0</v>
      </c>
      <c r="AR10" s="28">
        <f>AVERAGE(densidade_hab_indL!AR26:AR28)</f>
        <v>0</v>
      </c>
      <c r="AS10" s="28">
        <f>AVERAGE(densidade_hab_indL!AS26:AS28)</f>
        <v>0</v>
      </c>
      <c r="AT10" s="28">
        <f>AVERAGE(densidade_hab_indL!AT26:AT28)</f>
        <v>0</v>
      </c>
      <c r="AU10" s="28">
        <f>AVERAGE(densidade_hab_indL!AU26:AU28)</f>
        <v>0</v>
      </c>
      <c r="AV10" s="28">
        <f>AVERAGE(densidade_hab_indL!AV26:AV28)</f>
        <v>0.02</v>
      </c>
      <c r="AW10" s="28">
        <f>AVERAGE(densidade_hab_indL!AW26:AW28)</f>
        <v>0</v>
      </c>
      <c r="AX10" s="28">
        <f>AVERAGE(densidade_hab_indL!AX26:AX28)</f>
        <v>0</v>
      </c>
      <c r="AY10" s="28">
        <f>AVERAGE(densidade_hab_indL!AY26:AY28)</f>
        <v>0</v>
      </c>
      <c r="AZ10" s="28">
        <f>AVERAGE(densidade_hab_indL!AZ26:AZ28)</f>
        <v>0</v>
      </c>
      <c r="BA10" s="28">
        <f>AVERAGE(densidade_hab_indL!BA26:BA28)</f>
        <v>0</v>
      </c>
      <c r="BB10" s="28">
        <f>AVERAGE(densidade_hab_indL!BB26:BB28)</f>
        <v>0</v>
      </c>
      <c r="BC10" s="28">
        <f>AVERAGE(densidade_hab_indL!BC26:BC28)</f>
        <v>0</v>
      </c>
      <c r="BD10" s="28">
        <f>AVERAGE(densidade_hab_indL!BD26:BD28)</f>
        <v>0</v>
      </c>
      <c r="BE10" s="28">
        <f>AVERAGE(densidade_hab_indL!BE26:BE28)</f>
        <v>0</v>
      </c>
      <c r="BF10" s="28">
        <f>AVERAGE(densidade_hab_indL!BF26:BF28)</f>
        <v>0</v>
      </c>
      <c r="BG10" s="28">
        <f>AVERAGE(densidade_hab_indL!BG26:BG28)</f>
        <v>0</v>
      </c>
    </row>
    <row r="11" spans="1:67" ht="12.75" customHeight="1" x14ac:dyDescent="0.25">
      <c r="A11" s="4" t="s">
        <v>314</v>
      </c>
      <c r="B11" s="28">
        <f>AVERAGE(densidade_hab_indL!B29:B31)</f>
        <v>0</v>
      </c>
      <c r="C11" s="28">
        <f>AVERAGE(densidade_hab_indL!C29:C31)</f>
        <v>0</v>
      </c>
      <c r="D11" s="28">
        <f>AVERAGE(densidade_hab_indL!D29:D31)</f>
        <v>0</v>
      </c>
      <c r="E11" s="28">
        <f>AVERAGE(densidade_hab_indL!E29:E31)</f>
        <v>0.6</v>
      </c>
      <c r="F11" s="28">
        <f>AVERAGE(densidade_hab_indL!F29:F31)</f>
        <v>0</v>
      </c>
      <c r="G11" s="28">
        <f>AVERAGE(densidade_hab_indL!G29:G31)</f>
        <v>0</v>
      </c>
      <c r="H11" s="28">
        <f>AVERAGE(densidade_hab_indL!H29:H31)</f>
        <v>0</v>
      </c>
      <c r="I11" s="28">
        <f>AVERAGE(densidade_hab_indL!I29:I31)</f>
        <v>1.3333333333333334E-2</v>
      </c>
      <c r="J11" s="28">
        <f>AVERAGE(densidade_hab_indL!J29:J31)</f>
        <v>0</v>
      </c>
      <c r="K11" s="28">
        <f>AVERAGE(densidade_hab_indL!K29:K31)</f>
        <v>0</v>
      </c>
      <c r="L11" s="28">
        <f>AVERAGE(densidade_hab_indL!L29:L31)</f>
        <v>0</v>
      </c>
      <c r="M11" s="28">
        <f>AVERAGE(densidade_hab_indL!M29:M31)</f>
        <v>0</v>
      </c>
      <c r="N11" s="28">
        <f>AVERAGE(densidade_hab_indL!N29:N31)</f>
        <v>0</v>
      </c>
      <c r="O11" s="28">
        <f>AVERAGE(densidade_hab_indL!O29:O31)</f>
        <v>0</v>
      </c>
      <c r="P11" s="28">
        <f>AVERAGE(densidade_hab_indL!P29:P31)</f>
        <v>0</v>
      </c>
      <c r="Q11" s="28">
        <f>AVERAGE(densidade_hab_indL!Q29:Q31)</f>
        <v>0</v>
      </c>
      <c r="R11" s="28">
        <f>AVERAGE(densidade_hab_indL!R29:R31)</f>
        <v>0</v>
      </c>
      <c r="S11" s="28">
        <f>AVERAGE(densidade_hab_indL!S29:S31)</f>
        <v>6.6666666666666671E-3</v>
      </c>
      <c r="T11" s="28">
        <f>AVERAGE(densidade_hab_indL!T29:T31)</f>
        <v>0</v>
      </c>
      <c r="U11" s="28">
        <f>AVERAGE(densidade_hab_indL!U29:U31)</f>
        <v>0</v>
      </c>
      <c r="V11" s="28">
        <f>AVERAGE(densidade_hab_indL!V29:V31)</f>
        <v>0</v>
      </c>
      <c r="W11" s="28">
        <f>AVERAGE(densidade_hab_indL!W29:W31)</f>
        <v>0</v>
      </c>
      <c r="X11" s="28">
        <f>AVERAGE(densidade_hab_indL!X29:X31)</f>
        <v>0</v>
      </c>
      <c r="Y11" s="28">
        <f>AVERAGE(densidade_hab_indL!Y29:Y31)</f>
        <v>0</v>
      </c>
      <c r="Z11" s="28">
        <f>AVERAGE(densidade_hab_indL!Z29:Z31)</f>
        <v>6.6666666666666671E-3</v>
      </c>
      <c r="AA11" s="28">
        <f>AVERAGE(densidade_hab_indL!AA29:AA31)</f>
        <v>6.6666666666666671E-3</v>
      </c>
      <c r="AB11" s="28">
        <f>AVERAGE(densidade_hab_indL!AB29:AB31)</f>
        <v>0</v>
      </c>
      <c r="AC11" s="28">
        <f>AVERAGE(densidade_hab_indL!AC29:AC31)</f>
        <v>0</v>
      </c>
      <c r="AD11" s="28">
        <f>AVERAGE(densidade_hab_indL!AD29:AD31)</f>
        <v>0</v>
      </c>
      <c r="AE11" s="28">
        <f>AVERAGE(densidade_hab_indL!AE29:AE31)</f>
        <v>0</v>
      </c>
      <c r="AF11" s="28">
        <f>AVERAGE(densidade_hab_indL!AF29:AF31)</f>
        <v>0</v>
      </c>
      <c r="AG11" s="28">
        <f>AVERAGE(densidade_hab_indL!AG29:AG31)</f>
        <v>0</v>
      </c>
      <c r="AH11" s="28">
        <f>AVERAGE(densidade_hab_indL!AH29:AH31)</f>
        <v>0</v>
      </c>
      <c r="AI11" s="28">
        <f>AVERAGE(densidade_hab_indL!AI29:AI31)</f>
        <v>0</v>
      </c>
      <c r="AJ11" s="28">
        <f>AVERAGE(densidade_hab_indL!AJ29:AJ31)</f>
        <v>6.6666666666666671E-3</v>
      </c>
      <c r="AK11" s="28">
        <f>AVERAGE(densidade_hab_indL!AK29:AK31)</f>
        <v>0</v>
      </c>
      <c r="AL11" s="28">
        <f>AVERAGE(densidade_hab_indL!AL29:AL31)</f>
        <v>0</v>
      </c>
      <c r="AM11" s="28">
        <f>AVERAGE(densidade_hab_indL!AM29:AM31)</f>
        <v>0</v>
      </c>
      <c r="AN11" s="28">
        <f>AVERAGE(densidade_hab_indL!AN29:AN31)</f>
        <v>0</v>
      </c>
      <c r="AO11" s="28">
        <f>AVERAGE(densidade_hab_indL!AO29:AO31)</f>
        <v>0</v>
      </c>
      <c r="AP11" s="28">
        <f>AVERAGE(densidade_hab_indL!AP29:AP31)</f>
        <v>0</v>
      </c>
      <c r="AQ11" s="28">
        <f>AVERAGE(densidade_hab_indL!AQ29:AQ31)</f>
        <v>0</v>
      </c>
      <c r="AR11" s="28">
        <f>AVERAGE(densidade_hab_indL!AR29:AR31)</f>
        <v>0</v>
      </c>
      <c r="AS11" s="28">
        <f>AVERAGE(densidade_hab_indL!AS29:AS31)</f>
        <v>0</v>
      </c>
      <c r="AT11" s="28">
        <f>AVERAGE(densidade_hab_indL!AT29:AT31)</f>
        <v>0</v>
      </c>
      <c r="AU11" s="28">
        <f>AVERAGE(densidade_hab_indL!AU29:AU31)</f>
        <v>0</v>
      </c>
      <c r="AV11" s="28">
        <f>AVERAGE(densidade_hab_indL!AV29:AV31)</f>
        <v>6.6666666666666666E-2</v>
      </c>
      <c r="AW11" s="28">
        <f>AVERAGE(densidade_hab_indL!AW29:AW31)</f>
        <v>0</v>
      </c>
      <c r="AX11" s="28">
        <f>AVERAGE(densidade_hab_indL!AX29:AX31)</f>
        <v>0</v>
      </c>
      <c r="AY11" s="28">
        <f>AVERAGE(densidade_hab_indL!AY29:AY31)</f>
        <v>0</v>
      </c>
      <c r="AZ11" s="28">
        <f>AVERAGE(densidade_hab_indL!AZ29:AZ31)</f>
        <v>0</v>
      </c>
      <c r="BA11" s="28">
        <f>AVERAGE(densidade_hab_indL!BA29:BA31)</f>
        <v>0</v>
      </c>
      <c r="BB11" s="28">
        <f>AVERAGE(densidade_hab_indL!BB29:BB31)</f>
        <v>0</v>
      </c>
      <c r="BC11" s="28">
        <f>AVERAGE(densidade_hab_indL!BC29:BC31)</f>
        <v>0</v>
      </c>
      <c r="BD11" s="28">
        <f>AVERAGE(densidade_hab_indL!BD29:BD31)</f>
        <v>0</v>
      </c>
      <c r="BE11" s="28">
        <f>AVERAGE(densidade_hab_indL!BE29:BE31)</f>
        <v>0</v>
      </c>
      <c r="BF11" s="28">
        <f>AVERAGE(densidade_hab_indL!BF29:BF31)</f>
        <v>0</v>
      </c>
      <c r="BG11" s="28">
        <f>AVERAGE(densidade_hab_indL!BG29:BG31)</f>
        <v>0</v>
      </c>
    </row>
    <row r="12" spans="1:67" ht="12.75" customHeight="1" x14ac:dyDescent="0.25">
      <c r="A12" s="4" t="s">
        <v>315</v>
      </c>
      <c r="B12" s="28">
        <f>AVERAGE(densidade_hab_indL!B32:B34)</f>
        <v>0</v>
      </c>
      <c r="C12" s="28">
        <f>AVERAGE(densidade_hab_indL!C32:C34)</f>
        <v>0</v>
      </c>
      <c r="D12" s="28">
        <f>AVERAGE(densidade_hab_indL!D32:D34)</f>
        <v>0</v>
      </c>
      <c r="E12" s="28">
        <f>AVERAGE(densidade_hab_indL!E32:E34)</f>
        <v>0.3666666666666667</v>
      </c>
      <c r="F12" s="28">
        <f>AVERAGE(densidade_hab_indL!F32:F34)</f>
        <v>0</v>
      </c>
      <c r="G12" s="28">
        <f>AVERAGE(densidade_hab_indL!G32:G34)</f>
        <v>0</v>
      </c>
      <c r="H12" s="28">
        <f>AVERAGE(densidade_hab_indL!H32:H34)</f>
        <v>0</v>
      </c>
      <c r="I12" s="28">
        <f>AVERAGE(densidade_hab_indL!I32:I34)</f>
        <v>0.13333333333333333</v>
      </c>
      <c r="J12" s="28">
        <f>AVERAGE(densidade_hab_indL!J32:J34)</f>
        <v>0</v>
      </c>
      <c r="K12" s="28">
        <f>AVERAGE(densidade_hab_indL!K32:K34)</f>
        <v>0</v>
      </c>
      <c r="L12" s="28">
        <f>AVERAGE(densidade_hab_indL!L32:L34)</f>
        <v>0</v>
      </c>
      <c r="M12" s="28">
        <f>AVERAGE(densidade_hab_indL!M32:M34)</f>
        <v>0</v>
      </c>
      <c r="N12" s="28">
        <f>AVERAGE(densidade_hab_indL!N32:N34)</f>
        <v>0</v>
      </c>
      <c r="O12" s="28">
        <f>AVERAGE(densidade_hab_indL!O32:O34)</f>
        <v>0</v>
      </c>
      <c r="P12" s="28">
        <f>AVERAGE(densidade_hab_indL!P32:P34)</f>
        <v>0</v>
      </c>
      <c r="Q12" s="28">
        <f>AVERAGE(densidade_hab_indL!Q32:Q34)</f>
        <v>0</v>
      </c>
      <c r="R12" s="28">
        <f>AVERAGE(densidade_hab_indL!R32:R34)</f>
        <v>0</v>
      </c>
      <c r="S12" s="28">
        <f>AVERAGE(densidade_hab_indL!S32:S34)</f>
        <v>0</v>
      </c>
      <c r="T12" s="28">
        <f>AVERAGE(densidade_hab_indL!T32:T34)</f>
        <v>0</v>
      </c>
      <c r="U12" s="28">
        <f>AVERAGE(densidade_hab_indL!U32:U34)</f>
        <v>0</v>
      </c>
      <c r="V12" s="28">
        <f>AVERAGE(densidade_hab_indL!V32:V34)</f>
        <v>0</v>
      </c>
      <c r="W12" s="28">
        <f>AVERAGE(densidade_hab_indL!W32:W34)</f>
        <v>0</v>
      </c>
      <c r="X12" s="28">
        <f>AVERAGE(densidade_hab_indL!X32:X34)</f>
        <v>0</v>
      </c>
      <c r="Y12" s="28">
        <f>AVERAGE(densidade_hab_indL!Y32:Y34)</f>
        <v>0</v>
      </c>
      <c r="Z12" s="28">
        <f>AVERAGE(densidade_hab_indL!Z32:Z34)</f>
        <v>0</v>
      </c>
      <c r="AA12" s="28">
        <f>AVERAGE(densidade_hab_indL!AA32:AA34)</f>
        <v>0</v>
      </c>
      <c r="AB12" s="28">
        <f>AVERAGE(densidade_hab_indL!AB32:AB34)</f>
        <v>0</v>
      </c>
      <c r="AC12" s="28">
        <f>AVERAGE(densidade_hab_indL!AC32:AC34)</f>
        <v>0</v>
      </c>
      <c r="AD12" s="28">
        <f>AVERAGE(densidade_hab_indL!AD32:AD34)</f>
        <v>0</v>
      </c>
      <c r="AE12" s="28">
        <f>AVERAGE(densidade_hab_indL!AE32:AE34)</f>
        <v>0</v>
      </c>
      <c r="AF12" s="28">
        <f>AVERAGE(densidade_hab_indL!AF32:AF34)</f>
        <v>0</v>
      </c>
      <c r="AG12" s="28">
        <f>AVERAGE(densidade_hab_indL!AG32:AG34)</f>
        <v>0</v>
      </c>
      <c r="AH12" s="28">
        <f>AVERAGE(densidade_hab_indL!AH32:AH34)</f>
        <v>0</v>
      </c>
      <c r="AI12" s="28">
        <f>AVERAGE(densidade_hab_indL!AI32:AI34)</f>
        <v>0</v>
      </c>
      <c r="AJ12" s="28">
        <f>AVERAGE(densidade_hab_indL!AJ32:AJ34)</f>
        <v>6.6666666666666671E-3</v>
      </c>
      <c r="AK12" s="28">
        <f>AVERAGE(densidade_hab_indL!AK32:AK34)</f>
        <v>0</v>
      </c>
      <c r="AL12" s="28">
        <f>AVERAGE(densidade_hab_indL!AL32:AL34)</f>
        <v>0</v>
      </c>
      <c r="AM12" s="28">
        <f>AVERAGE(densidade_hab_indL!AM32:AM34)</f>
        <v>0</v>
      </c>
      <c r="AN12" s="28">
        <f>AVERAGE(densidade_hab_indL!AN32:AN34)</f>
        <v>0</v>
      </c>
      <c r="AO12" s="28">
        <f>AVERAGE(densidade_hab_indL!AO32:AO34)</f>
        <v>0</v>
      </c>
      <c r="AP12" s="28">
        <f>AVERAGE(densidade_hab_indL!AP32:AP34)</f>
        <v>0</v>
      </c>
      <c r="AQ12" s="28">
        <f>AVERAGE(densidade_hab_indL!AQ32:AQ34)</f>
        <v>6.6666666666666671E-3</v>
      </c>
      <c r="AR12" s="28">
        <f>AVERAGE(densidade_hab_indL!AR32:AR34)</f>
        <v>0</v>
      </c>
      <c r="AS12" s="28">
        <f>AVERAGE(densidade_hab_indL!AS32:AS34)</f>
        <v>0</v>
      </c>
      <c r="AT12" s="28">
        <f>AVERAGE(densidade_hab_indL!AT32:AT34)</f>
        <v>0</v>
      </c>
      <c r="AU12" s="28">
        <f>AVERAGE(densidade_hab_indL!AU32:AU34)</f>
        <v>0</v>
      </c>
      <c r="AV12" s="28">
        <f>AVERAGE(densidade_hab_indL!AV32:AV34)</f>
        <v>0.11333333333333333</v>
      </c>
      <c r="AW12" s="28">
        <f>AVERAGE(densidade_hab_indL!AW32:AW34)</f>
        <v>0</v>
      </c>
      <c r="AX12" s="28">
        <f>AVERAGE(densidade_hab_indL!AX32:AX34)</f>
        <v>2.6666666666666668E-2</v>
      </c>
      <c r="AY12" s="28">
        <f>AVERAGE(densidade_hab_indL!AY32:AY34)</f>
        <v>0</v>
      </c>
      <c r="AZ12" s="28">
        <f>AVERAGE(densidade_hab_indL!AZ32:AZ34)</f>
        <v>0</v>
      </c>
      <c r="BA12" s="28">
        <f>AVERAGE(densidade_hab_indL!BA32:BA34)</f>
        <v>0</v>
      </c>
      <c r="BB12" s="28">
        <f>AVERAGE(densidade_hab_indL!BB32:BB34)</f>
        <v>0</v>
      </c>
      <c r="BC12" s="28">
        <f>AVERAGE(densidade_hab_indL!BC32:BC34)</f>
        <v>0</v>
      </c>
      <c r="BD12" s="28">
        <f>AVERAGE(densidade_hab_indL!BD32:BD34)</f>
        <v>0</v>
      </c>
      <c r="BE12" s="28">
        <f>AVERAGE(densidade_hab_indL!BE32:BE34)</f>
        <v>0</v>
      </c>
      <c r="BF12" s="28">
        <f>AVERAGE(densidade_hab_indL!BF32:BF34)</f>
        <v>0</v>
      </c>
      <c r="BG12" s="28">
        <f>AVERAGE(densidade_hab_indL!BG32:BG34)</f>
        <v>0</v>
      </c>
    </row>
    <row r="13" spans="1:67" ht="12.75" customHeight="1" x14ac:dyDescent="0.25">
      <c r="A13" s="4" t="s">
        <v>316</v>
      </c>
      <c r="B13" s="28">
        <f>AVERAGE(densidade_hab_indL!B35:B37)</f>
        <v>0.02</v>
      </c>
      <c r="C13" s="28">
        <f>AVERAGE(densidade_hab_indL!C35:C37)</f>
        <v>0</v>
      </c>
      <c r="D13" s="28">
        <f>AVERAGE(densidade_hab_indL!D35:D37)</f>
        <v>0.02</v>
      </c>
      <c r="E13" s="28">
        <f>AVERAGE(densidade_hab_indL!E35:E37)</f>
        <v>0.52666666666666673</v>
      </c>
      <c r="F13" s="28">
        <f>AVERAGE(densidade_hab_indL!F35:F37)</f>
        <v>0</v>
      </c>
      <c r="G13" s="28">
        <f>AVERAGE(densidade_hab_indL!G35:G37)</f>
        <v>2.6666666666666668E-2</v>
      </c>
      <c r="H13" s="28">
        <f>AVERAGE(densidade_hab_indL!H35:H37)</f>
        <v>0</v>
      </c>
      <c r="I13" s="28">
        <f>AVERAGE(densidade_hab_indL!I35:I37)</f>
        <v>1.1133333333333333</v>
      </c>
      <c r="J13" s="28">
        <f>AVERAGE(densidade_hab_indL!J35:J37)</f>
        <v>0</v>
      </c>
      <c r="K13" s="28">
        <f>AVERAGE(densidade_hab_indL!K35:K37)</f>
        <v>6.6666666666666671E-3</v>
      </c>
      <c r="L13" s="28">
        <f>AVERAGE(densidade_hab_indL!L35:L37)</f>
        <v>0.22</v>
      </c>
      <c r="M13" s="28">
        <f>AVERAGE(densidade_hab_indL!M35:M37)</f>
        <v>0.12000000000000001</v>
      </c>
      <c r="N13" s="28">
        <f>AVERAGE(densidade_hab_indL!N35:N37)</f>
        <v>1.3333333333333334E-2</v>
      </c>
      <c r="O13" s="28">
        <f>AVERAGE(densidade_hab_indL!O35:O37)</f>
        <v>0</v>
      </c>
      <c r="P13" s="28">
        <f>AVERAGE(densidade_hab_indL!P35:P37)</f>
        <v>0</v>
      </c>
      <c r="Q13" s="28">
        <f>AVERAGE(densidade_hab_indL!Q35:Q37)</f>
        <v>0</v>
      </c>
      <c r="R13" s="28">
        <f>AVERAGE(densidade_hab_indL!R35:R37)</f>
        <v>0</v>
      </c>
      <c r="S13" s="28">
        <f>AVERAGE(densidade_hab_indL!S35:S37)</f>
        <v>5.3333333333333337E-2</v>
      </c>
      <c r="T13" s="28">
        <f>AVERAGE(densidade_hab_indL!T35:T37)</f>
        <v>0.02</v>
      </c>
      <c r="U13" s="28">
        <f>AVERAGE(densidade_hab_indL!U35:U37)</f>
        <v>6.6666666666666671E-3</v>
      </c>
      <c r="V13" s="28">
        <f>AVERAGE(densidade_hab_indL!V35:V37)</f>
        <v>2.6666666666666668E-2</v>
      </c>
      <c r="W13" s="28">
        <f>AVERAGE(densidade_hab_indL!W35:W37)</f>
        <v>0</v>
      </c>
      <c r="X13" s="28">
        <f>AVERAGE(densidade_hab_indL!X35:X37)</f>
        <v>0</v>
      </c>
      <c r="Y13" s="28">
        <f>AVERAGE(densidade_hab_indL!Y35:Y37)</f>
        <v>0.02</v>
      </c>
      <c r="Z13" s="28">
        <f>AVERAGE(densidade_hab_indL!Z35:Z37)</f>
        <v>0</v>
      </c>
      <c r="AA13" s="28">
        <f>AVERAGE(densidade_hab_indL!AA35:AA37)</f>
        <v>0.02</v>
      </c>
      <c r="AB13" s="28">
        <f>AVERAGE(densidade_hab_indL!AB35:AB37)</f>
        <v>6.6666666666666671E-3</v>
      </c>
      <c r="AC13" s="28">
        <f>AVERAGE(densidade_hab_indL!AC35:AC37)</f>
        <v>6.6666666666666671E-3</v>
      </c>
      <c r="AD13" s="28">
        <f>AVERAGE(densidade_hab_indL!AD35:AD37)</f>
        <v>6.6666666666666671E-3</v>
      </c>
      <c r="AE13" s="28">
        <f>AVERAGE(densidade_hab_indL!AE35:AE37)</f>
        <v>0</v>
      </c>
      <c r="AF13" s="28">
        <f>AVERAGE(densidade_hab_indL!AF35:AF37)</f>
        <v>0</v>
      </c>
      <c r="AG13" s="28">
        <f>AVERAGE(densidade_hab_indL!AG35:AG37)</f>
        <v>0</v>
      </c>
      <c r="AH13" s="28">
        <f>AVERAGE(densidade_hab_indL!AH35:AH37)</f>
        <v>0</v>
      </c>
      <c r="AI13" s="28">
        <f>AVERAGE(densidade_hab_indL!AI35:AI37)</f>
        <v>0</v>
      </c>
      <c r="AJ13" s="28">
        <f>AVERAGE(densidade_hab_indL!AJ35:AJ37)</f>
        <v>0</v>
      </c>
      <c r="AK13" s="28">
        <f>AVERAGE(densidade_hab_indL!AK35:AK37)</f>
        <v>0</v>
      </c>
      <c r="AL13" s="28">
        <f>AVERAGE(densidade_hab_indL!AL35:AL37)</f>
        <v>0</v>
      </c>
      <c r="AM13" s="28">
        <f>AVERAGE(densidade_hab_indL!AM35:AM37)</f>
        <v>0.02</v>
      </c>
      <c r="AN13" s="28">
        <f>AVERAGE(densidade_hab_indL!AN35:AN37)</f>
        <v>1.3333333333333334E-2</v>
      </c>
      <c r="AO13" s="28">
        <f>AVERAGE(densidade_hab_indL!AO35:AO37)</f>
        <v>2.6666666666666668E-2</v>
      </c>
      <c r="AP13" s="28">
        <f>AVERAGE(densidade_hab_indL!AP35:AP37)</f>
        <v>1.3333333333333334E-2</v>
      </c>
      <c r="AQ13" s="28">
        <f>AVERAGE(densidade_hab_indL!AQ35:AQ37)</f>
        <v>0.04</v>
      </c>
      <c r="AR13" s="28">
        <f>AVERAGE(densidade_hab_indL!AR35:AR37)</f>
        <v>0</v>
      </c>
      <c r="AS13" s="28">
        <f>AVERAGE(densidade_hab_indL!AS35:AS37)</f>
        <v>0</v>
      </c>
      <c r="AT13" s="28">
        <f>AVERAGE(densidade_hab_indL!AT35:AT37)</f>
        <v>0</v>
      </c>
      <c r="AU13" s="28">
        <f>AVERAGE(densidade_hab_indL!AU35:AU37)</f>
        <v>0</v>
      </c>
      <c r="AV13" s="28">
        <f>AVERAGE(densidade_hab_indL!AV35:AV37)</f>
        <v>6.3533333333333326</v>
      </c>
      <c r="AW13" s="28">
        <f>AVERAGE(densidade_hab_indL!AW35:AW37)</f>
        <v>0.32</v>
      </c>
      <c r="AX13" s="28">
        <f>AVERAGE(densidade_hab_indL!AX35:AX37)</f>
        <v>7.3333333333333348E-2</v>
      </c>
      <c r="AY13" s="28">
        <f>AVERAGE(densidade_hab_indL!AY35:AY37)</f>
        <v>0</v>
      </c>
      <c r="AZ13" s="28">
        <f>AVERAGE(densidade_hab_indL!AZ35:AZ37)</f>
        <v>0</v>
      </c>
      <c r="BA13" s="28">
        <f>AVERAGE(densidade_hab_indL!BA35:BA37)</f>
        <v>0.24000000000000002</v>
      </c>
      <c r="BB13" s="28">
        <f>AVERAGE(densidade_hab_indL!BB35:BB37)</f>
        <v>0</v>
      </c>
      <c r="BC13" s="28">
        <f>AVERAGE(densidade_hab_indL!BC35:BC37)</f>
        <v>0.96666666666666667</v>
      </c>
      <c r="BD13" s="28">
        <f>AVERAGE(densidade_hab_indL!BD35:BD37)</f>
        <v>7.333333333333332E-2</v>
      </c>
      <c r="BE13" s="28">
        <f>AVERAGE(densidade_hab_indL!BE35:BE37)</f>
        <v>0.02</v>
      </c>
      <c r="BF13" s="28">
        <f>AVERAGE(densidade_hab_indL!BF35:BF37)</f>
        <v>6.6666666666666671E-3</v>
      </c>
      <c r="BG13" s="28">
        <f>AVERAGE(densidade_hab_indL!BG35:BG37)</f>
        <v>0</v>
      </c>
    </row>
    <row r="14" spans="1:67" ht="12.75" customHeight="1" x14ac:dyDescent="0.25">
      <c r="A14" s="4" t="s">
        <v>317</v>
      </c>
      <c r="B14" s="28">
        <f>AVERAGE(densidade_hab_indL!B38:B40)</f>
        <v>0.02</v>
      </c>
      <c r="C14" s="28">
        <f>AVERAGE(densidade_hab_indL!C38:C40)</f>
        <v>0</v>
      </c>
      <c r="D14" s="28">
        <f>AVERAGE(densidade_hab_indL!D38:D40)</f>
        <v>0</v>
      </c>
      <c r="E14" s="28">
        <f>AVERAGE(densidade_hab_indL!E38:E40)</f>
        <v>0.77999999999999992</v>
      </c>
      <c r="F14" s="28">
        <f>AVERAGE(densidade_hab_indL!F38:F40)</f>
        <v>0</v>
      </c>
      <c r="G14" s="28">
        <f>AVERAGE(densidade_hab_indL!G38:G40)</f>
        <v>0</v>
      </c>
      <c r="H14" s="28">
        <f>AVERAGE(densidade_hab_indL!H38:H40)</f>
        <v>0</v>
      </c>
      <c r="I14" s="28">
        <f>AVERAGE(densidade_hab_indL!I38:I40)</f>
        <v>1.3133333333333332</v>
      </c>
      <c r="J14" s="28">
        <f>AVERAGE(densidade_hab_indL!J38:J40)</f>
        <v>0</v>
      </c>
      <c r="K14" s="28">
        <f>AVERAGE(densidade_hab_indL!K38:K40)</f>
        <v>6.6666666666666671E-3</v>
      </c>
      <c r="L14" s="28">
        <f>AVERAGE(densidade_hab_indL!L38:L40)</f>
        <v>0</v>
      </c>
      <c r="M14" s="28">
        <f>AVERAGE(densidade_hab_indL!M38:M40)</f>
        <v>0</v>
      </c>
      <c r="N14" s="28">
        <f>AVERAGE(densidade_hab_indL!N38:N40)</f>
        <v>0</v>
      </c>
      <c r="O14" s="28">
        <f>AVERAGE(densidade_hab_indL!O38:O40)</f>
        <v>6.6666666666666671E-3</v>
      </c>
      <c r="P14" s="28">
        <f>AVERAGE(densidade_hab_indL!P38:P40)</f>
        <v>6.6666666666666671E-3</v>
      </c>
      <c r="Q14" s="28">
        <f>AVERAGE(densidade_hab_indL!Q38:Q40)</f>
        <v>0.02</v>
      </c>
      <c r="R14" s="28">
        <f>AVERAGE(densidade_hab_indL!R38:R40)</f>
        <v>0</v>
      </c>
      <c r="S14" s="28">
        <f>AVERAGE(densidade_hab_indL!S38:S40)</f>
        <v>6.6666666666666671E-3</v>
      </c>
      <c r="T14" s="28">
        <f>AVERAGE(densidade_hab_indL!T38:T40)</f>
        <v>0</v>
      </c>
      <c r="U14" s="28">
        <f>AVERAGE(densidade_hab_indL!U38:U40)</f>
        <v>0</v>
      </c>
      <c r="V14" s="28">
        <f>AVERAGE(densidade_hab_indL!V38:V40)</f>
        <v>0</v>
      </c>
      <c r="W14" s="28">
        <f>AVERAGE(densidade_hab_indL!W38:W40)</f>
        <v>0</v>
      </c>
      <c r="X14" s="28">
        <f>AVERAGE(densidade_hab_indL!X38:X40)</f>
        <v>0</v>
      </c>
      <c r="Y14" s="28">
        <f>AVERAGE(densidade_hab_indL!Y38:Y40)</f>
        <v>6.6666666666666671E-3</v>
      </c>
      <c r="Z14" s="28">
        <f>AVERAGE(densidade_hab_indL!Z38:Z40)</f>
        <v>0</v>
      </c>
      <c r="AA14" s="28">
        <f>AVERAGE(densidade_hab_indL!AA38:AA40)</f>
        <v>0</v>
      </c>
      <c r="AB14" s="28">
        <f>AVERAGE(densidade_hab_indL!AB38:AB40)</f>
        <v>0</v>
      </c>
      <c r="AC14" s="28">
        <f>AVERAGE(densidade_hab_indL!AC38:AC40)</f>
        <v>0</v>
      </c>
      <c r="AD14" s="28">
        <f>AVERAGE(densidade_hab_indL!AD38:AD40)</f>
        <v>6.6666666666666671E-3</v>
      </c>
      <c r="AE14" s="28">
        <f>AVERAGE(densidade_hab_indL!AE38:AE40)</f>
        <v>0</v>
      </c>
      <c r="AF14" s="28">
        <f>AVERAGE(densidade_hab_indL!AF38:AF40)</f>
        <v>0</v>
      </c>
      <c r="AG14" s="28">
        <f>AVERAGE(densidade_hab_indL!AG38:AG40)</f>
        <v>6.6666666666666671E-3</v>
      </c>
      <c r="AH14" s="28">
        <f>AVERAGE(densidade_hab_indL!AH38:AH40)</f>
        <v>0</v>
      </c>
      <c r="AI14" s="28">
        <f>AVERAGE(densidade_hab_indL!AI38:AI40)</f>
        <v>0</v>
      </c>
      <c r="AJ14" s="28">
        <f>AVERAGE(densidade_hab_indL!AJ38:AJ40)</f>
        <v>0</v>
      </c>
      <c r="AK14" s="28">
        <f>AVERAGE(densidade_hab_indL!AK38:AK40)</f>
        <v>0</v>
      </c>
      <c r="AL14" s="28">
        <f>AVERAGE(densidade_hab_indL!AL38:AL40)</f>
        <v>0</v>
      </c>
      <c r="AM14" s="28">
        <f>AVERAGE(densidade_hab_indL!AM38:AM40)</f>
        <v>1.3333333333333334E-2</v>
      </c>
      <c r="AN14" s="28">
        <f>AVERAGE(densidade_hab_indL!AN38:AN40)</f>
        <v>0</v>
      </c>
      <c r="AO14" s="28">
        <f>AVERAGE(densidade_hab_indL!AO38:AO40)</f>
        <v>0.02</v>
      </c>
      <c r="AP14" s="28">
        <f>AVERAGE(densidade_hab_indL!AP38:AP40)</f>
        <v>0</v>
      </c>
      <c r="AQ14" s="28">
        <f>AVERAGE(densidade_hab_indL!AQ38:AQ40)</f>
        <v>6.6666666666666671E-3</v>
      </c>
      <c r="AR14" s="28">
        <f>AVERAGE(densidade_hab_indL!AR38:AR40)</f>
        <v>2.6666666666666668E-2</v>
      </c>
      <c r="AS14" s="28">
        <f>AVERAGE(densidade_hab_indL!AS38:AS40)</f>
        <v>6.6666666666666671E-3</v>
      </c>
      <c r="AT14" s="28">
        <f>AVERAGE(densidade_hab_indL!AT38:AT40)</f>
        <v>6.6666666666666671E-3</v>
      </c>
      <c r="AU14" s="28">
        <f>AVERAGE(densidade_hab_indL!AU38:AU40)</f>
        <v>0</v>
      </c>
      <c r="AV14" s="28">
        <f>AVERAGE(densidade_hab_indL!AV38:AV40)</f>
        <v>0.56666666666666665</v>
      </c>
      <c r="AW14" s="28">
        <f>AVERAGE(densidade_hab_indL!AW38:AW40)</f>
        <v>0.23333333333333336</v>
      </c>
      <c r="AX14" s="28">
        <f>AVERAGE(densidade_hab_indL!AX38:AX40)</f>
        <v>0.19999999999999998</v>
      </c>
      <c r="AY14" s="28">
        <f>AVERAGE(densidade_hab_indL!AY38:AY40)</f>
        <v>0</v>
      </c>
      <c r="AZ14" s="28">
        <f>AVERAGE(densidade_hab_indL!AZ38:AZ40)</f>
        <v>0</v>
      </c>
      <c r="BA14" s="28">
        <f>AVERAGE(densidade_hab_indL!BA38:BA40)</f>
        <v>0</v>
      </c>
      <c r="BB14" s="28">
        <f>AVERAGE(densidade_hab_indL!BB38:BB40)</f>
        <v>0</v>
      </c>
      <c r="BC14" s="28">
        <f>AVERAGE(densidade_hab_indL!BC38:BC40)</f>
        <v>0</v>
      </c>
      <c r="BD14" s="28">
        <f>AVERAGE(densidade_hab_indL!BD38:BD40)</f>
        <v>0</v>
      </c>
      <c r="BE14" s="28">
        <f>AVERAGE(densidade_hab_indL!BE38:BE40)</f>
        <v>0</v>
      </c>
      <c r="BF14" s="28">
        <f>AVERAGE(densidade_hab_indL!BF38:BF40)</f>
        <v>6.6666666666666671E-3</v>
      </c>
      <c r="BG14" s="28">
        <f>AVERAGE(densidade_hab_indL!BG38:BG40)</f>
        <v>0</v>
      </c>
    </row>
    <row r="15" spans="1:67" ht="12.75" customHeight="1" x14ac:dyDescent="0.25">
      <c r="A15" s="4" t="s">
        <v>318</v>
      </c>
      <c r="B15" s="28">
        <f>AVERAGE(densidade_hab_indL!B41:B43)</f>
        <v>0.02</v>
      </c>
      <c r="C15" s="28">
        <f>AVERAGE(densidade_hab_indL!C41:C43)</f>
        <v>0</v>
      </c>
      <c r="D15" s="28">
        <f>AVERAGE(densidade_hab_indL!D41:D43)</f>
        <v>0</v>
      </c>
      <c r="E15" s="28">
        <f>AVERAGE(densidade_hab_indL!E41:E43)</f>
        <v>0.3133333333333333</v>
      </c>
      <c r="F15" s="28">
        <f>AVERAGE(densidade_hab_indL!F41:F43)</f>
        <v>0</v>
      </c>
      <c r="G15" s="28">
        <f>AVERAGE(densidade_hab_indL!G41:G43)</f>
        <v>0.02</v>
      </c>
      <c r="H15" s="28">
        <f>AVERAGE(densidade_hab_indL!H41:H43)</f>
        <v>0</v>
      </c>
      <c r="I15" s="28">
        <f>AVERAGE(densidade_hab_indL!I41:I43)</f>
        <v>0.15333333333333335</v>
      </c>
      <c r="J15" s="28">
        <f>AVERAGE(densidade_hab_indL!J41:J43)</f>
        <v>0</v>
      </c>
      <c r="K15" s="28">
        <f>AVERAGE(densidade_hab_indL!K41:K43)</f>
        <v>0</v>
      </c>
      <c r="L15" s="28">
        <f>AVERAGE(densidade_hab_indL!L41:L43)</f>
        <v>0</v>
      </c>
      <c r="M15" s="28">
        <f>AVERAGE(densidade_hab_indL!M41:M43)</f>
        <v>0</v>
      </c>
      <c r="N15" s="28">
        <f>AVERAGE(densidade_hab_indL!N41:N43)</f>
        <v>0</v>
      </c>
      <c r="O15" s="28">
        <f>AVERAGE(densidade_hab_indL!O41:O43)</f>
        <v>0</v>
      </c>
      <c r="P15" s="28">
        <f>AVERAGE(densidade_hab_indL!P41:P43)</f>
        <v>0</v>
      </c>
      <c r="Q15" s="28">
        <f>AVERAGE(densidade_hab_indL!Q41:Q43)</f>
        <v>6.6666666666666671E-3</v>
      </c>
      <c r="R15" s="28">
        <f>AVERAGE(densidade_hab_indL!R41:R43)</f>
        <v>0</v>
      </c>
      <c r="S15" s="28">
        <f>AVERAGE(densidade_hab_indL!S41:S43)</f>
        <v>0</v>
      </c>
      <c r="T15" s="28">
        <f>AVERAGE(densidade_hab_indL!T41:T43)</f>
        <v>0</v>
      </c>
      <c r="U15" s="28">
        <f>AVERAGE(densidade_hab_indL!U41:U43)</f>
        <v>0</v>
      </c>
      <c r="V15" s="28">
        <f>AVERAGE(densidade_hab_indL!V41:V43)</f>
        <v>1.3333333333333334E-2</v>
      </c>
      <c r="W15" s="28">
        <f>AVERAGE(densidade_hab_indL!W41:W43)</f>
        <v>0</v>
      </c>
      <c r="X15" s="28">
        <f>AVERAGE(densidade_hab_indL!X41:X43)</f>
        <v>0</v>
      </c>
      <c r="Y15" s="28">
        <f>AVERAGE(densidade_hab_indL!Y41:Y43)</f>
        <v>0.02</v>
      </c>
      <c r="Z15" s="28">
        <f>AVERAGE(densidade_hab_indL!Z41:Z43)</f>
        <v>0</v>
      </c>
      <c r="AA15" s="28">
        <f>AVERAGE(densidade_hab_indL!AA41:AA43)</f>
        <v>0</v>
      </c>
      <c r="AB15" s="28">
        <f>AVERAGE(densidade_hab_indL!AB41:AB43)</f>
        <v>0</v>
      </c>
      <c r="AC15" s="28">
        <f>AVERAGE(densidade_hab_indL!AC41:AC43)</f>
        <v>0</v>
      </c>
      <c r="AD15" s="28">
        <f>AVERAGE(densidade_hab_indL!AD41:AD43)</f>
        <v>0</v>
      </c>
      <c r="AE15" s="28">
        <f>AVERAGE(densidade_hab_indL!AE41:AE43)</f>
        <v>0</v>
      </c>
      <c r="AF15" s="28">
        <f>AVERAGE(densidade_hab_indL!AF41:AF43)</f>
        <v>0</v>
      </c>
      <c r="AG15" s="28">
        <f>AVERAGE(densidade_hab_indL!AG41:AG43)</f>
        <v>0</v>
      </c>
      <c r="AH15" s="28">
        <f>AVERAGE(densidade_hab_indL!AH41:AH43)</f>
        <v>0</v>
      </c>
      <c r="AI15" s="28">
        <f>AVERAGE(densidade_hab_indL!AI41:AI43)</f>
        <v>0</v>
      </c>
      <c r="AJ15" s="28">
        <f>AVERAGE(densidade_hab_indL!AJ41:AJ43)</f>
        <v>0</v>
      </c>
      <c r="AK15" s="28">
        <f>AVERAGE(densidade_hab_indL!AK41:AK43)</f>
        <v>0</v>
      </c>
      <c r="AL15" s="28">
        <f>AVERAGE(densidade_hab_indL!AL41:AL43)</f>
        <v>0</v>
      </c>
      <c r="AM15" s="28">
        <f>AVERAGE(densidade_hab_indL!AM41:AM43)</f>
        <v>0</v>
      </c>
      <c r="AN15" s="28">
        <f>AVERAGE(densidade_hab_indL!AN41:AN43)</f>
        <v>0</v>
      </c>
      <c r="AO15" s="28">
        <f>AVERAGE(densidade_hab_indL!AO41:AO43)</f>
        <v>0</v>
      </c>
      <c r="AP15" s="28">
        <f>AVERAGE(densidade_hab_indL!AP41:AP43)</f>
        <v>0</v>
      </c>
      <c r="AQ15" s="28">
        <f>AVERAGE(densidade_hab_indL!AQ41:AQ43)</f>
        <v>0</v>
      </c>
      <c r="AR15" s="28">
        <f>AVERAGE(densidade_hab_indL!AR41:AR43)</f>
        <v>0</v>
      </c>
      <c r="AS15" s="28">
        <f>AVERAGE(densidade_hab_indL!AS41:AS43)</f>
        <v>0</v>
      </c>
      <c r="AT15" s="28">
        <f>AVERAGE(densidade_hab_indL!AT41:AT43)</f>
        <v>0</v>
      </c>
      <c r="AU15" s="28">
        <f>AVERAGE(densidade_hab_indL!AU41:AU43)</f>
        <v>0</v>
      </c>
      <c r="AV15" s="28">
        <f>AVERAGE(densidade_hab_indL!AV41:AV43)</f>
        <v>8.666666666666667E-2</v>
      </c>
      <c r="AW15" s="28">
        <f>AVERAGE(densidade_hab_indL!AW41:AW43)</f>
        <v>0</v>
      </c>
      <c r="AX15" s="28">
        <f>AVERAGE(densidade_hab_indL!AX41:AX43)</f>
        <v>0.02</v>
      </c>
      <c r="AY15" s="28">
        <f>AVERAGE(densidade_hab_indL!AY41:AY43)</f>
        <v>0</v>
      </c>
      <c r="AZ15" s="28">
        <f>AVERAGE(densidade_hab_indL!AZ41:AZ43)</f>
        <v>0</v>
      </c>
      <c r="BA15" s="28">
        <f>AVERAGE(densidade_hab_indL!BA41:BA43)</f>
        <v>0</v>
      </c>
      <c r="BB15" s="28">
        <f>AVERAGE(densidade_hab_indL!BB41:BB43)</f>
        <v>0</v>
      </c>
      <c r="BC15" s="28">
        <f>AVERAGE(densidade_hab_indL!BC41:BC43)</f>
        <v>0</v>
      </c>
      <c r="BD15" s="28">
        <f>AVERAGE(densidade_hab_indL!BD41:BD43)</f>
        <v>0</v>
      </c>
      <c r="BE15" s="28">
        <f>AVERAGE(densidade_hab_indL!BE41:BE43)</f>
        <v>0</v>
      </c>
      <c r="BF15" s="28">
        <f>AVERAGE(densidade_hab_indL!BF41:BF43)</f>
        <v>0</v>
      </c>
      <c r="BG15" s="28">
        <f>AVERAGE(densidade_hab_indL!BG41:BG43)</f>
        <v>0</v>
      </c>
    </row>
    <row r="16" spans="1:67" ht="12.75" customHeight="1" x14ac:dyDescent="0.25">
      <c r="A16" s="4" t="s">
        <v>319</v>
      </c>
      <c r="B16" s="28">
        <f>AVERAGE(densidade_hab_indL!B44:B46)</f>
        <v>0</v>
      </c>
      <c r="C16" s="28">
        <f>AVERAGE(densidade_hab_indL!C44:C46)</f>
        <v>1.3333333333333334E-2</v>
      </c>
      <c r="D16" s="28">
        <f>AVERAGE(densidade_hab_indL!D44:D46)</f>
        <v>0</v>
      </c>
      <c r="E16" s="28">
        <f>AVERAGE(densidade_hab_indL!E44:E46)</f>
        <v>1.0133333333333334</v>
      </c>
      <c r="F16" s="28">
        <f>AVERAGE(densidade_hab_indL!F44:F46)</f>
        <v>0</v>
      </c>
      <c r="G16" s="28">
        <f>AVERAGE(densidade_hab_indL!G44:G46)</f>
        <v>6.6666666666666671E-3</v>
      </c>
      <c r="H16" s="28">
        <f>AVERAGE(densidade_hab_indL!H44:H46)</f>
        <v>0</v>
      </c>
      <c r="I16" s="28">
        <f>AVERAGE(densidade_hab_indL!I44:I46)</f>
        <v>0.02</v>
      </c>
      <c r="J16" s="28">
        <f>AVERAGE(densidade_hab_indL!J44:J46)</f>
        <v>0</v>
      </c>
      <c r="K16" s="28">
        <f>AVERAGE(densidade_hab_indL!K44:K46)</f>
        <v>0</v>
      </c>
      <c r="L16" s="28">
        <f>AVERAGE(densidade_hab_indL!L44:L46)</f>
        <v>0</v>
      </c>
      <c r="M16" s="28">
        <f>AVERAGE(densidade_hab_indL!M44:M46)</f>
        <v>0</v>
      </c>
      <c r="N16" s="28">
        <f>AVERAGE(densidade_hab_indL!N44:N46)</f>
        <v>0</v>
      </c>
      <c r="O16" s="28">
        <f>AVERAGE(densidade_hab_indL!O44:O46)</f>
        <v>0</v>
      </c>
      <c r="P16" s="28">
        <f>AVERAGE(densidade_hab_indL!P44:P46)</f>
        <v>0</v>
      </c>
      <c r="Q16" s="28">
        <f>AVERAGE(densidade_hab_indL!Q44:Q46)</f>
        <v>6.6666666666666671E-3</v>
      </c>
      <c r="R16" s="28">
        <f>AVERAGE(densidade_hab_indL!R44:R46)</f>
        <v>0</v>
      </c>
      <c r="S16" s="28">
        <f>AVERAGE(densidade_hab_indL!S44:S46)</f>
        <v>0</v>
      </c>
      <c r="T16" s="28">
        <f>AVERAGE(densidade_hab_indL!T44:T46)</f>
        <v>0</v>
      </c>
      <c r="U16" s="28">
        <f>AVERAGE(densidade_hab_indL!U44:U46)</f>
        <v>0</v>
      </c>
      <c r="V16" s="28">
        <f>AVERAGE(densidade_hab_indL!V44:V46)</f>
        <v>0</v>
      </c>
      <c r="W16" s="28">
        <f>AVERAGE(densidade_hab_indL!W44:W46)</f>
        <v>0</v>
      </c>
      <c r="X16" s="28">
        <f>AVERAGE(densidade_hab_indL!X44:X46)</f>
        <v>0</v>
      </c>
      <c r="Y16" s="28">
        <f>AVERAGE(densidade_hab_indL!Y44:Y46)</f>
        <v>0</v>
      </c>
      <c r="Z16" s="28">
        <f>AVERAGE(densidade_hab_indL!Z44:Z46)</f>
        <v>0</v>
      </c>
      <c r="AA16" s="28">
        <f>AVERAGE(densidade_hab_indL!AA44:AA46)</f>
        <v>0</v>
      </c>
      <c r="AB16" s="28">
        <f>AVERAGE(densidade_hab_indL!AB44:AB46)</f>
        <v>0</v>
      </c>
      <c r="AC16" s="28">
        <f>AVERAGE(densidade_hab_indL!AC44:AC46)</f>
        <v>0</v>
      </c>
      <c r="AD16" s="28">
        <f>AVERAGE(densidade_hab_indL!AD44:AD46)</f>
        <v>0</v>
      </c>
      <c r="AE16" s="28">
        <f>AVERAGE(densidade_hab_indL!AE44:AE46)</f>
        <v>0</v>
      </c>
      <c r="AF16" s="28">
        <f>AVERAGE(densidade_hab_indL!AF44:AF46)</f>
        <v>0</v>
      </c>
      <c r="AG16" s="28">
        <f>AVERAGE(densidade_hab_indL!AG44:AG46)</f>
        <v>0</v>
      </c>
      <c r="AH16" s="28">
        <f>AVERAGE(densidade_hab_indL!AH44:AH46)</f>
        <v>0</v>
      </c>
      <c r="AI16" s="28">
        <f>AVERAGE(densidade_hab_indL!AI44:AI46)</f>
        <v>0</v>
      </c>
      <c r="AJ16" s="28">
        <f>AVERAGE(densidade_hab_indL!AJ44:AJ46)</f>
        <v>0</v>
      </c>
      <c r="AK16" s="28">
        <f>AVERAGE(densidade_hab_indL!AK44:AK46)</f>
        <v>0</v>
      </c>
      <c r="AL16" s="28">
        <f>AVERAGE(densidade_hab_indL!AL44:AL46)</f>
        <v>0</v>
      </c>
      <c r="AM16" s="28">
        <f>AVERAGE(densidade_hab_indL!AM44:AM46)</f>
        <v>0</v>
      </c>
      <c r="AN16" s="28">
        <f>AVERAGE(densidade_hab_indL!AN44:AN46)</f>
        <v>0</v>
      </c>
      <c r="AO16" s="28">
        <f>AVERAGE(densidade_hab_indL!AO44:AO46)</f>
        <v>0</v>
      </c>
      <c r="AP16" s="28">
        <f>AVERAGE(densidade_hab_indL!AP44:AP46)</f>
        <v>0</v>
      </c>
      <c r="AQ16" s="28">
        <f>AVERAGE(densidade_hab_indL!AQ44:AQ46)</f>
        <v>0</v>
      </c>
      <c r="AR16" s="28">
        <f>AVERAGE(densidade_hab_indL!AR44:AR46)</f>
        <v>0</v>
      </c>
      <c r="AS16" s="28">
        <f>AVERAGE(densidade_hab_indL!AS44:AS46)</f>
        <v>0</v>
      </c>
      <c r="AT16" s="28">
        <f>AVERAGE(densidade_hab_indL!AT44:AT46)</f>
        <v>0</v>
      </c>
      <c r="AU16" s="28">
        <f>AVERAGE(densidade_hab_indL!AU44:AU46)</f>
        <v>0</v>
      </c>
      <c r="AV16" s="28">
        <f>AVERAGE(densidade_hab_indL!AV44:AV46)</f>
        <v>6.6666666666666671E-3</v>
      </c>
      <c r="AW16" s="28">
        <f>AVERAGE(densidade_hab_indL!AW44:AW46)</f>
        <v>0</v>
      </c>
      <c r="AX16" s="28">
        <f>AVERAGE(densidade_hab_indL!AX44:AX46)</f>
        <v>0</v>
      </c>
      <c r="AY16" s="28">
        <f>AVERAGE(densidade_hab_indL!AY44:AY46)</f>
        <v>0</v>
      </c>
      <c r="AZ16" s="28">
        <f>AVERAGE(densidade_hab_indL!AZ44:AZ46)</f>
        <v>0</v>
      </c>
      <c r="BA16" s="28">
        <f>AVERAGE(densidade_hab_indL!BA44:BA46)</f>
        <v>0</v>
      </c>
      <c r="BB16" s="28">
        <f>AVERAGE(densidade_hab_indL!BB44:BB46)</f>
        <v>0</v>
      </c>
      <c r="BC16" s="28">
        <f>AVERAGE(densidade_hab_indL!BC44:BC46)</f>
        <v>0</v>
      </c>
      <c r="BD16" s="28">
        <f>AVERAGE(densidade_hab_indL!BD44:BD46)</f>
        <v>0</v>
      </c>
      <c r="BE16" s="28">
        <f>AVERAGE(densidade_hab_indL!BE44:BE46)</f>
        <v>0</v>
      </c>
      <c r="BF16" s="28">
        <f>AVERAGE(densidade_hab_indL!BF44:BF46)</f>
        <v>0</v>
      </c>
      <c r="BG16" s="28">
        <f>AVERAGE(densidade_hab_indL!BG44:BG46)</f>
        <v>0</v>
      </c>
    </row>
    <row r="17" spans="1:59" ht="12.75" customHeight="1" x14ac:dyDescent="0.25">
      <c r="A17" s="4" t="s">
        <v>320</v>
      </c>
      <c r="B17" s="28">
        <f>AVERAGE(densidade_hab_indL!B47:B49)</f>
        <v>0</v>
      </c>
      <c r="C17" s="28">
        <f>AVERAGE(densidade_hab_indL!C47:C49)</f>
        <v>1.3333333333333334E-2</v>
      </c>
      <c r="D17" s="28">
        <f>AVERAGE(densidade_hab_indL!D47:D49)</f>
        <v>0</v>
      </c>
      <c r="E17" s="28">
        <f>AVERAGE(densidade_hab_indL!E47:E49)</f>
        <v>1.1533333333333333</v>
      </c>
      <c r="F17" s="28">
        <f>AVERAGE(densidade_hab_indL!F47:F49)</f>
        <v>0</v>
      </c>
      <c r="G17" s="28">
        <f>AVERAGE(densidade_hab_indL!G47:G49)</f>
        <v>0</v>
      </c>
      <c r="H17" s="28">
        <f>AVERAGE(densidade_hab_indL!H47:H49)</f>
        <v>0</v>
      </c>
      <c r="I17" s="28">
        <f>AVERAGE(densidade_hab_indL!I47:I49)</f>
        <v>0.04</v>
      </c>
      <c r="J17" s="28">
        <f>AVERAGE(densidade_hab_indL!J47:J49)</f>
        <v>0</v>
      </c>
      <c r="K17" s="28">
        <f>AVERAGE(densidade_hab_indL!K47:K49)</f>
        <v>0</v>
      </c>
      <c r="L17" s="28">
        <f>AVERAGE(densidade_hab_indL!L47:L49)</f>
        <v>0</v>
      </c>
      <c r="M17" s="28">
        <f>AVERAGE(densidade_hab_indL!M47:M49)</f>
        <v>0</v>
      </c>
      <c r="N17" s="28">
        <f>AVERAGE(densidade_hab_indL!N47:N49)</f>
        <v>0</v>
      </c>
      <c r="O17" s="28">
        <f>AVERAGE(densidade_hab_indL!O47:O49)</f>
        <v>0</v>
      </c>
      <c r="P17" s="28">
        <f>AVERAGE(densidade_hab_indL!P47:P49)</f>
        <v>0</v>
      </c>
      <c r="Q17" s="28">
        <f>AVERAGE(densidade_hab_indL!Q47:Q49)</f>
        <v>1.3333333333333334E-2</v>
      </c>
      <c r="R17" s="28">
        <f>AVERAGE(densidade_hab_indL!R47:R49)</f>
        <v>0</v>
      </c>
      <c r="S17" s="28">
        <f>AVERAGE(densidade_hab_indL!S47:S49)</f>
        <v>0</v>
      </c>
      <c r="T17" s="28">
        <f>AVERAGE(densidade_hab_indL!T47:T49)</f>
        <v>0</v>
      </c>
      <c r="U17" s="28">
        <f>AVERAGE(densidade_hab_indL!U47:U49)</f>
        <v>0</v>
      </c>
      <c r="V17" s="28">
        <f>AVERAGE(densidade_hab_indL!V47:V49)</f>
        <v>0</v>
      </c>
      <c r="W17" s="28">
        <f>AVERAGE(densidade_hab_indL!W47:W49)</f>
        <v>0</v>
      </c>
      <c r="X17" s="28">
        <f>AVERAGE(densidade_hab_indL!X47:X49)</f>
        <v>0</v>
      </c>
      <c r="Y17" s="28">
        <f>AVERAGE(densidade_hab_indL!Y47:Y49)</f>
        <v>0</v>
      </c>
      <c r="Z17" s="28">
        <f>AVERAGE(densidade_hab_indL!Z47:Z49)</f>
        <v>1.3333333333333334E-2</v>
      </c>
      <c r="AA17" s="28">
        <f>AVERAGE(densidade_hab_indL!AA47:AA49)</f>
        <v>6.6666666666666671E-3</v>
      </c>
      <c r="AB17" s="28">
        <f>AVERAGE(densidade_hab_indL!AB47:AB49)</f>
        <v>0</v>
      </c>
      <c r="AC17" s="28">
        <f>AVERAGE(densidade_hab_indL!AC47:AC49)</f>
        <v>0</v>
      </c>
      <c r="AD17" s="28">
        <f>AVERAGE(densidade_hab_indL!AD47:AD49)</f>
        <v>0</v>
      </c>
      <c r="AE17" s="28">
        <f>AVERAGE(densidade_hab_indL!AE47:AE49)</f>
        <v>0</v>
      </c>
      <c r="AF17" s="28">
        <f>AVERAGE(densidade_hab_indL!AF47:AF49)</f>
        <v>0</v>
      </c>
      <c r="AG17" s="28">
        <f>AVERAGE(densidade_hab_indL!AG47:AG49)</f>
        <v>0</v>
      </c>
      <c r="AH17" s="28">
        <f>AVERAGE(densidade_hab_indL!AH47:AH49)</f>
        <v>0</v>
      </c>
      <c r="AI17" s="28">
        <f>AVERAGE(densidade_hab_indL!AI47:AI49)</f>
        <v>0</v>
      </c>
      <c r="AJ17" s="28">
        <f>AVERAGE(densidade_hab_indL!AJ47:AJ49)</f>
        <v>0</v>
      </c>
      <c r="AK17" s="28">
        <f>AVERAGE(densidade_hab_indL!AK47:AK49)</f>
        <v>0</v>
      </c>
      <c r="AL17" s="28">
        <f>AVERAGE(densidade_hab_indL!AL47:AL49)</f>
        <v>0</v>
      </c>
      <c r="AM17" s="28">
        <f>AVERAGE(densidade_hab_indL!AM47:AM49)</f>
        <v>0</v>
      </c>
      <c r="AN17" s="28">
        <f>AVERAGE(densidade_hab_indL!AN47:AN49)</f>
        <v>0</v>
      </c>
      <c r="AO17" s="28">
        <f>AVERAGE(densidade_hab_indL!AO47:AO49)</f>
        <v>0</v>
      </c>
      <c r="AP17" s="28">
        <f>AVERAGE(densidade_hab_indL!AP47:AP49)</f>
        <v>0</v>
      </c>
      <c r="AQ17" s="28">
        <f>AVERAGE(densidade_hab_indL!AQ47:AQ49)</f>
        <v>1.3333333333333334E-2</v>
      </c>
      <c r="AR17" s="28">
        <f>AVERAGE(densidade_hab_indL!AR47:AR49)</f>
        <v>0</v>
      </c>
      <c r="AS17" s="28">
        <f>AVERAGE(densidade_hab_indL!AS47:AS49)</f>
        <v>0</v>
      </c>
      <c r="AT17" s="28">
        <f>AVERAGE(densidade_hab_indL!AT47:AT49)</f>
        <v>0</v>
      </c>
      <c r="AU17" s="28">
        <f>AVERAGE(densidade_hab_indL!AU47:AU49)</f>
        <v>0</v>
      </c>
      <c r="AV17" s="28">
        <f>AVERAGE(densidade_hab_indL!AV47:AV49)</f>
        <v>0.02</v>
      </c>
      <c r="AW17" s="28">
        <f>AVERAGE(densidade_hab_indL!AW47:AW49)</f>
        <v>6.6666666666666671E-3</v>
      </c>
      <c r="AX17" s="28">
        <f>AVERAGE(densidade_hab_indL!AX47:AX49)</f>
        <v>6.6666666666666671E-3</v>
      </c>
      <c r="AY17" s="28">
        <f>AVERAGE(densidade_hab_indL!AY47:AY49)</f>
        <v>1.3333333333333334E-2</v>
      </c>
      <c r="AZ17" s="28">
        <f>AVERAGE(densidade_hab_indL!AZ47:AZ49)</f>
        <v>0</v>
      </c>
      <c r="BA17" s="28">
        <f>AVERAGE(densidade_hab_indL!BA47:BA49)</f>
        <v>0</v>
      </c>
      <c r="BB17" s="28">
        <f>AVERAGE(densidade_hab_indL!BB47:BB49)</f>
        <v>0</v>
      </c>
      <c r="BC17" s="28">
        <f>AVERAGE(densidade_hab_indL!BC47:BC49)</f>
        <v>0</v>
      </c>
      <c r="BD17" s="28">
        <f>AVERAGE(densidade_hab_indL!BD47:BD49)</f>
        <v>0</v>
      </c>
      <c r="BE17" s="28">
        <f>AVERAGE(densidade_hab_indL!BE47:BE49)</f>
        <v>0</v>
      </c>
      <c r="BF17" s="28">
        <f>AVERAGE(densidade_hab_indL!BF47:BF49)</f>
        <v>0</v>
      </c>
      <c r="BG17" s="28">
        <f>AVERAGE(densidade_hab_indL!BG47:BG49)</f>
        <v>0</v>
      </c>
    </row>
    <row r="18" spans="1:59" ht="12.75" customHeight="1" x14ac:dyDescent="0.25">
      <c r="A18" s="4" t="s">
        <v>321</v>
      </c>
      <c r="B18" s="29">
        <f>AVERAGE(densidade_hab_indL!B50:B52)</f>
        <v>6.6666666666666671E-3</v>
      </c>
      <c r="C18" s="29">
        <f>AVERAGE(densidade_hab_indL!C50:C52)</f>
        <v>0</v>
      </c>
      <c r="D18" s="29">
        <f>AVERAGE(densidade_hab_indL!D50:D52)</f>
        <v>0</v>
      </c>
      <c r="E18" s="29">
        <f>AVERAGE(densidade_hab_indL!E50:E52)</f>
        <v>1.6666666666666667</v>
      </c>
      <c r="F18" s="29">
        <f>AVERAGE(densidade_hab_indL!F50:F52)</f>
        <v>0</v>
      </c>
      <c r="G18" s="29">
        <f>AVERAGE(densidade_hab_indL!G50:G52)</f>
        <v>0</v>
      </c>
      <c r="H18" s="29">
        <f>AVERAGE(densidade_hab_indL!H50:H52)</f>
        <v>0</v>
      </c>
      <c r="I18" s="29">
        <f>AVERAGE(densidade_hab_indL!I50:I52)</f>
        <v>0.54666666666666675</v>
      </c>
      <c r="J18" s="29">
        <f>AVERAGE(densidade_hab_indL!J50:J52)</f>
        <v>0</v>
      </c>
      <c r="K18" s="29">
        <f>AVERAGE(densidade_hab_indL!K50:K52)</f>
        <v>0</v>
      </c>
      <c r="L18" s="29">
        <f>AVERAGE(densidade_hab_indL!L50:L52)</f>
        <v>0</v>
      </c>
      <c r="M18" s="29">
        <f>AVERAGE(densidade_hab_indL!M50:M52)</f>
        <v>0</v>
      </c>
      <c r="N18" s="29">
        <f>AVERAGE(densidade_hab_indL!N50:N52)</f>
        <v>0</v>
      </c>
      <c r="O18" s="29">
        <f>AVERAGE(densidade_hab_indL!O50:O52)</f>
        <v>0</v>
      </c>
      <c r="P18" s="29">
        <f>AVERAGE(densidade_hab_indL!P50:P52)</f>
        <v>0</v>
      </c>
      <c r="Q18" s="29">
        <f>AVERAGE(densidade_hab_indL!Q50:Q52)</f>
        <v>0</v>
      </c>
      <c r="R18" s="29">
        <f>AVERAGE(densidade_hab_indL!R50:R52)</f>
        <v>0</v>
      </c>
      <c r="S18" s="29">
        <f>AVERAGE(densidade_hab_indL!S50:S52)</f>
        <v>0</v>
      </c>
      <c r="T18" s="29">
        <f>AVERAGE(densidade_hab_indL!T50:T52)</f>
        <v>0</v>
      </c>
      <c r="U18" s="29">
        <f>AVERAGE(densidade_hab_indL!U50:U52)</f>
        <v>0</v>
      </c>
      <c r="V18" s="29">
        <f>AVERAGE(densidade_hab_indL!V50:V52)</f>
        <v>0</v>
      </c>
      <c r="W18" s="29">
        <f>AVERAGE(densidade_hab_indL!W50:W52)</f>
        <v>0</v>
      </c>
      <c r="X18" s="29">
        <f>AVERAGE(densidade_hab_indL!X50:X52)</f>
        <v>0</v>
      </c>
      <c r="Y18" s="29">
        <f>AVERAGE(densidade_hab_indL!Y50:Y52)</f>
        <v>0</v>
      </c>
      <c r="Z18" s="29">
        <f>AVERAGE(densidade_hab_indL!Z50:Z52)</f>
        <v>0</v>
      </c>
      <c r="AA18" s="29">
        <f>AVERAGE(densidade_hab_indL!AA50:AA52)</f>
        <v>0</v>
      </c>
      <c r="AB18" s="29">
        <f>AVERAGE(densidade_hab_indL!AB50:AB52)</f>
        <v>0</v>
      </c>
      <c r="AC18" s="29">
        <f>AVERAGE(densidade_hab_indL!AC50:AC52)</f>
        <v>0</v>
      </c>
      <c r="AD18" s="29">
        <f>AVERAGE(densidade_hab_indL!AD50:AD52)</f>
        <v>0</v>
      </c>
      <c r="AE18" s="29">
        <f>AVERAGE(densidade_hab_indL!AE50:AE52)</f>
        <v>0</v>
      </c>
      <c r="AF18" s="29">
        <f>AVERAGE(densidade_hab_indL!AF50:AF52)</f>
        <v>0</v>
      </c>
      <c r="AG18" s="29">
        <f>AVERAGE(densidade_hab_indL!AG50:AG52)</f>
        <v>0</v>
      </c>
      <c r="AH18" s="29">
        <f>AVERAGE(densidade_hab_indL!AH50:AH52)</f>
        <v>0</v>
      </c>
      <c r="AI18" s="29">
        <f>AVERAGE(densidade_hab_indL!AI50:AI52)</f>
        <v>0</v>
      </c>
      <c r="AJ18" s="29">
        <f>AVERAGE(densidade_hab_indL!AJ50:AJ52)</f>
        <v>0</v>
      </c>
      <c r="AK18" s="29">
        <f>AVERAGE(densidade_hab_indL!AK50:AK52)</f>
        <v>0</v>
      </c>
      <c r="AL18" s="29">
        <f>AVERAGE(densidade_hab_indL!AL50:AL52)</f>
        <v>1.3333333333333334E-2</v>
      </c>
      <c r="AM18" s="29">
        <f>AVERAGE(densidade_hab_indL!AM50:AM52)</f>
        <v>0</v>
      </c>
      <c r="AN18" s="29">
        <f>AVERAGE(densidade_hab_indL!AN50:AN52)</f>
        <v>0</v>
      </c>
      <c r="AO18" s="29">
        <f>AVERAGE(densidade_hab_indL!AO50:AO52)</f>
        <v>0</v>
      </c>
      <c r="AP18" s="29">
        <f>AVERAGE(densidade_hab_indL!AP50:AP52)</f>
        <v>0</v>
      </c>
      <c r="AQ18" s="29">
        <f>AVERAGE(densidade_hab_indL!AQ50:AQ52)</f>
        <v>0</v>
      </c>
      <c r="AR18" s="29">
        <f>AVERAGE(densidade_hab_indL!AR50:AR52)</f>
        <v>0</v>
      </c>
      <c r="AS18" s="29">
        <f>AVERAGE(densidade_hab_indL!AS50:AS52)</f>
        <v>0</v>
      </c>
      <c r="AT18" s="29">
        <f>AVERAGE(densidade_hab_indL!AT50:AT52)</f>
        <v>0</v>
      </c>
      <c r="AU18" s="29">
        <f>AVERAGE(densidade_hab_indL!AU50:AU52)</f>
        <v>0</v>
      </c>
      <c r="AV18" s="29">
        <f>AVERAGE(densidade_hab_indL!AV50:AV52)</f>
        <v>0.16666666666666666</v>
      </c>
      <c r="AW18" s="29">
        <f>AVERAGE(densidade_hab_indL!AW50:AW52)</f>
        <v>0</v>
      </c>
      <c r="AX18" s="29">
        <f>AVERAGE(densidade_hab_indL!AX50:AX52)</f>
        <v>1.3333333333333334E-2</v>
      </c>
      <c r="AY18" s="29">
        <f>AVERAGE(densidade_hab_indL!AY50:AY52)</f>
        <v>0</v>
      </c>
      <c r="AZ18" s="29">
        <f>AVERAGE(densidade_hab_indL!AZ50:AZ52)</f>
        <v>0</v>
      </c>
      <c r="BA18" s="29">
        <f>AVERAGE(densidade_hab_indL!BA50:BA52)</f>
        <v>0</v>
      </c>
      <c r="BB18" s="29">
        <f>AVERAGE(densidade_hab_indL!BB50:BB52)</f>
        <v>0</v>
      </c>
      <c r="BC18" s="29">
        <f>AVERAGE(densidade_hab_indL!BC50:BC52)</f>
        <v>0</v>
      </c>
      <c r="BD18" s="29">
        <f>AVERAGE(densidade_hab_indL!BD50:BD52)</f>
        <v>0</v>
      </c>
      <c r="BE18" s="29">
        <f>AVERAGE(densidade_hab_indL!BE50:BE52)</f>
        <v>0</v>
      </c>
      <c r="BF18" s="29">
        <f>AVERAGE(densidade_hab_indL!BF50:BF52)</f>
        <v>0</v>
      </c>
      <c r="BG18" s="29">
        <f>AVERAGE(densidade_hab_indL!BG50:BG52)</f>
        <v>0</v>
      </c>
    </row>
    <row r="19" spans="1:59" ht="12.75" customHeight="1" x14ac:dyDescent="0.25">
      <c r="A19" s="4" t="s">
        <v>322</v>
      </c>
      <c r="B19" s="29">
        <f>AVERAGE(densidade_hab_indL!B53:B55)</f>
        <v>2.6666666666666668E-2</v>
      </c>
      <c r="C19" s="29">
        <f>AVERAGE(densidade_hab_indL!C53:C55)</f>
        <v>0</v>
      </c>
      <c r="D19" s="29">
        <f>AVERAGE(densidade_hab_indL!D53:D55)</f>
        <v>0</v>
      </c>
      <c r="E19" s="29">
        <f>AVERAGE(densidade_hab_indL!E53:E55)</f>
        <v>1.3266666666666669</v>
      </c>
      <c r="F19" s="29">
        <f>AVERAGE(densidade_hab_indL!F53:F55)</f>
        <v>0</v>
      </c>
      <c r="G19" s="29">
        <f>AVERAGE(densidade_hab_indL!G53:G55)</f>
        <v>0</v>
      </c>
      <c r="H19" s="29">
        <f>AVERAGE(densidade_hab_indL!H53:H55)</f>
        <v>0</v>
      </c>
      <c r="I19" s="29">
        <f>AVERAGE(densidade_hab_indL!I53:I55)</f>
        <v>6.0000000000000005E-2</v>
      </c>
      <c r="J19" s="29">
        <f>AVERAGE(densidade_hab_indL!J53:J55)</f>
        <v>0</v>
      </c>
      <c r="K19" s="29">
        <f>AVERAGE(densidade_hab_indL!K53:K55)</f>
        <v>0</v>
      </c>
      <c r="L19" s="29">
        <f>AVERAGE(densidade_hab_indL!L53:L55)</f>
        <v>0</v>
      </c>
      <c r="M19" s="29">
        <f>AVERAGE(densidade_hab_indL!M53:M55)</f>
        <v>0</v>
      </c>
      <c r="N19" s="29">
        <f>AVERAGE(densidade_hab_indL!N53:N55)</f>
        <v>0</v>
      </c>
      <c r="O19" s="29">
        <f>AVERAGE(densidade_hab_indL!O53:O55)</f>
        <v>0</v>
      </c>
      <c r="P19" s="29">
        <f>AVERAGE(densidade_hab_indL!P53:P55)</f>
        <v>0</v>
      </c>
      <c r="Q19" s="29">
        <f>AVERAGE(densidade_hab_indL!Q53:Q55)</f>
        <v>0</v>
      </c>
      <c r="R19" s="29">
        <f>AVERAGE(densidade_hab_indL!R53:R55)</f>
        <v>0</v>
      </c>
      <c r="S19" s="29">
        <f>AVERAGE(densidade_hab_indL!S53:S55)</f>
        <v>0</v>
      </c>
      <c r="T19" s="29">
        <f>AVERAGE(densidade_hab_indL!T53:T55)</f>
        <v>0</v>
      </c>
      <c r="U19" s="29">
        <f>AVERAGE(densidade_hab_indL!U53:U55)</f>
        <v>0</v>
      </c>
      <c r="V19" s="29">
        <f>AVERAGE(densidade_hab_indL!V53:V55)</f>
        <v>0</v>
      </c>
      <c r="W19" s="29">
        <f>AVERAGE(densidade_hab_indL!W53:W55)</f>
        <v>0</v>
      </c>
      <c r="X19" s="29">
        <f>AVERAGE(densidade_hab_indL!X53:X55)</f>
        <v>0</v>
      </c>
      <c r="Y19" s="29">
        <f>AVERAGE(densidade_hab_indL!Y53:Y55)</f>
        <v>1.3333333333333334E-2</v>
      </c>
      <c r="Z19" s="29">
        <f>AVERAGE(densidade_hab_indL!Z53:Z55)</f>
        <v>0</v>
      </c>
      <c r="AA19" s="29">
        <f>AVERAGE(densidade_hab_indL!AA53:AA55)</f>
        <v>0</v>
      </c>
      <c r="AB19" s="29">
        <f>AVERAGE(densidade_hab_indL!AB53:AB55)</f>
        <v>0</v>
      </c>
      <c r="AC19" s="29">
        <f>AVERAGE(densidade_hab_indL!AC53:AC55)</f>
        <v>0</v>
      </c>
      <c r="AD19" s="29">
        <f>AVERAGE(densidade_hab_indL!AD53:AD55)</f>
        <v>0</v>
      </c>
      <c r="AE19" s="29">
        <f>AVERAGE(densidade_hab_indL!AE53:AE55)</f>
        <v>0</v>
      </c>
      <c r="AF19" s="29">
        <f>AVERAGE(densidade_hab_indL!AF53:AF55)</f>
        <v>0</v>
      </c>
      <c r="AG19" s="29">
        <f>AVERAGE(densidade_hab_indL!AG53:AG55)</f>
        <v>0</v>
      </c>
      <c r="AH19" s="29">
        <f>AVERAGE(densidade_hab_indL!AH53:AH55)</f>
        <v>0</v>
      </c>
      <c r="AI19" s="29">
        <f>AVERAGE(densidade_hab_indL!AI53:AI55)</f>
        <v>0</v>
      </c>
      <c r="AJ19" s="29">
        <f>AVERAGE(densidade_hab_indL!AJ53:AJ55)</f>
        <v>0</v>
      </c>
      <c r="AK19" s="29">
        <f>AVERAGE(densidade_hab_indL!AK53:AK55)</f>
        <v>0</v>
      </c>
      <c r="AL19" s="29">
        <f>AVERAGE(densidade_hab_indL!AL53:AL55)</f>
        <v>0</v>
      </c>
      <c r="AM19" s="29">
        <f>AVERAGE(densidade_hab_indL!AM53:AM55)</f>
        <v>0</v>
      </c>
      <c r="AN19" s="29">
        <f>AVERAGE(densidade_hab_indL!AN53:AN55)</f>
        <v>0</v>
      </c>
      <c r="AO19" s="29">
        <f>AVERAGE(densidade_hab_indL!AO53:AO55)</f>
        <v>0</v>
      </c>
      <c r="AP19" s="29">
        <f>AVERAGE(densidade_hab_indL!AP53:AP55)</f>
        <v>0</v>
      </c>
      <c r="AQ19" s="29">
        <f>AVERAGE(densidade_hab_indL!AQ53:AQ55)</f>
        <v>0</v>
      </c>
      <c r="AR19" s="29">
        <f>AVERAGE(densidade_hab_indL!AR53:AR55)</f>
        <v>0</v>
      </c>
      <c r="AS19" s="29">
        <f>AVERAGE(densidade_hab_indL!AS53:AS55)</f>
        <v>0</v>
      </c>
      <c r="AT19" s="29">
        <f>AVERAGE(densidade_hab_indL!AT53:AT55)</f>
        <v>0</v>
      </c>
      <c r="AU19" s="29">
        <f>AVERAGE(densidade_hab_indL!AU53:AU55)</f>
        <v>0</v>
      </c>
      <c r="AV19" s="29">
        <f>AVERAGE(densidade_hab_indL!AV53:AV55)</f>
        <v>0.06</v>
      </c>
      <c r="AW19" s="29">
        <f>AVERAGE(densidade_hab_indL!AW53:AW55)</f>
        <v>0</v>
      </c>
      <c r="AX19" s="29">
        <f>AVERAGE(densidade_hab_indL!AX53:AX55)</f>
        <v>6.6666666666666671E-3</v>
      </c>
      <c r="AY19" s="29">
        <f>AVERAGE(densidade_hab_indL!AY53:AY55)</f>
        <v>0</v>
      </c>
      <c r="AZ19" s="29">
        <f>AVERAGE(densidade_hab_indL!AZ53:AZ55)</f>
        <v>0</v>
      </c>
      <c r="BA19" s="29">
        <f>AVERAGE(densidade_hab_indL!BA53:BA55)</f>
        <v>0</v>
      </c>
      <c r="BB19" s="29">
        <f>AVERAGE(densidade_hab_indL!BB53:BB55)</f>
        <v>0</v>
      </c>
      <c r="BC19" s="29">
        <f>AVERAGE(densidade_hab_indL!BC53:BC55)</f>
        <v>0</v>
      </c>
      <c r="BD19" s="29">
        <f>AVERAGE(densidade_hab_indL!BD53:BD55)</f>
        <v>6.6666666666666671E-3</v>
      </c>
      <c r="BE19" s="29">
        <f>AVERAGE(densidade_hab_indL!BE53:BE55)</f>
        <v>0</v>
      </c>
      <c r="BF19" s="29">
        <f>AVERAGE(densidade_hab_indL!BF53:BF55)</f>
        <v>0</v>
      </c>
      <c r="BG19" s="29">
        <f>AVERAGE(densidade_hab_indL!BG53:BG55)</f>
        <v>0</v>
      </c>
    </row>
    <row r="20" spans="1:59" ht="12.75" customHeight="1" x14ac:dyDescent="0.25">
      <c r="A20" s="4" t="s">
        <v>323</v>
      </c>
      <c r="B20" s="29">
        <f>AVERAGE(densidade_hab_indL!B56:B58)</f>
        <v>1.3333333333333334E-2</v>
      </c>
      <c r="C20" s="29">
        <f>AVERAGE(densidade_hab_indL!C56:C58)</f>
        <v>0</v>
      </c>
      <c r="D20" s="29">
        <f>AVERAGE(densidade_hab_indL!D56:D58)</f>
        <v>0</v>
      </c>
      <c r="E20" s="29">
        <f>AVERAGE(densidade_hab_indL!E56:E58)</f>
        <v>1.5266666666666666</v>
      </c>
      <c r="F20" s="29">
        <f>AVERAGE(densidade_hab_indL!F56:F58)</f>
        <v>0</v>
      </c>
      <c r="G20" s="29">
        <f>AVERAGE(densidade_hab_indL!G56:G58)</f>
        <v>0</v>
      </c>
      <c r="H20" s="29">
        <f>AVERAGE(densidade_hab_indL!H56:H58)</f>
        <v>0</v>
      </c>
      <c r="I20" s="29">
        <f>AVERAGE(densidade_hab_indL!I56:I58)</f>
        <v>9.3333333333333338E-2</v>
      </c>
      <c r="J20" s="29">
        <f>AVERAGE(densidade_hab_indL!J56:J58)</f>
        <v>0</v>
      </c>
      <c r="K20" s="29">
        <f>AVERAGE(densidade_hab_indL!K56:K58)</f>
        <v>0</v>
      </c>
      <c r="L20" s="29">
        <f>AVERAGE(densidade_hab_indL!L56:L58)</f>
        <v>0</v>
      </c>
      <c r="M20" s="29">
        <f>AVERAGE(densidade_hab_indL!M56:M58)</f>
        <v>0</v>
      </c>
      <c r="N20" s="29">
        <f>AVERAGE(densidade_hab_indL!N56:N58)</f>
        <v>0</v>
      </c>
      <c r="O20" s="29">
        <f>AVERAGE(densidade_hab_indL!O56:O58)</f>
        <v>0</v>
      </c>
      <c r="P20" s="29">
        <f>AVERAGE(densidade_hab_indL!P56:P58)</f>
        <v>0</v>
      </c>
      <c r="Q20" s="29">
        <f>AVERAGE(densidade_hab_indL!Q56:Q58)</f>
        <v>0</v>
      </c>
      <c r="R20" s="29">
        <f>AVERAGE(densidade_hab_indL!R56:R58)</f>
        <v>0</v>
      </c>
      <c r="S20" s="29">
        <f>AVERAGE(densidade_hab_indL!S56:S58)</f>
        <v>0</v>
      </c>
      <c r="T20" s="29">
        <f>AVERAGE(densidade_hab_indL!T56:T58)</f>
        <v>0</v>
      </c>
      <c r="U20" s="29">
        <f>AVERAGE(densidade_hab_indL!U56:U58)</f>
        <v>0</v>
      </c>
      <c r="V20" s="29">
        <f>AVERAGE(densidade_hab_indL!V56:V58)</f>
        <v>0</v>
      </c>
      <c r="W20" s="29">
        <f>AVERAGE(densidade_hab_indL!W56:W58)</f>
        <v>0</v>
      </c>
      <c r="X20" s="29">
        <f>AVERAGE(densidade_hab_indL!X56:X58)</f>
        <v>0</v>
      </c>
      <c r="Y20" s="29">
        <f>AVERAGE(densidade_hab_indL!Y56:Y58)</f>
        <v>0</v>
      </c>
      <c r="Z20" s="29">
        <f>AVERAGE(densidade_hab_indL!Z56:Z58)</f>
        <v>0</v>
      </c>
      <c r="AA20" s="29">
        <f>AVERAGE(densidade_hab_indL!AA56:AA58)</f>
        <v>0</v>
      </c>
      <c r="AB20" s="29">
        <f>AVERAGE(densidade_hab_indL!AB56:AB58)</f>
        <v>0</v>
      </c>
      <c r="AC20" s="29">
        <f>AVERAGE(densidade_hab_indL!AC56:AC58)</f>
        <v>0</v>
      </c>
      <c r="AD20" s="29">
        <f>AVERAGE(densidade_hab_indL!AD56:AD58)</f>
        <v>0</v>
      </c>
      <c r="AE20" s="29">
        <f>AVERAGE(densidade_hab_indL!AE56:AE58)</f>
        <v>0</v>
      </c>
      <c r="AF20" s="29">
        <f>AVERAGE(densidade_hab_indL!AF56:AF58)</f>
        <v>0</v>
      </c>
      <c r="AG20" s="29">
        <f>AVERAGE(densidade_hab_indL!AG56:AG58)</f>
        <v>0</v>
      </c>
      <c r="AH20" s="29">
        <f>AVERAGE(densidade_hab_indL!AH56:AH58)</f>
        <v>0</v>
      </c>
      <c r="AI20" s="29">
        <f>AVERAGE(densidade_hab_indL!AI56:AI58)</f>
        <v>0</v>
      </c>
      <c r="AJ20" s="29">
        <f>AVERAGE(densidade_hab_indL!AJ56:AJ58)</f>
        <v>0</v>
      </c>
      <c r="AK20" s="29">
        <f>AVERAGE(densidade_hab_indL!AK56:AK58)</f>
        <v>0</v>
      </c>
      <c r="AL20" s="29">
        <f>AVERAGE(densidade_hab_indL!AL56:AL58)</f>
        <v>0</v>
      </c>
      <c r="AM20" s="29">
        <f>AVERAGE(densidade_hab_indL!AM56:AM58)</f>
        <v>0</v>
      </c>
      <c r="AN20" s="29">
        <f>AVERAGE(densidade_hab_indL!AN56:AN58)</f>
        <v>0</v>
      </c>
      <c r="AO20" s="29">
        <f>AVERAGE(densidade_hab_indL!AO56:AO58)</f>
        <v>0</v>
      </c>
      <c r="AP20" s="29">
        <f>AVERAGE(densidade_hab_indL!AP56:AP58)</f>
        <v>0</v>
      </c>
      <c r="AQ20" s="29">
        <f>AVERAGE(densidade_hab_indL!AQ56:AQ58)</f>
        <v>0</v>
      </c>
      <c r="AR20" s="29">
        <f>AVERAGE(densidade_hab_indL!AR56:AR58)</f>
        <v>0</v>
      </c>
      <c r="AS20" s="29">
        <f>AVERAGE(densidade_hab_indL!AS56:AS58)</f>
        <v>0</v>
      </c>
      <c r="AT20" s="29">
        <f>AVERAGE(densidade_hab_indL!AT56:AT58)</f>
        <v>0</v>
      </c>
      <c r="AU20" s="29">
        <f>AVERAGE(densidade_hab_indL!AU56:AU58)</f>
        <v>0</v>
      </c>
      <c r="AV20" s="29">
        <f>AVERAGE(densidade_hab_indL!AV56:AV58)</f>
        <v>0.13333333333333333</v>
      </c>
      <c r="AW20" s="29">
        <f>AVERAGE(densidade_hab_indL!AW56:AW58)</f>
        <v>0</v>
      </c>
      <c r="AX20" s="29">
        <f>AVERAGE(densidade_hab_indL!AX56:AX58)</f>
        <v>0</v>
      </c>
      <c r="AY20" s="29">
        <f>AVERAGE(densidade_hab_indL!AY56:AY58)</f>
        <v>0</v>
      </c>
      <c r="AZ20" s="29">
        <f>AVERAGE(densidade_hab_indL!AZ56:AZ58)</f>
        <v>0</v>
      </c>
      <c r="BA20" s="29">
        <f>AVERAGE(densidade_hab_indL!BA56:BA58)</f>
        <v>0</v>
      </c>
      <c r="BB20" s="29">
        <f>AVERAGE(densidade_hab_indL!BB56:BB58)</f>
        <v>0</v>
      </c>
      <c r="BC20" s="29">
        <f>AVERAGE(densidade_hab_indL!BC56:BC58)</f>
        <v>0</v>
      </c>
      <c r="BD20" s="29">
        <f>AVERAGE(densidade_hab_indL!BD56:BD58)</f>
        <v>0</v>
      </c>
      <c r="BE20" s="29">
        <f>AVERAGE(densidade_hab_indL!BE56:BE58)</f>
        <v>0</v>
      </c>
      <c r="BF20" s="29">
        <f>AVERAGE(densidade_hab_indL!BF56:BF58)</f>
        <v>0</v>
      </c>
      <c r="BG20" s="29">
        <f>AVERAGE(densidade_hab_indL!BG56:BG58)</f>
        <v>0</v>
      </c>
    </row>
    <row r="21" spans="1:59" ht="12.75" customHeight="1" x14ac:dyDescent="0.25">
      <c r="A21" s="4" t="s">
        <v>324</v>
      </c>
      <c r="B21" s="29">
        <f>AVERAGE(densidade_hab_indL!B59:B61)</f>
        <v>5.2866666666666662</v>
      </c>
      <c r="C21" s="29">
        <f>AVERAGE(densidade_hab_indL!C59:C61)</f>
        <v>1.0533333333333335</v>
      </c>
      <c r="D21" s="29">
        <f>AVERAGE(densidade_hab_indL!D59:D61)</f>
        <v>0.37999999999999995</v>
      </c>
      <c r="E21" s="29">
        <f>AVERAGE(densidade_hab_indL!E59:E61)</f>
        <v>3.4</v>
      </c>
      <c r="F21" s="29">
        <f>AVERAGE(densidade_hab_indL!F59:F61)</f>
        <v>6.6666666666666671E-3</v>
      </c>
      <c r="G21" s="29">
        <f>AVERAGE(densidade_hab_indL!G59:G61)</f>
        <v>0</v>
      </c>
      <c r="H21" s="29">
        <f>AVERAGE(densidade_hab_indL!H59:H61)</f>
        <v>0</v>
      </c>
      <c r="I21" s="29">
        <f>AVERAGE(densidade_hab_indL!I59:I61)</f>
        <v>12.146666666666668</v>
      </c>
      <c r="J21" s="29">
        <f>AVERAGE(densidade_hab_indL!J59:J61)</f>
        <v>3.1933333333333334</v>
      </c>
      <c r="K21" s="29">
        <f>AVERAGE(densidade_hab_indL!K59:K61)</f>
        <v>0</v>
      </c>
      <c r="L21" s="29">
        <f>AVERAGE(densidade_hab_indL!L59:L61)</f>
        <v>9.3333333333333338E-2</v>
      </c>
      <c r="M21" s="29">
        <f>AVERAGE(densidade_hab_indL!M59:M61)</f>
        <v>0</v>
      </c>
      <c r="N21" s="29">
        <f>AVERAGE(densidade_hab_indL!N59:N61)</f>
        <v>0</v>
      </c>
      <c r="O21" s="29">
        <f>AVERAGE(densidade_hab_indL!O59:O61)</f>
        <v>0</v>
      </c>
      <c r="P21" s="29">
        <f>AVERAGE(densidade_hab_indL!P59:P61)</f>
        <v>0</v>
      </c>
      <c r="Q21" s="29">
        <f>AVERAGE(densidade_hab_indL!Q59:Q61)</f>
        <v>6.6666666666666671E-3</v>
      </c>
      <c r="R21" s="29">
        <f>AVERAGE(densidade_hab_indL!R59:R61)</f>
        <v>0</v>
      </c>
      <c r="S21" s="29">
        <f>AVERAGE(densidade_hab_indL!S59:S61)</f>
        <v>4.6666666666666662E-2</v>
      </c>
      <c r="T21" s="29">
        <f>AVERAGE(densidade_hab_indL!T59:T61)</f>
        <v>2.6666666666666668E-2</v>
      </c>
      <c r="U21" s="29">
        <f>AVERAGE(densidade_hab_indL!U59:U61)</f>
        <v>0</v>
      </c>
      <c r="V21" s="29">
        <f>AVERAGE(densidade_hab_indL!V59:V61)</f>
        <v>6.6666666666666671E-3</v>
      </c>
      <c r="W21" s="29">
        <f>AVERAGE(densidade_hab_indL!W59:W61)</f>
        <v>0</v>
      </c>
      <c r="X21" s="29">
        <f>AVERAGE(densidade_hab_indL!X59:X61)</f>
        <v>0</v>
      </c>
      <c r="Y21" s="29">
        <f>AVERAGE(densidade_hab_indL!Y59:Y61)</f>
        <v>0.49333333333333335</v>
      </c>
      <c r="Z21" s="29">
        <f>AVERAGE(densidade_hab_indL!Z59:Z61)</f>
        <v>1.3333333333333334E-2</v>
      </c>
      <c r="AA21" s="29">
        <f>AVERAGE(densidade_hab_indL!AA59:AA61)</f>
        <v>1.3333333333333334E-2</v>
      </c>
      <c r="AB21" s="29">
        <f>AVERAGE(densidade_hab_indL!AB59:AB61)</f>
        <v>0</v>
      </c>
      <c r="AC21" s="29">
        <f>AVERAGE(densidade_hab_indL!AC59:AC61)</f>
        <v>0</v>
      </c>
      <c r="AD21" s="29">
        <f>AVERAGE(densidade_hab_indL!AD59:AD61)</f>
        <v>0</v>
      </c>
      <c r="AE21" s="29">
        <f>AVERAGE(densidade_hab_indL!AE59:AE61)</f>
        <v>0</v>
      </c>
      <c r="AF21" s="29">
        <f>AVERAGE(densidade_hab_indL!AF59:AF61)</f>
        <v>0</v>
      </c>
      <c r="AG21" s="29">
        <f>AVERAGE(densidade_hab_indL!AG59:AG61)</f>
        <v>0</v>
      </c>
      <c r="AH21" s="29">
        <f>AVERAGE(densidade_hab_indL!AH59:AH61)</f>
        <v>0</v>
      </c>
      <c r="AI21" s="29">
        <f>AVERAGE(densidade_hab_indL!AI59:AI61)</f>
        <v>0</v>
      </c>
      <c r="AJ21" s="29">
        <f>AVERAGE(densidade_hab_indL!AJ59:AJ61)</f>
        <v>3.3333333333333333E-2</v>
      </c>
      <c r="AK21" s="29">
        <f>AVERAGE(densidade_hab_indL!AK59:AK61)</f>
        <v>0.02</v>
      </c>
      <c r="AL21" s="29">
        <f>AVERAGE(densidade_hab_indL!AL59:AL61)</f>
        <v>0.57999999999999996</v>
      </c>
      <c r="AM21" s="29">
        <f>AVERAGE(densidade_hab_indL!AM59:AM61)</f>
        <v>0.15333333333333335</v>
      </c>
      <c r="AN21" s="29">
        <f>AVERAGE(densidade_hab_indL!AN59:AN61)</f>
        <v>0.16666666666666666</v>
      </c>
      <c r="AO21" s="29">
        <f>AVERAGE(densidade_hab_indL!AO59:AO61)</f>
        <v>0.02</v>
      </c>
      <c r="AP21" s="29">
        <f>AVERAGE(densidade_hab_indL!AP59:AP61)</f>
        <v>0.22666666666666666</v>
      </c>
      <c r="AQ21" s="29">
        <f>AVERAGE(densidade_hab_indL!AQ59:AQ61)</f>
        <v>0.08</v>
      </c>
      <c r="AR21" s="29">
        <f>AVERAGE(densidade_hab_indL!AR59:AR61)</f>
        <v>2.6666666666666668E-2</v>
      </c>
      <c r="AS21" s="29">
        <f>AVERAGE(densidade_hab_indL!AS59:AS61)</f>
        <v>0</v>
      </c>
      <c r="AT21" s="29">
        <f>AVERAGE(densidade_hab_indL!AT59:AT61)</f>
        <v>0</v>
      </c>
      <c r="AU21" s="29">
        <f>AVERAGE(densidade_hab_indL!AU59:AU61)</f>
        <v>0</v>
      </c>
      <c r="AV21" s="29">
        <f>AVERAGE(densidade_hab_indL!AV59:AV61)</f>
        <v>3.1666666666666665</v>
      </c>
      <c r="AW21" s="29">
        <f>AVERAGE(densidade_hab_indL!AW59:AW61)</f>
        <v>0</v>
      </c>
      <c r="AX21" s="29">
        <f>AVERAGE(densidade_hab_indL!AX59:AX61)</f>
        <v>0.7466666666666667</v>
      </c>
      <c r="AY21" s="29">
        <f>AVERAGE(densidade_hab_indL!AY59:AY61)</f>
        <v>0</v>
      </c>
      <c r="AZ21" s="29">
        <f>AVERAGE(densidade_hab_indL!AZ59:AZ61)</f>
        <v>0</v>
      </c>
      <c r="BA21" s="29">
        <f>AVERAGE(densidade_hab_indL!BA59:BA61)</f>
        <v>6.6666666666666671E-3</v>
      </c>
      <c r="BB21" s="29">
        <f>AVERAGE(densidade_hab_indL!BB59:BB61)</f>
        <v>0</v>
      </c>
      <c r="BC21" s="29">
        <f>AVERAGE(densidade_hab_indL!BC59:BC61)</f>
        <v>6.6666666666666671E-3</v>
      </c>
      <c r="BD21" s="29">
        <f>AVERAGE(densidade_hab_indL!BD59:BD61)</f>
        <v>0</v>
      </c>
      <c r="BE21" s="29">
        <f>AVERAGE(densidade_hab_indL!BE59:BE61)</f>
        <v>0</v>
      </c>
      <c r="BF21" s="29">
        <f>AVERAGE(densidade_hab_indL!BF59:BF61)</f>
        <v>0</v>
      </c>
      <c r="BG21" s="29">
        <f>AVERAGE(densidade_hab_indL!BG59:BG61)</f>
        <v>0</v>
      </c>
    </row>
    <row r="22" spans="1:59" ht="12.75" customHeight="1" x14ac:dyDescent="0.25">
      <c r="A22" s="4" t="s">
        <v>325</v>
      </c>
      <c r="B22" s="29">
        <f>AVERAGE(densidade_hab_indL!B62:B64)</f>
        <v>1.3333333333333334E-2</v>
      </c>
      <c r="C22" s="29">
        <f>AVERAGE(densidade_hab_indL!C62:C64)</f>
        <v>1.3333333333333334E-2</v>
      </c>
      <c r="D22" s="29">
        <f>AVERAGE(densidade_hab_indL!D62:D64)</f>
        <v>0</v>
      </c>
      <c r="E22" s="29">
        <f>AVERAGE(densidade_hab_indL!E62:E64)</f>
        <v>2.0066666666666664</v>
      </c>
      <c r="F22" s="29">
        <f>AVERAGE(densidade_hab_indL!F62:F64)</f>
        <v>0</v>
      </c>
      <c r="G22" s="29">
        <f>AVERAGE(densidade_hab_indL!G62:G64)</f>
        <v>0</v>
      </c>
      <c r="H22" s="29">
        <f>AVERAGE(densidade_hab_indL!H62:H64)</f>
        <v>0</v>
      </c>
      <c r="I22" s="29">
        <f>AVERAGE(densidade_hab_indL!I62:I64)</f>
        <v>0</v>
      </c>
      <c r="J22" s="29">
        <f>AVERAGE(densidade_hab_indL!J62:J64)</f>
        <v>0</v>
      </c>
      <c r="K22" s="29">
        <f>AVERAGE(densidade_hab_indL!K62:K64)</f>
        <v>0</v>
      </c>
      <c r="L22" s="29">
        <f>AVERAGE(densidade_hab_indL!L62:L64)</f>
        <v>0</v>
      </c>
      <c r="M22" s="29">
        <f>AVERAGE(densidade_hab_indL!M62:M64)</f>
        <v>0</v>
      </c>
      <c r="N22" s="29">
        <f>AVERAGE(densidade_hab_indL!N62:N64)</f>
        <v>0</v>
      </c>
      <c r="O22" s="29">
        <f>AVERAGE(densidade_hab_indL!O62:O64)</f>
        <v>0</v>
      </c>
      <c r="P22" s="29">
        <f>AVERAGE(densidade_hab_indL!P62:P64)</f>
        <v>0</v>
      </c>
      <c r="Q22" s="29">
        <f>AVERAGE(densidade_hab_indL!Q62:Q64)</f>
        <v>0</v>
      </c>
      <c r="R22" s="29">
        <f>AVERAGE(densidade_hab_indL!R62:R64)</f>
        <v>0</v>
      </c>
      <c r="S22" s="29">
        <f>AVERAGE(densidade_hab_indL!S62:S64)</f>
        <v>1.3333333333333334E-2</v>
      </c>
      <c r="T22" s="29">
        <f>AVERAGE(densidade_hab_indL!T62:T64)</f>
        <v>0</v>
      </c>
      <c r="U22" s="29">
        <f>AVERAGE(densidade_hab_indL!U62:U64)</f>
        <v>0</v>
      </c>
      <c r="V22" s="29">
        <f>AVERAGE(densidade_hab_indL!V62:V64)</f>
        <v>0</v>
      </c>
      <c r="W22" s="29">
        <f>AVERAGE(densidade_hab_indL!W62:W64)</f>
        <v>0</v>
      </c>
      <c r="X22" s="29">
        <f>AVERAGE(densidade_hab_indL!X62:X64)</f>
        <v>0</v>
      </c>
      <c r="Y22" s="29">
        <f>AVERAGE(densidade_hab_indL!Y62:Y64)</f>
        <v>6.6666666666666671E-3</v>
      </c>
      <c r="Z22" s="29">
        <f>AVERAGE(densidade_hab_indL!Z62:Z64)</f>
        <v>0</v>
      </c>
      <c r="AA22" s="29">
        <f>AVERAGE(densidade_hab_indL!AA62:AA64)</f>
        <v>0</v>
      </c>
      <c r="AB22" s="29">
        <f>AVERAGE(densidade_hab_indL!AB62:AB64)</f>
        <v>0</v>
      </c>
      <c r="AC22" s="29">
        <f>AVERAGE(densidade_hab_indL!AC62:AC64)</f>
        <v>0</v>
      </c>
      <c r="AD22" s="29">
        <f>AVERAGE(densidade_hab_indL!AD62:AD64)</f>
        <v>0</v>
      </c>
      <c r="AE22" s="29">
        <f>AVERAGE(densidade_hab_indL!AE62:AE64)</f>
        <v>0</v>
      </c>
      <c r="AF22" s="29">
        <f>AVERAGE(densidade_hab_indL!AF62:AF64)</f>
        <v>0</v>
      </c>
      <c r="AG22" s="29">
        <f>AVERAGE(densidade_hab_indL!AG62:AG64)</f>
        <v>0</v>
      </c>
      <c r="AH22" s="29">
        <f>AVERAGE(densidade_hab_indL!AH62:AH64)</f>
        <v>0</v>
      </c>
      <c r="AI22" s="29">
        <f>AVERAGE(densidade_hab_indL!AI62:AI64)</f>
        <v>0</v>
      </c>
      <c r="AJ22" s="29">
        <f>AVERAGE(densidade_hab_indL!AJ62:AJ64)</f>
        <v>0</v>
      </c>
      <c r="AK22" s="29">
        <f>AVERAGE(densidade_hab_indL!AK62:AK64)</f>
        <v>0</v>
      </c>
      <c r="AL22" s="29">
        <f>AVERAGE(densidade_hab_indL!AL62:AL64)</f>
        <v>0</v>
      </c>
      <c r="AM22" s="29">
        <f>AVERAGE(densidade_hab_indL!AM62:AM64)</f>
        <v>0</v>
      </c>
      <c r="AN22" s="29">
        <f>AVERAGE(densidade_hab_indL!AN62:AN64)</f>
        <v>0</v>
      </c>
      <c r="AO22" s="29">
        <f>AVERAGE(densidade_hab_indL!AO62:AO64)</f>
        <v>0</v>
      </c>
      <c r="AP22" s="29">
        <f>AVERAGE(densidade_hab_indL!AP62:AP64)</f>
        <v>0</v>
      </c>
      <c r="AQ22" s="29">
        <f>AVERAGE(densidade_hab_indL!AQ62:AQ64)</f>
        <v>0</v>
      </c>
      <c r="AR22" s="29">
        <f>AVERAGE(densidade_hab_indL!AR62:AR64)</f>
        <v>0</v>
      </c>
      <c r="AS22" s="29">
        <f>AVERAGE(densidade_hab_indL!AS62:AS64)</f>
        <v>0</v>
      </c>
      <c r="AT22" s="29">
        <f>AVERAGE(densidade_hab_indL!AT62:AT64)</f>
        <v>0</v>
      </c>
      <c r="AU22" s="29">
        <f>AVERAGE(densidade_hab_indL!AU62:AU64)</f>
        <v>0</v>
      </c>
      <c r="AV22" s="29">
        <f>AVERAGE(densidade_hab_indL!AV62:AV64)</f>
        <v>3.3333333333333333E-2</v>
      </c>
      <c r="AW22" s="29">
        <f>AVERAGE(densidade_hab_indL!AW62:AW64)</f>
        <v>0</v>
      </c>
      <c r="AX22" s="29">
        <f>AVERAGE(densidade_hab_indL!AX62:AX64)</f>
        <v>0</v>
      </c>
      <c r="AY22" s="29">
        <f>AVERAGE(densidade_hab_indL!AY62:AY64)</f>
        <v>0.02</v>
      </c>
      <c r="AZ22" s="29">
        <f>AVERAGE(densidade_hab_indL!AZ62:AZ64)</f>
        <v>0</v>
      </c>
      <c r="BA22" s="29">
        <f>AVERAGE(densidade_hab_indL!BA62:BA64)</f>
        <v>0</v>
      </c>
      <c r="BB22" s="29">
        <f>AVERAGE(densidade_hab_indL!BB62:BB64)</f>
        <v>0</v>
      </c>
      <c r="BC22" s="29">
        <f>AVERAGE(densidade_hab_indL!BC62:BC64)</f>
        <v>0</v>
      </c>
      <c r="BD22" s="29">
        <f>AVERAGE(densidade_hab_indL!BD62:BD64)</f>
        <v>6.6666666666666671E-3</v>
      </c>
      <c r="BE22" s="29">
        <f>AVERAGE(densidade_hab_indL!BE62:BE64)</f>
        <v>0</v>
      </c>
      <c r="BF22" s="29">
        <f>AVERAGE(densidade_hab_indL!BF62:BF64)</f>
        <v>0</v>
      </c>
      <c r="BG22" s="29">
        <f>AVERAGE(densidade_hab_indL!BG62:BG64)</f>
        <v>0</v>
      </c>
    </row>
    <row r="23" spans="1:59" ht="12.75" customHeight="1" x14ac:dyDescent="0.25">
      <c r="A23" s="4" t="s">
        <v>326</v>
      </c>
      <c r="B23" s="29">
        <f>AVERAGE(densidade_hab_indL!B65:B67)</f>
        <v>0.36000000000000004</v>
      </c>
      <c r="C23" s="29">
        <f>AVERAGE(densidade_hab_indL!C65:C67)</f>
        <v>0.06</v>
      </c>
      <c r="D23" s="29">
        <f>AVERAGE(densidade_hab_indL!D65:D67)</f>
        <v>4.6666666666666669E-2</v>
      </c>
      <c r="E23" s="29">
        <f>AVERAGE(densidade_hab_indL!E65:E67)</f>
        <v>2.94</v>
      </c>
      <c r="F23" s="29">
        <f>AVERAGE(densidade_hab_indL!F65:F67)</f>
        <v>1.3333333333333334E-2</v>
      </c>
      <c r="G23" s="29">
        <f>AVERAGE(densidade_hab_indL!G65:G67)</f>
        <v>5.3333333333333337E-2</v>
      </c>
      <c r="H23" s="29">
        <f>AVERAGE(densidade_hab_indL!H65:H67)</f>
        <v>0</v>
      </c>
      <c r="I23" s="29">
        <f>AVERAGE(densidade_hab_indL!I65:I67)</f>
        <v>0.53333333333333333</v>
      </c>
      <c r="J23" s="29">
        <f>AVERAGE(densidade_hab_indL!J65:J67)</f>
        <v>0.16</v>
      </c>
      <c r="K23" s="29">
        <f>AVERAGE(densidade_hab_indL!K65:K67)</f>
        <v>0</v>
      </c>
      <c r="L23" s="29">
        <f>AVERAGE(densidade_hab_indL!L65:L67)</f>
        <v>6.6666666666666666E-2</v>
      </c>
      <c r="M23" s="29">
        <f>AVERAGE(densidade_hab_indL!M65:M67)</f>
        <v>0</v>
      </c>
      <c r="N23" s="29">
        <f>AVERAGE(densidade_hab_indL!N65:N67)</f>
        <v>0</v>
      </c>
      <c r="O23" s="29">
        <f>AVERAGE(densidade_hab_indL!O65:O67)</f>
        <v>0</v>
      </c>
      <c r="P23" s="29">
        <f>AVERAGE(densidade_hab_indL!P65:P67)</f>
        <v>0</v>
      </c>
      <c r="Q23" s="29">
        <f>AVERAGE(densidade_hab_indL!Q65:Q67)</f>
        <v>0.10000000000000002</v>
      </c>
      <c r="R23" s="29">
        <f>AVERAGE(densidade_hab_indL!R65:R67)</f>
        <v>0</v>
      </c>
      <c r="S23" s="29">
        <f>AVERAGE(densidade_hab_indL!S65:S67)</f>
        <v>0</v>
      </c>
      <c r="T23" s="29">
        <f>AVERAGE(densidade_hab_indL!T65:T67)</f>
        <v>0</v>
      </c>
      <c r="U23" s="29">
        <f>AVERAGE(densidade_hab_indL!U65:U67)</f>
        <v>6.6666666666666671E-3</v>
      </c>
      <c r="V23" s="29">
        <f>AVERAGE(densidade_hab_indL!V65:V67)</f>
        <v>2.6666666666666668E-2</v>
      </c>
      <c r="W23" s="29">
        <f>AVERAGE(densidade_hab_indL!W65:W67)</f>
        <v>0</v>
      </c>
      <c r="X23" s="29">
        <f>AVERAGE(densidade_hab_indL!X65:X67)</f>
        <v>0</v>
      </c>
      <c r="Y23" s="29">
        <f>AVERAGE(densidade_hab_indL!Y65:Y67)</f>
        <v>0.04</v>
      </c>
      <c r="Z23" s="29">
        <f>AVERAGE(densidade_hab_indL!Z65:Z67)</f>
        <v>0.02</v>
      </c>
      <c r="AA23" s="29">
        <f>AVERAGE(densidade_hab_indL!AA65:AA67)</f>
        <v>1.3333333333333334E-2</v>
      </c>
      <c r="AB23" s="29">
        <f>AVERAGE(densidade_hab_indL!AB65:AB67)</f>
        <v>0</v>
      </c>
      <c r="AC23" s="29">
        <f>AVERAGE(densidade_hab_indL!AC65:AC67)</f>
        <v>0</v>
      </c>
      <c r="AD23" s="29">
        <f>AVERAGE(densidade_hab_indL!AD65:AD67)</f>
        <v>0</v>
      </c>
      <c r="AE23" s="29">
        <f>AVERAGE(densidade_hab_indL!AE65:AE67)</f>
        <v>0</v>
      </c>
      <c r="AF23" s="29">
        <f>AVERAGE(densidade_hab_indL!AF65:AF67)</f>
        <v>0</v>
      </c>
      <c r="AG23" s="29">
        <f>AVERAGE(densidade_hab_indL!AG65:AG67)</f>
        <v>0</v>
      </c>
      <c r="AH23" s="29">
        <f>AVERAGE(densidade_hab_indL!AH65:AH67)</f>
        <v>0</v>
      </c>
      <c r="AI23" s="29">
        <f>AVERAGE(densidade_hab_indL!AI65:AI67)</f>
        <v>0</v>
      </c>
      <c r="AJ23" s="29">
        <f>AVERAGE(densidade_hab_indL!AJ65:AJ67)</f>
        <v>0</v>
      </c>
      <c r="AK23" s="29">
        <f>AVERAGE(densidade_hab_indL!AK65:AK67)</f>
        <v>0</v>
      </c>
      <c r="AL23" s="29">
        <f>AVERAGE(densidade_hab_indL!AL65:AL67)</f>
        <v>3.3333333333333333E-2</v>
      </c>
      <c r="AM23" s="29">
        <f>AVERAGE(densidade_hab_indL!AM65:AM67)</f>
        <v>0</v>
      </c>
      <c r="AN23" s="29">
        <f>AVERAGE(densidade_hab_indL!AN65:AN67)</f>
        <v>0</v>
      </c>
      <c r="AO23" s="29">
        <f>AVERAGE(densidade_hab_indL!AO65:AO67)</f>
        <v>0</v>
      </c>
      <c r="AP23" s="29">
        <f>AVERAGE(densidade_hab_indL!AP65:AP67)</f>
        <v>0</v>
      </c>
      <c r="AQ23" s="29">
        <f>AVERAGE(densidade_hab_indL!AQ65:AQ67)</f>
        <v>0</v>
      </c>
      <c r="AR23" s="29">
        <f>AVERAGE(densidade_hab_indL!AR65:AR67)</f>
        <v>0</v>
      </c>
      <c r="AS23" s="29">
        <f>AVERAGE(densidade_hab_indL!AS65:AS67)</f>
        <v>0</v>
      </c>
      <c r="AT23" s="29">
        <f>AVERAGE(densidade_hab_indL!AT65:AT67)</f>
        <v>0</v>
      </c>
      <c r="AU23" s="29">
        <f>AVERAGE(densidade_hab_indL!AU65:AU67)</f>
        <v>0</v>
      </c>
      <c r="AV23" s="29">
        <f>AVERAGE(densidade_hab_indL!AV65:AV67)</f>
        <v>0.76000000000000012</v>
      </c>
      <c r="AW23" s="29">
        <f>AVERAGE(densidade_hab_indL!AW65:AW67)</f>
        <v>0</v>
      </c>
      <c r="AX23" s="29">
        <f>AVERAGE(densidade_hab_indL!AX65:AX67)</f>
        <v>6.6666666666666671E-3</v>
      </c>
      <c r="AY23" s="29">
        <f>AVERAGE(densidade_hab_indL!AY65:AY67)</f>
        <v>1.1533333333333333</v>
      </c>
      <c r="AZ23" s="29">
        <f>AVERAGE(densidade_hab_indL!AZ65:AZ67)</f>
        <v>0</v>
      </c>
      <c r="BA23" s="29">
        <f>AVERAGE(densidade_hab_indL!BA65:BA67)</f>
        <v>0</v>
      </c>
      <c r="BB23" s="29">
        <f>AVERAGE(densidade_hab_indL!BB65:BB67)</f>
        <v>0</v>
      </c>
      <c r="BC23" s="29">
        <f>AVERAGE(densidade_hab_indL!BC65:BC67)</f>
        <v>0</v>
      </c>
      <c r="BD23" s="29">
        <f>AVERAGE(densidade_hab_indL!BD65:BD67)</f>
        <v>6.6666666666666671E-3</v>
      </c>
      <c r="BE23" s="29">
        <f>AVERAGE(densidade_hab_indL!BE65:BE67)</f>
        <v>0</v>
      </c>
      <c r="BF23" s="29">
        <f>AVERAGE(densidade_hab_indL!BF65:BF67)</f>
        <v>6.6666666666666671E-3</v>
      </c>
      <c r="BG23" s="29">
        <f>AVERAGE(densidade_hab_indL!BG65:BG67)</f>
        <v>0</v>
      </c>
    </row>
    <row r="24" spans="1:59" ht="12.75" customHeight="1" x14ac:dyDescent="0.25">
      <c r="A24" s="4" t="s">
        <v>327</v>
      </c>
      <c r="B24" s="28" t="s">
        <v>304</v>
      </c>
      <c r="C24" s="28" t="s">
        <v>304</v>
      </c>
      <c r="D24" s="28" t="s">
        <v>304</v>
      </c>
      <c r="E24" s="28" t="s">
        <v>304</v>
      </c>
      <c r="F24" s="28" t="s">
        <v>304</v>
      </c>
      <c r="G24" s="28" t="s">
        <v>304</v>
      </c>
      <c r="H24" s="28" t="s">
        <v>304</v>
      </c>
      <c r="I24" s="28" t="s">
        <v>304</v>
      </c>
      <c r="J24" s="28" t="s">
        <v>304</v>
      </c>
      <c r="K24" s="28" t="s">
        <v>304</v>
      </c>
      <c r="L24" s="28" t="s">
        <v>304</v>
      </c>
      <c r="M24" s="28" t="s">
        <v>304</v>
      </c>
      <c r="N24" s="28" t="s">
        <v>304</v>
      </c>
      <c r="O24" s="28" t="s">
        <v>304</v>
      </c>
      <c r="P24" s="28" t="s">
        <v>304</v>
      </c>
      <c r="Q24" s="28" t="s">
        <v>304</v>
      </c>
      <c r="R24" s="28" t="s">
        <v>304</v>
      </c>
      <c r="S24" s="28" t="s">
        <v>304</v>
      </c>
      <c r="T24" s="28" t="s">
        <v>304</v>
      </c>
      <c r="U24" s="28" t="s">
        <v>304</v>
      </c>
      <c r="V24" s="28" t="s">
        <v>304</v>
      </c>
      <c r="W24" s="28" t="s">
        <v>304</v>
      </c>
      <c r="X24" s="28" t="s">
        <v>304</v>
      </c>
      <c r="Y24" s="28" t="s">
        <v>304</v>
      </c>
      <c r="Z24" s="28" t="s">
        <v>304</v>
      </c>
      <c r="AA24" s="28" t="s">
        <v>304</v>
      </c>
      <c r="AB24" s="28" t="s">
        <v>304</v>
      </c>
      <c r="AC24" s="28" t="s">
        <v>304</v>
      </c>
      <c r="AD24" s="28" t="s">
        <v>304</v>
      </c>
      <c r="AE24" s="28" t="s">
        <v>304</v>
      </c>
      <c r="AF24" s="28" t="s">
        <v>304</v>
      </c>
      <c r="AG24" s="28" t="s">
        <v>304</v>
      </c>
      <c r="AH24" s="28" t="s">
        <v>304</v>
      </c>
      <c r="AI24" s="28" t="s">
        <v>304</v>
      </c>
      <c r="AJ24" s="28" t="s">
        <v>304</v>
      </c>
      <c r="AK24" s="28" t="s">
        <v>304</v>
      </c>
      <c r="AL24" s="28" t="s">
        <v>304</v>
      </c>
      <c r="AM24" s="28" t="s">
        <v>304</v>
      </c>
      <c r="AN24" s="28" t="s">
        <v>304</v>
      </c>
      <c r="AO24" s="28" t="s">
        <v>304</v>
      </c>
      <c r="AP24" s="28" t="s">
        <v>304</v>
      </c>
      <c r="AQ24" s="28" t="s">
        <v>304</v>
      </c>
      <c r="AR24" s="28" t="s">
        <v>304</v>
      </c>
      <c r="AS24" s="28" t="s">
        <v>304</v>
      </c>
      <c r="AT24" s="28" t="s">
        <v>304</v>
      </c>
      <c r="AU24" s="28" t="s">
        <v>304</v>
      </c>
      <c r="AV24" s="28" t="s">
        <v>304</v>
      </c>
      <c r="AW24" s="28" t="s">
        <v>304</v>
      </c>
      <c r="AX24" s="28" t="s">
        <v>304</v>
      </c>
      <c r="AY24" s="28" t="s">
        <v>304</v>
      </c>
      <c r="AZ24" s="28" t="s">
        <v>304</v>
      </c>
      <c r="BA24" s="28" t="s">
        <v>304</v>
      </c>
      <c r="BB24" s="28" t="s">
        <v>304</v>
      </c>
      <c r="BC24" s="28" t="s">
        <v>304</v>
      </c>
      <c r="BD24" s="28" t="s">
        <v>304</v>
      </c>
      <c r="BE24" s="28" t="s">
        <v>304</v>
      </c>
      <c r="BF24" s="28" t="s">
        <v>304</v>
      </c>
      <c r="BG24" s="28" t="s">
        <v>304</v>
      </c>
    </row>
    <row r="25" spans="1:59" ht="12.75" customHeight="1" x14ac:dyDescent="0.25">
      <c r="A25" s="4" t="s">
        <v>328</v>
      </c>
      <c r="B25" s="29">
        <f>AVERAGE(densidade_hab_indL!B71:B73)</f>
        <v>6.6666666666666666E-2</v>
      </c>
      <c r="C25" s="29">
        <f>AVERAGE(densidade_hab_indL!C71:C73)</f>
        <v>0</v>
      </c>
      <c r="D25" s="29">
        <f>AVERAGE(densidade_hab_indL!D71:D73)</f>
        <v>0</v>
      </c>
      <c r="E25" s="29">
        <f>AVERAGE(densidade_hab_indL!E71:E73)</f>
        <v>3.3200000000000003</v>
      </c>
      <c r="F25" s="29">
        <f>AVERAGE(densidade_hab_indL!F71:F73)</f>
        <v>0</v>
      </c>
      <c r="G25" s="29">
        <f>AVERAGE(densidade_hab_indL!G71:G73)</f>
        <v>0</v>
      </c>
      <c r="H25" s="29">
        <f>AVERAGE(densidade_hab_indL!H71:H73)</f>
        <v>0</v>
      </c>
      <c r="I25" s="29">
        <f>AVERAGE(densidade_hab_indL!I71:I73)</f>
        <v>0.11333333333333334</v>
      </c>
      <c r="J25" s="29">
        <f>AVERAGE(densidade_hab_indL!J71:J73)</f>
        <v>0</v>
      </c>
      <c r="K25" s="29">
        <f>AVERAGE(densidade_hab_indL!K71:K73)</f>
        <v>0</v>
      </c>
      <c r="L25" s="29">
        <f>AVERAGE(densidade_hab_indL!L71:L73)</f>
        <v>0</v>
      </c>
      <c r="M25" s="29">
        <f>AVERAGE(densidade_hab_indL!M71:M73)</f>
        <v>0</v>
      </c>
      <c r="N25" s="29">
        <f>AVERAGE(densidade_hab_indL!N71:N73)</f>
        <v>0</v>
      </c>
      <c r="O25" s="29">
        <f>AVERAGE(densidade_hab_indL!O71:O73)</f>
        <v>0</v>
      </c>
      <c r="P25" s="29">
        <f>AVERAGE(densidade_hab_indL!P71:P73)</f>
        <v>0</v>
      </c>
      <c r="Q25" s="29">
        <f>AVERAGE(densidade_hab_indL!Q71:Q73)</f>
        <v>0</v>
      </c>
      <c r="R25" s="29">
        <f>AVERAGE(densidade_hab_indL!R71:R73)</f>
        <v>0</v>
      </c>
      <c r="S25" s="29">
        <f>AVERAGE(densidade_hab_indL!S71:S73)</f>
        <v>6.6666666666666671E-3</v>
      </c>
      <c r="T25" s="29">
        <f>AVERAGE(densidade_hab_indL!T71:T73)</f>
        <v>0</v>
      </c>
      <c r="U25" s="29">
        <f>AVERAGE(densidade_hab_indL!U71:U73)</f>
        <v>0</v>
      </c>
      <c r="V25" s="29">
        <f>AVERAGE(densidade_hab_indL!V71:V73)</f>
        <v>0</v>
      </c>
      <c r="W25" s="29">
        <f>AVERAGE(densidade_hab_indL!W71:W73)</f>
        <v>0</v>
      </c>
      <c r="X25" s="29">
        <f>AVERAGE(densidade_hab_indL!X71:X73)</f>
        <v>0</v>
      </c>
      <c r="Y25" s="29">
        <f>AVERAGE(densidade_hab_indL!Y71:Y73)</f>
        <v>0</v>
      </c>
      <c r="Z25" s="29">
        <f>AVERAGE(densidade_hab_indL!Z71:Z73)</f>
        <v>0.02</v>
      </c>
      <c r="AA25" s="29">
        <f>AVERAGE(densidade_hab_indL!AA71:AA73)</f>
        <v>2.6666666666666668E-2</v>
      </c>
      <c r="AB25" s="29">
        <f>AVERAGE(densidade_hab_indL!AB71:AB73)</f>
        <v>0</v>
      </c>
      <c r="AC25" s="29">
        <f>AVERAGE(densidade_hab_indL!AC71:AC73)</f>
        <v>0</v>
      </c>
      <c r="AD25" s="29">
        <f>AVERAGE(densidade_hab_indL!AD71:AD73)</f>
        <v>0</v>
      </c>
      <c r="AE25" s="29">
        <f>AVERAGE(densidade_hab_indL!AE71:AE73)</f>
        <v>0</v>
      </c>
      <c r="AF25" s="29">
        <f>AVERAGE(densidade_hab_indL!AF71:AF73)</f>
        <v>0</v>
      </c>
      <c r="AG25" s="29">
        <f>AVERAGE(densidade_hab_indL!AG71:AG73)</f>
        <v>0</v>
      </c>
      <c r="AH25" s="29">
        <f>AVERAGE(densidade_hab_indL!AH71:AH73)</f>
        <v>0</v>
      </c>
      <c r="AI25" s="29">
        <f>AVERAGE(densidade_hab_indL!AI71:AI73)</f>
        <v>0</v>
      </c>
      <c r="AJ25" s="29">
        <f>AVERAGE(densidade_hab_indL!AJ71:AJ73)</f>
        <v>0</v>
      </c>
      <c r="AK25" s="29">
        <f>AVERAGE(densidade_hab_indL!AK71:AK73)</f>
        <v>0</v>
      </c>
      <c r="AL25" s="29">
        <f>AVERAGE(densidade_hab_indL!AL71:AL73)</f>
        <v>0</v>
      </c>
      <c r="AM25" s="29">
        <f>AVERAGE(densidade_hab_indL!AM71:AM73)</f>
        <v>0</v>
      </c>
      <c r="AN25" s="29">
        <f>AVERAGE(densidade_hab_indL!AN71:AN73)</f>
        <v>0</v>
      </c>
      <c r="AO25" s="29">
        <f>AVERAGE(densidade_hab_indL!AO71:AO73)</f>
        <v>0</v>
      </c>
      <c r="AP25" s="29">
        <f>AVERAGE(densidade_hab_indL!AP71:AP73)</f>
        <v>0</v>
      </c>
      <c r="AQ25" s="29">
        <f>AVERAGE(densidade_hab_indL!AQ71:AQ73)</f>
        <v>0</v>
      </c>
      <c r="AR25" s="29">
        <f>AVERAGE(densidade_hab_indL!AR71:AR73)</f>
        <v>0</v>
      </c>
      <c r="AS25" s="29">
        <f>AVERAGE(densidade_hab_indL!AS71:AS73)</f>
        <v>0</v>
      </c>
      <c r="AT25" s="29">
        <f>AVERAGE(densidade_hab_indL!AT71:AT73)</f>
        <v>0</v>
      </c>
      <c r="AU25" s="29">
        <f>AVERAGE(densidade_hab_indL!AU71:AU73)</f>
        <v>0</v>
      </c>
      <c r="AV25" s="29">
        <f>AVERAGE(densidade_hab_indL!AV71:AV73)</f>
        <v>0.15333333333333335</v>
      </c>
      <c r="AW25" s="29">
        <f>AVERAGE(densidade_hab_indL!AW71:AW73)</f>
        <v>0</v>
      </c>
      <c r="AX25" s="29">
        <f>AVERAGE(densidade_hab_indL!AX71:AX73)</f>
        <v>0</v>
      </c>
      <c r="AY25" s="29">
        <f>AVERAGE(densidade_hab_indL!AY71:AY73)</f>
        <v>1.3333333333333334E-2</v>
      </c>
      <c r="AZ25" s="29">
        <f>AVERAGE(densidade_hab_indL!AZ71:AZ73)</f>
        <v>0</v>
      </c>
      <c r="BA25" s="29">
        <f>AVERAGE(densidade_hab_indL!BA71:BA73)</f>
        <v>0</v>
      </c>
      <c r="BB25" s="29">
        <f>AVERAGE(densidade_hab_indL!BB71:BB73)</f>
        <v>0</v>
      </c>
      <c r="BC25" s="29">
        <f>AVERAGE(densidade_hab_indL!BC71:BC73)</f>
        <v>0</v>
      </c>
      <c r="BD25" s="29">
        <f>AVERAGE(densidade_hab_indL!BD71:BD73)</f>
        <v>0</v>
      </c>
      <c r="BE25" s="29">
        <f>AVERAGE(densidade_hab_indL!BE71:BE73)</f>
        <v>0</v>
      </c>
      <c r="BF25" s="29">
        <f>AVERAGE(densidade_hab_indL!BF71:BF73)</f>
        <v>0</v>
      </c>
      <c r="BG25" s="29">
        <f>AVERAGE(densidade_hab_indL!BG71:BG73)</f>
        <v>0</v>
      </c>
    </row>
    <row r="26" spans="1:59" ht="12.75" customHeight="1" x14ac:dyDescent="0.25">
      <c r="A26" s="4" t="s">
        <v>329</v>
      </c>
      <c r="B26" s="29">
        <f>AVERAGE(densidade_hab_indL!B74:B76)</f>
        <v>0.08</v>
      </c>
      <c r="C26" s="29">
        <f>AVERAGE(densidade_hab_indL!C74:C76)</f>
        <v>1.3333333333333334E-2</v>
      </c>
      <c r="D26" s="29">
        <f>AVERAGE(densidade_hab_indL!D74:D76)</f>
        <v>0</v>
      </c>
      <c r="E26" s="29">
        <f>AVERAGE(densidade_hab_indL!E74:E76)</f>
        <v>2.4600000000000004</v>
      </c>
      <c r="F26" s="29">
        <f>AVERAGE(densidade_hab_indL!F74:F76)</f>
        <v>6.6666666666666671E-3</v>
      </c>
      <c r="G26" s="29">
        <f>AVERAGE(densidade_hab_indL!G74:G76)</f>
        <v>0</v>
      </c>
      <c r="H26" s="29">
        <f>AVERAGE(densidade_hab_indL!H74:H76)</f>
        <v>0</v>
      </c>
      <c r="I26" s="29">
        <f>AVERAGE(densidade_hab_indL!I74:I76)</f>
        <v>0.25333333333333335</v>
      </c>
      <c r="J26" s="29">
        <f>AVERAGE(densidade_hab_indL!J74:J76)</f>
        <v>6.6666666666666671E-3</v>
      </c>
      <c r="K26" s="29">
        <f>AVERAGE(densidade_hab_indL!K74:K76)</f>
        <v>0</v>
      </c>
      <c r="L26" s="29">
        <f>AVERAGE(densidade_hab_indL!L74:L76)</f>
        <v>1.3333333333333334E-2</v>
      </c>
      <c r="M26" s="29">
        <f>AVERAGE(densidade_hab_indL!M74:M76)</f>
        <v>0</v>
      </c>
      <c r="N26" s="29">
        <f>AVERAGE(densidade_hab_indL!N74:N76)</f>
        <v>0</v>
      </c>
      <c r="O26" s="29">
        <f>AVERAGE(densidade_hab_indL!O74:O76)</f>
        <v>0</v>
      </c>
      <c r="P26" s="29">
        <f>AVERAGE(densidade_hab_indL!P74:P76)</f>
        <v>0</v>
      </c>
      <c r="Q26" s="29">
        <f>AVERAGE(densidade_hab_indL!Q74:Q76)</f>
        <v>0</v>
      </c>
      <c r="R26" s="29">
        <f>AVERAGE(densidade_hab_indL!R74:R76)</f>
        <v>0</v>
      </c>
      <c r="S26" s="29">
        <f>AVERAGE(densidade_hab_indL!S74:S76)</f>
        <v>0</v>
      </c>
      <c r="T26" s="29">
        <f>AVERAGE(densidade_hab_indL!T74:T76)</f>
        <v>1.3333333333333334E-2</v>
      </c>
      <c r="U26" s="29">
        <f>AVERAGE(densidade_hab_indL!U74:U76)</f>
        <v>0</v>
      </c>
      <c r="V26" s="29">
        <f>AVERAGE(densidade_hab_indL!V74:V76)</f>
        <v>0</v>
      </c>
      <c r="W26" s="29">
        <f>AVERAGE(densidade_hab_indL!W74:W76)</f>
        <v>0</v>
      </c>
      <c r="X26" s="29">
        <f>AVERAGE(densidade_hab_indL!X74:X76)</f>
        <v>0</v>
      </c>
      <c r="Y26" s="29">
        <f>AVERAGE(densidade_hab_indL!Y74:Y76)</f>
        <v>0</v>
      </c>
      <c r="Z26" s="29">
        <f>AVERAGE(densidade_hab_indL!Z74:Z76)</f>
        <v>6.6666666666666671E-3</v>
      </c>
      <c r="AA26" s="29">
        <f>AVERAGE(densidade_hab_indL!AA74:AA76)</f>
        <v>6.6666666666666671E-3</v>
      </c>
      <c r="AB26" s="29">
        <f>AVERAGE(densidade_hab_indL!AB74:AB76)</f>
        <v>0</v>
      </c>
      <c r="AC26" s="29">
        <f>AVERAGE(densidade_hab_indL!AC74:AC76)</f>
        <v>0</v>
      </c>
      <c r="AD26" s="29">
        <f>AVERAGE(densidade_hab_indL!AD74:AD76)</f>
        <v>0</v>
      </c>
      <c r="AE26" s="29">
        <f>AVERAGE(densidade_hab_indL!AE74:AE76)</f>
        <v>0</v>
      </c>
      <c r="AF26" s="29">
        <f>AVERAGE(densidade_hab_indL!AF74:AF76)</f>
        <v>0</v>
      </c>
      <c r="AG26" s="29">
        <f>AVERAGE(densidade_hab_indL!AG74:AG76)</f>
        <v>0</v>
      </c>
      <c r="AH26" s="29">
        <f>AVERAGE(densidade_hab_indL!AH74:AH76)</f>
        <v>0</v>
      </c>
      <c r="AI26" s="29">
        <f>AVERAGE(densidade_hab_indL!AI74:AI76)</f>
        <v>0</v>
      </c>
      <c r="AJ26" s="29">
        <f>AVERAGE(densidade_hab_indL!AJ74:AJ76)</f>
        <v>0</v>
      </c>
      <c r="AK26" s="29">
        <f>AVERAGE(densidade_hab_indL!AK74:AK76)</f>
        <v>0</v>
      </c>
      <c r="AL26" s="29">
        <f>AVERAGE(densidade_hab_indL!AL74:AL76)</f>
        <v>1.3333333333333334E-2</v>
      </c>
      <c r="AM26" s="29">
        <f>AVERAGE(densidade_hab_indL!AM74:AM76)</f>
        <v>0</v>
      </c>
      <c r="AN26" s="29">
        <f>AVERAGE(densidade_hab_indL!AN74:AN76)</f>
        <v>0</v>
      </c>
      <c r="AO26" s="29">
        <f>AVERAGE(densidade_hab_indL!AO74:AO76)</f>
        <v>0</v>
      </c>
      <c r="AP26" s="29">
        <f>AVERAGE(densidade_hab_indL!AP74:AP76)</f>
        <v>0</v>
      </c>
      <c r="AQ26" s="29">
        <f>AVERAGE(densidade_hab_indL!AQ74:AQ76)</f>
        <v>0</v>
      </c>
      <c r="AR26" s="29">
        <f>AVERAGE(densidade_hab_indL!AR74:AR76)</f>
        <v>0</v>
      </c>
      <c r="AS26" s="29">
        <f>AVERAGE(densidade_hab_indL!AS74:AS76)</f>
        <v>0</v>
      </c>
      <c r="AT26" s="29">
        <f>AVERAGE(densidade_hab_indL!AT74:AT76)</f>
        <v>0</v>
      </c>
      <c r="AU26" s="29">
        <f>AVERAGE(densidade_hab_indL!AU74:AU76)</f>
        <v>0</v>
      </c>
      <c r="AV26" s="29">
        <f>AVERAGE(densidade_hab_indL!AV74:AV76)</f>
        <v>0.1466666666666667</v>
      </c>
      <c r="AW26" s="29">
        <f>AVERAGE(densidade_hab_indL!AW74:AW76)</f>
        <v>0</v>
      </c>
      <c r="AX26" s="29">
        <f>AVERAGE(densidade_hab_indL!AX74:AX76)</f>
        <v>2.6666666666666668E-2</v>
      </c>
      <c r="AY26" s="29">
        <f>AVERAGE(densidade_hab_indL!AY74:AY76)</f>
        <v>0</v>
      </c>
      <c r="AZ26" s="29">
        <f>AVERAGE(densidade_hab_indL!AZ74:AZ76)</f>
        <v>0</v>
      </c>
      <c r="BA26" s="29">
        <f>AVERAGE(densidade_hab_indL!BA74:BA76)</f>
        <v>0</v>
      </c>
      <c r="BB26" s="29">
        <f>AVERAGE(densidade_hab_indL!BB74:BB76)</f>
        <v>0</v>
      </c>
      <c r="BC26" s="29">
        <f>AVERAGE(densidade_hab_indL!BC74:BC76)</f>
        <v>0</v>
      </c>
      <c r="BD26" s="29">
        <f>AVERAGE(densidade_hab_indL!BD74:BD76)</f>
        <v>0</v>
      </c>
      <c r="BE26" s="29">
        <f>AVERAGE(densidade_hab_indL!BE74:BE76)</f>
        <v>0</v>
      </c>
      <c r="BF26" s="29">
        <f>AVERAGE(densidade_hab_indL!BF74:BF76)</f>
        <v>0</v>
      </c>
      <c r="BG26" s="29">
        <f>AVERAGE(densidade_hab_indL!BG74:BG76)</f>
        <v>0</v>
      </c>
    </row>
    <row r="27" spans="1:59" ht="12.75" customHeight="1" x14ac:dyDescent="0.25">
      <c r="A27" s="4" t="s">
        <v>330</v>
      </c>
      <c r="B27" s="29">
        <f>AVERAGE(densidade_hab_indL!B77:B79)</f>
        <v>6.6666666666666666E-2</v>
      </c>
      <c r="C27" s="29">
        <f>AVERAGE(densidade_hab_indL!C77:C79)</f>
        <v>6.6666666666666671E-3</v>
      </c>
      <c r="D27" s="29">
        <f>AVERAGE(densidade_hab_indL!D77:D79)</f>
        <v>0</v>
      </c>
      <c r="E27" s="29">
        <f>AVERAGE(densidade_hab_indL!E77:E79)</f>
        <v>1.7466666666666668</v>
      </c>
      <c r="F27" s="29">
        <f>AVERAGE(densidade_hab_indL!F77:F79)</f>
        <v>6.6666666666666671E-3</v>
      </c>
      <c r="G27" s="29">
        <f>AVERAGE(densidade_hab_indL!G77:G79)</f>
        <v>0</v>
      </c>
      <c r="H27" s="29">
        <f>AVERAGE(densidade_hab_indL!H77:H79)</f>
        <v>0</v>
      </c>
      <c r="I27" s="29">
        <f>AVERAGE(densidade_hab_indL!I77:I79)</f>
        <v>9.9999999999999992E-2</v>
      </c>
      <c r="J27" s="29">
        <f>AVERAGE(densidade_hab_indL!J77:J79)</f>
        <v>0</v>
      </c>
      <c r="K27" s="29">
        <f>AVERAGE(densidade_hab_indL!K77:K79)</f>
        <v>0</v>
      </c>
      <c r="L27" s="29">
        <f>AVERAGE(densidade_hab_indL!L77:L79)</f>
        <v>4.6666666666666669E-2</v>
      </c>
      <c r="M27" s="29">
        <f>AVERAGE(densidade_hab_indL!M77:M79)</f>
        <v>0</v>
      </c>
      <c r="N27" s="29">
        <f>AVERAGE(densidade_hab_indL!N77:N79)</f>
        <v>0</v>
      </c>
      <c r="O27" s="29">
        <f>AVERAGE(densidade_hab_indL!O77:O79)</f>
        <v>0</v>
      </c>
      <c r="P27" s="29">
        <f>AVERAGE(densidade_hab_indL!P77:P79)</f>
        <v>0</v>
      </c>
      <c r="Q27" s="29">
        <f>AVERAGE(densidade_hab_indL!Q77:Q79)</f>
        <v>6.6666666666666671E-3</v>
      </c>
      <c r="R27" s="29">
        <f>AVERAGE(densidade_hab_indL!R77:R79)</f>
        <v>0</v>
      </c>
      <c r="S27" s="29">
        <f>AVERAGE(densidade_hab_indL!S77:S79)</f>
        <v>0</v>
      </c>
      <c r="T27" s="29">
        <f>AVERAGE(densidade_hab_indL!T77:T79)</f>
        <v>0.02</v>
      </c>
      <c r="U27" s="29">
        <f>AVERAGE(densidade_hab_indL!U77:U79)</f>
        <v>0</v>
      </c>
      <c r="V27" s="29">
        <f>AVERAGE(densidade_hab_indL!V77:V79)</f>
        <v>6.6666666666666671E-3</v>
      </c>
      <c r="W27" s="29">
        <f>AVERAGE(densidade_hab_indL!W77:W79)</f>
        <v>0</v>
      </c>
      <c r="X27" s="29">
        <f>AVERAGE(densidade_hab_indL!X77:X79)</f>
        <v>0</v>
      </c>
      <c r="Y27" s="29">
        <f>AVERAGE(densidade_hab_indL!Y77:Y79)</f>
        <v>6.6666666666666671E-3</v>
      </c>
      <c r="Z27" s="29">
        <f>AVERAGE(densidade_hab_indL!Z77:Z79)</f>
        <v>3.3333333333333333E-2</v>
      </c>
      <c r="AA27" s="29">
        <f>AVERAGE(densidade_hab_indL!AA77:AA79)</f>
        <v>0</v>
      </c>
      <c r="AB27" s="29">
        <f>AVERAGE(densidade_hab_indL!AB77:AB79)</f>
        <v>0</v>
      </c>
      <c r="AC27" s="29">
        <f>AVERAGE(densidade_hab_indL!AC77:AC79)</f>
        <v>0</v>
      </c>
      <c r="AD27" s="29">
        <f>AVERAGE(densidade_hab_indL!AD77:AD79)</f>
        <v>0</v>
      </c>
      <c r="AE27" s="29">
        <f>AVERAGE(densidade_hab_indL!AE77:AE79)</f>
        <v>0</v>
      </c>
      <c r="AF27" s="29">
        <f>AVERAGE(densidade_hab_indL!AF77:AF79)</f>
        <v>0</v>
      </c>
      <c r="AG27" s="29">
        <f>AVERAGE(densidade_hab_indL!AG77:AG79)</f>
        <v>0</v>
      </c>
      <c r="AH27" s="29">
        <f>AVERAGE(densidade_hab_indL!AH77:AH79)</f>
        <v>0</v>
      </c>
      <c r="AI27" s="29">
        <f>AVERAGE(densidade_hab_indL!AI77:AI79)</f>
        <v>0</v>
      </c>
      <c r="AJ27" s="29">
        <f>AVERAGE(densidade_hab_indL!AJ77:AJ79)</f>
        <v>0</v>
      </c>
      <c r="AK27" s="29">
        <f>AVERAGE(densidade_hab_indL!AK77:AK79)</f>
        <v>0</v>
      </c>
      <c r="AL27" s="29">
        <f>AVERAGE(densidade_hab_indL!AL77:AL79)</f>
        <v>0</v>
      </c>
      <c r="AM27" s="29">
        <f>AVERAGE(densidade_hab_indL!AM77:AM79)</f>
        <v>0</v>
      </c>
      <c r="AN27" s="29">
        <f>AVERAGE(densidade_hab_indL!AN77:AN79)</f>
        <v>0</v>
      </c>
      <c r="AO27" s="29">
        <f>AVERAGE(densidade_hab_indL!AO77:AO79)</f>
        <v>0</v>
      </c>
      <c r="AP27" s="29">
        <f>AVERAGE(densidade_hab_indL!AP77:AP79)</f>
        <v>0</v>
      </c>
      <c r="AQ27" s="29">
        <f>AVERAGE(densidade_hab_indL!AQ77:AQ79)</f>
        <v>0</v>
      </c>
      <c r="AR27" s="29">
        <f>AVERAGE(densidade_hab_indL!AR77:AR79)</f>
        <v>0</v>
      </c>
      <c r="AS27" s="29">
        <f>AVERAGE(densidade_hab_indL!AS77:AS79)</f>
        <v>0</v>
      </c>
      <c r="AT27" s="29">
        <f>AVERAGE(densidade_hab_indL!AT77:AT79)</f>
        <v>0</v>
      </c>
      <c r="AU27" s="29">
        <f>AVERAGE(densidade_hab_indL!AU77:AU79)</f>
        <v>0</v>
      </c>
      <c r="AV27" s="29">
        <f>AVERAGE(densidade_hab_indL!AV77:AV79)</f>
        <v>0.13333333333333333</v>
      </c>
      <c r="AW27" s="29">
        <f>AVERAGE(densidade_hab_indL!AW77:AW79)</f>
        <v>0</v>
      </c>
      <c r="AX27" s="29">
        <f>AVERAGE(densidade_hab_indL!AX77:AX79)</f>
        <v>0</v>
      </c>
      <c r="AY27" s="29">
        <f>AVERAGE(densidade_hab_indL!AY77:AY79)</f>
        <v>0</v>
      </c>
      <c r="AZ27" s="29">
        <f>AVERAGE(densidade_hab_indL!AZ77:AZ79)</f>
        <v>0</v>
      </c>
      <c r="BA27" s="29">
        <f>AVERAGE(densidade_hab_indL!BA77:BA79)</f>
        <v>0</v>
      </c>
      <c r="BB27" s="29">
        <f>AVERAGE(densidade_hab_indL!BB77:BB79)</f>
        <v>0</v>
      </c>
      <c r="BC27" s="29">
        <f>AVERAGE(densidade_hab_indL!BC77:BC79)</f>
        <v>6.6666666666666671E-3</v>
      </c>
      <c r="BD27" s="29">
        <f>AVERAGE(densidade_hab_indL!BD77:BD79)</f>
        <v>0</v>
      </c>
      <c r="BE27" s="29">
        <f>AVERAGE(densidade_hab_indL!BE77:BE79)</f>
        <v>0</v>
      </c>
      <c r="BF27" s="29">
        <f>AVERAGE(densidade_hab_indL!BF77:BF79)</f>
        <v>0</v>
      </c>
      <c r="BG27" s="29">
        <f>AVERAGE(densidade_hab_indL!BG77:BG79)</f>
        <v>0</v>
      </c>
    </row>
    <row r="28" spans="1:59" ht="12.75" customHeight="1" x14ac:dyDescent="0.25">
      <c r="A28" s="4" t="s">
        <v>331</v>
      </c>
      <c r="B28" s="29">
        <f>AVERAGE(densidade_hab_indL!B80:B82)</f>
        <v>2.6666666666666668E-2</v>
      </c>
      <c r="C28" s="29">
        <f>AVERAGE(densidade_hab_indL!C80:C82)</f>
        <v>0</v>
      </c>
      <c r="D28" s="29">
        <f>AVERAGE(densidade_hab_indL!D80:D82)</f>
        <v>0</v>
      </c>
      <c r="E28" s="29">
        <f>AVERAGE(densidade_hab_indL!E80:E82)</f>
        <v>1.8733333333333337</v>
      </c>
      <c r="F28" s="29">
        <f>AVERAGE(densidade_hab_indL!F80:F82)</f>
        <v>0.04</v>
      </c>
      <c r="G28" s="29">
        <f>AVERAGE(densidade_hab_indL!G80:G82)</f>
        <v>0</v>
      </c>
      <c r="H28" s="29">
        <f>AVERAGE(densidade_hab_indL!H80:H82)</f>
        <v>0</v>
      </c>
      <c r="I28" s="29">
        <f>AVERAGE(densidade_hab_indL!I80:I82)</f>
        <v>0.04</v>
      </c>
      <c r="J28" s="29">
        <f>AVERAGE(densidade_hab_indL!J80:J82)</f>
        <v>0</v>
      </c>
      <c r="K28" s="29">
        <f>AVERAGE(densidade_hab_indL!K80:K82)</f>
        <v>0</v>
      </c>
      <c r="L28" s="29">
        <f>AVERAGE(densidade_hab_indL!L80:L82)</f>
        <v>0</v>
      </c>
      <c r="M28" s="29">
        <f>AVERAGE(densidade_hab_indL!M80:M82)</f>
        <v>0</v>
      </c>
      <c r="N28" s="29">
        <f>AVERAGE(densidade_hab_indL!N80:N82)</f>
        <v>0</v>
      </c>
      <c r="O28" s="29">
        <f>AVERAGE(densidade_hab_indL!O80:O82)</f>
        <v>0</v>
      </c>
      <c r="P28" s="29">
        <f>AVERAGE(densidade_hab_indL!P80:P82)</f>
        <v>0</v>
      </c>
      <c r="Q28" s="29">
        <f>AVERAGE(densidade_hab_indL!Q80:Q82)</f>
        <v>0</v>
      </c>
      <c r="R28" s="29">
        <f>AVERAGE(densidade_hab_indL!R80:R82)</f>
        <v>0</v>
      </c>
      <c r="S28" s="29">
        <f>AVERAGE(densidade_hab_indL!S80:S82)</f>
        <v>0</v>
      </c>
      <c r="T28" s="29">
        <f>AVERAGE(densidade_hab_indL!T80:T82)</f>
        <v>0</v>
      </c>
      <c r="U28" s="29">
        <f>AVERAGE(densidade_hab_indL!U80:U82)</f>
        <v>0</v>
      </c>
      <c r="V28" s="29">
        <f>AVERAGE(densidade_hab_indL!V80:V82)</f>
        <v>6.6666666666666671E-3</v>
      </c>
      <c r="W28" s="29">
        <f>AVERAGE(densidade_hab_indL!W80:W82)</f>
        <v>0</v>
      </c>
      <c r="X28" s="29">
        <f>AVERAGE(densidade_hab_indL!X80:X82)</f>
        <v>0</v>
      </c>
      <c r="Y28" s="29">
        <f>AVERAGE(densidade_hab_indL!Y80:Y82)</f>
        <v>0</v>
      </c>
      <c r="Z28" s="29">
        <f>AVERAGE(densidade_hab_indL!Z80:Z82)</f>
        <v>6.6666666666666671E-3</v>
      </c>
      <c r="AA28" s="29">
        <f>AVERAGE(densidade_hab_indL!AA80:AA82)</f>
        <v>6.6666666666666671E-3</v>
      </c>
      <c r="AB28" s="29">
        <f>AVERAGE(densidade_hab_indL!AB80:AB82)</f>
        <v>0</v>
      </c>
      <c r="AC28" s="29">
        <f>AVERAGE(densidade_hab_indL!AC80:AC82)</f>
        <v>0</v>
      </c>
      <c r="AD28" s="29">
        <f>AVERAGE(densidade_hab_indL!AD80:AD82)</f>
        <v>0</v>
      </c>
      <c r="AE28" s="29">
        <f>AVERAGE(densidade_hab_indL!AE80:AE82)</f>
        <v>0</v>
      </c>
      <c r="AF28" s="29">
        <f>AVERAGE(densidade_hab_indL!AF80:AF82)</f>
        <v>0</v>
      </c>
      <c r="AG28" s="29">
        <f>AVERAGE(densidade_hab_indL!AG80:AG82)</f>
        <v>0</v>
      </c>
      <c r="AH28" s="29">
        <f>AVERAGE(densidade_hab_indL!AH80:AH82)</f>
        <v>0</v>
      </c>
      <c r="AI28" s="29">
        <f>AVERAGE(densidade_hab_indL!AI80:AI82)</f>
        <v>0</v>
      </c>
      <c r="AJ28" s="29">
        <f>AVERAGE(densidade_hab_indL!AJ80:AJ82)</f>
        <v>0</v>
      </c>
      <c r="AK28" s="29">
        <f>AVERAGE(densidade_hab_indL!AK80:AK82)</f>
        <v>0</v>
      </c>
      <c r="AL28" s="29">
        <f>AVERAGE(densidade_hab_indL!AL80:AL82)</f>
        <v>0</v>
      </c>
      <c r="AM28" s="29">
        <f>AVERAGE(densidade_hab_indL!AM80:AM82)</f>
        <v>0</v>
      </c>
      <c r="AN28" s="29">
        <f>AVERAGE(densidade_hab_indL!AN80:AN82)</f>
        <v>0</v>
      </c>
      <c r="AO28" s="29">
        <f>AVERAGE(densidade_hab_indL!AO80:AO82)</f>
        <v>0</v>
      </c>
      <c r="AP28" s="29">
        <f>AVERAGE(densidade_hab_indL!AP80:AP82)</f>
        <v>0</v>
      </c>
      <c r="AQ28" s="29">
        <f>AVERAGE(densidade_hab_indL!AQ80:AQ82)</f>
        <v>0</v>
      </c>
      <c r="AR28" s="29">
        <f>AVERAGE(densidade_hab_indL!AR80:AR82)</f>
        <v>0</v>
      </c>
      <c r="AS28" s="29">
        <f>AVERAGE(densidade_hab_indL!AS80:AS82)</f>
        <v>0</v>
      </c>
      <c r="AT28" s="29">
        <f>AVERAGE(densidade_hab_indL!AT80:AT82)</f>
        <v>0</v>
      </c>
      <c r="AU28" s="29">
        <f>AVERAGE(densidade_hab_indL!AU80:AU82)</f>
        <v>0</v>
      </c>
      <c r="AV28" s="29">
        <f>AVERAGE(densidade_hab_indL!AV80:AV82)</f>
        <v>5.3333333333333337E-2</v>
      </c>
      <c r="AW28" s="29">
        <f>AVERAGE(densidade_hab_indL!AW80:AW82)</f>
        <v>0</v>
      </c>
      <c r="AX28" s="29">
        <f>AVERAGE(densidade_hab_indL!AX80:AX82)</f>
        <v>6.6666666666666671E-3</v>
      </c>
      <c r="AY28" s="29">
        <f>AVERAGE(densidade_hab_indL!AY80:AY82)</f>
        <v>3.3333333333333333E-2</v>
      </c>
      <c r="AZ28" s="29">
        <f>AVERAGE(densidade_hab_indL!AZ80:AZ82)</f>
        <v>0</v>
      </c>
      <c r="BA28" s="29">
        <f>AVERAGE(densidade_hab_indL!BA80:BA82)</f>
        <v>0</v>
      </c>
      <c r="BB28" s="29">
        <f>AVERAGE(densidade_hab_indL!BB80:BB82)</f>
        <v>0</v>
      </c>
      <c r="BC28" s="29">
        <f>AVERAGE(densidade_hab_indL!BC80:BC82)</f>
        <v>0</v>
      </c>
      <c r="BD28" s="29">
        <f>AVERAGE(densidade_hab_indL!BD80:BD82)</f>
        <v>1.3333333333333334E-2</v>
      </c>
      <c r="BE28" s="29">
        <f>AVERAGE(densidade_hab_indL!BE80:BE82)</f>
        <v>6.6666666666666671E-3</v>
      </c>
      <c r="BF28" s="29">
        <f>AVERAGE(densidade_hab_indL!BF80:BF82)</f>
        <v>0</v>
      </c>
      <c r="BG28" s="29">
        <f>AVERAGE(densidade_hab_indL!BG80:BG82)</f>
        <v>0</v>
      </c>
    </row>
    <row r="29" spans="1:59" ht="12.75" customHeight="1" x14ac:dyDescent="0.25">
      <c r="A29" s="4" t="s">
        <v>332</v>
      </c>
      <c r="B29" s="29">
        <f>AVERAGE(densidade_hab_indL!B83:B85)</f>
        <v>0.6333333333333333</v>
      </c>
      <c r="C29" s="29">
        <f>AVERAGE(densidade_hab_indL!C83:C85)</f>
        <v>0.22</v>
      </c>
      <c r="D29" s="29">
        <f>AVERAGE(densidade_hab_indL!D83:D85)</f>
        <v>0.20666666666666667</v>
      </c>
      <c r="E29" s="29">
        <f>AVERAGE(densidade_hab_indL!E83:E85)</f>
        <v>1.8733333333333333</v>
      </c>
      <c r="F29" s="29">
        <f>AVERAGE(densidade_hab_indL!F83:F85)</f>
        <v>1.24</v>
      </c>
      <c r="G29" s="29">
        <f>AVERAGE(densidade_hab_indL!G83:G85)</f>
        <v>0</v>
      </c>
      <c r="H29" s="29">
        <f>AVERAGE(densidade_hab_indL!H83:H85)</f>
        <v>5.3333333333333337E-2</v>
      </c>
      <c r="I29" s="29">
        <f>AVERAGE(densidade_hab_indL!I83:I85)</f>
        <v>7.873333333333334</v>
      </c>
      <c r="J29" s="29">
        <f>AVERAGE(densidade_hab_indL!J83:J85)</f>
        <v>1.8533333333333335</v>
      </c>
      <c r="K29" s="29">
        <f>AVERAGE(densidade_hab_indL!K83:K85)</f>
        <v>0</v>
      </c>
      <c r="L29" s="29">
        <f>AVERAGE(densidade_hab_indL!L83:L85)</f>
        <v>1.9133333333333333</v>
      </c>
      <c r="M29" s="29">
        <f>AVERAGE(densidade_hab_indL!M83:M85)</f>
        <v>0</v>
      </c>
      <c r="N29" s="29">
        <f>AVERAGE(densidade_hab_indL!N83:N85)</f>
        <v>0</v>
      </c>
      <c r="O29" s="29">
        <f>AVERAGE(densidade_hab_indL!O83:O85)</f>
        <v>0</v>
      </c>
      <c r="P29" s="29">
        <f>AVERAGE(densidade_hab_indL!P83:P85)</f>
        <v>0</v>
      </c>
      <c r="Q29" s="29">
        <f>AVERAGE(densidade_hab_indL!Q83:Q85)</f>
        <v>1.3133333333333332</v>
      </c>
      <c r="R29" s="29">
        <f>AVERAGE(densidade_hab_indL!R83:R85)</f>
        <v>0.29333333333333333</v>
      </c>
      <c r="S29" s="29">
        <f>AVERAGE(densidade_hab_indL!S83:S85)</f>
        <v>0.12666666666666668</v>
      </c>
      <c r="T29" s="29">
        <f>AVERAGE(densidade_hab_indL!T83:T85)</f>
        <v>0.68666666666666665</v>
      </c>
      <c r="U29" s="29">
        <f>AVERAGE(densidade_hab_indL!U83:U85)</f>
        <v>6.6666666666666666E-2</v>
      </c>
      <c r="V29" s="29">
        <f>AVERAGE(densidade_hab_indL!V83:V85)</f>
        <v>3.9866666666666668</v>
      </c>
      <c r="W29" s="29">
        <f>AVERAGE(densidade_hab_indL!W83:W85)</f>
        <v>0</v>
      </c>
      <c r="X29" s="29">
        <f>AVERAGE(densidade_hab_indL!X83:X85)</f>
        <v>0</v>
      </c>
      <c r="Y29" s="29">
        <f>AVERAGE(densidade_hab_indL!Y83:Y85)</f>
        <v>0.13333333333333333</v>
      </c>
      <c r="Z29" s="29">
        <f>AVERAGE(densidade_hab_indL!Z83:Z85)</f>
        <v>0.3666666666666667</v>
      </c>
      <c r="AA29" s="29">
        <f>AVERAGE(densidade_hab_indL!AA83:AA85)</f>
        <v>0.90666666666666662</v>
      </c>
      <c r="AB29" s="29">
        <f>AVERAGE(densidade_hab_indL!AB83:AB85)</f>
        <v>0</v>
      </c>
      <c r="AC29" s="29">
        <f>AVERAGE(densidade_hab_indL!AC83:AC85)</f>
        <v>0</v>
      </c>
      <c r="AD29" s="29">
        <f>AVERAGE(densidade_hab_indL!AD83:AD85)</f>
        <v>0.19333333333333336</v>
      </c>
      <c r="AE29" s="29">
        <f>AVERAGE(densidade_hab_indL!AE83:AE85)</f>
        <v>0</v>
      </c>
      <c r="AF29" s="29">
        <f>AVERAGE(densidade_hab_indL!AF83:AF85)</f>
        <v>0</v>
      </c>
      <c r="AG29" s="29">
        <f>AVERAGE(densidade_hab_indL!AG83:AG85)</f>
        <v>0.15333333333333332</v>
      </c>
      <c r="AH29" s="29">
        <f>AVERAGE(densidade_hab_indL!AH83:AH85)</f>
        <v>0</v>
      </c>
      <c r="AI29" s="29">
        <f>AVERAGE(densidade_hab_indL!AI83:AI85)</f>
        <v>0</v>
      </c>
      <c r="AJ29" s="29">
        <f>AVERAGE(densidade_hab_indL!AJ83:AJ85)</f>
        <v>0</v>
      </c>
      <c r="AK29" s="29">
        <f>AVERAGE(densidade_hab_indL!AK83:AK85)</f>
        <v>0</v>
      </c>
      <c r="AL29" s="29">
        <f>AVERAGE(densidade_hab_indL!AL83:AL85)</f>
        <v>0.24666666666666667</v>
      </c>
      <c r="AM29" s="29">
        <f>AVERAGE(densidade_hab_indL!AM83:AM85)</f>
        <v>0</v>
      </c>
      <c r="AN29" s="29">
        <f>AVERAGE(densidade_hab_indL!AN83:AN85)</f>
        <v>0</v>
      </c>
      <c r="AO29" s="29">
        <f>AVERAGE(densidade_hab_indL!AO83:AO85)</f>
        <v>0</v>
      </c>
      <c r="AP29" s="29">
        <f>AVERAGE(densidade_hab_indL!AP83:AP85)</f>
        <v>1.1733333333333333</v>
      </c>
      <c r="AQ29" s="29">
        <f>AVERAGE(densidade_hab_indL!AQ83:AQ85)</f>
        <v>1.42</v>
      </c>
      <c r="AR29" s="29">
        <f>AVERAGE(densidade_hab_indL!AR83:AR85)</f>
        <v>0.29333333333333333</v>
      </c>
      <c r="AS29" s="29">
        <f>AVERAGE(densidade_hab_indL!AS83:AS85)</f>
        <v>0</v>
      </c>
      <c r="AT29" s="29">
        <f>AVERAGE(densidade_hab_indL!AT83:AT85)</f>
        <v>0</v>
      </c>
      <c r="AU29" s="29">
        <f>AVERAGE(densidade_hab_indL!AU83:AU85)</f>
        <v>0</v>
      </c>
      <c r="AV29" s="29">
        <f>AVERAGE(densidade_hab_indL!AV83:AV85)</f>
        <v>2.4</v>
      </c>
      <c r="AW29" s="29">
        <f>AVERAGE(densidade_hab_indL!AW83:AW85)</f>
        <v>9.9999999999999992E-2</v>
      </c>
      <c r="AX29" s="29">
        <f>AVERAGE(densidade_hab_indL!AX83:AX85)</f>
        <v>0.19333333333333336</v>
      </c>
      <c r="AY29" s="29">
        <f>AVERAGE(densidade_hab_indL!AY83:AY85)</f>
        <v>1.2066666666666668</v>
      </c>
      <c r="AZ29" s="29">
        <f>AVERAGE(densidade_hab_indL!AZ83:AZ85)</f>
        <v>0</v>
      </c>
      <c r="BA29" s="29">
        <f>AVERAGE(densidade_hab_indL!BA83:BA85)</f>
        <v>0</v>
      </c>
      <c r="BB29" s="29">
        <f>AVERAGE(densidade_hab_indL!BB83:BB85)</f>
        <v>0</v>
      </c>
      <c r="BC29" s="29">
        <f>AVERAGE(densidade_hab_indL!BC83:BC85)</f>
        <v>0</v>
      </c>
      <c r="BD29" s="29">
        <f>AVERAGE(densidade_hab_indL!BD83:BD85)</f>
        <v>0.24666666666666667</v>
      </c>
      <c r="BE29" s="29">
        <f>AVERAGE(densidade_hab_indL!BE83:BE85)</f>
        <v>0.22</v>
      </c>
      <c r="BF29" s="29">
        <f>AVERAGE(densidade_hab_indL!BF83:BF85)</f>
        <v>0</v>
      </c>
      <c r="BG29" s="29">
        <f>AVERAGE(densidade_hab_indL!BG83:BG85)</f>
        <v>0</v>
      </c>
    </row>
    <row r="30" spans="1:59" ht="12.75" customHeight="1" x14ac:dyDescent="0.25">
      <c r="A30" s="4" t="s">
        <v>333</v>
      </c>
      <c r="B30" s="29">
        <f>AVERAGE(densidade_hab_indL!B86:B88)</f>
        <v>0.12666666666666668</v>
      </c>
      <c r="C30" s="29">
        <f>AVERAGE(densidade_hab_indL!C86:C88)</f>
        <v>0</v>
      </c>
      <c r="D30" s="29">
        <f>AVERAGE(densidade_hab_indL!D86:D88)</f>
        <v>0.02</v>
      </c>
      <c r="E30" s="29">
        <f>AVERAGE(densidade_hab_indL!E86:E88)</f>
        <v>1.54</v>
      </c>
      <c r="F30" s="29">
        <f>AVERAGE(densidade_hab_indL!F86:F88)</f>
        <v>0.13333333333333333</v>
      </c>
      <c r="G30" s="29">
        <f>AVERAGE(densidade_hab_indL!G86:G88)</f>
        <v>0</v>
      </c>
      <c r="H30" s="29">
        <f>AVERAGE(densidade_hab_indL!H86:H88)</f>
        <v>0</v>
      </c>
      <c r="I30" s="29">
        <f>AVERAGE(densidade_hab_indL!I86:I88)</f>
        <v>0.37333333333333335</v>
      </c>
      <c r="J30" s="29">
        <f>AVERAGE(densidade_hab_indL!J86:J88)</f>
        <v>0.21999999999999997</v>
      </c>
      <c r="K30" s="29">
        <f>AVERAGE(densidade_hab_indL!K86:K88)</f>
        <v>0</v>
      </c>
      <c r="L30" s="29">
        <f>AVERAGE(densidade_hab_indL!L86:L88)</f>
        <v>0.11333333333333333</v>
      </c>
      <c r="M30" s="29">
        <f>AVERAGE(densidade_hab_indL!M86:M88)</f>
        <v>0</v>
      </c>
      <c r="N30" s="29">
        <f>AVERAGE(densidade_hab_indL!N86:N88)</f>
        <v>0</v>
      </c>
      <c r="O30" s="29">
        <f>AVERAGE(densidade_hab_indL!O86:O88)</f>
        <v>0</v>
      </c>
      <c r="P30" s="29">
        <f>AVERAGE(densidade_hab_indL!P86:P88)</f>
        <v>6.6666666666666671E-3</v>
      </c>
      <c r="Q30" s="29">
        <f>AVERAGE(densidade_hab_indL!Q86:Q88)</f>
        <v>1.3333333333333334E-2</v>
      </c>
      <c r="R30" s="29">
        <f>AVERAGE(densidade_hab_indL!R86:R88)</f>
        <v>0.10666666666666667</v>
      </c>
      <c r="S30" s="29">
        <f>AVERAGE(densidade_hab_indL!S86:S88)</f>
        <v>1.3333333333333334E-2</v>
      </c>
      <c r="T30" s="29">
        <f>AVERAGE(densidade_hab_indL!T86:T88)</f>
        <v>0.06</v>
      </c>
      <c r="U30" s="29">
        <f>AVERAGE(densidade_hab_indL!U86:U88)</f>
        <v>0</v>
      </c>
      <c r="V30" s="29">
        <f>AVERAGE(densidade_hab_indL!V86:V88)</f>
        <v>5.3333333333333337E-2</v>
      </c>
      <c r="W30" s="29">
        <f>AVERAGE(densidade_hab_indL!W86:W88)</f>
        <v>0</v>
      </c>
      <c r="X30" s="29">
        <f>AVERAGE(densidade_hab_indL!X86:X88)</f>
        <v>0</v>
      </c>
      <c r="Y30" s="29">
        <f>AVERAGE(densidade_hab_indL!Y86:Y88)</f>
        <v>0</v>
      </c>
      <c r="Z30" s="29">
        <f>AVERAGE(densidade_hab_indL!Z86:Z88)</f>
        <v>5.3333333333333337E-2</v>
      </c>
      <c r="AA30" s="29">
        <f>AVERAGE(densidade_hab_indL!AA86:AA88)</f>
        <v>0.21333333333333337</v>
      </c>
      <c r="AB30" s="29">
        <f>AVERAGE(densidade_hab_indL!AB86:AB88)</f>
        <v>0</v>
      </c>
      <c r="AC30" s="29">
        <f>AVERAGE(densidade_hab_indL!AC86:AC88)</f>
        <v>0</v>
      </c>
      <c r="AD30" s="29">
        <f>AVERAGE(densidade_hab_indL!AD86:AD88)</f>
        <v>6.6666666666666671E-3</v>
      </c>
      <c r="AE30" s="29">
        <f>AVERAGE(densidade_hab_indL!AE86:AE88)</f>
        <v>0</v>
      </c>
      <c r="AF30" s="29">
        <f>AVERAGE(densidade_hab_indL!AF86:AF88)</f>
        <v>0</v>
      </c>
      <c r="AG30" s="29">
        <f>AVERAGE(densidade_hab_indL!AG86:AG88)</f>
        <v>3.3333333333333333E-2</v>
      </c>
      <c r="AH30" s="29">
        <f>AVERAGE(densidade_hab_indL!AH86:AH88)</f>
        <v>0</v>
      </c>
      <c r="AI30" s="29">
        <f>AVERAGE(densidade_hab_indL!AI86:AI88)</f>
        <v>0</v>
      </c>
      <c r="AJ30" s="29">
        <f>AVERAGE(densidade_hab_indL!AJ86:AJ88)</f>
        <v>0</v>
      </c>
      <c r="AK30" s="29">
        <f>AVERAGE(densidade_hab_indL!AK86:AK88)</f>
        <v>0</v>
      </c>
      <c r="AL30" s="29">
        <f>AVERAGE(densidade_hab_indL!AL86:AL88)</f>
        <v>0</v>
      </c>
      <c r="AM30" s="29">
        <f>AVERAGE(densidade_hab_indL!AM86:AM88)</f>
        <v>0</v>
      </c>
      <c r="AN30" s="29">
        <f>AVERAGE(densidade_hab_indL!AN86:AN88)</f>
        <v>0</v>
      </c>
      <c r="AO30" s="29">
        <f>AVERAGE(densidade_hab_indL!AO86:AO88)</f>
        <v>0</v>
      </c>
      <c r="AP30" s="29">
        <f>AVERAGE(densidade_hab_indL!AP86:AP88)</f>
        <v>0</v>
      </c>
      <c r="AQ30" s="29">
        <f>AVERAGE(densidade_hab_indL!AQ86:AQ88)</f>
        <v>9.3333333333333338E-2</v>
      </c>
      <c r="AR30" s="29">
        <f>AVERAGE(densidade_hab_indL!AR86:AR88)</f>
        <v>0</v>
      </c>
      <c r="AS30" s="29">
        <f>AVERAGE(densidade_hab_indL!AS86:AS88)</f>
        <v>0</v>
      </c>
      <c r="AT30" s="29">
        <f>AVERAGE(densidade_hab_indL!AT86:AT88)</f>
        <v>0</v>
      </c>
      <c r="AU30" s="29">
        <f>AVERAGE(densidade_hab_indL!AU86:AU88)</f>
        <v>0</v>
      </c>
      <c r="AV30" s="29">
        <f>AVERAGE(densidade_hab_indL!AV86:AV88)</f>
        <v>0.13333333333333333</v>
      </c>
      <c r="AW30" s="29">
        <f>AVERAGE(densidade_hab_indL!AW86:AW88)</f>
        <v>0</v>
      </c>
      <c r="AX30" s="29">
        <f>AVERAGE(densidade_hab_indL!AX86:AX88)</f>
        <v>0</v>
      </c>
      <c r="AY30" s="29">
        <f>AVERAGE(densidade_hab_indL!AY86:AY88)</f>
        <v>4.6666666666666662E-2</v>
      </c>
      <c r="AZ30" s="29">
        <f>AVERAGE(densidade_hab_indL!AZ86:AZ88)</f>
        <v>0</v>
      </c>
      <c r="BA30" s="29">
        <f>AVERAGE(densidade_hab_indL!BA86:BA88)</f>
        <v>0</v>
      </c>
      <c r="BB30" s="29">
        <f>AVERAGE(densidade_hab_indL!BB86:BB88)</f>
        <v>0</v>
      </c>
      <c r="BC30" s="29">
        <f>AVERAGE(densidade_hab_indL!BC86:BC88)</f>
        <v>0</v>
      </c>
      <c r="BD30" s="29">
        <f>AVERAGE(densidade_hab_indL!BD86:BD88)</f>
        <v>0.10666666666666667</v>
      </c>
      <c r="BE30" s="29">
        <f>AVERAGE(densidade_hab_indL!BE86:BE88)</f>
        <v>2.6666666666666668E-2</v>
      </c>
      <c r="BF30" s="29">
        <f>AVERAGE(densidade_hab_indL!BF86:BF88)</f>
        <v>0</v>
      </c>
      <c r="BG30" s="29">
        <f>AVERAGE(densidade_hab_indL!BG86:BG88)</f>
        <v>0</v>
      </c>
    </row>
    <row r="31" spans="1:59" ht="12.75" customHeight="1" x14ac:dyDescent="0.25">
      <c r="A31" s="4" t="s">
        <v>334</v>
      </c>
      <c r="B31" s="29">
        <f>AVERAGE(densidade_hab_indL!B89:B91)</f>
        <v>0.11333333333333334</v>
      </c>
      <c r="C31" s="29">
        <f>AVERAGE(densidade_hab_indL!C89:C91)</f>
        <v>6.6666666666666671E-3</v>
      </c>
      <c r="D31" s="29">
        <f>AVERAGE(densidade_hab_indL!D89:D91)</f>
        <v>0</v>
      </c>
      <c r="E31" s="29">
        <f>AVERAGE(densidade_hab_indL!E89:E91)</f>
        <v>1.406666666666667</v>
      </c>
      <c r="F31" s="29">
        <f>AVERAGE(densidade_hab_indL!F89:F91)</f>
        <v>4.6666666666666662E-2</v>
      </c>
      <c r="G31" s="29">
        <f>AVERAGE(densidade_hab_indL!G89:G91)</f>
        <v>0</v>
      </c>
      <c r="H31" s="29">
        <f>AVERAGE(densidade_hab_indL!H89:H91)</f>
        <v>0</v>
      </c>
      <c r="I31" s="29">
        <f>AVERAGE(densidade_hab_indL!I89:I91)</f>
        <v>0.92666666666666664</v>
      </c>
      <c r="J31" s="29">
        <f>AVERAGE(densidade_hab_indL!J89:J91)</f>
        <v>0.11333333333333333</v>
      </c>
      <c r="K31" s="29">
        <f>AVERAGE(densidade_hab_indL!K89:K91)</f>
        <v>0</v>
      </c>
      <c r="L31" s="29">
        <f>AVERAGE(densidade_hab_indL!L89:L91)</f>
        <v>0.22</v>
      </c>
      <c r="M31" s="29">
        <f>AVERAGE(densidade_hab_indL!M89:M91)</f>
        <v>0</v>
      </c>
      <c r="N31" s="29">
        <f>AVERAGE(densidade_hab_indL!N89:N91)</f>
        <v>0</v>
      </c>
      <c r="O31" s="29">
        <f>AVERAGE(densidade_hab_indL!O89:O91)</f>
        <v>0</v>
      </c>
      <c r="P31" s="29">
        <f>AVERAGE(densidade_hab_indL!P89:P91)</f>
        <v>0</v>
      </c>
      <c r="Q31" s="29">
        <f>AVERAGE(densidade_hab_indL!Q89:Q91)</f>
        <v>1.3333333333333334E-2</v>
      </c>
      <c r="R31" s="29">
        <f>AVERAGE(densidade_hab_indL!R89:R91)</f>
        <v>1.3333333333333334E-2</v>
      </c>
      <c r="S31" s="29">
        <f>AVERAGE(densidade_hab_indL!S89:S91)</f>
        <v>0</v>
      </c>
      <c r="T31" s="29">
        <f>AVERAGE(densidade_hab_indL!T89:T91)</f>
        <v>0.02</v>
      </c>
      <c r="U31" s="29">
        <f>AVERAGE(densidade_hab_indL!U89:U91)</f>
        <v>0</v>
      </c>
      <c r="V31" s="29">
        <f>AVERAGE(densidade_hab_indL!V89:V91)</f>
        <v>0.04</v>
      </c>
      <c r="W31" s="29">
        <f>AVERAGE(densidade_hab_indL!W89:W91)</f>
        <v>0</v>
      </c>
      <c r="X31" s="29">
        <f>AVERAGE(densidade_hab_indL!X89:X91)</f>
        <v>0</v>
      </c>
      <c r="Y31" s="29">
        <f>AVERAGE(densidade_hab_indL!Y89:Y91)</f>
        <v>3.3333333333333333E-2</v>
      </c>
      <c r="Z31" s="29">
        <f>AVERAGE(densidade_hab_indL!Z89:Z91)</f>
        <v>6.6666666666666671E-3</v>
      </c>
      <c r="AA31" s="29">
        <f>AVERAGE(densidade_hab_indL!AA89:AA91)</f>
        <v>0.04</v>
      </c>
      <c r="AB31" s="29">
        <f>AVERAGE(densidade_hab_indL!AB89:AB91)</f>
        <v>0</v>
      </c>
      <c r="AC31" s="29">
        <f>AVERAGE(densidade_hab_indL!AC89:AC91)</f>
        <v>0</v>
      </c>
      <c r="AD31" s="29">
        <f>AVERAGE(densidade_hab_indL!AD89:AD91)</f>
        <v>6.6666666666666671E-3</v>
      </c>
      <c r="AE31" s="29">
        <f>AVERAGE(densidade_hab_indL!AE89:AE91)</f>
        <v>0</v>
      </c>
      <c r="AF31" s="29">
        <f>AVERAGE(densidade_hab_indL!AF89:AF91)</f>
        <v>0</v>
      </c>
      <c r="AG31" s="29">
        <f>AVERAGE(densidade_hab_indL!AG89:AG91)</f>
        <v>0</v>
      </c>
      <c r="AH31" s="29">
        <f>AVERAGE(densidade_hab_indL!AH89:AH91)</f>
        <v>0</v>
      </c>
      <c r="AI31" s="29">
        <f>AVERAGE(densidade_hab_indL!AI89:AI91)</f>
        <v>0</v>
      </c>
      <c r="AJ31" s="29">
        <f>AVERAGE(densidade_hab_indL!AJ89:AJ91)</f>
        <v>0</v>
      </c>
      <c r="AK31" s="29">
        <f>AVERAGE(densidade_hab_indL!AK89:AK91)</f>
        <v>0</v>
      </c>
      <c r="AL31" s="29">
        <f>AVERAGE(densidade_hab_indL!AL89:AL91)</f>
        <v>0.02</v>
      </c>
      <c r="AM31" s="29">
        <f>AVERAGE(densidade_hab_indL!AM89:AM91)</f>
        <v>0</v>
      </c>
      <c r="AN31" s="29">
        <f>AVERAGE(densidade_hab_indL!AN89:AN91)</f>
        <v>0</v>
      </c>
      <c r="AO31" s="29">
        <f>AVERAGE(densidade_hab_indL!AO89:AO91)</f>
        <v>0</v>
      </c>
      <c r="AP31" s="29">
        <f>AVERAGE(densidade_hab_indL!AP89:AP91)</f>
        <v>0</v>
      </c>
      <c r="AQ31" s="29">
        <f>AVERAGE(densidade_hab_indL!AQ89:AQ91)</f>
        <v>3.3333333333333333E-2</v>
      </c>
      <c r="AR31" s="29">
        <f>AVERAGE(densidade_hab_indL!AR89:AR91)</f>
        <v>0</v>
      </c>
      <c r="AS31" s="29">
        <f>AVERAGE(densidade_hab_indL!AS89:AS91)</f>
        <v>0</v>
      </c>
      <c r="AT31" s="29">
        <f>AVERAGE(densidade_hab_indL!AT89:AT91)</f>
        <v>0</v>
      </c>
      <c r="AU31" s="29">
        <f>AVERAGE(densidade_hab_indL!AU89:AU91)</f>
        <v>0</v>
      </c>
      <c r="AV31" s="29">
        <f>AVERAGE(densidade_hab_indL!AV89:AV91)</f>
        <v>0.42</v>
      </c>
      <c r="AW31" s="29">
        <f>AVERAGE(densidade_hab_indL!AW89:AW91)</f>
        <v>0.11333333333333334</v>
      </c>
      <c r="AX31" s="29">
        <f>AVERAGE(densidade_hab_indL!AX89:AX91)</f>
        <v>9.3333333333333324E-2</v>
      </c>
      <c r="AY31" s="29">
        <f>AVERAGE(densidade_hab_indL!AY89:AY91)</f>
        <v>7.3333333333333348E-2</v>
      </c>
      <c r="AZ31" s="29">
        <f>AVERAGE(densidade_hab_indL!AZ89:AZ91)</f>
        <v>0</v>
      </c>
      <c r="BA31" s="29">
        <f>AVERAGE(densidade_hab_indL!BA89:BA91)</f>
        <v>6.6666666666666671E-3</v>
      </c>
      <c r="BB31" s="29">
        <f>AVERAGE(densidade_hab_indL!BB89:BB91)</f>
        <v>0</v>
      </c>
      <c r="BC31" s="29">
        <f>AVERAGE(densidade_hab_indL!BC89:BC91)</f>
        <v>0</v>
      </c>
      <c r="BD31" s="29">
        <f>AVERAGE(densidade_hab_indL!BD89:BD91)</f>
        <v>6.6666666666666671E-3</v>
      </c>
      <c r="BE31" s="29">
        <f>AVERAGE(densidade_hab_indL!BE89:BE91)</f>
        <v>6.6666666666666671E-3</v>
      </c>
      <c r="BF31" s="29">
        <f>AVERAGE(densidade_hab_indL!BF89:BF91)</f>
        <v>0</v>
      </c>
      <c r="BG31" s="29">
        <f>AVERAGE(densidade_hab_indL!BG89:BG91)</f>
        <v>0</v>
      </c>
    </row>
    <row r="32" spans="1:59" ht="12.75" customHeight="1" x14ac:dyDescent="0.25">
      <c r="A32" s="4" t="s">
        <v>335</v>
      </c>
      <c r="B32" s="29">
        <f>AVERAGE(densidade_hab_indL!B92:B94)</f>
        <v>6.6666666666666671E-3</v>
      </c>
      <c r="C32" s="29">
        <f>AVERAGE(densidade_hab_indL!C92:C94)</f>
        <v>6.6666666666666666E-2</v>
      </c>
      <c r="D32" s="29">
        <f>AVERAGE(densidade_hab_indL!D92:D94)</f>
        <v>0</v>
      </c>
      <c r="E32" s="29">
        <f>AVERAGE(densidade_hab_indL!E92:E94)</f>
        <v>1.1866666666666665</v>
      </c>
      <c r="F32" s="29">
        <f>AVERAGE(densidade_hab_indL!F92:F94)</f>
        <v>0</v>
      </c>
      <c r="G32" s="29">
        <f>AVERAGE(densidade_hab_indL!G92:G94)</f>
        <v>0</v>
      </c>
      <c r="H32" s="29">
        <f>AVERAGE(densidade_hab_indL!H92:H94)</f>
        <v>0</v>
      </c>
      <c r="I32" s="29">
        <f>AVERAGE(densidade_hab_indL!I92:I94)</f>
        <v>3.3333333333333333E-2</v>
      </c>
      <c r="J32" s="29">
        <f>AVERAGE(densidade_hab_indL!J92:J94)</f>
        <v>0</v>
      </c>
      <c r="K32" s="29">
        <f>AVERAGE(densidade_hab_indL!K92:K94)</f>
        <v>0</v>
      </c>
      <c r="L32" s="29">
        <f>AVERAGE(densidade_hab_indL!L92:L94)</f>
        <v>0</v>
      </c>
      <c r="M32" s="29">
        <f>AVERAGE(densidade_hab_indL!M92:M94)</f>
        <v>0</v>
      </c>
      <c r="N32" s="29">
        <f>AVERAGE(densidade_hab_indL!N92:N94)</f>
        <v>0</v>
      </c>
      <c r="O32" s="29">
        <f>AVERAGE(densidade_hab_indL!O92:O94)</f>
        <v>0</v>
      </c>
      <c r="P32" s="29">
        <f>AVERAGE(densidade_hab_indL!P92:P94)</f>
        <v>0</v>
      </c>
      <c r="Q32" s="29">
        <f>AVERAGE(densidade_hab_indL!Q92:Q94)</f>
        <v>0</v>
      </c>
      <c r="R32" s="29">
        <f>AVERAGE(densidade_hab_indL!R92:R94)</f>
        <v>0</v>
      </c>
      <c r="S32" s="29">
        <f>AVERAGE(densidade_hab_indL!S92:S94)</f>
        <v>0</v>
      </c>
      <c r="T32" s="29">
        <f>AVERAGE(densidade_hab_indL!T92:T94)</f>
        <v>0</v>
      </c>
      <c r="U32" s="29">
        <f>AVERAGE(densidade_hab_indL!U92:U94)</f>
        <v>0</v>
      </c>
      <c r="V32" s="29">
        <f>AVERAGE(densidade_hab_indL!V92:V94)</f>
        <v>0</v>
      </c>
      <c r="W32" s="29">
        <f>AVERAGE(densidade_hab_indL!W92:W94)</f>
        <v>0</v>
      </c>
      <c r="X32" s="29">
        <f>AVERAGE(densidade_hab_indL!X92:X94)</f>
        <v>0</v>
      </c>
      <c r="Y32" s="29">
        <f>AVERAGE(densidade_hab_indL!Y92:Y94)</f>
        <v>6.6666666666666671E-3</v>
      </c>
      <c r="Z32" s="29">
        <f>AVERAGE(densidade_hab_indL!Z92:Z94)</f>
        <v>0</v>
      </c>
      <c r="AA32" s="29">
        <f>AVERAGE(densidade_hab_indL!AA92:AA94)</f>
        <v>0</v>
      </c>
      <c r="AB32" s="29">
        <f>AVERAGE(densidade_hab_indL!AB92:AB94)</f>
        <v>0</v>
      </c>
      <c r="AC32" s="29">
        <f>AVERAGE(densidade_hab_indL!AC92:AC94)</f>
        <v>0</v>
      </c>
      <c r="AD32" s="29">
        <f>AVERAGE(densidade_hab_indL!AD92:AD94)</f>
        <v>0</v>
      </c>
      <c r="AE32" s="29">
        <f>AVERAGE(densidade_hab_indL!AE92:AE94)</f>
        <v>0</v>
      </c>
      <c r="AF32" s="29">
        <f>AVERAGE(densidade_hab_indL!AF92:AF94)</f>
        <v>0</v>
      </c>
      <c r="AG32" s="29">
        <f>AVERAGE(densidade_hab_indL!AG92:AG94)</f>
        <v>0</v>
      </c>
      <c r="AH32" s="29">
        <f>AVERAGE(densidade_hab_indL!AH92:AH94)</f>
        <v>0</v>
      </c>
      <c r="AI32" s="29">
        <f>AVERAGE(densidade_hab_indL!AI92:AI94)</f>
        <v>0</v>
      </c>
      <c r="AJ32" s="29">
        <f>AVERAGE(densidade_hab_indL!AJ92:AJ94)</f>
        <v>0</v>
      </c>
      <c r="AK32" s="29">
        <f>AVERAGE(densidade_hab_indL!AK92:AK94)</f>
        <v>0</v>
      </c>
      <c r="AL32" s="29">
        <f>AVERAGE(densidade_hab_indL!AL92:AL94)</f>
        <v>0</v>
      </c>
      <c r="AM32" s="29">
        <f>AVERAGE(densidade_hab_indL!AM92:AM94)</f>
        <v>0</v>
      </c>
      <c r="AN32" s="29">
        <f>AVERAGE(densidade_hab_indL!AN92:AN94)</f>
        <v>0</v>
      </c>
      <c r="AO32" s="29">
        <f>AVERAGE(densidade_hab_indL!AO92:AO94)</f>
        <v>0</v>
      </c>
      <c r="AP32" s="29">
        <f>AVERAGE(densidade_hab_indL!AP92:AP94)</f>
        <v>0</v>
      </c>
      <c r="AQ32" s="29">
        <f>AVERAGE(densidade_hab_indL!AQ92:AQ94)</f>
        <v>0</v>
      </c>
      <c r="AR32" s="29">
        <f>AVERAGE(densidade_hab_indL!AR92:AR94)</f>
        <v>0</v>
      </c>
      <c r="AS32" s="29">
        <f>AVERAGE(densidade_hab_indL!AS92:AS94)</f>
        <v>0</v>
      </c>
      <c r="AT32" s="29">
        <f>AVERAGE(densidade_hab_indL!AT92:AT94)</f>
        <v>0</v>
      </c>
      <c r="AU32" s="29">
        <f>AVERAGE(densidade_hab_indL!AU92:AU94)</f>
        <v>0</v>
      </c>
      <c r="AV32" s="29">
        <f>AVERAGE(densidade_hab_indL!AV92:AV94)</f>
        <v>4.6666666666666669E-2</v>
      </c>
      <c r="AW32" s="29">
        <f>AVERAGE(densidade_hab_indL!AW92:AW94)</f>
        <v>0</v>
      </c>
      <c r="AX32" s="29">
        <f>AVERAGE(densidade_hab_indL!AX92:AX94)</f>
        <v>0</v>
      </c>
      <c r="AY32" s="29">
        <f>AVERAGE(densidade_hab_indL!AY92:AY94)</f>
        <v>0</v>
      </c>
      <c r="AZ32" s="29">
        <f>AVERAGE(densidade_hab_indL!AZ92:AZ94)</f>
        <v>0</v>
      </c>
      <c r="BA32" s="29">
        <f>AVERAGE(densidade_hab_indL!BA92:BA94)</f>
        <v>0</v>
      </c>
      <c r="BB32" s="29">
        <f>AVERAGE(densidade_hab_indL!BB92:BB94)</f>
        <v>0</v>
      </c>
      <c r="BC32" s="29">
        <f>AVERAGE(densidade_hab_indL!BC92:BC94)</f>
        <v>0</v>
      </c>
      <c r="BD32" s="29">
        <f>AVERAGE(densidade_hab_indL!BD92:BD94)</f>
        <v>0</v>
      </c>
      <c r="BE32" s="29">
        <f>AVERAGE(densidade_hab_indL!BE92:BE94)</f>
        <v>0</v>
      </c>
      <c r="BF32" s="29">
        <f>AVERAGE(densidade_hab_indL!BF92:BF94)</f>
        <v>0</v>
      </c>
      <c r="BG32" s="29">
        <f>AVERAGE(densidade_hab_indL!BG92:BG94)</f>
        <v>0</v>
      </c>
    </row>
    <row r="33" spans="1:59" ht="12.75" customHeight="1" x14ac:dyDescent="0.25">
      <c r="A33" s="4" t="s">
        <v>336</v>
      </c>
      <c r="B33" s="29">
        <f>AVERAGE(densidade_hab_indL!B95:B97)</f>
        <v>6.6666666666666671E-3</v>
      </c>
      <c r="C33" s="29">
        <f>AVERAGE(densidade_hab_indL!C95:C97)</f>
        <v>6.6666666666666671E-3</v>
      </c>
      <c r="D33" s="29">
        <f>AVERAGE(densidade_hab_indL!D95:D97)</f>
        <v>0</v>
      </c>
      <c r="E33" s="29">
        <f>AVERAGE(densidade_hab_indL!E95:E97)</f>
        <v>0.82666666666666666</v>
      </c>
      <c r="F33" s="29">
        <f>AVERAGE(densidade_hab_indL!F95:F97)</f>
        <v>0</v>
      </c>
      <c r="G33" s="29">
        <f>AVERAGE(densidade_hab_indL!G95:G97)</f>
        <v>0</v>
      </c>
      <c r="H33" s="29">
        <f>AVERAGE(densidade_hab_indL!H95:H97)</f>
        <v>0</v>
      </c>
      <c r="I33" s="29">
        <f>AVERAGE(densidade_hab_indL!I95:I97)</f>
        <v>1.3333333333333334E-2</v>
      </c>
      <c r="J33" s="29">
        <f>AVERAGE(densidade_hab_indL!J95:J97)</f>
        <v>1.3333333333333334E-2</v>
      </c>
      <c r="K33" s="29">
        <f>AVERAGE(densidade_hab_indL!K95:K97)</f>
        <v>0</v>
      </c>
      <c r="L33" s="29">
        <f>AVERAGE(densidade_hab_indL!L95:L97)</f>
        <v>0</v>
      </c>
      <c r="M33" s="29">
        <f>AVERAGE(densidade_hab_indL!M95:M97)</f>
        <v>0</v>
      </c>
      <c r="N33" s="29">
        <f>AVERAGE(densidade_hab_indL!N95:N97)</f>
        <v>0</v>
      </c>
      <c r="O33" s="29">
        <f>AVERAGE(densidade_hab_indL!O95:O97)</f>
        <v>0</v>
      </c>
      <c r="P33" s="29">
        <f>AVERAGE(densidade_hab_indL!P95:P97)</f>
        <v>0</v>
      </c>
      <c r="Q33" s="29">
        <f>AVERAGE(densidade_hab_indL!Q95:Q97)</f>
        <v>0</v>
      </c>
      <c r="R33" s="29">
        <f>AVERAGE(densidade_hab_indL!R95:R97)</f>
        <v>0</v>
      </c>
      <c r="S33" s="29">
        <f>AVERAGE(densidade_hab_indL!S95:S97)</f>
        <v>0</v>
      </c>
      <c r="T33" s="29">
        <f>AVERAGE(densidade_hab_indL!T95:T97)</f>
        <v>0</v>
      </c>
      <c r="U33" s="29">
        <f>AVERAGE(densidade_hab_indL!U95:U97)</f>
        <v>0</v>
      </c>
      <c r="V33" s="29">
        <f>AVERAGE(densidade_hab_indL!V95:V97)</f>
        <v>0</v>
      </c>
      <c r="W33" s="29">
        <f>AVERAGE(densidade_hab_indL!W95:W97)</f>
        <v>0</v>
      </c>
      <c r="X33" s="29">
        <f>AVERAGE(densidade_hab_indL!X95:X97)</f>
        <v>0</v>
      </c>
      <c r="Y33" s="29">
        <f>AVERAGE(densidade_hab_indL!Y95:Y97)</f>
        <v>0</v>
      </c>
      <c r="Z33" s="29">
        <f>AVERAGE(densidade_hab_indL!Z95:Z97)</f>
        <v>0</v>
      </c>
      <c r="AA33" s="29">
        <f>AVERAGE(densidade_hab_indL!AA95:AA97)</f>
        <v>6.6666666666666671E-3</v>
      </c>
      <c r="AB33" s="29">
        <f>AVERAGE(densidade_hab_indL!AB95:AB97)</f>
        <v>0</v>
      </c>
      <c r="AC33" s="29">
        <f>AVERAGE(densidade_hab_indL!AC95:AC97)</f>
        <v>0</v>
      </c>
      <c r="AD33" s="29">
        <f>AVERAGE(densidade_hab_indL!AD95:AD97)</f>
        <v>0</v>
      </c>
      <c r="AE33" s="29">
        <f>AVERAGE(densidade_hab_indL!AE95:AE97)</f>
        <v>0</v>
      </c>
      <c r="AF33" s="29">
        <f>AVERAGE(densidade_hab_indL!AF95:AF97)</f>
        <v>0</v>
      </c>
      <c r="AG33" s="29">
        <f>AVERAGE(densidade_hab_indL!AG95:AG97)</f>
        <v>0</v>
      </c>
      <c r="AH33" s="29">
        <f>AVERAGE(densidade_hab_indL!AH95:AH97)</f>
        <v>0</v>
      </c>
      <c r="AI33" s="29">
        <f>AVERAGE(densidade_hab_indL!AI95:AI97)</f>
        <v>0</v>
      </c>
      <c r="AJ33" s="29">
        <f>AVERAGE(densidade_hab_indL!AJ95:AJ97)</f>
        <v>0</v>
      </c>
      <c r="AK33" s="29">
        <f>AVERAGE(densidade_hab_indL!AK95:AK97)</f>
        <v>0</v>
      </c>
      <c r="AL33" s="29">
        <f>AVERAGE(densidade_hab_indL!AL95:AL97)</f>
        <v>0</v>
      </c>
      <c r="AM33" s="29">
        <f>AVERAGE(densidade_hab_indL!AM95:AM97)</f>
        <v>0</v>
      </c>
      <c r="AN33" s="29">
        <f>AVERAGE(densidade_hab_indL!AN95:AN97)</f>
        <v>0</v>
      </c>
      <c r="AO33" s="29">
        <f>AVERAGE(densidade_hab_indL!AO95:AO97)</f>
        <v>0</v>
      </c>
      <c r="AP33" s="29">
        <f>AVERAGE(densidade_hab_indL!AP95:AP97)</f>
        <v>6.6666666666666671E-3</v>
      </c>
      <c r="AQ33" s="29">
        <f>AVERAGE(densidade_hab_indL!AQ95:AQ97)</f>
        <v>0</v>
      </c>
      <c r="AR33" s="29">
        <f>AVERAGE(densidade_hab_indL!AR95:AR97)</f>
        <v>0</v>
      </c>
      <c r="AS33" s="29">
        <f>AVERAGE(densidade_hab_indL!AS95:AS97)</f>
        <v>0</v>
      </c>
      <c r="AT33" s="29">
        <f>AVERAGE(densidade_hab_indL!AT95:AT97)</f>
        <v>0</v>
      </c>
      <c r="AU33" s="29">
        <f>AVERAGE(densidade_hab_indL!AU95:AU97)</f>
        <v>0</v>
      </c>
      <c r="AV33" s="29">
        <f>AVERAGE(densidade_hab_indL!AV95:AV97)</f>
        <v>1.3333333333333334E-2</v>
      </c>
      <c r="AW33" s="29">
        <f>AVERAGE(densidade_hab_indL!AW95:AW97)</f>
        <v>0</v>
      </c>
      <c r="AX33" s="29">
        <f>AVERAGE(densidade_hab_indL!AX95:AX97)</f>
        <v>0</v>
      </c>
      <c r="AY33" s="29">
        <f>AVERAGE(densidade_hab_indL!AY95:AY97)</f>
        <v>6.6666666666666671E-3</v>
      </c>
      <c r="AZ33" s="29">
        <f>AVERAGE(densidade_hab_indL!AZ95:AZ97)</f>
        <v>0</v>
      </c>
      <c r="BA33" s="29">
        <f>AVERAGE(densidade_hab_indL!BA95:BA97)</f>
        <v>0</v>
      </c>
      <c r="BB33" s="29">
        <f>AVERAGE(densidade_hab_indL!BB95:BB97)</f>
        <v>0</v>
      </c>
      <c r="BC33" s="29">
        <f>AVERAGE(densidade_hab_indL!BC95:BC97)</f>
        <v>0</v>
      </c>
      <c r="BD33" s="29">
        <f>AVERAGE(densidade_hab_indL!BD95:BD97)</f>
        <v>6.6666666666666671E-3</v>
      </c>
      <c r="BE33" s="29">
        <f>AVERAGE(densidade_hab_indL!BE95:BE97)</f>
        <v>0</v>
      </c>
      <c r="BF33" s="29">
        <f>AVERAGE(densidade_hab_indL!BF95:BF97)</f>
        <v>1.3333333333333334E-2</v>
      </c>
      <c r="BG33" s="29">
        <f>AVERAGE(densidade_hab_indL!BG95:BG97)</f>
        <v>0</v>
      </c>
    </row>
    <row r="34" spans="1:59" ht="12.75" customHeight="1" x14ac:dyDescent="0.25"/>
    <row r="35" spans="1:59" ht="12.75" customHeight="1" x14ac:dyDescent="0.25"/>
    <row r="36" spans="1:59" ht="12.75" customHeight="1" x14ac:dyDescent="0.25"/>
    <row r="37" spans="1:59" ht="12.75" customHeight="1" x14ac:dyDescent="0.25"/>
    <row r="38" spans="1:59" ht="12.75" customHeight="1" x14ac:dyDescent="0.25"/>
    <row r="39" spans="1:59" ht="12.75" customHeight="1" x14ac:dyDescent="0.25"/>
    <row r="40" spans="1:59" ht="12.75" customHeight="1" x14ac:dyDescent="0.25"/>
    <row r="41" spans="1:59" ht="12.75" customHeight="1" x14ac:dyDescent="0.25"/>
    <row r="42" spans="1:59" ht="12.75" customHeight="1" x14ac:dyDescent="0.25"/>
    <row r="43" spans="1:59" ht="12.75" customHeight="1" x14ac:dyDescent="0.25"/>
    <row r="44" spans="1:59" ht="12.75" customHeight="1" x14ac:dyDescent="0.25"/>
    <row r="45" spans="1:59" ht="12.75" customHeight="1" x14ac:dyDescent="0.25"/>
    <row r="46" spans="1:59" ht="12.75" customHeight="1" x14ac:dyDescent="0.25"/>
    <row r="47" spans="1:59" ht="12.75" customHeight="1" x14ac:dyDescent="0.25"/>
    <row r="48" spans="1:59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2.75" customHeight="1" x14ac:dyDescent="0.25"/>
    <row r="63" ht="12.75" customHeight="1" x14ac:dyDescent="0.25"/>
    <row r="64" ht="12.75" customHeight="1" x14ac:dyDescent="0.25"/>
    <row r="65" ht="12.75" customHeight="1" x14ac:dyDescent="0.25"/>
    <row r="66" ht="12.75" customHeight="1" x14ac:dyDescent="0.25"/>
    <row r="67" ht="12.75" customHeight="1" x14ac:dyDescent="0.25"/>
    <row r="68" ht="12.75" customHeight="1" x14ac:dyDescent="0.25"/>
    <row r="69" ht="12.75" customHeight="1" x14ac:dyDescent="0.25"/>
    <row r="70" ht="12.75" customHeight="1" x14ac:dyDescent="0.25"/>
    <row r="71" ht="12.75" customHeight="1" x14ac:dyDescent="0.25"/>
    <row r="72" ht="12.75" customHeight="1" x14ac:dyDescent="0.25"/>
    <row r="73" ht="12.75" customHeight="1" x14ac:dyDescent="0.25"/>
    <row r="74" ht="12.75" customHeight="1" x14ac:dyDescent="0.25"/>
    <row r="75" ht="12.75" customHeight="1" x14ac:dyDescent="0.25"/>
    <row r="76" ht="12.75" customHeight="1" x14ac:dyDescent="0.25"/>
    <row r="77" ht="12.75" customHeight="1" x14ac:dyDescent="0.25"/>
    <row r="78" ht="12.75" customHeight="1" x14ac:dyDescent="0.25"/>
    <row r="79" ht="12.75" customHeight="1" x14ac:dyDescent="0.25"/>
    <row r="8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" bottom="0" header="0.511811023622047" footer="0.511811023622047"/>
  <pageSetup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="60" zoomScaleNormal="60" workbookViewId="0"/>
  </sheetViews>
  <sheetFormatPr defaultColWidth="11.5703125" defaultRowHeight="15" customHeight="1" x14ac:dyDescent="0.25"/>
  <cols>
    <col min="1" max="5" width="20.5703125" customWidth="1"/>
    <col min="6" max="6" width="9.28515625" customWidth="1"/>
    <col min="7" max="8" width="20.5703125" customWidth="1"/>
    <col min="9" max="26" width="8.7109375" customWidth="1"/>
    <col min="27" max="1024" width="14.42578125" customWidth="1"/>
  </cols>
  <sheetData>
    <row r="1" spans="1:26" ht="14.25" customHeight="1" x14ac:dyDescent="0.25">
      <c r="A1" s="1" t="s">
        <v>337</v>
      </c>
      <c r="B1" s="3"/>
      <c r="C1" s="3"/>
      <c r="D1" s="3" t="s">
        <v>338</v>
      </c>
      <c r="E1" s="3" t="s">
        <v>339</v>
      </c>
      <c r="F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4.25" customHeight="1" x14ac:dyDescent="0.25">
      <c r="A2" s="2" t="s">
        <v>340</v>
      </c>
      <c r="B2" s="2" t="s">
        <v>1</v>
      </c>
      <c r="C2" s="2" t="s">
        <v>341</v>
      </c>
      <c r="D2" s="2" t="s">
        <v>4</v>
      </c>
      <c r="E2" s="2" t="s">
        <v>342</v>
      </c>
      <c r="F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4.25" customHeight="1" x14ac:dyDescent="0.25">
      <c r="A3" s="3" t="s">
        <v>343</v>
      </c>
      <c r="B3" s="3" t="s">
        <v>344</v>
      </c>
      <c r="C3" s="3" t="s">
        <v>345</v>
      </c>
      <c r="D3" s="3" t="s">
        <v>346</v>
      </c>
      <c r="E3" s="3" t="s">
        <v>347</v>
      </c>
      <c r="F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 customHeight="1" x14ac:dyDescent="0.25">
      <c r="A4" s="3" t="s">
        <v>348</v>
      </c>
      <c r="B4" s="3" t="s">
        <v>345</v>
      </c>
      <c r="C4" s="3" t="s">
        <v>345</v>
      </c>
      <c r="D4" s="3" t="s">
        <v>349</v>
      </c>
      <c r="E4" s="3" t="s">
        <v>350</v>
      </c>
      <c r="F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4.25" customHeight="1" x14ac:dyDescent="0.25">
      <c r="A5" s="3" t="s">
        <v>351</v>
      </c>
      <c r="B5" s="3" t="s">
        <v>345</v>
      </c>
      <c r="C5" s="3" t="s">
        <v>345</v>
      </c>
      <c r="D5" s="3" t="s">
        <v>352</v>
      </c>
      <c r="E5" s="3" t="s">
        <v>353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4.25" customHeight="1" x14ac:dyDescent="0.25">
      <c r="A6" s="3" t="s">
        <v>354</v>
      </c>
      <c r="B6" s="3" t="s">
        <v>345</v>
      </c>
      <c r="C6" s="3" t="s">
        <v>345</v>
      </c>
      <c r="D6" s="3" t="s">
        <v>345</v>
      </c>
      <c r="E6" s="3" t="s">
        <v>345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4.25" customHeight="1" x14ac:dyDescent="0.25">
      <c r="A7" s="3" t="s">
        <v>355</v>
      </c>
      <c r="B7" s="3" t="s">
        <v>345</v>
      </c>
      <c r="C7" s="3" t="s">
        <v>345</v>
      </c>
      <c r="D7" s="3" t="s">
        <v>345</v>
      </c>
      <c r="E7" s="3" t="s">
        <v>345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4.25" customHeight="1" x14ac:dyDescent="0.25">
      <c r="A8" s="3">
        <v>40</v>
      </c>
      <c r="B8" s="3" t="s">
        <v>345</v>
      </c>
      <c r="C8" s="3" t="s">
        <v>345</v>
      </c>
      <c r="D8" s="3">
        <v>3</v>
      </c>
      <c r="E8" s="3">
        <v>3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4.25" customHeight="1" x14ac:dyDescent="0.25">
      <c r="A9" s="3">
        <f>A8*1</f>
        <v>40</v>
      </c>
      <c r="B9" s="3" t="s">
        <v>345</v>
      </c>
      <c r="C9" s="3" t="s">
        <v>345</v>
      </c>
      <c r="D9" s="3">
        <f>D8*A8</f>
        <v>120</v>
      </c>
      <c r="E9" s="3">
        <f>E8*D9</f>
        <v>360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4.25" customHeight="1" x14ac:dyDescent="0.25">
      <c r="A10" s="3"/>
      <c r="B10" s="3"/>
      <c r="C10" s="3"/>
      <c r="D10" s="3"/>
      <c r="E10" s="3"/>
      <c r="F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4.25" customHeight="1" x14ac:dyDescent="0.25">
      <c r="A11" s="3"/>
      <c r="B11" s="3"/>
      <c r="C11" s="3"/>
      <c r="D11" s="3"/>
      <c r="E11" s="3"/>
      <c r="F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4.25" customHeight="1" x14ac:dyDescent="0.25">
      <c r="A12" s="3"/>
      <c r="B12" s="3"/>
      <c r="C12" s="3"/>
      <c r="D12" s="3"/>
      <c r="E12" s="3"/>
      <c r="F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4.25" customHeight="1" x14ac:dyDescent="0.25">
      <c r="A13" s="30" t="s">
        <v>356</v>
      </c>
      <c r="B13" s="3" t="s">
        <v>357</v>
      </c>
      <c r="C13" s="3"/>
      <c r="D13" s="3"/>
      <c r="E13" s="3"/>
      <c r="F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4.25" customHeight="1" x14ac:dyDescent="0.25">
      <c r="A14" s="31" t="s">
        <v>358</v>
      </c>
      <c r="B14" s="3" t="s">
        <v>359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4.25" customHeight="1" x14ac:dyDescent="0.25">
      <c r="A15" s="32" t="s">
        <v>360</v>
      </c>
      <c r="B15" s="3" t="s">
        <v>361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4.25" customHeight="1" x14ac:dyDescent="0.25">
      <c r="A16" s="33" t="s">
        <v>362</v>
      </c>
      <c r="B16" s="34" t="s">
        <v>363</v>
      </c>
      <c r="C16" s="4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4.25" customHeight="1" x14ac:dyDescent="0.25">
      <c r="A17" s="3" t="s">
        <v>364</v>
      </c>
      <c r="B17" s="3" t="s">
        <v>365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4.25" customHeight="1" x14ac:dyDescent="0.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4.25" customHeight="1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4.25" customHeight="1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4.25" customHeight="1" x14ac:dyDescent="0.2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4.25" customHeight="1" x14ac:dyDescent="0.25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4.25" customHeight="1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4.25" customHeight="1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4.25" customHeight="1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4.25" customHeight="1" x14ac:dyDescent="0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4.25" customHeight="1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4.25" customHeight="1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4.25" customHeight="1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4.25" customHeight="1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4.25" customHeight="1" x14ac:dyDescent="0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4.25" customHeight="1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4.25" customHeight="1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4.25" customHeight="1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4.25" customHeight="1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4.25" customHeight="1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4.25" customHeight="1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4.25" customHeight="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4.25" customHeight="1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4.25" customHeight="1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4.25" customHeight="1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4.25" customHeight="1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4.25" customHeight="1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4.25" customHeight="1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4.25" customHeight="1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4.25" customHeight="1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4.25" customHeight="1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4.25" customHeight="1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4.25" customHeight="1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4.25" customHeight="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4.25" customHeight="1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4.25" customHeight="1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4.25" customHeight="1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4.25" customHeight="1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4.25" customHeight="1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4.25" customHeight="1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4.25" customHeight="1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4.25" customHeight="1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4.25" customHeight="1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4.25" customHeight="1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4.25" customHeight="1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4.25" customHeight="1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4.25" customHeight="1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4.25" customHeight="1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4.25" customHeight="1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4.25" customHeight="1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4.25" customHeight="1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4.25" customHeight="1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4.25" customHeight="1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4.25" customHeight="1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4.25" customHeight="1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4.25" customHeight="1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4.25" customHeight="1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4.25" customHeight="1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4.25" customHeight="1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4.25" customHeight="1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4.25" customHeight="1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4.25" customHeight="1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4.25" customHeight="1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4.25" customHeight="1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4.25" customHeight="1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4.25" customHeight="1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4.25" customHeight="1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4.25" customHeight="1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4.25" customHeight="1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4.25" customHeight="1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4.25" customHeight="1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4.25" customHeight="1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4.25" customHeight="1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4.25" customHeight="1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4.25" customHeight="1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4.25" customHeight="1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4.25" customHeight="1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4.25" customHeight="1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4.25" customHeight="1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4.25" customHeight="1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4.25" customHeight="1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4.25" customHeight="1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4.25" customHeight="1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4.25" customHeight="1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4.25" customHeight="1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4.25" customHeight="1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4.25" customHeight="1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4.25" customHeight="1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4.25" customHeight="1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4.25" customHeight="1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4.25" customHeight="1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4.25" customHeight="1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4.25" customHeight="1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4.25" customHeight="1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4.25" customHeight="1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4.25" customHeight="1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4.25" customHeight="1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4.25" customHeight="1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4.25" customHeight="1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4.25" customHeight="1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4.25" customHeight="1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4.25" customHeight="1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4.25" customHeight="1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4.25" customHeight="1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4.25" customHeight="1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4.25" customHeight="1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4.25" customHeight="1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4.25" customHeight="1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4.25" customHeight="1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4.25" customHeight="1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4.25" customHeight="1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4.25" customHeight="1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4.25" customHeight="1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4.25" customHeight="1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4.25" customHeight="1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4.25" customHeight="1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4.25" customHeight="1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4.25" customHeight="1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4.25" customHeight="1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4.25" customHeight="1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4.25" customHeight="1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4.25" customHeight="1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4.25" customHeight="1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4.25" customHeight="1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4.25" customHeight="1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4.25" customHeight="1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4.25" customHeight="1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4.25" customHeight="1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4.25" customHeight="1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4.25" customHeight="1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4.25" customHeight="1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4.25" customHeight="1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4.25" customHeight="1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4.25" customHeight="1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4.25" customHeight="1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4.25" customHeight="1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4.25" customHeight="1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4.25" customHeight="1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4.25" customHeight="1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4.25" customHeight="1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4.25" customHeight="1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4.25" customHeight="1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4.25" customHeight="1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4.25" customHeight="1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4.25" customHeight="1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4.25" customHeight="1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4.25" customHeight="1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4.25" customHeight="1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4.25" customHeight="1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4.25" customHeight="1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4.25" customHeight="1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4.25" customHeight="1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4.25" customHeight="1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4.25" customHeight="1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4.25" customHeight="1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4.25" customHeight="1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4.25" customHeight="1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4.25" customHeight="1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4.25" customHeight="1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4.25" customHeight="1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4.25" customHeight="1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4.25" customHeight="1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4.25" customHeight="1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4.25" customHeight="1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4.25" customHeight="1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4.25" customHeight="1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4.25" customHeight="1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4.25" customHeight="1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4.25" customHeight="1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4.25" customHeight="1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4.25" customHeight="1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4.25" customHeight="1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4.25" customHeight="1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4.25" customHeight="1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4.25" customHeight="1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4.25" customHeight="1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4.25" customHeight="1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4.25" customHeight="1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4.25" customHeight="1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4.25" customHeight="1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4.25" customHeight="1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4.25" customHeight="1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4.25" customHeight="1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4.25" customHeight="1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4.25" customHeight="1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4.25" customHeight="1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4.25" customHeight="1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4.25" customHeight="1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4.25" customHeight="1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4.25" customHeight="1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4.25" customHeight="1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4.25" customHeight="1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4.25" customHeight="1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4.25" customHeight="1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4.25" customHeight="1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4.25" customHeight="1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4.25" customHeight="1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4.25" customHeight="1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4.25" customHeight="1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4.25" customHeight="1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4.25" customHeight="1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4.25" customHeight="1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4.25" customHeight="1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4.25" customHeight="1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4.25" customHeight="1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4.25" customHeight="1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4.25" customHeight="1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4.25" customHeight="1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4.25" customHeight="1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4.25" customHeight="1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4.25" customHeight="1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4.25" customHeight="1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4.25" customHeight="1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4.25" customHeight="1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4.25" customHeight="1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4.25" customHeight="1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4.25" customHeight="1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4.25" customHeight="1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4.25" customHeight="1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4.25" customHeight="1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4.25" customHeight="1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4.25" customHeight="1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4.25" customHeight="1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4.25" customHeight="1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4.25" customHeight="1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4.25" customHeight="1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4.25" customHeight="1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4.25" customHeight="1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4.25" customHeight="1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4.25" customHeight="1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4.25" customHeight="1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4.25" customHeight="1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4.25" customHeight="1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4.25" customHeight="1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4.25" customHeight="1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4.25" customHeight="1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4.25" customHeight="1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4.25" customHeight="1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4.25" customHeight="1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4.25" customHeight="1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4.25" customHeight="1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4.25" customHeight="1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4.25" customHeight="1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4.25" customHeight="1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4.25" customHeight="1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4.25" customHeight="1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4.25" customHeight="1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4.25" customHeight="1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4.25" customHeight="1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4.25" customHeight="1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4.25" customHeight="1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4.25" customHeight="1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4.25" customHeight="1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4.25" customHeight="1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4.25" customHeight="1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4.25" customHeight="1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4.25" customHeight="1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4.25" customHeight="1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4.25" customHeight="1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4.25" customHeight="1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4.25" customHeight="1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4.25" customHeight="1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4.25" customHeight="1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4.25" customHeight="1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4.25" customHeight="1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4.25" customHeight="1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4.25" customHeight="1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4.25" customHeight="1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4.25" customHeight="1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4.25" customHeight="1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4.25" customHeight="1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4.25" customHeight="1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4.25" customHeight="1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4.25" customHeight="1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4.25" customHeight="1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4.25" customHeight="1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4.25" customHeight="1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4.25" customHeight="1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4.25" customHeight="1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4.25" customHeight="1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4.25" customHeight="1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4.25" customHeight="1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4.25" customHeight="1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4.25" customHeight="1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4.25" customHeight="1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4.25" customHeight="1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4.25" customHeight="1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4.25" customHeight="1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4.25" customHeight="1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4.25" customHeight="1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4.25" customHeight="1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4.25" customHeight="1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4.25" customHeight="1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4.25" customHeight="1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4.25" customHeight="1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4.25" customHeight="1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4.25" customHeight="1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4.25" customHeight="1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4.25" customHeight="1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4.25" customHeight="1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4.25" customHeight="1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4.25" customHeight="1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4.25" customHeight="1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4.25" customHeight="1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4.25" customHeight="1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4.25" customHeight="1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4.25" customHeight="1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4.25" customHeight="1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4.25" customHeight="1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4.25" customHeight="1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4.25" customHeight="1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4.25" customHeight="1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4.25" customHeight="1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4.25" customHeight="1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4.25" customHeight="1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4.25" customHeight="1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4.25" customHeight="1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4.25" customHeight="1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4.25" customHeight="1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4.25" customHeight="1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4.25" customHeight="1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4.25" customHeight="1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4.25" customHeight="1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4.25" customHeight="1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4.25" customHeight="1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4.25" customHeight="1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4.25" customHeight="1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4.25" customHeight="1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4.25" customHeight="1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4.25" customHeight="1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4.25" customHeight="1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4.25" customHeight="1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4.25" customHeight="1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4.25" customHeight="1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4.25" customHeight="1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4.25" customHeight="1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4.25" customHeight="1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4.25" customHeight="1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4.25" customHeight="1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4.25" customHeight="1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4.25" customHeight="1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4.25" customHeight="1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4.25" customHeight="1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4.25" customHeight="1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4.25" customHeight="1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4.25" customHeight="1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4.25" customHeight="1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4.25" customHeight="1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4.25" customHeight="1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4.25" customHeight="1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4.25" customHeight="1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4.25" customHeight="1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4.25" customHeight="1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4.25" customHeight="1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4.25" customHeight="1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4.25" customHeight="1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4.25" customHeight="1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4.25" customHeight="1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4.25" customHeight="1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4.25" customHeight="1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4.25" customHeight="1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4.25" customHeight="1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4.25" customHeight="1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4.25" customHeight="1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4.25" customHeight="1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4.25" customHeight="1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4.25" customHeight="1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4.25" customHeight="1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4.25" customHeight="1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4.25" customHeight="1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4.25" customHeight="1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4.25" customHeight="1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4.25" customHeight="1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4.25" customHeight="1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4.25" customHeight="1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4.25" customHeight="1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4.25" customHeight="1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4.25" customHeight="1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4.25" customHeight="1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4.25" customHeight="1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4.25" customHeight="1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4.25" customHeight="1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4.25" customHeight="1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4.25" customHeight="1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4.25" customHeight="1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4.25" customHeight="1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4.25" customHeight="1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4.25" customHeight="1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4.25" customHeight="1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4.25" customHeight="1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4.25" customHeight="1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4.25" customHeight="1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4.25" customHeight="1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4.25" customHeight="1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4.25" customHeight="1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4.25" customHeight="1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4.25" customHeight="1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4.25" customHeight="1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4.25" customHeight="1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4.25" customHeight="1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4.25" customHeight="1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4.25" customHeight="1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4.25" customHeight="1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4.25" customHeight="1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4.25" customHeight="1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4.25" customHeight="1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4.25" customHeight="1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4.25" customHeight="1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4.25" customHeight="1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4.25" customHeight="1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4.25" customHeight="1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4.25" customHeight="1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4.25" customHeight="1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4.25" customHeight="1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4.25" customHeight="1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4.25" customHeight="1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4.25" customHeight="1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4.25" customHeight="1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4.25" customHeight="1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4.25" customHeight="1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4.25" customHeight="1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4.25" customHeight="1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4.25" customHeight="1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4.25" customHeight="1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4.25" customHeight="1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4.25" customHeight="1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4.25" customHeight="1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4.25" customHeight="1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4.25" customHeight="1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4.25" customHeight="1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4.25" customHeight="1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4.25" customHeight="1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4.25" customHeight="1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4.25" customHeight="1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4.25" customHeight="1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4.25" customHeight="1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4.25" customHeight="1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4.25" customHeight="1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4.25" customHeight="1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4.25" customHeight="1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4.25" customHeight="1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4.25" customHeight="1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4.25" customHeight="1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4.25" customHeight="1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4.25" customHeight="1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4.25" customHeight="1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4.25" customHeight="1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4.25" customHeight="1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4.25" customHeight="1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4.25" customHeight="1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4.25" customHeight="1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4.25" customHeight="1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4.25" customHeight="1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4.25" customHeight="1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4.25" customHeight="1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4.25" customHeight="1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4.25" customHeight="1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4.25" customHeight="1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4.25" customHeight="1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4.25" customHeight="1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4.25" customHeight="1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4.25" customHeight="1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4.25" customHeight="1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4.25" customHeight="1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4.25" customHeight="1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4.25" customHeight="1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4.25" customHeight="1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4.25" customHeight="1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4.25" customHeight="1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4.25" customHeight="1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4.25" customHeight="1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4.25" customHeight="1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4.25" customHeight="1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4.25" customHeight="1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4.25" customHeight="1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4.25" customHeight="1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4.25" customHeight="1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4.25" customHeight="1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4.25" customHeight="1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4.25" customHeight="1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4.25" customHeight="1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4.25" customHeight="1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4.25" customHeight="1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4.25" customHeight="1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4.25" customHeight="1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4.25" customHeight="1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4.25" customHeight="1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4.25" customHeight="1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4.25" customHeight="1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4.25" customHeight="1" x14ac:dyDescent="0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4.25" customHeight="1" x14ac:dyDescent="0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4.25" customHeight="1" x14ac:dyDescent="0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4.25" customHeight="1" x14ac:dyDescent="0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4.25" customHeight="1" x14ac:dyDescent="0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4.25" customHeight="1" x14ac:dyDescent="0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4.25" customHeight="1" x14ac:dyDescent="0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4.25" customHeight="1" x14ac:dyDescent="0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4.25" customHeight="1" x14ac:dyDescent="0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4.25" customHeight="1" x14ac:dyDescent="0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4.25" customHeight="1" x14ac:dyDescent="0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4.25" customHeight="1" x14ac:dyDescent="0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4.25" customHeight="1" x14ac:dyDescent="0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4.25" customHeight="1" x14ac:dyDescent="0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4.25" customHeight="1" x14ac:dyDescent="0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4.25" customHeight="1" x14ac:dyDescent="0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4.25" customHeight="1" x14ac:dyDescent="0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4.25" customHeight="1" x14ac:dyDescent="0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4.25" customHeight="1" x14ac:dyDescent="0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4.25" customHeight="1" x14ac:dyDescent="0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4.25" customHeight="1" x14ac:dyDescent="0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4.25" customHeight="1" x14ac:dyDescent="0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4.25" customHeight="1" x14ac:dyDescent="0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4.25" customHeight="1" x14ac:dyDescent="0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4.25" customHeight="1" x14ac:dyDescent="0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4.25" customHeight="1" x14ac:dyDescent="0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4.25" customHeight="1" x14ac:dyDescent="0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4.25" customHeight="1" x14ac:dyDescent="0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4.25" customHeight="1" x14ac:dyDescent="0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4.25" customHeight="1" x14ac:dyDescent="0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4.25" customHeight="1" x14ac:dyDescent="0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4.25" customHeight="1" x14ac:dyDescent="0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4.25" customHeight="1" x14ac:dyDescent="0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4.25" customHeight="1" x14ac:dyDescent="0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4.25" customHeight="1" x14ac:dyDescent="0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4.25" customHeight="1" x14ac:dyDescent="0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4.25" customHeight="1" x14ac:dyDescent="0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4.25" customHeight="1" x14ac:dyDescent="0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4.25" customHeight="1" x14ac:dyDescent="0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4.25" customHeight="1" x14ac:dyDescent="0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4.25" customHeight="1" x14ac:dyDescent="0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4.25" customHeight="1" x14ac:dyDescent="0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4.25" customHeight="1" x14ac:dyDescent="0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4.25" customHeight="1" x14ac:dyDescent="0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4.25" customHeight="1" x14ac:dyDescent="0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4.25" customHeight="1" x14ac:dyDescent="0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4.25" customHeight="1" x14ac:dyDescent="0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4.25" customHeight="1" x14ac:dyDescent="0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4.25" customHeight="1" x14ac:dyDescent="0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4.25" customHeight="1" x14ac:dyDescent="0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4.25" customHeight="1" x14ac:dyDescent="0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4.25" customHeight="1" x14ac:dyDescent="0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4.25" customHeight="1" x14ac:dyDescent="0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4.25" customHeight="1" x14ac:dyDescent="0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4.25" customHeight="1" x14ac:dyDescent="0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4.25" customHeight="1" x14ac:dyDescent="0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4.25" customHeight="1" x14ac:dyDescent="0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4.25" customHeight="1" x14ac:dyDescent="0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4.25" customHeight="1" x14ac:dyDescent="0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4.25" customHeight="1" x14ac:dyDescent="0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4.25" customHeight="1" x14ac:dyDescent="0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4.25" customHeight="1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4.25" customHeight="1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4.25" customHeight="1" x14ac:dyDescent="0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4.25" customHeight="1" x14ac:dyDescent="0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4.25" customHeight="1" x14ac:dyDescent="0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4.25" customHeight="1" x14ac:dyDescent="0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4.25" customHeight="1" x14ac:dyDescent="0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4.25" customHeight="1" x14ac:dyDescent="0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4.25" customHeight="1" x14ac:dyDescent="0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4.25" customHeight="1" x14ac:dyDescent="0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4.25" customHeight="1" x14ac:dyDescent="0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4.25" customHeight="1" x14ac:dyDescent="0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4.25" customHeight="1" x14ac:dyDescent="0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4.25" customHeight="1" x14ac:dyDescent="0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4.25" customHeight="1" x14ac:dyDescent="0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4.25" customHeight="1" x14ac:dyDescent="0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4.25" customHeight="1" x14ac:dyDescent="0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4.25" customHeight="1" x14ac:dyDescent="0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4.25" customHeight="1" x14ac:dyDescent="0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4.25" customHeight="1" x14ac:dyDescent="0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4.25" customHeight="1" x14ac:dyDescent="0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4.25" customHeight="1" x14ac:dyDescent="0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4.25" customHeight="1" x14ac:dyDescent="0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4.25" customHeight="1" x14ac:dyDescent="0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4.25" customHeight="1" x14ac:dyDescent="0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4.25" customHeight="1" x14ac:dyDescent="0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4.25" customHeight="1" x14ac:dyDescent="0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4.25" customHeight="1" x14ac:dyDescent="0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4.25" customHeight="1" x14ac:dyDescent="0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4.25" customHeight="1" x14ac:dyDescent="0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4.25" customHeight="1" x14ac:dyDescent="0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4.25" customHeight="1" x14ac:dyDescent="0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4.25" customHeight="1" x14ac:dyDescent="0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4.25" customHeight="1" x14ac:dyDescent="0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4.25" customHeight="1" x14ac:dyDescent="0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4.25" customHeight="1" x14ac:dyDescent="0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4.25" customHeight="1" x14ac:dyDescent="0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4.25" customHeight="1" x14ac:dyDescent="0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4.25" customHeight="1" x14ac:dyDescent="0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4.25" customHeight="1" x14ac:dyDescent="0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4.25" customHeight="1" x14ac:dyDescent="0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4.25" customHeight="1" x14ac:dyDescent="0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4.25" customHeight="1" x14ac:dyDescent="0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4.25" customHeight="1" x14ac:dyDescent="0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4.25" customHeight="1" x14ac:dyDescent="0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4.25" customHeight="1" x14ac:dyDescent="0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4.25" customHeight="1" x14ac:dyDescent="0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4.25" customHeight="1" x14ac:dyDescent="0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4.25" customHeight="1" x14ac:dyDescent="0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4.25" customHeight="1" x14ac:dyDescent="0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4.25" customHeight="1" x14ac:dyDescent="0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4.25" customHeight="1" x14ac:dyDescent="0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4.25" customHeight="1" x14ac:dyDescent="0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4.25" customHeight="1" x14ac:dyDescent="0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4.25" customHeight="1" x14ac:dyDescent="0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4.25" customHeight="1" x14ac:dyDescent="0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4.25" customHeight="1" x14ac:dyDescent="0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4.25" customHeight="1" x14ac:dyDescent="0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4.25" customHeight="1" x14ac:dyDescent="0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4.25" customHeight="1" x14ac:dyDescent="0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4.25" customHeight="1" x14ac:dyDescent="0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4.25" customHeight="1" x14ac:dyDescent="0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4.25" customHeight="1" x14ac:dyDescent="0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4.25" customHeight="1" x14ac:dyDescent="0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4.25" customHeight="1" x14ac:dyDescent="0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4.25" customHeight="1" x14ac:dyDescent="0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4.25" customHeight="1" x14ac:dyDescent="0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4.25" customHeight="1" x14ac:dyDescent="0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4.25" customHeight="1" x14ac:dyDescent="0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4.25" customHeight="1" x14ac:dyDescent="0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4.25" customHeight="1" x14ac:dyDescent="0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4.25" customHeight="1" x14ac:dyDescent="0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4.25" customHeight="1" x14ac:dyDescent="0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4.25" customHeight="1" x14ac:dyDescent="0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4.25" customHeight="1" x14ac:dyDescent="0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4.25" customHeight="1" x14ac:dyDescent="0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4.25" customHeight="1" x14ac:dyDescent="0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4.25" customHeight="1" x14ac:dyDescent="0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4.25" customHeight="1" x14ac:dyDescent="0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4.25" customHeight="1" x14ac:dyDescent="0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4.25" customHeight="1" x14ac:dyDescent="0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4.25" customHeight="1" x14ac:dyDescent="0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4.25" customHeight="1" x14ac:dyDescent="0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4.25" customHeight="1" x14ac:dyDescent="0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4.25" customHeight="1" x14ac:dyDescent="0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4.25" customHeight="1" x14ac:dyDescent="0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4.25" customHeight="1" x14ac:dyDescent="0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4.25" customHeight="1" x14ac:dyDescent="0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4.25" customHeight="1" x14ac:dyDescent="0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4.25" customHeight="1" x14ac:dyDescent="0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4.25" customHeight="1" x14ac:dyDescent="0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4.25" customHeight="1" x14ac:dyDescent="0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4.25" customHeight="1" x14ac:dyDescent="0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4.25" customHeight="1" x14ac:dyDescent="0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4.25" customHeight="1" x14ac:dyDescent="0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4.25" customHeight="1" x14ac:dyDescent="0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4.25" customHeight="1" x14ac:dyDescent="0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4.25" customHeight="1" x14ac:dyDescent="0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4.25" customHeight="1" x14ac:dyDescent="0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4.25" customHeight="1" x14ac:dyDescent="0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4.25" customHeight="1" x14ac:dyDescent="0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4.25" customHeight="1" x14ac:dyDescent="0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4.25" customHeight="1" x14ac:dyDescent="0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4.25" customHeight="1" x14ac:dyDescent="0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4.25" customHeight="1" x14ac:dyDescent="0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4.25" customHeight="1" x14ac:dyDescent="0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4.25" customHeight="1" x14ac:dyDescent="0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4.25" customHeight="1" x14ac:dyDescent="0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4.25" customHeight="1" x14ac:dyDescent="0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4.25" customHeight="1" x14ac:dyDescent="0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4.25" customHeight="1" x14ac:dyDescent="0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4.25" customHeight="1" x14ac:dyDescent="0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4.25" customHeight="1" x14ac:dyDescent="0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4.25" customHeight="1" x14ac:dyDescent="0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4.25" customHeight="1" x14ac:dyDescent="0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4.25" customHeight="1" x14ac:dyDescent="0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4.25" customHeight="1" x14ac:dyDescent="0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4.25" customHeight="1" x14ac:dyDescent="0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4.25" customHeight="1" x14ac:dyDescent="0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4.25" customHeight="1" x14ac:dyDescent="0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4.25" customHeight="1" x14ac:dyDescent="0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4.25" customHeight="1" x14ac:dyDescent="0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4.25" customHeight="1" x14ac:dyDescent="0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4.25" customHeight="1" x14ac:dyDescent="0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4.25" customHeight="1" x14ac:dyDescent="0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4.25" customHeight="1" x14ac:dyDescent="0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4.25" customHeight="1" x14ac:dyDescent="0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4.25" customHeight="1" x14ac:dyDescent="0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4.25" customHeight="1" x14ac:dyDescent="0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4.25" customHeight="1" x14ac:dyDescent="0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4.25" customHeight="1" x14ac:dyDescent="0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4.25" customHeight="1" x14ac:dyDescent="0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4.25" customHeight="1" x14ac:dyDescent="0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4.25" customHeight="1" x14ac:dyDescent="0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4.25" customHeight="1" x14ac:dyDescent="0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4.25" customHeight="1" x14ac:dyDescent="0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4.25" customHeight="1" x14ac:dyDescent="0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4.25" customHeight="1" x14ac:dyDescent="0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4.25" customHeight="1" x14ac:dyDescent="0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4.25" customHeight="1" x14ac:dyDescent="0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4.25" customHeight="1" x14ac:dyDescent="0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4.25" customHeight="1" x14ac:dyDescent="0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4.25" customHeight="1" x14ac:dyDescent="0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4.25" customHeight="1" x14ac:dyDescent="0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4.25" customHeight="1" x14ac:dyDescent="0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4.25" customHeight="1" x14ac:dyDescent="0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4.25" customHeight="1" x14ac:dyDescent="0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4.25" customHeight="1" x14ac:dyDescent="0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4.25" customHeight="1" x14ac:dyDescent="0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4.25" customHeight="1" x14ac:dyDescent="0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4.25" customHeight="1" x14ac:dyDescent="0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4.25" customHeight="1" x14ac:dyDescent="0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4.25" customHeight="1" x14ac:dyDescent="0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4.25" customHeight="1" x14ac:dyDescent="0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4.25" customHeight="1" x14ac:dyDescent="0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4.25" customHeight="1" x14ac:dyDescent="0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4.25" customHeight="1" x14ac:dyDescent="0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4.25" customHeight="1" x14ac:dyDescent="0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4.25" customHeight="1" x14ac:dyDescent="0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4.25" customHeight="1" x14ac:dyDescent="0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4.25" customHeight="1" x14ac:dyDescent="0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4.25" customHeight="1" x14ac:dyDescent="0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4.25" customHeight="1" x14ac:dyDescent="0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4.25" customHeight="1" x14ac:dyDescent="0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4.25" customHeight="1" x14ac:dyDescent="0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4.25" customHeight="1" x14ac:dyDescent="0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4.25" customHeight="1" x14ac:dyDescent="0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4.25" customHeight="1" x14ac:dyDescent="0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4.25" customHeight="1" x14ac:dyDescent="0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4.25" customHeight="1" x14ac:dyDescent="0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4.25" customHeight="1" x14ac:dyDescent="0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4.25" customHeight="1" x14ac:dyDescent="0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4.25" customHeight="1" x14ac:dyDescent="0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4.25" customHeight="1" x14ac:dyDescent="0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4.25" customHeight="1" x14ac:dyDescent="0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4.25" customHeight="1" x14ac:dyDescent="0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4.25" customHeight="1" x14ac:dyDescent="0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4.25" customHeight="1" x14ac:dyDescent="0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4.25" customHeight="1" x14ac:dyDescent="0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4.25" customHeight="1" x14ac:dyDescent="0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4.25" customHeight="1" x14ac:dyDescent="0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4.25" customHeight="1" x14ac:dyDescent="0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4.25" customHeight="1" x14ac:dyDescent="0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4.25" customHeight="1" x14ac:dyDescent="0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4.25" customHeight="1" x14ac:dyDescent="0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4.25" customHeight="1" x14ac:dyDescent="0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4.25" customHeight="1" x14ac:dyDescent="0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4.25" customHeight="1" x14ac:dyDescent="0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4.25" customHeight="1" x14ac:dyDescent="0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4.25" customHeight="1" x14ac:dyDescent="0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4.25" customHeight="1" x14ac:dyDescent="0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4.25" customHeight="1" x14ac:dyDescent="0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4.25" customHeight="1" x14ac:dyDescent="0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4.25" customHeight="1" x14ac:dyDescent="0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4.25" customHeight="1" x14ac:dyDescent="0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4.25" customHeight="1" x14ac:dyDescent="0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4.25" customHeight="1" x14ac:dyDescent="0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4.25" customHeight="1" x14ac:dyDescent="0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4.25" customHeight="1" x14ac:dyDescent="0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4.25" customHeight="1" x14ac:dyDescent="0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4.25" customHeight="1" x14ac:dyDescent="0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4.25" customHeight="1" x14ac:dyDescent="0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4.25" customHeight="1" x14ac:dyDescent="0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4.25" customHeight="1" x14ac:dyDescent="0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4.25" customHeight="1" x14ac:dyDescent="0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4.25" customHeight="1" x14ac:dyDescent="0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4.25" customHeight="1" x14ac:dyDescent="0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4.25" customHeight="1" x14ac:dyDescent="0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4.25" customHeight="1" x14ac:dyDescent="0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4.25" customHeight="1" x14ac:dyDescent="0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4.25" customHeight="1" x14ac:dyDescent="0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4.25" customHeight="1" x14ac:dyDescent="0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4.25" customHeight="1" x14ac:dyDescent="0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4.25" customHeight="1" x14ac:dyDescent="0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4.25" customHeight="1" x14ac:dyDescent="0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4.25" customHeight="1" x14ac:dyDescent="0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4.25" customHeight="1" x14ac:dyDescent="0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4.25" customHeight="1" x14ac:dyDescent="0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4.25" customHeight="1" x14ac:dyDescent="0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4.25" customHeight="1" x14ac:dyDescent="0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4.25" customHeight="1" x14ac:dyDescent="0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4.25" customHeight="1" x14ac:dyDescent="0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4.25" customHeight="1" x14ac:dyDescent="0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4.25" customHeight="1" x14ac:dyDescent="0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4.25" customHeight="1" x14ac:dyDescent="0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4.25" customHeight="1" x14ac:dyDescent="0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4.25" customHeight="1" x14ac:dyDescent="0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4.25" customHeight="1" x14ac:dyDescent="0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4.25" customHeight="1" x14ac:dyDescent="0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4.25" customHeight="1" x14ac:dyDescent="0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4.25" customHeight="1" x14ac:dyDescent="0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4.25" customHeight="1" x14ac:dyDescent="0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4.25" customHeight="1" x14ac:dyDescent="0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4.25" customHeight="1" x14ac:dyDescent="0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4.25" customHeight="1" x14ac:dyDescent="0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4.25" customHeight="1" x14ac:dyDescent="0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4.25" customHeight="1" x14ac:dyDescent="0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4.25" customHeight="1" x14ac:dyDescent="0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4.25" customHeight="1" x14ac:dyDescent="0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4.25" customHeight="1" x14ac:dyDescent="0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4.25" customHeight="1" x14ac:dyDescent="0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4.25" customHeight="1" x14ac:dyDescent="0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4.25" customHeight="1" x14ac:dyDescent="0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4.25" customHeight="1" x14ac:dyDescent="0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4.25" customHeight="1" x14ac:dyDescent="0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4.25" customHeight="1" x14ac:dyDescent="0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4.25" customHeight="1" x14ac:dyDescent="0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4.25" customHeight="1" x14ac:dyDescent="0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4.25" customHeight="1" x14ac:dyDescent="0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4.25" customHeight="1" x14ac:dyDescent="0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4.25" customHeight="1" x14ac:dyDescent="0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4.25" customHeight="1" x14ac:dyDescent="0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4.25" customHeight="1" x14ac:dyDescent="0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4.25" customHeight="1" x14ac:dyDescent="0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4.25" customHeight="1" x14ac:dyDescent="0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4.25" customHeight="1" x14ac:dyDescent="0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4.25" customHeight="1" x14ac:dyDescent="0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4.25" customHeight="1" x14ac:dyDescent="0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4.25" customHeight="1" x14ac:dyDescent="0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4.25" customHeight="1" x14ac:dyDescent="0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4.25" customHeight="1" x14ac:dyDescent="0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4.25" customHeight="1" x14ac:dyDescent="0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4.25" customHeight="1" x14ac:dyDescent="0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4.25" customHeight="1" x14ac:dyDescent="0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4.25" customHeight="1" x14ac:dyDescent="0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4.25" customHeight="1" x14ac:dyDescent="0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4.25" customHeight="1" x14ac:dyDescent="0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4.25" customHeight="1" x14ac:dyDescent="0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4.25" customHeight="1" x14ac:dyDescent="0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4.25" customHeight="1" x14ac:dyDescent="0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4.25" customHeight="1" x14ac:dyDescent="0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4.25" customHeight="1" x14ac:dyDescent="0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4.25" customHeight="1" x14ac:dyDescent="0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4.25" customHeight="1" x14ac:dyDescent="0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4.25" customHeight="1" x14ac:dyDescent="0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4.25" customHeight="1" x14ac:dyDescent="0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4.25" customHeight="1" x14ac:dyDescent="0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4.25" customHeight="1" x14ac:dyDescent="0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4.25" customHeight="1" x14ac:dyDescent="0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4.25" customHeight="1" x14ac:dyDescent="0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4.25" customHeight="1" x14ac:dyDescent="0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4.25" customHeight="1" x14ac:dyDescent="0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4.25" customHeight="1" x14ac:dyDescent="0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4.25" customHeight="1" x14ac:dyDescent="0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4.25" customHeight="1" x14ac:dyDescent="0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4.25" customHeight="1" x14ac:dyDescent="0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4.25" customHeight="1" x14ac:dyDescent="0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4.25" customHeight="1" x14ac:dyDescent="0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4.25" customHeight="1" x14ac:dyDescent="0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4.25" customHeight="1" x14ac:dyDescent="0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4.25" customHeight="1" x14ac:dyDescent="0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4.25" customHeight="1" x14ac:dyDescent="0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4.25" customHeight="1" x14ac:dyDescent="0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4.25" customHeight="1" x14ac:dyDescent="0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4.25" customHeight="1" x14ac:dyDescent="0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4.25" customHeight="1" x14ac:dyDescent="0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4.25" customHeight="1" x14ac:dyDescent="0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4.25" customHeight="1" x14ac:dyDescent="0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4.25" customHeight="1" x14ac:dyDescent="0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4.25" customHeight="1" x14ac:dyDescent="0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4.25" customHeight="1" x14ac:dyDescent="0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4.25" customHeight="1" x14ac:dyDescent="0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4.25" customHeight="1" x14ac:dyDescent="0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4.25" customHeight="1" x14ac:dyDescent="0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4.25" customHeight="1" x14ac:dyDescent="0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4.25" customHeight="1" x14ac:dyDescent="0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4.25" customHeight="1" x14ac:dyDescent="0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4.25" customHeight="1" x14ac:dyDescent="0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4.25" customHeight="1" x14ac:dyDescent="0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4.25" customHeight="1" x14ac:dyDescent="0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4.25" customHeight="1" x14ac:dyDescent="0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4.25" customHeight="1" x14ac:dyDescent="0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4.25" customHeight="1" x14ac:dyDescent="0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4.25" customHeight="1" x14ac:dyDescent="0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4.25" customHeight="1" x14ac:dyDescent="0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4.25" customHeight="1" x14ac:dyDescent="0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4.25" customHeight="1" x14ac:dyDescent="0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4.25" customHeight="1" x14ac:dyDescent="0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4.25" customHeight="1" x14ac:dyDescent="0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4.25" customHeight="1" x14ac:dyDescent="0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4.25" customHeight="1" x14ac:dyDescent="0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4.25" customHeight="1" x14ac:dyDescent="0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4.25" customHeight="1" x14ac:dyDescent="0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4.25" customHeight="1" x14ac:dyDescent="0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4.25" customHeight="1" x14ac:dyDescent="0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4.25" customHeight="1" x14ac:dyDescent="0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4.25" customHeight="1" x14ac:dyDescent="0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4.25" customHeight="1" x14ac:dyDescent="0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4.25" customHeight="1" x14ac:dyDescent="0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4.25" customHeight="1" x14ac:dyDescent="0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4.25" customHeight="1" x14ac:dyDescent="0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4.25" customHeight="1" x14ac:dyDescent="0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4.25" customHeight="1" x14ac:dyDescent="0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4.25" customHeight="1" x14ac:dyDescent="0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4.25" customHeight="1" x14ac:dyDescent="0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4.25" customHeight="1" x14ac:dyDescent="0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4.25" customHeight="1" x14ac:dyDescent="0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4.25" customHeight="1" x14ac:dyDescent="0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4.25" customHeight="1" x14ac:dyDescent="0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4.25" customHeight="1" x14ac:dyDescent="0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4.25" customHeight="1" x14ac:dyDescent="0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4.25" customHeight="1" x14ac:dyDescent="0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4.25" customHeight="1" x14ac:dyDescent="0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4.25" customHeight="1" x14ac:dyDescent="0.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4.25" customHeight="1" x14ac:dyDescent="0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4.25" customHeight="1" x14ac:dyDescent="0.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4.25" customHeight="1" x14ac:dyDescent="0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4.25" customHeight="1" x14ac:dyDescent="0.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4.25" customHeight="1" x14ac:dyDescent="0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4.25" customHeight="1" x14ac:dyDescent="0.2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4.25" customHeight="1" x14ac:dyDescent="0.2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4.25" customHeight="1" x14ac:dyDescent="0.2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4.25" customHeight="1" x14ac:dyDescent="0.2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4.25" customHeight="1" x14ac:dyDescent="0.2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4.25" customHeight="1" x14ac:dyDescent="0.2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4.25" customHeight="1" x14ac:dyDescent="0.2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4.25" customHeight="1" x14ac:dyDescent="0.2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4.25" customHeight="1" x14ac:dyDescent="0.2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4.25" customHeight="1" x14ac:dyDescent="0.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4.25" customHeight="1" x14ac:dyDescent="0.2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4.25" customHeight="1" x14ac:dyDescent="0.2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4.25" customHeight="1" x14ac:dyDescent="0.2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4.25" customHeight="1" x14ac:dyDescent="0.2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4.25" customHeight="1" x14ac:dyDescent="0.2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4.25" customHeight="1" x14ac:dyDescent="0.2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4.25" customHeight="1" x14ac:dyDescent="0.2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4.25" customHeight="1" x14ac:dyDescent="0.2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4.25" customHeight="1" x14ac:dyDescent="0.2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4.25" customHeight="1" x14ac:dyDescent="0.2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4.25" customHeight="1" x14ac:dyDescent="0.2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4.25" customHeight="1" x14ac:dyDescent="0.2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4.25" customHeight="1" x14ac:dyDescent="0.2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4.25" customHeight="1" x14ac:dyDescent="0.2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4.25" customHeight="1" x14ac:dyDescent="0.2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4.25" customHeight="1" x14ac:dyDescent="0.2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4.25" customHeight="1" x14ac:dyDescent="0.2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4.25" customHeight="1" x14ac:dyDescent="0.2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4.25" customHeight="1" x14ac:dyDescent="0.2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4.25" customHeight="1" x14ac:dyDescent="0.2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4.25" customHeight="1" x14ac:dyDescent="0.2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4.25" customHeight="1" x14ac:dyDescent="0.2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4.25" customHeight="1" x14ac:dyDescent="0.2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4.25" customHeight="1" x14ac:dyDescent="0.2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4.25" customHeight="1" x14ac:dyDescent="0.2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4.25" customHeight="1" x14ac:dyDescent="0.2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4.25" customHeight="1" x14ac:dyDescent="0.2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4.25" customHeight="1" x14ac:dyDescent="0.2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4.25" customHeight="1" x14ac:dyDescent="0.2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4.25" customHeight="1" x14ac:dyDescent="0.2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4.25" customHeight="1" x14ac:dyDescent="0.2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4.25" customHeight="1" x14ac:dyDescent="0.2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4.25" customHeight="1" x14ac:dyDescent="0.2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4.25" customHeight="1" x14ac:dyDescent="0.2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4.25" customHeight="1" x14ac:dyDescent="0.2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4.25" customHeight="1" x14ac:dyDescent="0.2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4.25" customHeight="1" x14ac:dyDescent="0.2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4.25" customHeight="1" x14ac:dyDescent="0.2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4.25" customHeight="1" x14ac:dyDescent="0.2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4.25" customHeight="1" x14ac:dyDescent="0.2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4.25" customHeight="1" x14ac:dyDescent="0.2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4.25" customHeight="1" x14ac:dyDescent="0.2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4.25" customHeight="1" x14ac:dyDescent="0.2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4.25" customHeight="1" x14ac:dyDescent="0.2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4.25" customHeight="1" x14ac:dyDescent="0.2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4.25" customHeight="1" x14ac:dyDescent="0.2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4.25" customHeight="1" x14ac:dyDescent="0.2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4.25" customHeight="1" x14ac:dyDescent="0.2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4.25" customHeight="1" x14ac:dyDescent="0.2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4.25" customHeight="1" x14ac:dyDescent="0.2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4.25" customHeight="1" x14ac:dyDescent="0.2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4.25" customHeight="1" x14ac:dyDescent="0.2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4.25" customHeight="1" x14ac:dyDescent="0.2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4.25" customHeight="1" x14ac:dyDescent="0.2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4.25" customHeight="1" x14ac:dyDescent="0.2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4.25" customHeight="1" x14ac:dyDescent="0.2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4.25" customHeight="1" x14ac:dyDescent="0.2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4.25" customHeight="1" x14ac:dyDescent="0.2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4.25" customHeight="1" x14ac:dyDescent="0.2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4.25" customHeight="1" x14ac:dyDescent="0.2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4.25" customHeight="1" x14ac:dyDescent="0.2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4.25" customHeight="1" x14ac:dyDescent="0.2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4.25" customHeight="1" x14ac:dyDescent="0.2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4.25" customHeight="1" x14ac:dyDescent="0.2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4.25" customHeight="1" x14ac:dyDescent="0.2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4.25" customHeight="1" x14ac:dyDescent="0.2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4.25" customHeight="1" x14ac:dyDescent="0.2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4.25" customHeight="1" x14ac:dyDescent="0.2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4.25" customHeight="1" x14ac:dyDescent="0.2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4.25" customHeight="1" x14ac:dyDescent="0.2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4.25" customHeight="1" x14ac:dyDescent="0.2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4.25" customHeight="1" x14ac:dyDescent="0.2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4.25" customHeight="1" x14ac:dyDescent="0.2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4.25" customHeight="1" x14ac:dyDescent="0.2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4.25" customHeight="1" x14ac:dyDescent="0.2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ageMargins left="0.51180555555555596" right="0.51180555555555596" top="2.3624999999999998" bottom="2.3624999999999998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AME1000"/>
  <sheetViews>
    <sheetView topLeftCell="D1" zoomScale="60" zoomScaleNormal="60" workbookViewId="0">
      <selection activeCell="D1" sqref="D1"/>
    </sheetView>
  </sheetViews>
  <sheetFormatPr defaultColWidth="11.5703125" defaultRowHeight="15" customHeight="1" x14ac:dyDescent="0.25"/>
  <cols>
    <col min="1" max="1" width="16.28515625" style="7" customWidth="1"/>
    <col min="2" max="2" width="8.7109375" style="7" customWidth="1"/>
    <col min="3" max="3" width="36.140625" style="7" customWidth="1"/>
    <col min="4" max="9" width="8.7109375" style="7" customWidth="1"/>
    <col min="10" max="10" width="16.28515625" style="7" customWidth="1"/>
    <col min="11" max="11" width="8.7109375" style="35" customWidth="1"/>
    <col min="12" max="12" width="36.140625" style="35" customWidth="1"/>
    <col min="13" max="13" width="13.28515625" style="35" customWidth="1"/>
    <col min="14" max="14" width="8.7109375" style="35" customWidth="1"/>
    <col min="15" max="21" width="8.7109375" style="7" customWidth="1"/>
    <col min="22" max="1019" width="14.42578125" style="7" customWidth="1"/>
  </cols>
  <sheetData>
    <row r="1" spans="1:17" ht="15.75" customHeight="1" x14ac:dyDescent="0.25">
      <c r="A1" s="36" t="s">
        <v>366</v>
      </c>
      <c r="B1" s="37"/>
      <c r="C1" s="37"/>
      <c r="D1" s="37"/>
      <c r="E1" s="37"/>
      <c r="F1" s="37"/>
      <c r="G1" s="37"/>
      <c r="H1" s="37"/>
      <c r="I1" s="37"/>
      <c r="J1" s="36" t="s">
        <v>367</v>
      </c>
      <c r="L1" s="38"/>
      <c r="O1" s="37"/>
      <c r="P1" s="37"/>
      <c r="Q1" s="39" t="s">
        <v>368</v>
      </c>
    </row>
    <row r="2" spans="1:17" ht="15.75" customHeight="1" x14ac:dyDescent="0.25">
      <c r="A2" s="39" t="str">
        <f>"total = "&amp;SUM(B3:B121)</f>
        <v>total = 84</v>
      </c>
      <c r="B2" s="37"/>
      <c r="C2" s="36" t="s">
        <v>369</v>
      </c>
      <c r="D2" s="37"/>
      <c r="E2" s="37"/>
      <c r="F2" s="37"/>
      <c r="G2" s="37"/>
      <c r="H2" s="37"/>
      <c r="I2" s="37"/>
      <c r="J2" s="39" t="str">
        <f>"total = "&amp;SUM(K3:K91)</f>
        <v>total = 58</v>
      </c>
      <c r="L2" s="40" t="s">
        <v>369</v>
      </c>
      <c r="O2" s="37"/>
      <c r="P2" s="37"/>
      <c r="Q2" s="41" t="s">
        <v>370</v>
      </c>
    </row>
    <row r="3" spans="1:17" ht="15.75" customHeight="1" x14ac:dyDescent="0.25">
      <c r="A3" s="39" t="str">
        <f>"Rotifera = "&amp;SUM(B3:B88)</f>
        <v>Rotifera = 63</v>
      </c>
      <c r="B3" s="37"/>
      <c r="C3" s="36" t="s">
        <v>371</v>
      </c>
      <c r="D3" s="37"/>
      <c r="E3" s="39" t="s">
        <v>11</v>
      </c>
      <c r="F3" s="39" t="s">
        <v>36</v>
      </c>
      <c r="G3" s="39" t="s">
        <v>372</v>
      </c>
      <c r="H3" s="39" t="s">
        <v>373</v>
      </c>
      <c r="I3" s="37"/>
      <c r="J3" s="36" t="str">
        <f>"Rotifera = "&amp;SUM(K3:K59)</f>
        <v>Rotifera = 40</v>
      </c>
      <c r="L3" s="40" t="s">
        <v>371</v>
      </c>
      <c r="N3" s="15" t="str">
        <f>"N= "&amp;SUM(N4:N131)</f>
        <v>N= 4420</v>
      </c>
      <c r="O3" s="37"/>
      <c r="P3" s="37"/>
      <c r="Q3" s="41" t="s">
        <v>374</v>
      </c>
    </row>
    <row r="4" spans="1:17" ht="15.75" customHeight="1" x14ac:dyDescent="0.25">
      <c r="A4" s="39" t="str">
        <f>"Rot spp = "&amp;SUM(B6:B88)</f>
        <v>Rot spp = 62</v>
      </c>
      <c r="B4" s="39">
        <v>1</v>
      </c>
      <c r="C4" s="39" t="s">
        <v>375</v>
      </c>
      <c r="D4" s="39" t="s">
        <v>98</v>
      </c>
      <c r="E4" s="42">
        <v>1.74320987654321</v>
      </c>
      <c r="F4" s="42">
        <v>1.61975308641975</v>
      </c>
      <c r="G4" s="42">
        <v>0</v>
      </c>
      <c r="H4" s="42">
        <v>0</v>
      </c>
      <c r="I4" s="37"/>
      <c r="J4" s="36" t="str">
        <f>"Cladocera = "&amp;SUM(K61:K79)</f>
        <v>Cladocera = 12</v>
      </c>
      <c r="K4" s="15">
        <v>1</v>
      </c>
      <c r="L4" s="15" t="s">
        <v>98</v>
      </c>
      <c r="M4" s="15" t="s">
        <v>98</v>
      </c>
      <c r="N4" s="43">
        <f>SUM(rebio23_80ml!E3:E50)</f>
        <v>1829</v>
      </c>
      <c r="O4" s="42"/>
      <c r="P4" s="37"/>
      <c r="Q4" s="41" t="s">
        <v>376</v>
      </c>
    </row>
    <row r="5" spans="1:17" ht="15.75" customHeight="1" x14ac:dyDescent="0.25">
      <c r="A5" s="39" t="str">
        <f>"Cladocera = "&amp;SUM(B94:B112)</f>
        <v>Cladocera = 15</v>
      </c>
      <c r="B5" s="39">
        <v>0</v>
      </c>
      <c r="C5" s="36" t="s">
        <v>377</v>
      </c>
      <c r="D5" s="37"/>
      <c r="E5" s="42"/>
      <c r="F5" s="42"/>
      <c r="G5" s="42"/>
      <c r="H5" s="42"/>
      <c r="I5" s="37"/>
      <c r="J5" s="36" t="str">
        <f>"Copepoda = "&amp;SUM(K81:K91)</f>
        <v>Copepoda = 6</v>
      </c>
      <c r="K5" s="15">
        <v>0</v>
      </c>
      <c r="L5" s="40" t="s">
        <v>377</v>
      </c>
      <c r="N5" s="43"/>
      <c r="O5" s="42"/>
      <c r="P5" s="37"/>
      <c r="Q5" s="37"/>
    </row>
    <row r="6" spans="1:17" ht="15.75" customHeight="1" x14ac:dyDescent="0.25">
      <c r="A6" s="39" t="str">
        <f>"Copepoda = "&amp;SUM(B114:B122)</f>
        <v>Copepoda = 6</v>
      </c>
      <c r="B6" s="39">
        <v>1</v>
      </c>
      <c r="C6" s="39" t="s">
        <v>107</v>
      </c>
      <c r="D6" s="39" t="s">
        <v>163</v>
      </c>
      <c r="E6" s="42">
        <v>0</v>
      </c>
      <c r="F6" s="42">
        <v>0</v>
      </c>
      <c r="G6" s="42">
        <v>0.48</v>
      </c>
      <c r="H6" s="42">
        <v>0.35555555555555701</v>
      </c>
      <c r="I6" s="37"/>
      <c r="J6" s="39" t="str">
        <f>"Rot spp = "&amp;SUM(K5:K59)</f>
        <v>Rot spp = 39</v>
      </c>
      <c r="K6" s="15">
        <v>1</v>
      </c>
      <c r="L6" s="15" t="s">
        <v>107</v>
      </c>
      <c r="M6" s="15" t="s">
        <v>163</v>
      </c>
      <c r="N6" s="43">
        <f>SUM(rebio23_80ml!N3:N50)</f>
        <v>2</v>
      </c>
      <c r="O6" s="42"/>
      <c r="P6" s="37"/>
      <c r="Q6" s="37"/>
    </row>
    <row r="7" spans="1:17" ht="15.75" customHeight="1" x14ac:dyDescent="0.25">
      <c r="A7" s="39" t="str">
        <f>"Rot fam = "&amp;COUNTIF(B4:B88,"0")</f>
        <v>Rot fam = 19</v>
      </c>
      <c r="B7" s="39">
        <v>1</v>
      </c>
      <c r="C7" s="39" t="s">
        <v>378</v>
      </c>
      <c r="D7" s="39" t="s">
        <v>379</v>
      </c>
      <c r="E7" s="42">
        <v>0</v>
      </c>
      <c r="F7" s="42">
        <v>0</v>
      </c>
      <c r="G7" s="42">
        <v>0.16</v>
      </c>
      <c r="H7" s="42">
        <v>0</v>
      </c>
      <c r="I7" s="37"/>
      <c r="J7" s="39" t="str">
        <f>"Rot fam = "&amp;COUNTIF(K4:K59,"0")</f>
        <v>Rot fam = 14</v>
      </c>
      <c r="K7" s="15">
        <v>0</v>
      </c>
      <c r="L7" s="40" t="s">
        <v>380</v>
      </c>
      <c r="N7" s="43"/>
      <c r="O7" s="42"/>
      <c r="P7" s="37"/>
      <c r="Q7" s="37"/>
    </row>
    <row r="8" spans="1:17" ht="15.75" customHeight="1" x14ac:dyDescent="0.25">
      <c r="A8" s="39" t="str">
        <f>"Phil = "&amp;SUM(B6:B8)</f>
        <v>Phil = 3</v>
      </c>
      <c r="B8" s="39">
        <v>1</v>
      </c>
      <c r="C8" s="39" t="s">
        <v>381</v>
      </c>
      <c r="D8" s="39" t="s">
        <v>382</v>
      </c>
      <c r="E8" s="42">
        <v>0.16790123456790201</v>
      </c>
      <c r="F8" s="42">
        <v>0.31604938271604999</v>
      </c>
      <c r="G8" s="42">
        <v>3.5199999999999898</v>
      </c>
      <c r="H8" s="42">
        <v>10.133333333333301</v>
      </c>
      <c r="I8" s="37"/>
      <c r="J8" s="39" t="str">
        <f>"Phil = "&amp;SUM(K6)</f>
        <v>Phil = 1</v>
      </c>
      <c r="K8" s="15">
        <v>1</v>
      </c>
      <c r="L8" s="15" t="s">
        <v>104</v>
      </c>
      <c r="M8" s="15" t="s">
        <v>383</v>
      </c>
      <c r="N8" s="43">
        <f>SUM(rebio23_80ml!K3:K50)</f>
        <v>2</v>
      </c>
      <c r="O8" s="42"/>
      <c r="P8" s="37"/>
      <c r="Q8" s="37"/>
    </row>
    <row r="9" spans="1:17" ht="15.75" customHeight="1" x14ac:dyDescent="0.25">
      <c r="A9" s="39" t="str">
        <f>"Dicran = "&amp;SUM(B12)</f>
        <v>Dicran = 1</v>
      </c>
      <c r="B9"/>
      <c r="C9" s="36" t="s">
        <v>384</v>
      </c>
      <c r="D9"/>
      <c r="E9"/>
      <c r="F9"/>
      <c r="G9"/>
      <c r="H9"/>
      <c r="I9" s="37"/>
      <c r="J9" s="39" t="str">
        <f>"Dicran = "&amp;SUM(K8)</f>
        <v>Dicran = 1</v>
      </c>
      <c r="K9" s="38">
        <v>0</v>
      </c>
      <c r="L9" s="44" t="s">
        <v>385</v>
      </c>
      <c r="M9" s="38"/>
      <c r="N9" s="38"/>
      <c r="O9" s="42"/>
      <c r="P9" s="37"/>
      <c r="Q9" s="37"/>
    </row>
    <row r="10" spans="1:17" ht="15.75" customHeight="1" x14ac:dyDescent="0.25">
      <c r="A10" s="39" t="str">
        <f>"Lec = "&amp;SUM(B14:B31)</f>
        <v>Lec = 18</v>
      </c>
      <c r="B10"/>
      <c r="C10" s="39" t="s">
        <v>386</v>
      </c>
      <c r="D10"/>
      <c r="E10"/>
      <c r="F10"/>
      <c r="G10"/>
      <c r="H10"/>
      <c r="I10" s="37"/>
      <c r="J10" s="39" t="str">
        <f>"Lec = "&amp;SUM(K13:K28)</f>
        <v>Lec = 15</v>
      </c>
      <c r="K10" s="38">
        <v>1</v>
      </c>
      <c r="L10" s="20" t="s">
        <v>100</v>
      </c>
      <c r="M10" s="15" t="s">
        <v>157</v>
      </c>
      <c r="N10" s="43">
        <f>SUM(rebio23_80ml!G3:G50)</f>
        <v>10</v>
      </c>
      <c r="O10" s="42"/>
      <c r="P10" s="37"/>
      <c r="Q10" s="37"/>
    </row>
    <row r="11" spans="1:17" ht="15.75" customHeight="1" x14ac:dyDescent="0.25">
      <c r="A11" s="39" t="str">
        <f>"Bra = "&amp;SUM(B33:B46)</f>
        <v>Bra = 14</v>
      </c>
      <c r="B11" s="39">
        <v>0</v>
      </c>
      <c r="C11" s="36" t="s">
        <v>380</v>
      </c>
      <c r="D11" s="37"/>
      <c r="E11" s="42"/>
      <c r="F11" s="42"/>
      <c r="G11" s="42"/>
      <c r="H11" s="42"/>
      <c r="I11" s="37"/>
      <c r="J11" s="39" t="str">
        <f>"Bra = "&amp;SUM(K30:K32)</f>
        <v>Bra = 3</v>
      </c>
      <c r="L11" s="40" t="s">
        <v>384</v>
      </c>
      <c r="N11" s="43"/>
      <c r="O11" s="42"/>
      <c r="P11" s="37"/>
      <c r="Q11" s="37"/>
    </row>
    <row r="12" spans="1:17" ht="15.75" customHeight="1" x14ac:dyDescent="0.25">
      <c r="A12" s="39" t="str">
        <f>"Lep = "&amp;SUM(B48:B51)</f>
        <v>Lep = 4</v>
      </c>
      <c r="B12" s="39">
        <v>1</v>
      </c>
      <c r="C12" s="39" t="s">
        <v>104</v>
      </c>
      <c r="D12" s="39" t="s">
        <v>383</v>
      </c>
      <c r="E12" s="42">
        <v>0</v>
      </c>
      <c r="F12" s="42">
        <v>0</v>
      </c>
      <c r="G12" s="42">
        <v>6.88</v>
      </c>
      <c r="H12" s="42">
        <v>0</v>
      </c>
      <c r="I12" s="37"/>
      <c r="J12" s="39" t="str">
        <f>"Lep = "&amp;SUM(K34:K37)</f>
        <v>Lep = 4</v>
      </c>
      <c r="L12" s="40" t="s">
        <v>387</v>
      </c>
      <c r="N12" s="43"/>
      <c r="O12" s="42"/>
      <c r="P12" s="37"/>
      <c r="Q12" s="37"/>
    </row>
    <row r="13" spans="1:17" ht="15.75" customHeight="1" x14ac:dyDescent="0.25">
      <c r="A13" s="39" t="str">
        <f>"Chy = "&amp;SUM(B94:B100)</f>
        <v>Chy = 7</v>
      </c>
      <c r="B13" s="39">
        <v>0</v>
      </c>
      <c r="C13" s="36" t="s">
        <v>388</v>
      </c>
      <c r="D13" s="37"/>
      <c r="E13" s="42"/>
      <c r="F13" s="42"/>
      <c r="G13" s="42"/>
      <c r="H13" s="42"/>
      <c r="I13" s="37"/>
      <c r="J13" s="39" t="str">
        <f>"Chy = "&amp;SUM(K63:K68)</f>
        <v>Chy = 5</v>
      </c>
      <c r="K13" s="15">
        <v>0</v>
      </c>
      <c r="L13" s="40" t="s">
        <v>388</v>
      </c>
      <c r="O13" s="37"/>
      <c r="P13" s="37"/>
      <c r="Q13" s="37"/>
    </row>
    <row r="14" spans="1:17" ht="15.75" customHeight="1" x14ac:dyDescent="0.25">
      <c r="A14" s="39" t="str">
        <f>"Mac = "&amp;SUM(B102:B105)</f>
        <v>Mac = 4</v>
      </c>
      <c r="B14" s="39">
        <v>1</v>
      </c>
      <c r="C14" s="39" t="s">
        <v>389</v>
      </c>
      <c r="D14" s="39" t="s">
        <v>167</v>
      </c>
      <c r="E14" s="42">
        <v>0.148148148148148</v>
      </c>
      <c r="F14" s="42">
        <v>6.9135802469135796E-2</v>
      </c>
      <c r="G14" s="42">
        <v>0</v>
      </c>
      <c r="H14" s="42">
        <v>0</v>
      </c>
      <c r="I14" s="37"/>
      <c r="J14" s="39" t="str">
        <f>"Mac = "&amp;SUM(K69:K72)</f>
        <v>Mac = 3</v>
      </c>
      <c r="K14" s="15">
        <v>1</v>
      </c>
      <c r="L14" s="15" t="s">
        <v>389</v>
      </c>
      <c r="M14" s="15" t="s">
        <v>167</v>
      </c>
      <c r="N14" s="43">
        <f>SUM(rebio23_80ml!R3:R50)</f>
        <v>1</v>
      </c>
      <c r="O14" s="37"/>
      <c r="P14" s="37"/>
      <c r="Q14" s="37"/>
    </row>
    <row r="15" spans="1:17" ht="15.75" customHeight="1" x14ac:dyDescent="0.25">
      <c r="A15" s="39" t="str">
        <f>"Sid = "&amp;SUM(B107:B108)</f>
        <v>Sid = 2</v>
      </c>
      <c r="B15" s="39">
        <v>1</v>
      </c>
      <c r="C15" s="39" t="s">
        <v>112</v>
      </c>
      <c r="D15" s="39" t="s">
        <v>168</v>
      </c>
      <c r="E15" s="42">
        <v>0.780246913580247</v>
      </c>
      <c r="F15" s="42">
        <v>0.99753086419753101</v>
      </c>
      <c r="G15" s="42">
        <v>8.9600000000000009</v>
      </c>
      <c r="H15" s="42">
        <v>1.06666666666667</v>
      </c>
      <c r="I15" s="37"/>
      <c r="J15" s="39" t="str">
        <f>"Sid = "&amp;SUM(K74:K75)</f>
        <v>Sid = 2</v>
      </c>
      <c r="K15" s="15">
        <v>1</v>
      </c>
      <c r="L15" s="15" t="s">
        <v>112</v>
      </c>
      <c r="M15" s="15" t="s">
        <v>168</v>
      </c>
      <c r="N15" s="43">
        <f>SUM(rebio23_80ml!S3:S50)</f>
        <v>80</v>
      </c>
      <c r="O15" s="37"/>
      <c r="P15" s="37"/>
      <c r="Q15" s="37"/>
    </row>
    <row r="16" spans="1:17" ht="15.75" customHeight="1" x14ac:dyDescent="0.25">
      <c r="A16" s="39" t="str">
        <f>"Juv = "&amp;SUM(B114:B115)</f>
        <v>Juv = 2</v>
      </c>
      <c r="B16" s="39">
        <v>1</v>
      </c>
      <c r="C16" s="39" t="s">
        <v>390</v>
      </c>
      <c r="D16" s="39" t="s">
        <v>169</v>
      </c>
      <c r="E16" s="42">
        <v>2.96296296296297E-2</v>
      </c>
      <c r="F16" s="42">
        <v>4.9382716049382797E-2</v>
      </c>
      <c r="G16" s="42">
        <v>0.42666666666666703</v>
      </c>
      <c r="H16" s="42">
        <v>0</v>
      </c>
      <c r="I16" s="37"/>
      <c r="J16" s="39" t="str">
        <f>"Juv = "&amp;SUM(K81:K82)</f>
        <v>Juv = 2</v>
      </c>
      <c r="K16" s="15">
        <v>1</v>
      </c>
      <c r="L16" s="15" t="s">
        <v>390</v>
      </c>
      <c r="M16" s="15" t="s">
        <v>169</v>
      </c>
      <c r="N16" s="43">
        <f>SUM(rebio23_80ml!T3:T50)</f>
        <v>9</v>
      </c>
      <c r="O16" s="37"/>
      <c r="P16" s="37"/>
      <c r="Q16" s="37"/>
    </row>
    <row r="17" spans="1:17" ht="15.75" customHeight="1" x14ac:dyDescent="0.25">
      <c r="A17" s="39" t="str">
        <f>"Cyc = "&amp;SUM(B118:B119)</f>
        <v>Cyc = 1</v>
      </c>
      <c r="B17" s="39">
        <v>1</v>
      </c>
      <c r="C17" s="39" t="s">
        <v>391</v>
      </c>
      <c r="D17" s="39" t="s">
        <v>170</v>
      </c>
      <c r="E17" s="42">
        <v>9.8765432098765604E-3</v>
      </c>
      <c r="F17" s="42">
        <v>4.9382716049382699E-2</v>
      </c>
      <c r="G17" s="42">
        <v>5.3333333333333302E-2</v>
      </c>
      <c r="H17" s="42">
        <v>0</v>
      </c>
      <c r="I17" s="37"/>
      <c r="J17" s="39" t="str">
        <f>"Cyc = "&amp;SUM(K84:K87)</f>
        <v>Cyc = 3</v>
      </c>
      <c r="K17" s="15">
        <v>1</v>
      </c>
      <c r="L17" s="15" t="s">
        <v>391</v>
      </c>
      <c r="M17" s="15" t="s">
        <v>170</v>
      </c>
      <c r="N17" s="43">
        <f>SUM(rebio23_80ml!U3:U50)</f>
        <v>15</v>
      </c>
      <c r="O17" s="37"/>
      <c r="P17" s="37"/>
      <c r="Q17" s="37"/>
    </row>
    <row r="18" spans="1:17" ht="15.75" customHeight="1" x14ac:dyDescent="0.25">
      <c r="A18" s="39" t="str">
        <f>"Dia = "&amp;SUM(B120:B121)</f>
        <v>Dia = 1</v>
      </c>
      <c r="B18" s="39">
        <v>1</v>
      </c>
      <c r="C18" s="39" t="s">
        <v>392</v>
      </c>
      <c r="D18" s="39" t="s">
        <v>171</v>
      </c>
      <c r="E18" s="42">
        <v>9.8765432098765604E-3</v>
      </c>
      <c r="F18" s="42">
        <v>0</v>
      </c>
      <c r="G18" s="42">
        <v>0.32</v>
      </c>
      <c r="H18" s="42">
        <v>0</v>
      </c>
      <c r="I18" s="37"/>
      <c r="J18" s="39" t="str">
        <f>"Dia = "&amp;SUM(K89:K90)</f>
        <v>Dia = 1</v>
      </c>
      <c r="K18" s="15">
        <v>1</v>
      </c>
      <c r="L18" s="15" t="s">
        <v>392</v>
      </c>
      <c r="M18" s="15" t="s">
        <v>171</v>
      </c>
      <c r="N18" s="43">
        <f>SUM(rebio23_80ml!V3:V50)</f>
        <v>7</v>
      </c>
      <c r="O18" s="37"/>
      <c r="P18" s="37"/>
      <c r="Q18" s="37"/>
    </row>
    <row r="19" spans="1:17" ht="15.75" customHeight="1" x14ac:dyDescent="0.25">
      <c r="A19" s="37"/>
      <c r="B19" s="39">
        <v>1</v>
      </c>
      <c r="C19" s="39" t="s">
        <v>393</v>
      </c>
      <c r="D19" s="39" t="s">
        <v>394</v>
      </c>
      <c r="E19" s="42">
        <v>0</v>
      </c>
      <c r="F19" s="42">
        <v>9.8765432098765604E-3</v>
      </c>
      <c r="G19" s="42">
        <v>0</v>
      </c>
      <c r="H19" s="42">
        <v>0</v>
      </c>
      <c r="I19" s="37"/>
      <c r="J19" s="37"/>
      <c r="K19" s="15">
        <v>1</v>
      </c>
      <c r="L19" s="15" t="s">
        <v>395</v>
      </c>
      <c r="M19" s="15" t="s">
        <v>172</v>
      </c>
      <c r="N19" s="43">
        <f>SUM(rebio23_80ml!W3:W50)</f>
        <v>1</v>
      </c>
      <c r="O19" s="37"/>
      <c r="P19" s="37"/>
      <c r="Q19" s="37"/>
    </row>
    <row r="20" spans="1:17" ht="15.75" customHeight="1" x14ac:dyDescent="0.25">
      <c r="A20" s="37"/>
      <c r="B20" s="39">
        <v>1</v>
      </c>
      <c r="C20" s="39" t="s">
        <v>395</v>
      </c>
      <c r="D20" s="39" t="s">
        <v>172</v>
      </c>
      <c r="E20" s="42">
        <v>0</v>
      </c>
      <c r="F20" s="42">
        <v>6.9135802469136004E-2</v>
      </c>
      <c r="G20" s="42">
        <v>1.2266666666666699</v>
      </c>
      <c r="H20" s="42">
        <v>0.17777777777777801</v>
      </c>
      <c r="I20" s="37"/>
      <c r="J20" s="37"/>
      <c r="K20" s="15">
        <v>1</v>
      </c>
      <c r="L20" s="15" t="s">
        <v>396</v>
      </c>
      <c r="M20" s="15" t="s">
        <v>174</v>
      </c>
      <c r="N20" s="43">
        <f>SUM(rebio23_80ml!Y3:Y50)</f>
        <v>10</v>
      </c>
      <c r="O20" s="37"/>
      <c r="P20" s="37"/>
      <c r="Q20" s="37"/>
    </row>
    <row r="21" spans="1:17" ht="15.75" customHeight="1" x14ac:dyDescent="0.25">
      <c r="A21" s="37"/>
      <c r="B21" s="39">
        <v>1</v>
      </c>
      <c r="C21" s="39" t="s">
        <v>397</v>
      </c>
      <c r="D21" s="39" t="s">
        <v>398</v>
      </c>
      <c r="E21" s="42">
        <v>0</v>
      </c>
      <c r="F21" s="42">
        <v>9.8765432098765604E-3</v>
      </c>
      <c r="G21" s="42">
        <v>0.16</v>
      </c>
      <c r="H21" s="42">
        <v>0</v>
      </c>
      <c r="I21" s="37"/>
      <c r="J21" s="37"/>
      <c r="K21" s="15">
        <v>1</v>
      </c>
      <c r="L21" s="15" t="s">
        <v>119</v>
      </c>
      <c r="M21" s="15" t="s">
        <v>175</v>
      </c>
      <c r="N21" s="43">
        <f>SUM(rebio23_80ml!Z3:Z50)</f>
        <v>11</v>
      </c>
      <c r="O21" s="37"/>
      <c r="P21" s="37"/>
      <c r="Q21" s="37"/>
    </row>
    <row r="22" spans="1:17" ht="15.75" customHeight="1" x14ac:dyDescent="0.25">
      <c r="A22" s="37"/>
      <c r="B22" s="39">
        <v>1</v>
      </c>
      <c r="C22" s="39" t="s">
        <v>399</v>
      </c>
      <c r="D22" s="39" t="s">
        <v>400</v>
      </c>
      <c r="E22" s="42">
        <v>0</v>
      </c>
      <c r="F22" s="42">
        <v>0</v>
      </c>
      <c r="G22" s="42">
        <v>0.37333333333333302</v>
      </c>
      <c r="H22" s="42">
        <v>0</v>
      </c>
      <c r="I22" s="37"/>
      <c r="J22" s="37"/>
      <c r="K22" s="15">
        <v>1</v>
      </c>
      <c r="L22" s="15" t="s">
        <v>401</v>
      </c>
      <c r="M22" s="15" t="s">
        <v>176</v>
      </c>
      <c r="N22" s="43">
        <f>SUM(rebio23_80ml!AA3:AA50)</f>
        <v>21</v>
      </c>
      <c r="O22" s="37"/>
      <c r="P22" s="37"/>
      <c r="Q22" s="37"/>
    </row>
    <row r="23" spans="1:17" ht="15.75" customHeight="1" x14ac:dyDescent="0.25">
      <c r="A23" s="37"/>
      <c r="B23" s="39">
        <v>1</v>
      </c>
      <c r="C23" s="39" t="s">
        <v>402</v>
      </c>
      <c r="D23" s="39" t="s">
        <v>403</v>
      </c>
      <c r="E23" s="42">
        <v>9.8765432098765604E-3</v>
      </c>
      <c r="F23" s="42">
        <v>5.9259259259259303E-2</v>
      </c>
      <c r="G23" s="42">
        <v>0</v>
      </c>
      <c r="H23" s="42">
        <v>0</v>
      </c>
      <c r="I23" s="37"/>
      <c r="J23" s="37"/>
      <c r="K23" s="15">
        <v>1</v>
      </c>
      <c r="L23" s="15" t="s">
        <v>404</v>
      </c>
      <c r="M23" s="15" t="s">
        <v>177</v>
      </c>
      <c r="N23" s="43">
        <f>SUM(rebio23_80ml!AB3:AB50)</f>
        <v>2</v>
      </c>
      <c r="O23" s="37"/>
      <c r="P23" s="37"/>
      <c r="Q23" s="37"/>
    </row>
    <row r="24" spans="1:17" ht="15.75" customHeight="1" x14ac:dyDescent="0.25">
      <c r="A24" s="37"/>
      <c r="B24" s="39">
        <v>1</v>
      </c>
      <c r="C24" s="39" t="s">
        <v>396</v>
      </c>
      <c r="D24" s="39" t="s">
        <v>174</v>
      </c>
      <c r="E24" s="42">
        <v>1.97530864197531E-2</v>
      </c>
      <c r="F24" s="42">
        <v>4.9382716049382797E-2</v>
      </c>
      <c r="G24" s="42">
        <v>0.266666666666667</v>
      </c>
      <c r="H24" s="42">
        <v>0</v>
      </c>
      <c r="I24" s="37"/>
      <c r="J24" s="37"/>
      <c r="K24" s="38">
        <v>1</v>
      </c>
      <c r="L24" s="20" t="s">
        <v>123</v>
      </c>
      <c r="M24" s="15" t="s">
        <v>179</v>
      </c>
      <c r="N24" s="43">
        <f>SUM(rebio23_80ml!AD3:AD50)</f>
        <v>5</v>
      </c>
      <c r="O24" s="37"/>
      <c r="P24" s="37"/>
      <c r="Q24" s="37"/>
    </row>
    <row r="25" spans="1:17" ht="15.75" customHeight="1" x14ac:dyDescent="0.25">
      <c r="A25" s="37"/>
      <c r="B25" s="39">
        <v>1</v>
      </c>
      <c r="C25" s="39" t="s">
        <v>405</v>
      </c>
      <c r="D25" s="39" t="s">
        <v>406</v>
      </c>
      <c r="E25" s="42">
        <v>0</v>
      </c>
      <c r="F25" s="42">
        <v>8.8888888888888906E-2</v>
      </c>
      <c r="G25" s="42">
        <v>0</v>
      </c>
      <c r="H25" s="42">
        <v>0</v>
      </c>
      <c r="I25" s="37"/>
      <c r="J25" s="37"/>
      <c r="K25" s="15">
        <v>1</v>
      </c>
      <c r="L25" s="15" t="s">
        <v>407</v>
      </c>
      <c r="M25" s="15" t="s">
        <v>180</v>
      </c>
      <c r="N25" s="43">
        <f>SUM(rebio23_80ml!AE3:AE50)</f>
        <v>2</v>
      </c>
      <c r="O25" s="37"/>
      <c r="P25" s="37"/>
      <c r="Q25" s="37"/>
    </row>
    <row r="26" spans="1:17" ht="15.75" customHeight="1" x14ac:dyDescent="0.25">
      <c r="A26" s="37"/>
      <c r="B26" s="39">
        <v>1</v>
      </c>
      <c r="C26" s="39" t="s">
        <v>119</v>
      </c>
      <c r="D26" s="39" t="s">
        <v>175</v>
      </c>
      <c r="E26" s="42">
        <v>0.148148148148148</v>
      </c>
      <c r="F26" s="42">
        <v>0.108641975308642</v>
      </c>
      <c r="G26" s="42">
        <v>0.32</v>
      </c>
      <c r="H26" s="42">
        <v>0.88888888888888995</v>
      </c>
      <c r="I26" s="37"/>
      <c r="J26" s="37"/>
      <c r="K26" s="38">
        <v>1</v>
      </c>
      <c r="L26" s="45" t="s">
        <v>408</v>
      </c>
      <c r="M26" s="46" t="s">
        <v>173</v>
      </c>
      <c r="N26" s="47">
        <f>SUM(rebio23_80ml!X3:X50)</f>
        <v>2</v>
      </c>
      <c r="O26" s="37"/>
      <c r="P26" s="37"/>
      <c r="Q26" s="37"/>
    </row>
    <row r="27" spans="1:17" ht="15.75" customHeight="1" x14ac:dyDescent="0.25">
      <c r="A27" s="37"/>
      <c r="B27" s="39">
        <v>1</v>
      </c>
      <c r="C27" s="39" t="s">
        <v>401</v>
      </c>
      <c r="D27" s="39" t="s">
        <v>176</v>
      </c>
      <c r="E27" s="42">
        <v>0</v>
      </c>
      <c r="F27" s="42">
        <v>0</v>
      </c>
      <c r="G27" s="42">
        <v>0.266666666666667</v>
      </c>
      <c r="H27" s="42">
        <v>0</v>
      </c>
      <c r="I27" s="37"/>
      <c r="J27" s="37"/>
      <c r="K27" s="38">
        <v>1</v>
      </c>
      <c r="L27" s="45" t="s">
        <v>409</v>
      </c>
      <c r="M27" s="46" t="s">
        <v>178</v>
      </c>
      <c r="N27" s="48">
        <f>SUM(rebio23_80ml!AC3:AC50)</f>
        <v>3</v>
      </c>
      <c r="O27" s="37"/>
      <c r="P27" s="37"/>
      <c r="Q27" s="37"/>
    </row>
    <row r="28" spans="1:17" ht="15.75" customHeight="1" x14ac:dyDescent="0.25">
      <c r="A28" s="37"/>
      <c r="B28" s="39">
        <v>1</v>
      </c>
      <c r="C28" s="39" t="s">
        <v>404</v>
      </c>
      <c r="D28" s="39" t="s">
        <v>177</v>
      </c>
      <c r="E28" s="42">
        <v>0</v>
      </c>
      <c r="F28" s="42">
        <v>3.95061728395062E-2</v>
      </c>
      <c r="G28" s="42">
        <v>0.10666666666666701</v>
      </c>
      <c r="H28" s="42">
        <v>0</v>
      </c>
      <c r="I28" s="37"/>
      <c r="J28" s="37"/>
      <c r="K28" s="38">
        <v>1</v>
      </c>
      <c r="L28" s="45" t="s">
        <v>410</v>
      </c>
      <c r="M28" s="46" t="s">
        <v>181</v>
      </c>
      <c r="N28" s="48">
        <f>SUM(rebio23_80ml!AF3:AF50)</f>
        <v>1</v>
      </c>
      <c r="O28" s="37"/>
      <c r="P28" s="37"/>
      <c r="Q28" s="37"/>
    </row>
    <row r="29" spans="1:17" ht="15.75" customHeight="1" x14ac:dyDescent="0.25">
      <c r="A29" s="37"/>
      <c r="B29" s="39">
        <v>1</v>
      </c>
      <c r="C29" s="39" t="s">
        <v>411</v>
      </c>
      <c r="D29" s="39" t="s">
        <v>412</v>
      </c>
      <c r="E29" s="42">
        <v>1.97530864197531E-2</v>
      </c>
      <c r="F29" s="42">
        <v>9.8765432098765604E-3</v>
      </c>
      <c r="G29" s="42">
        <v>0</v>
      </c>
      <c r="H29" s="42">
        <v>0</v>
      </c>
      <c r="I29" s="37"/>
      <c r="J29" s="37"/>
      <c r="K29" s="15">
        <v>0</v>
      </c>
      <c r="L29" s="40" t="s">
        <v>413</v>
      </c>
      <c r="O29" s="37"/>
      <c r="P29" s="37"/>
      <c r="Q29" s="37"/>
    </row>
    <row r="30" spans="1:17" ht="15.75" customHeight="1" x14ac:dyDescent="0.25">
      <c r="A30" s="37"/>
      <c r="B30" s="39">
        <v>1</v>
      </c>
      <c r="C30" s="39" t="s">
        <v>407</v>
      </c>
      <c r="D30" s="39" t="s">
        <v>180</v>
      </c>
      <c r="E30" s="42">
        <v>9.8765432098765604E-3</v>
      </c>
      <c r="F30" s="42">
        <v>4.9382716049382699E-2</v>
      </c>
      <c r="G30" s="42">
        <v>0</v>
      </c>
      <c r="H30" s="42">
        <v>0.17777777777777801</v>
      </c>
      <c r="I30" s="37"/>
      <c r="J30" s="37"/>
      <c r="K30" s="38">
        <v>1</v>
      </c>
      <c r="L30" s="20" t="s">
        <v>99</v>
      </c>
      <c r="M30" s="15" t="s">
        <v>156</v>
      </c>
      <c r="N30" s="43">
        <f>SUM(rebio23_80ml!F3:F50)</f>
        <v>3</v>
      </c>
      <c r="O30" s="37"/>
      <c r="P30" s="37"/>
      <c r="Q30" s="37"/>
    </row>
    <row r="31" spans="1:17" ht="15.75" customHeight="1" x14ac:dyDescent="0.25">
      <c r="A31" s="37"/>
      <c r="B31" s="39">
        <v>1</v>
      </c>
      <c r="C31" s="39" t="s">
        <v>414</v>
      </c>
      <c r="D31" s="39" t="s">
        <v>415</v>
      </c>
      <c r="E31" s="42">
        <v>9.8765432098765604E-3</v>
      </c>
      <c r="F31" s="42">
        <v>2.96296296296296E-2</v>
      </c>
      <c r="G31" s="42">
        <v>0</v>
      </c>
      <c r="H31" s="42">
        <v>0</v>
      </c>
      <c r="I31" s="37"/>
      <c r="J31" s="37"/>
      <c r="K31" s="38">
        <v>1</v>
      </c>
      <c r="L31" s="20" t="s">
        <v>133</v>
      </c>
      <c r="M31" s="15" t="s">
        <v>189</v>
      </c>
      <c r="N31" s="43">
        <f>SUM(rebio23_80ml!AN3:AN50)</f>
        <v>4</v>
      </c>
      <c r="O31" s="37"/>
      <c r="P31" s="37"/>
      <c r="Q31" s="37"/>
    </row>
    <row r="32" spans="1:17" ht="15.75" customHeight="1" x14ac:dyDescent="0.25">
      <c r="A32" s="37"/>
      <c r="B32" s="39">
        <v>0</v>
      </c>
      <c r="C32" s="36" t="s">
        <v>413</v>
      </c>
      <c r="D32" s="37"/>
      <c r="E32" s="42"/>
      <c r="F32" s="42"/>
      <c r="G32" s="42"/>
      <c r="H32" s="42"/>
      <c r="I32" s="37"/>
      <c r="J32" s="37"/>
      <c r="K32" s="15">
        <v>1</v>
      </c>
      <c r="L32" s="15" t="s">
        <v>144</v>
      </c>
      <c r="M32" s="15" t="s">
        <v>199</v>
      </c>
      <c r="N32" s="43">
        <f>SUM(rebio23_80ml!AY3:AY50)</f>
        <v>8</v>
      </c>
      <c r="O32" s="37"/>
      <c r="P32" s="37"/>
      <c r="Q32" s="37"/>
    </row>
    <row r="33" spans="1:17" ht="15.75" customHeight="1" x14ac:dyDescent="0.25">
      <c r="A33" s="37"/>
      <c r="B33" s="39">
        <v>1</v>
      </c>
      <c r="C33" s="39" t="s">
        <v>416</v>
      </c>
      <c r="D33" s="39" t="s">
        <v>417</v>
      </c>
      <c r="E33" s="42">
        <v>9.8765432098765604E-3</v>
      </c>
      <c r="F33" s="42">
        <v>1.97530864197531E-2</v>
      </c>
      <c r="G33" s="42">
        <v>0</v>
      </c>
      <c r="H33" s="42">
        <v>0</v>
      </c>
      <c r="I33" s="37"/>
      <c r="J33" s="37"/>
      <c r="K33" s="15">
        <v>0</v>
      </c>
      <c r="L33" s="40" t="s">
        <v>418</v>
      </c>
      <c r="M33" s="38"/>
      <c r="O33" s="37"/>
      <c r="P33" s="37"/>
      <c r="Q33" s="37"/>
    </row>
    <row r="34" spans="1:17" ht="15.75" customHeight="1" x14ac:dyDescent="0.25">
      <c r="A34" s="37"/>
      <c r="B34" s="39">
        <v>1</v>
      </c>
      <c r="C34" s="39" t="s">
        <v>419</v>
      </c>
      <c r="D34" s="39" t="s">
        <v>420</v>
      </c>
      <c r="E34" s="42">
        <v>0</v>
      </c>
      <c r="F34" s="42">
        <v>9.8765432098765604E-3</v>
      </c>
      <c r="G34" s="42">
        <v>0</v>
      </c>
      <c r="H34" s="42">
        <v>0</v>
      </c>
      <c r="I34" s="37"/>
      <c r="J34" s="37"/>
      <c r="K34" s="15">
        <v>1</v>
      </c>
      <c r="L34" s="15" t="s">
        <v>421</v>
      </c>
      <c r="M34" s="15" t="s">
        <v>185</v>
      </c>
      <c r="N34" s="43">
        <f>SUM(rebio23_80ml!AJ3:AJ50)</f>
        <v>20</v>
      </c>
      <c r="O34" s="37"/>
      <c r="P34" s="37"/>
      <c r="Q34" s="37"/>
    </row>
    <row r="35" spans="1:17" ht="15.75" customHeight="1" x14ac:dyDescent="0.25">
      <c r="A35" s="37"/>
      <c r="B35" s="39">
        <v>1</v>
      </c>
      <c r="C35" s="39" t="s">
        <v>422</v>
      </c>
      <c r="D35" s="39" t="s">
        <v>423</v>
      </c>
      <c r="E35" s="42">
        <v>0</v>
      </c>
      <c r="F35" s="42">
        <v>1.97530864197531E-2</v>
      </c>
      <c r="G35" s="42">
        <v>0</v>
      </c>
      <c r="H35" s="42">
        <v>0</v>
      </c>
      <c r="I35" s="37"/>
      <c r="J35" s="37"/>
      <c r="K35" s="15">
        <v>1</v>
      </c>
      <c r="L35" s="15" t="s">
        <v>130</v>
      </c>
      <c r="M35" s="15" t="s">
        <v>186</v>
      </c>
      <c r="N35" s="43">
        <f>SUM(rebio23_80ml!AK3:AK50)</f>
        <v>2</v>
      </c>
      <c r="O35" s="37"/>
      <c r="P35" s="37"/>
      <c r="Q35" s="37"/>
    </row>
    <row r="36" spans="1:17" ht="15.75" customHeight="1" x14ac:dyDescent="0.25">
      <c r="A36" s="37"/>
      <c r="B36" s="39">
        <v>1</v>
      </c>
      <c r="C36" s="39" t="s">
        <v>424</v>
      </c>
      <c r="D36" s="39" t="s">
        <v>425</v>
      </c>
      <c r="E36" s="42">
        <v>5.9259259259259199E-2</v>
      </c>
      <c r="F36" s="42">
        <v>3.95061728395062E-2</v>
      </c>
      <c r="G36" s="42">
        <v>0</v>
      </c>
      <c r="H36" s="42">
        <v>0</v>
      </c>
      <c r="I36" s="37"/>
      <c r="J36" s="37"/>
      <c r="K36" s="38">
        <v>1</v>
      </c>
      <c r="L36" s="19" t="s">
        <v>128</v>
      </c>
      <c r="M36" s="18" t="s">
        <v>426</v>
      </c>
      <c r="N36" s="43">
        <f>SUM(rebio23_80ml!AH3:AH49)</f>
        <v>1</v>
      </c>
      <c r="O36" s="37"/>
      <c r="P36" s="37"/>
      <c r="Q36" s="37"/>
    </row>
    <row r="37" spans="1:17" ht="15.75" customHeight="1" x14ac:dyDescent="0.25">
      <c r="A37" s="37"/>
      <c r="B37" s="39">
        <v>1</v>
      </c>
      <c r="C37" s="39" t="s">
        <v>427</v>
      </c>
      <c r="D37" s="39" t="s">
        <v>428</v>
      </c>
      <c r="E37" s="42">
        <v>0</v>
      </c>
      <c r="F37" s="42">
        <v>9.8765432098765604E-3</v>
      </c>
      <c r="G37" s="42">
        <v>0</v>
      </c>
      <c r="H37" s="42">
        <v>0</v>
      </c>
      <c r="I37" s="37"/>
      <c r="J37" s="37"/>
      <c r="K37" s="15">
        <v>1</v>
      </c>
      <c r="L37" s="45" t="s">
        <v>429</v>
      </c>
      <c r="M37" s="15" t="s">
        <v>430</v>
      </c>
      <c r="N37" s="43">
        <f>SUM(rebio23_80ml!AI3:AI50)</f>
        <v>1</v>
      </c>
      <c r="O37" s="37"/>
      <c r="P37" s="37"/>
      <c r="Q37" s="37"/>
    </row>
    <row r="38" spans="1:17" ht="15.75" customHeight="1" x14ac:dyDescent="0.25">
      <c r="A38" s="37"/>
      <c r="B38" s="39">
        <v>1</v>
      </c>
      <c r="C38" s="39" t="s">
        <v>431</v>
      </c>
      <c r="D38" s="39" t="s">
        <v>432</v>
      </c>
      <c r="E38" s="42">
        <v>0</v>
      </c>
      <c r="F38" s="42">
        <v>9.8765432098765604E-3</v>
      </c>
      <c r="G38" s="42">
        <v>2.4</v>
      </c>
      <c r="H38" s="42">
        <v>0.53333333333333299</v>
      </c>
      <c r="I38" s="37"/>
      <c r="J38" s="37"/>
      <c r="K38" s="15">
        <v>0</v>
      </c>
      <c r="L38" s="40" t="s">
        <v>433</v>
      </c>
      <c r="M38" s="38"/>
      <c r="O38" s="37"/>
      <c r="P38" s="37"/>
      <c r="Q38" s="37"/>
    </row>
    <row r="39" spans="1:17" ht="15.75" customHeight="1" x14ac:dyDescent="0.25">
      <c r="A39" s="37"/>
      <c r="B39" s="39">
        <v>1</v>
      </c>
      <c r="C39" s="39" t="s">
        <v>434</v>
      </c>
      <c r="D39" s="39" t="s">
        <v>435</v>
      </c>
      <c r="E39" s="42">
        <v>0</v>
      </c>
      <c r="F39" s="42">
        <v>0</v>
      </c>
      <c r="G39" s="42">
        <v>1.0133333333333301</v>
      </c>
      <c r="H39" s="42">
        <v>0</v>
      </c>
      <c r="I39" s="37"/>
      <c r="J39" s="37"/>
      <c r="K39" s="15">
        <v>1</v>
      </c>
      <c r="L39" s="15" t="s">
        <v>108</v>
      </c>
      <c r="M39" s="15" t="s">
        <v>164</v>
      </c>
      <c r="N39" s="43">
        <f>SUM(rebio23_80ml!O3:O50)</f>
        <v>1</v>
      </c>
      <c r="O39" s="37"/>
      <c r="P39" s="37"/>
      <c r="Q39" s="37"/>
    </row>
    <row r="40" spans="1:17" ht="15.75" customHeight="1" x14ac:dyDescent="0.25">
      <c r="A40" s="37"/>
      <c r="B40" s="39">
        <v>1</v>
      </c>
      <c r="C40" s="39" t="s">
        <v>144</v>
      </c>
      <c r="D40" s="39" t="s">
        <v>199</v>
      </c>
      <c r="E40" s="42">
        <v>0</v>
      </c>
      <c r="F40" s="42">
        <v>9.8765432098765604E-3</v>
      </c>
      <c r="G40" s="42">
        <v>5.3333333333333302E-2</v>
      </c>
      <c r="H40" s="42">
        <v>0</v>
      </c>
      <c r="I40" s="37"/>
      <c r="J40" s="37"/>
      <c r="K40" s="15">
        <v>0</v>
      </c>
      <c r="L40" s="40" t="s">
        <v>436</v>
      </c>
      <c r="M40" s="38"/>
      <c r="O40" s="37"/>
      <c r="P40" s="37"/>
      <c r="Q40" s="37"/>
    </row>
    <row r="41" spans="1:17" ht="15.75" customHeight="1" x14ac:dyDescent="0.25">
      <c r="A41" s="37"/>
      <c r="B41" s="39">
        <v>1</v>
      </c>
      <c r="C41" s="39" t="s">
        <v>437</v>
      </c>
      <c r="D41" s="39" t="s">
        <v>438</v>
      </c>
      <c r="E41" s="42">
        <v>0</v>
      </c>
      <c r="F41" s="42">
        <v>9.8765432098765604E-3</v>
      </c>
      <c r="G41" s="42">
        <v>0</v>
      </c>
      <c r="H41" s="42">
        <v>0</v>
      </c>
      <c r="I41" s="37"/>
      <c r="J41" s="37"/>
      <c r="K41" s="15">
        <v>1</v>
      </c>
      <c r="L41" s="15" t="s">
        <v>439</v>
      </c>
      <c r="M41" s="15" t="s">
        <v>201</v>
      </c>
      <c r="N41" s="43">
        <f>SUM(rebio23_80ml!BA3:BA50)</f>
        <v>36</v>
      </c>
      <c r="O41" s="37"/>
      <c r="P41" s="37"/>
      <c r="Q41" s="37"/>
    </row>
    <row r="42" spans="1:17" ht="15.75" customHeight="1" x14ac:dyDescent="0.25">
      <c r="A42" s="37"/>
      <c r="B42" s="39">
        <v>1</v>
      </c>
      <c r="C42" s="39" t="s">
        <v>440</v>
      </c>
      <c r="D42" s="39" t="s">
        <v>441</v>
      </c>
      <c r="E42" s="42">
        <v>0</v>
      </c>
      <c r="F42" s="42">
        <v>9.8765432098765604E-3</v>
      </c>
      <c r="G42" s="42">
        <v>0</v>
      </c>
      <c r="H42" s="42">
        <v>0</v>
      </c>
      <c r="I42" s="37"/>
      <c r="J42" s="37"/>
      <c r="K42" s="38">
        <v>1</v>
      </c>
      <c r="L42" s="19" t="s">
        <v>147</v>
      </c>
      <c r="M42" s="18" t="s">
        <v>202</v>
      </c>
      <c r="N42" s="43">
        <f>SUM(rebio23_80ml!BB3:BB50)</f>
        <v>2</v>
      </c>
      <c r="O42" s="37"/>
      <c r="P42" s="37"/>
      <c r="Q42" s="37"/>
    </row>
    <row r="43" spans="1:17" ht="15.75" customHeight="1" x14ac:dyDescent="0.25">
      <c r="A43" s="37"/>
      <c r="B43" s="39">
        <v>1</v>
      </c>
      <c r="C43" s="39" t="s">
        <v>442</v>
      </c>
      <c r="D43" s="39" t="s">
        <v>443</v>
      </c>
      <c r="E43" s="42">
        <v>0</v>
      </c>
      <c r="F43" s="42">
        <v>3.95061728395062E-2</v>
      </c>
      <c r="G43" s="42">
        <v>0</v>
      </c>
      <c r="H43" s="42">
        <v>0</v>
      </c>
      <c r="I43" s="37"/>
      <c r="J43" s="37"/>
      <c r="K43" s="15">
        <v>1</v>
      </c>
      <c r="L43" s="15" t="s">
        <v>444</v>
      </c>
      <c r="M43" s="15" t="s">
        <v>203</v>
      </c>
      <c r="N43" s="43">
        <f>SUM(rebio23_80ml!BC3:BC50)</f>
        <v>145</v>
      </c>
      <c r="O43" s="37"/>
      <c r="P43" s="37"/>
      <c r="Q43" s="37"/>
    </row>
    <row r="44" spans="1:17" ht="15.75" customHeight="1" x14ac:dyDescent="0.25">
      <c r="A44" s="37"/>
      <c r="B44" s="39">
        <v>1</v>
      </c>
      <c r="C44" s="39" t="s">
        <v>445</v>
      </c>
      <c r="D44" s="39" t="s">
        <v>446</v>
      </c>
      <c r="E44" s="42">
        <v>0</v>
      </c>
      <c r="F44" s="42">
        <v>1.97530864197531E-2</v>
      </c>
      <c r="G44" s="42">
        <v>0</v>
      </c>
      <c r="H44" s="42">
        <v>0</v>
      </c>
      <c r="I44" s="37"/>
      <c r="J44" s="37"/>
      <c r="K44" s="15">
        <v>1</v>
      </c>
      <c r="L44" s="15" t="s">
        <v>145</v>
      </c>
      <c r="M44" s="15" t="s">
        <v>200</v>
      </c>
      <c r="N44" s="43">
        <f>SUM(rebio23_80ml!AZ3:AZ50)</f>
        <v>8</v>
      </c>
      <c r="O44" s="37"/>
      <c r="P44" s="37"/>
      <c r="Q44" s="37"/>
    </row>
    <row r="45" spans="1:17" ht="15.75" customHeight="1" x14ac:dyDescent="0.25">
      <c r="A45" s="37"/>
      <c r="B45" s="39">
        <v>1</v>
      </c>
      <c r="C45" s="39" t="s">
        <v>447</v>
      </c>
      <c r="D45" s="39" t="s">
        <v>448</v>
      </c>
      <c r="E45" s="42">
        <v>0</v>
      </c>
      <c r="F45" s="42">
        <v>2.96296296296297E-2</v>
      </c>
      <c r="G45" s="42">
        <v>0.42666666666666703</v>
      </c>
      <c r="H45" s="42">
        <v>0</v>
      </c>
      <c r="I45" s="37"/>
      <c r="J45" s="37"/>
      <c r="K45" s="15">
        <v>0</v>
      </c>
      <c r="L45" s="40" t="s">
        <v>449</v>
      </c>
      <c r="M45" s="38"/>
      <c r="O45" s="37"/>
      <c r="P45" s="37"/>
      <c r="Q45" s="37"/>
    </row>
    <row r="46" spans="1:17" ht="15.75" customHeight="1" x14ac:dyDescent="0.25">
      <c r="A46" s="37"/>
      <c r="B46" s="39">
        <v>1</v>
      </c>
      <c r="C46" s="39" t="s">
        <v>450</v>
      </c>
      <c r="D46" s="39" t="s">
        <v>451</v>
      </c>
      <c r="E46" s="42">
        <v>9.8765432098765604E-3</v>
      </c>
      <c r="F46" s="42">
        <v>0</v>
      </c>
      <c r="G46" s="42">
        <v>0</v>
      </c>
      <c r="H46" s="42">
        <v>0</v>
      </c>
      <c r="I46" s="37"/>
      <c r="J46" s="37"/>
      <c r="K46" s="15">
        <v>1</v>
      </c>
      <c r="L46" s="49" t="s">
        <v>452</v>
      </c>
      <c r="M46" s="15" t="s">
        <v>158</v>
      </c>
      <c r="N46" s="43">
        <f>SUM(rebio23_80ml!H3:H50)</f>
        <v>8</v>
      </c>
      <c r="O46" s="37"/>
      <c r="P46" s="37"/>
      <c r="Q46" s="37"/>
    </row>
    <row r="47" spans="1:17" ht="15.75" customHeight="1" x14ac:dyDescent="0.25">
      <c r="A47" s="37"/>
      <c r="B47" s="39">
        <v>0</v>
      </c>
      <c r="C47" s="36" t="s">
        <v>418</v>
      </c>
      <c r="D47" s="37"/>
      <c r="E47" s="42"/>
      <c r="F47" s="42"/>
      <c r="G47" s="42"/>
      <c r="H47" s="42"/>
      <c r="I47" s="37"/>
      <c r="J47" s="37"/>
      <c r="K47" s="15">
        <v>0</v>
      </c>
      <c r="L47" s="40" t="s">
        <v>453</v>
      </c>
      <c r="M47" s="38"/>
      <c r="O47" s="37"/>
      <c r="P47" s="37"/>
      <c r="Q47" s="37"/>
    </row>
    <row r="48" spans="1:17" ht="15.75" customHeight="1" x14ac:dyDescent="0.25">
      <c r="A48" s="37"/>
      <c r="B48" s="39">
        <v>1</v>
      </c>
      <c r="C48" s="39" t="s">
        <v>421</v>
      </c>
      <c r="D48" s="39" t="s">
        <v>185</v>
      </c>
      <c r="E48" s="42">
        <v>0</v>
      </c>
      <c r="F48" s="42">
        <v>3.95061728395062E-2</v>
      </c>
      <c r="G48" s="42">
        <v>0.16</v>
      </c>
      <c r="H48" s="42">
        <v>0</v>
      </c>
      <c r="I48" s="37"/>
      <c r="J48" s="37"/>
      <c r="K48" s="15">
        <v>1</v>
      </c>
      <c r="L48" s="15" t="s">
        <v>454</v>
      </c>
      <c r="M48" s="15" t="s">
        <v>194</v>
      </c>
      <c r="N48" s="43">
        <f>SUM(rebio23_80ml!AS3:AS50)</f>
        <v>1</v>
      </c>
      <c r="O48" s="37"/>
      <c r="P48" s="37"/>
      <c r="Q48" s="37"/>
    </row>
    <row r="49" spans="1:17" ht="15.75" customHeight="1" x14ac:dyDescent="0.25">
      <c r="A49" s="37"/>
      <c r="B49" s="39">
        <v>1</v>
      </c>
      <c r="C49" s="39" t="s">
        <v>455</v>
      </c>
      <c r="D49" s="39" t="s">
        <v>456</v>
      </c>
      <c r="E49" s="42">
        <v>0</v>
      </c>
      <c r="F49" s="42">
        <v>0.36543209876543198</v>
      </c>
      <c r="G49" s="42">
        <v>0</v>
      </c>
      <c r="H49" s="42">
        <v>0</v>
      </c>
      <c r="I49" s="37"/>
      <c r="J49" s="37"/>
      <c r="K49" s="38">
        <v>1</v>
      </c>
      <c r="L49" s="19" t="s">
        <v>140</v>
      </c>
      <c r="M49" s="35" t="s">
        <v>196</v>
      </c>
      <c r="N49" s="43">
        <f>SUM(rebio23_80ml!AU3:AU50)</f>
        <v>1</v>
      </c>
      <c r="O49" s="37"/>
      <c r="P49" s="37"/>
      <c r="Q49" s="37"/>
    </row>
    <row r="50" spans="1:17" ht="15.75" customHeight="1" x14ac:dyDescent="0.25">
      <c r="A50" s="37"/>
      <c r="B50" s="39">
        <v>1</v>
      </c>
      <c r="C50" s="39" t="s">
        <v>130</v>
      </c>
      <c r="D50" s="39" t="s">
        <v>186</v>
      </c>
      <c r="E50" s="42">
        <v>0</v>
      </c>
      <c r="F50" s="42">
        <v>8.8888888888888906E-2</v>
      </c>
      <c r="G50" s="42">
        <v>5.8133333333333397</v>
      </c>
      <c r="H50" s="42">
        <v>1.9555555555555499</v>
      </c>
      <c r="I50" s="37"/>
      <c r="J50" s="37"/>
      <c r="K50" s="15">
        <v>1</v>
      </c>
      <c r="L50" s="15" t="s">
        <v>139</v>
      </c>
      <c r="M50" s="15" t="s">
        <v>195</v>
      </c>
      <c r="N50" s="43">
        <f>SUM(rebio23_80ml!AT3:AT50)</f>
        <v>2</v>
      </c>
      <c r="O50" s="37"/>
      <c r="P50" s="37"/>
      <c r="Q50" s="37"/>
    </row>
    <row r="51" spans="1:17" ht="15.75" customHeight="1" x14ac:dyDescent="0.25">
      <c r="A51" s="37"/>
      <c r="B51" s="39">
        <v>1</v>
      </c>
      <c r="C51" s="39" t="s">
        <v>429</v>
      </c>
      <c r="D51" s="39" t="s">
        <v>430</v>
      </c>
      <c r="E51" s="42">
        <v>0.108641975308642</v>
      </c>
      <c r="F51" s="42">
        <v>0.54320987654320996</v>
      </c>
      <c r="G51" s="42">
        <v>0</v>
      </c>
      <c r="H51" s="42">
        <v>0</v>
      </c>
      <c r="I51" s="37"/>
      <c r="J51" s="37"/>
      <c r="K51" s="15">
        <v>0</v>
      </c>
      <c r="L51" s="40" t="s">
        <v>457</v>
      </c>
      <c r="M51" s="38"/>
      <c r="O51" s="37"/>
      <c r="P51" s="37"/>
      <c r="Q51" s="37"/>
    </row>
    <row r="52" spans="1:17" ht="15.75" customHeight="1" x14ac:dyDescent="0.25">
      <c r="A52" s="37"/>
      <c r="B52" s="39">
        <v>0</v>
      </c>
      <c r="C52" s="36" t="s">
        <v>433</v>
      </c>
      <c r="D52" s="37"/>
      <c r="E52" s="37"/>
      <c r="F52" s="37"/>
      <c r="G52" s="37"/>
      <c r="H52" s="37"/>
      <c r="I52" s="37"/>
      <c r="J52" s="37"/>
      <c r="K52" s="15">
        <v>1</v>
      </c>
      <c r="L52" s="15" t="s">
        <v>458</v>
      </c>
      <c r="M52" s="15" t="s">
        <v>207</v>
      </c>
      <c r="N52" s="43">
        <f>SUM(rebio23_80ml!BG3:BG50)</f>
        <v>2</v>
      </c>
      <c r="O52" s="37"/>
      <c r="P52" s="37"/>
      <c r="Q52" s="37"/>
    </row>
    <row r="53" spans="1:17" ht="15.75" customHeight="1" x14ac:dyDescent="0.25">
      <c r="A53" s="37"/>
      <c r="B53" s="39">
        <v>1</v>
      </c>
      <c r="C53" s="39" t="s">
        <v>108</v>
      </c>
      <c r="D53" s="39" t="s">
        <v>164</v>
      </c>
      <c r="E53" s="42">
        <v>0</v>
      </c>
      <c r="F53" s="42">
        <v>0</v>
      </c>
      <c r="G53" s="42">
        <v>0.10666666666666701</v>
      </c>
      <c r="H53" s="42">
        <v>0</v>
      </c>
      <c r="I53" s="37"/>
      <c r="J53" s="37"/>
      <c r="K53" s="15">
        <v>0</v>
      </c>
      <c r="L53" s="40" t="s">
        <v>459</v>
      </c>
      <c r="M53" s="38"/>
      <c r="O53" s="37"/>
      <c r="P53" s="37"/>
      <c r="Q53" s="37"/>
    </row>
    <row r="54" spans="1:17" ht="15.75" customHeight="1" x14ac:dyDescent="0.25">
      <c r="A54" s="37"/>
      <c r="B54" s="39">
        <v>1</v>
      </c>
      <c r="C54" s="39" t="s">
        <v>460</v>
      </c>
      <c r="D54" s="39" t="s">
        <v>461</v>
      </c>
      <c r="E54" s="42">
        <v>0</v>
      </c>
      <c r="F54" s="42">
        <v>0</v>
      </c>
      <c r="G54" s="42">
        <v>5.3333333333333302E-2</v>
      </c>
      <c r="H54" s="42">
        <v>0</v>
      </c>
      <c r="I54" s="37"/>
      <c r="J54" s="37"/>
      <c r="K54" s="15">
        <v>1</v>
      </c>
      <c r="L54" s="49" t="s">
        <v>109</v>
      </c>
      <c r="M54" s="15" t="s">
        <v>165</v>
      </c>
      <c r="N54" s="43">
        <f>SUM(rebio23_80ml!P3:P50)</f>
        <v>2</v>
      </c>
      <c r="O54" s="37"/>
      <c r="P54" s="37"/>
      <c r="Q54" s="37"/>
    </row>
    <row r="55" spans="1:17" ht="15.75" customHeight="1" x14ac:dyDescent="0.25">
      <c r="A55" s="37"/>
      <c r="B55" s="39">
        <v>1</v>
      </c>
      <c r="C55" s="39" t="s">
        <v>462</v>
      </c>
      <c r="D55" s="39" t="s">
        <v>463</v>
      </c>
      <c r="E55" s="42">
        <v>0</v>
      </c>
      <c r="F55" s="42">
        <v>0.148148148148148</v>
      </c>
      <c r="G55" s="42">
        <v>0</v>
      </c>
      <c r="H55" s="42">
        <v>0</v>
      </c>
      <c r="I55" s="37"/>
      <c r="J55" s="37"/>
      <c r="K55" s="15">
        <v>0</v>
      </c>
      <c r="L55" s="40" t="s">
        <v>464</v>
      </c>
      <c r="M55" s="38"/>
      <c r="O55" s="37"/>
      <c r="P55" s="37"/>
      <c r="Q55" s="37"/>
    </row>
    <row r="56" spans="1:17" ht="15.75" customHeight="1" x14ac:dyDescent="0.25">
      <c r="A56" s="37"/>
      <c r="B56" s="39">
        <v>0</v>
      </c>
      <c r="C56" s="36" t="s">
        <v>465</v>
      </c>
      <c r="D56" s="37"/>
      <c r="E56" s="42"/>
      <c r="F56" s="42"/>
      <c r="G56" s="42"/>
      <c r="H56" s="42"/>
      <c r="I56" s="37"/>
      <c r="J56" s="37"/>
      <c r="K56" s="38">
        <v>1</v>
      </c>
      <c r="L56" s="35" t="s">
        <v>150</v>
      </c>
      <c r="M56" s="35" t="s">
        <v>205</v>
      </c>
      <c r="N56" s="43">
        <f>SUM(rebio23_80ml!BE3:BE50)</f>
        <v>3</v>
      </c>
      <c r="O56" s="37"/>
      <c r="P56" s="37"/>
      <c r="Q56" s="37"/>
    </row>
    <row r="57" spans="1:17" ht="15.75" customHeight="1" x14ac:dyDescent="0.25">
      <c r="A57" s="37"/>
      <c r="B57" s="39">
        <v>1</v>
      </c>
      <c r="C57" s="39" t="s">
        <v>466</v>
      </c>
      <c r="D57" s="39" t="s">
        <v>467</v>
      </c>
      <c r="E57" s="42">
        <v>0</v>
      </c>
      <c r="F57" s="42">
        <v>9.8765432098765604E-3</v>
      </c>
      <c r="G57" s="42">
        <v>0</v>
      </c>
      <c r="H57" s="42">
        <v>0</v>
      </c>
      <c r="I57" s="37"/>
      <c r="J57" s="37"/>
      <c r="K57" s="38">
        <v>1</v>
      </c>
      <c r="L57" s="20" t="s">
        <v>149</v>
      </c>
      <c r="M57" s="15" t="s">
        <v>204</v>
      </c>
      <c r="N57" s="43">
        <f>SUM(rebio23_80ml!BD3:BD50)</f>
        <v>15</v>
      </c>
      <c r="O57" s="37"/>
      <c r="P57" s="37"/>
      <c r="Q57" s="37"/>
    </row>
    <row r="58" spans="1:17" ht="15.75" customHeight="1" x14ac:dyDescent="0.25">
      <c r="A58" s="37"/>
      <c r="B58" s="39">
        <v>1</v>
      </c>
      <c r="C58" s="39" t="s">
        <v>468</v>
      </c>
      <c r="D58" s="39" t="s">
        <v>469</v>
      </c>
      <c r="E58" s="42">
        <v>0</v>
      </c>
      <c r="F58" s="42">
        <v>0</v>
      </c>
      <c r="G58" s="42">
        <v>0.10666666666666701</v>
      </c>
      <c r="H58" s="42">
        <v>0</v>
      </c>
      <c r="I58" s="37"/>
      <c r="J58" s="37"/>
      <c r="K58" s="15">
        <v>0</v>
      </c>
      <c r="L58" s="40" t="s">
        <v>470</v>
      </c>
      <c r="M58" s="38"/>
      <c r="O58" s="37"/>
      <c r="P58" s="37"/>
      <c r="Q58" s="37"/>
    </row>
    <row r="59" spans="1:17" ht="15.75" customHeight="1" x14ac:dyDescent="0.25">
      <c r="A59" s="37"/>
      <c r="B59" s="39">
        <v>1</v>
      </c>
      <c r="C59" s="39" t="s">
        <v>471</v>
      </c>
      <c r="D59" s="39" t="s">
        <v>472</v>
      </c>
      <c r="E59" s="42">
        <v>9.8765432098765604E-3</v>
      </c>
      <c r="F59" s="42">
        <v>0</v>
      </c>
      <c r="G59" s="42">
        <v>0</v>
      </c>
      <c r="H59" s="42">
        <v>0</v>
      </c>
      <c r="I59" s="37"/>
      <c r="J59" s="37"/>
      <c r="K59" s="15">
        <v>1</v>
      </c>
      <c r="L59" s="15" t="s">
        <v>151</v>
      </c>
      <c r="M59" s="15" t="s">
        <v>206</v>
      </c>
      <c r="N59" s="43">
        <f>SUM(rebio23_80ml!BF3:BF50)</f>
        <v>2</v>
      </c>
      <c r="O59" s="37"/>
      <c r="P59" s="37"/>
      <c r="Q59" s="37"/>
    </row>
    <row r="60" spans="1:17" ht="15.75" customHeight="1" x14ac:dyDescent="0.25">
      <c r="A60" s="37"/>
      <c r="B60" s="39">
        <v>0</v>
      </c>
      <c r="C60" s="36" t="s">
        <v>436</v>
      </c>
      <c r="D60" s="37"/>
      <c r="E60" s="42"/>
      <c r="F60" s="42"/>
      <c r="G60" s="42"/>
      <c r="H60" s="42"/>
      <c r="I60" s="37"/>
      <c r="J60" s="37"/>
      <c r="L60" s="40" t="s">
        <v>473</v>
      </c>
      <c r="M60" s="38"/>
      <c r="O60" s="37"/>
      <c r="P60" s="37"/>
      <c r="Q60" s="37"/>
    </row>
    <row r="61" spans="1:17" ht="15.75" customHeight="1" x14ac:dyDescent="0.25">
      <c r="A61" s="37"/>
      <c r="B61" s="39">
        <v>1</v>
      </c>
      <c r="C61" s="39" t="s">
        <v>146</v>
      </c>
      <c r="D61" s="39" t="s">
        <v>201</v>
      </c>
      <c r="E61" s="42">
        <v>0</v>
      </c>
      <c r="F61" s="42">
        <v>0</v>
      </c>
      <c r="G61" s="42">
        <v>5.8133333333333397</v>
      </c>
      <c r="H61" s="42">
        <v>0</v>
      </c>
      <c r="I61" s="37"/>
      <c r="J61" s="37"/>
      <c r="L61" s="40" t="s">
        <v>474</v>
      </c>
      <c r="M61" s="38"/>
      <c r="O61" s="37"/>
      <c r="P61" s="37"/>
      <c r="Q61" s="37"/>
    </row>
    <row r="62" spans="1:17" ht="15.75" customHeight="1" x14ac:dyDescent="0.25">
      <c r="A62" s="37"/>
      <c r="B62" s="39">
        <v>1</v>
      </c>
      <c r="C62" s="39" t="s">
        <v>148</v>
      </c>
      <c r="D62" s="39" t="s">
        <v>203</v>
      </c>
      <c r="E62" s="42">
        <v>0</v>
      </c>
      <c r="F62" s="42">
        <v>0</v>
      </c>
      <c r="G62" s="42">
        <v>1.92</v>
      </c>
      <c r="H62" s="42">
        <v>0</v>
      </c>
      <c r="I62" s="37"/>
      <c r="J62" s="37"/>
      <c r="L62" s="40" t="s">
        <v>475</v>
      </c>
      <c r="M62" s="38"/>
      <c r="O62" s="37"/>
      <c r="P62" s="37"/>
      <c r="Q62" s="37"/>
    </row>
    <row r="63" spans="1:17" ht="15.75" customHeight="1" x14ac:dyDescent="0.25">
      <c r="A63" s="37"/>
      <c r="B63" s="39">
        <v>1</v>
      </c>
      <c r="C63" s="39" t="s">
        <v>145</v>
      </c>
      <c r="D63" s="39" t="s">
        <v>200</v>
      </c>
      <c r="E63" s="42">
        <v>0</v>
      </c>
      <c r="F63" s="42">
        <v>9.8765432098765604E-3</v>
      </c>
      <c r="G63" s="42">
        <v>0</v>
      </c>
      <c r="H63" s="42">
        <v>0</v>
      </c>
      <c r="I63" s="37"/>
      <c r="J63" s="37"/>
      <c r="K63" s="15">
        <v>0</v>
      </c>
      <c r="L63" s="40" t="s">
        <v>476</v>
      </c>
      <c r="M63" s="38"/>
      <c r="O63" s="37"/>
      <c r="P63" s="37"/>
      <c r="Q63" s="37"/>
    </row>
    <row r="64" spans="1:17" ht="15.75" customHeight="1" x14ac:dyDescent="0.25">
      <c r="A64" s="37"/>
      <c r="B64" s="39">
        <v>0</v>
      </c>
      <c r="C64" s="36" t="s">
        <v>449</v>
      </c>
      <c r="D64" s="37"/>
      <c r="E64" s="42"/>
      <c r="F64" s="42"/>
      <c r="G64" s="42"/>
      <c r="H64" s="42"/>
      <c r="I64" s="37"/>
      <c r="J64" s="37"/>
      <c r="K64" s="15">
        <v>1</v>
      </c>
      <c r="L64" s="15" t="s">
        <v>95</v>
      </c>
      <c r="M64" s="15" t="s">
        <v>153</v>
      </c>
      <c r="N64" s="43">
        <f>SUM(rebio23_80ml!B3:B50)</f>
        <v>26</v>
      </c>
      <c r="O64" s="37"/>
      <c r="P64" s="37"/>
      <c r="Q64" s="37"/>
    </row>
    <row r="65" spans="1:17" ht="15.75" customHeight="1" x14ac:dyDescent="0.25">
      <c r="A65" s="37"/>
      <c r="B65" s="39">
        <v>1</v>
      </c>
      <c r="C65" s="39" t="s">
        <v>477</v>
      </c>
      <c r="D65" s="39" t="s">
        <v>478</v>
      </c>
      <c r="E65" s="42">
        <v>0</v>
      </c>
      <c r="F65" s="42">
        <v>1.97530864197531E-2</v>
      </c>
      <c r="G65" s="42">
        <v>0</v>
      </c>
      <c r="H65" s="42">
        <v>0</v>
      </c>
      <c r="I65" s="37"/>
      <c r="J65" s="37"/>
      <c r="K65" s="15">
        <v>1</v>
      </c>
      <c r="L65" s="15" t="s">
        <v>96</v>
      </c>
      <c r="M65" s="15" t="s">
        <v>154</v>
      </c>
      <c r="N65" s="43">
        <f>SUM(rebio23_80ml!C3:C50)</f>
        <v>4</v>
      </c>
      <c r="O65"/>
      <c r="P65" s="37"/>
      <c r="Q65" s="37"/>
    </row>
    <row r="66" spans="1:17" ht="15.75" customHeight="1" x14ac:dyDescent="0.25">
      <c r="A66" s="37"/>
      <c r="B66" s="39">
        <v>1</v>
      </c>
      <c r="C66" s="39" t="s">
        <v>452</v>
      </c>
      <c r="D66" s="39" t="s">
        <v>158</v>
      </c>
      <c r="E66" s="42">
        <v>9.8765432098765604E-3</v>
      </c>
      <c r="F66" s="42">
        <v>0.42469135802469199</v>
      </c>
      <c r="G66" s="42">
        <v>0</v>
      </c>
      <c r="H66" s="42">
        <v>0</v>
      </c>
      <c r="I66" s="37"/>
      <c r="J66" s="37"/>
      <c r="K66" s="15">
        <v>1</v>
      </c>
      <c r="L66" s="15" t="s">
        <v>97</v>
      </c>
      <c r="M66" s="15" t="s">
        <v>155</v>
      </c>
      <c r="N66" s="43">
        <f>SUM(rebio23_80ml!D3:D50)</f>
        <v>3</v>
      </c>
      <c r="O66" s="37"/>
      <c r="P66" s="37"/>
      <c r="Q66" s="37"/>
    </row>
    <row r="67" spans="1:17" ht="15.75" customHeight="1" x14ac:dyDescent="0.25">
      <c r="A67" s="37"/>
      <c r="B67" s="39">
        <v>0</v>
      </c>
      <c r="C67" s="36" t="s">
        <v>453</v>
      </c>
      <c r="D67" s="37"/>
      <c r="E67" s="42"/>
      <c r="F67" s="42"/>
      <c r="G67" s="42"/>
      <c r="H67" s="42"/>
      <c r="I67" s="37"/>
      <c r="J67" s="37"/>
      <c r="K67" s="38">
        <v>1</v>
      </c>
      <c r="L67" s="15" t="s">
        <v>103</v>
      </c>
      <c r="M67" s="15" t="s">
        <v>159</v>
      </c>
      <c r="N67" s="43">
        <f>SUM(rebio23_80ml!J3:J50)</f>
        <v>2</v>
      </c>
      <c r="O67" s="37"/>
      <c r="P67" s="37"/>
      <c r="Q67" s="37"/>
    </row>
    <row r="68" spans="1:17" ht="15.75" customHeight="1" x14ac:dyDescent="0.25">
      <c r="A68" s="37"/>
      <c r="B68" s="39">
        <v>1</v>
      </c>
      <c r="C68" s="39" t="s">
        <v>454</v>
      </c>
      <c r="D68" s="39" t="s">
        <v>194</v>
      </c>
      <c r="E68" s="42">
        <v>0</v>
      </c>
      <c r="F68" s="42">
        <v>3.95061728395062E-2</v>
      </c>
      <c r="G68" s="42">
        <v>0</v>
      </c>
      <c r="H68" s="42">
        <v>0</v>
      </c>
      <c r="I68" s="37"/>
      <c r="J68" s="37"/>
      <c r="K68" s="15">
        <v>1</v>
      </c>
      <c r="L68" s="20" t="s">
        <v>126</v>
      </c>
      <c r="M68" s="15" t="s">
        <v>182</v>
      </c>
      <c r="N68" s="43">
        <f>SUM(rebio23_80ml!AG3:AG50)</f>
        <v>1</v>
      </c>
      <c r="O68" s="37"/>
      <c r="P68" s="37"/>
      <c r="Q68" s="37"/>
    </row>
    <row r="69" spans="1:17" ht="15.75" customHeight="1" x14ac:dyDescent="0.25">
      <c r="A69" s="37"/>
      <c r="B69" s="39">
        <v>1</v>
      </c>
      <c r="C69" s="39" t="s">
        <v>139</v>
      </c>
      <c r="D69" s="39" t="s">
        <v>195</v>
      </c>
      <c r="E69" s="42">
        <v>1.97530864197531E-2</v>
      </c>
      <c r="F69" s="42">
        <v>8.8888888888888906E-2</v>
      </c>
      <c r="G69" s="42">
        <v>0</v>
      </c>
      <c r="H69" s="42">
        <v>0</v>
      </c>
      <c r="I69" s="37"/>
      <c r="J69" s="37"/>
      <c r="K69" s="15">
        <v>0</v>
      </c>
      <c r="L69" s="40" t="s">
        <v>479</v>
      </c>
      <c r="O69" s="37"/>
      <c r="P69" s="37"/>
      <c r="Q69" s="37"/>
    </row>
    <row r="70" spans="1:17" ht="15.75" customHeight="1" x14ac:dyDescent="0.25">
      <c r="A70" s="37"/>
      <c r="B70" s="39">
        <v>0</v>
      </c>
      <c r="C70" s="36" t="s">
        <v>457</v>
      </c>
      <c r="D70" s="37"/>
      <c r="E70" s="42"/>
      <c r="F70" s="42"/>
      <c r="G70" s="42"/>
      <c r="H70" s="42"/>
      <c r="I70" s="37"/>
      <c r="J70" s="37"/>
      <c r="K70" s="15">
        <v>1</v>
      </c>
      <c r="L70" s="15" t="s">
        <v>480</v>
      </c>
      <c r="M70" s="15" t="s">
        <v>192</v>
      </c>
      <c r="N70" s="43">
        <f>SUM(rebio23_80ml!AQ3:AQ50)</f>
        <v>10</v>
      </c>
      <c r="O70" s="37"/>
      <c r="P70" s="37"/>
      <c r="Q70" s="37"/>
    </row>
    <row r="71" spans="1:17" ht="15.75" customHeight="1" x14ac:dyDescent="0.25">
      <c r="A71" s="37"/>
      <c r="B71" s="39">
        <v>1</v>
      </c>
      <c r="C71" s="39" t="s">
        <v>481</v>
      </c>
      <c r="D71" s="39" t="s">
        <v>482</v>
      </c>
      <c r="E71" s="42">
        <v>0</v>
      </c>
      <c r="F71" s="42">
        <v>0</v>
      </c>
      <c r="G71" s="42">
        <v>5.3333333333333302E-2</v>
      </c>
      <c r="H71" s="42">
        <v>0</v>
      </c>
      <c r="I71" s="37"/>
      <c r="J71" s="37"/>
      <c r="K71" s="15">
        <v>1</v>
      </c>
      <c r="L71" s="15" t="s">
        <v>483</v>
      </c>
      <c r="M71" s="15" t="s">
        <v>191</v>
      </c>
      <c r="N71" s="43">
        <f>SUM(rebio23_80ml!AP3:AP50)</f>
        <v>3</v>
      </c>
      <c r="O71" s="37"/>
      <c r="P71" s="37"/>
      <c r="Q71" s="37"/>
    </row>
    <row r="72" spans="1:17" ht="15.75" customHeight="1" x14ac:dyDescent="0.25">
      <c r="A72" s="37"/>
      <c r="B72" s="39">
        <v>1</v>
      </c>
      <c r="C72" s="39" t="s">
        <v>458</v>
      </c>
      <c r="D72" s="39" t="s">
        <v>207</v>
      </c>
      <c r="E72" s="42">
        <v>0</v>
      </c>
      <c r="F72" s="42">
        <v>3.95061728395062E-2</v>
      </c>
      <c r="G72" s="42">
        <v>0.16</v>
      </c>
      <c r="H72" s="42">
        <v>0</v>
      </c>
      <c r="I72" s="37"/>
      <c r="J72" s="37"/>
      <c r="K72" s="15">
        <v>1</v>
      </c>
      <c r="L72" s="15" t="s">
        <v>134</v>
      </c>
      <c r="M72" s="15" t="s">
        <v>190</v>
      </c>
      <c r="N72" s="43">
        <f>SUM(rebio23_80ml!AO3:AO50)</f>
        <v>10</v>
      </c>
      <c r="O72" s="37"/>
      <c r="P72" s="37"/>
      <c r="Q72" s="37"/>
    </row>
    <row r="73" spans="1:17" ht="15.75" customHeight="1" x14ac:dyDescent="0.25">
      <c r="A73" s="37"/>
      <c r="B73" s="39">
        <v>0</v>
      </c>
      <c r="C73" s="36" t="s">
        <v>380</v>
      </c>
      <c r="D73" s="37"/>
      <c r="E73" s="42"/>
      <c r="F73" s="42"/>
      <c r="G73" s="42"/>
      <c r="H73" s="42"/>
      <c r="I73" s="37"/>
      <c r="J73" s="37"/>
      <c r="K73" s="15">
        <v>0</v>
      </c>
      <c r="L73" s="40" t="s">
        <v>484</v>
      </c>
      <c r="M73" s="38"/>
      <c r="O73" s="37"/>
      <c r="P73" s="37"/>
      <c r="Q73" s="37"/>
    </row>
    <row r="74" spans="1:17" ht="15.75" customHeight="1" x14ac:dyDescent="0.25">
      <c r="A74" s="37"/>
      <c r="B74" s="39">
        <v>1</v>
      </c>
      <c r="C74" s="39" t="s">
        <v>485</v>
      </c>
      <c r="D74" s="39" t="s">
        <v>486</v>
      </c>
      <c r="E74" s="42">
        <v>9.8765432098765604E-3</v>
      </c>
      <c r="F74" s="42">
        <v>9.8765432098765496E-2</v>
      </c>
      <c r="G74" s="42">
        <v>0</v>
      </c>
      <c r="H74" s="42">
        <v>0</v>
      </c>
      <c r="I74" s="37"/>
      <c r="J74" s="37"/>
      <c r="K74" s="15">
        <v>1</v>
      </c>
      <c r="L74" s="15" t="s">
        <v>487</v>
      </c>
      <c r="M74" s="15" t="s">
        <v>161</v>
      </c>
      <c r="N74" s="43">
        <f>SUM(rebio23_80ml!L3:L50)</f>
        <v>33</v>
      </c>
      <c r="O74" s="37"/>
      <c r="P74" s="37"/>
      <c r="Q74" s="37"/>
    </row>
    <row r="75" spans="1:17" ht="15.75" customHeight="1" x14ac:dyDescent="0.25">
      <c r="A75" s="37"/>
      <c r="B75" s="39">
        <v>0</v>
      </c>
      <c r="C75" s="36" t="s">
        <v>488</v>
      </c>
      <c r="D75" s="37"/>
      <c r="E75" s="42"/>
      <c r="F75" s="42"/>
      <c r="G75" s="42"/>
      <c r="H75" s="42"/>
      <c r="I75" s="37"/>
      <c r="J75" s="37"/>
      <c r="K75" s="15">
        <v>1</v>
      </c>
      <c r="L75" s="15" t="s">
        <v>489</v>
      </c>
      <c r="M75" s="15" t="s">
        <v>162</v>
      </c>
      <c r="N75" s="43">
        <f>SUM(rebio23_80ml!M3:M50)</f>
        <v>18</v>
      </c>
      <c r="O75" s="37"/>
      <c r="P75" s="37"/>
      <c r="Q75" s="37"/>
    </row>
    <row r="76" spans="1:17" ht="15.75" customHeight="1" x14ac:dyDescent="0.25">
      <c r="A76" s="37"/>
      <c r="B76" s="39">
        <v>1</v>
      </c>
      <c r="C76" s="39" t="s">
        <v>490</v>
      </c>
      <c r="D76" s="39" t="s">
        <v>491</v>
      </c>
      <c r="E76" s="42">
        <v>9.8765432098765604E-3</v>
      </c>
      <c r="F76" s="42">
        <v>0</v>
      </c>
      <c r="G76" s="42">
        <v>0</v>
      </c>
      <c r="H76" s="42">
        <v>0</v>
      </c>
      <c r="I76" s="37"/>
      <c r="J76" s="37"/>
      <c r="K76" s="15">
        <v>0</v>
      </c>
      <c r="L76" s="40" t="s">
        <v>492</v>
      </c>
      <c r="M76" s="38"/>
      <c r="O76" s="37"/>
      <c r="P76" s="37"/>
      <c r="Q76" s="37"/>
    </row>
    <row r="77" spans="1:17" ht="15.75" customHeight="1" x14ac:dyDescent="0.25">
      <c r="A77" s="37"/>
      <c r="B77" s="39">
        <v>0</v>
      </c>
      <c r="C77" s="36" t="s">
        <v>493</v>
      </c>
      <c r="D77" s="37"/>
      <c r="E77" s="42"/>
      <c r="F77" s="42"/>
      <c r="G77" s="42"/>
      <c r="H77" s="42"/>
      <c r="I77" s="37"/>
      <c r="J77" s="37"/>
      <c r="K77" s="15">
        <v>1</v>
      </c>
      <c r="L77" s="15" t="s">
        <v>494</v>
      </c>
      <c r="M77" s="15" t="s">
        <v>166</v>
      </c>
      <c r="N77" s="43">
        <f>SUM(rebio23_80ml!Q3:Q50)</f>
        <v>8</v>
      </c>
      <c r="O77" s="37"/>
      <c r="P77" s="37"/>
      <c r="Q77" s="37"/>
    </row>
    <row r="78" spans="1:17" ht="15.75" customHeight="1" x14ac:dyDescent="0.25">
      <c r="A78" s="37"/>
      <c r="B78" s="39">
        <v>1</v>
      </c>
      <c r="C78" s="39" t="s">
        <v>495</v>
      </c>
      <c r="D78" s="39" t="s">
        <v>496</v>
      </c>
      <c r="E78" s="42">
        <v>0</v>
      </c>
      <c r="F78" s="42">
        <v>0</v>
      </c>
      <c r="G78" s="42">
        <v>5.3333333333333302E-2</v>
      </c>
      <c r="H78" s="42">
        <v>0</v>
      </c>
      <c r="I78" s="37"/>
      <c r="J78" s="37"/>
      <c r="K78" s="15">
        <v>0</v>
      </c>
      <c r="L78" s="40" t="s">
        <v>497</v>
      </c>
      <c r="M78" s="38"/>
      <c r="O78" s="37"/>
      <c r="P78" s="37"/>
      <c r="Q78" s="37"/>
    </row>
    <row r="79" spans="1:17" ht="15.75" customHeight="1" x14ac:dyDescent="0.25">
      <c r="A79" s="37"/>
      <c r="B79" s="39">
        <v>0</v>
      </c>
      <c r="C79" s="36" t="s">
        <v>470</v>
      </c>
      <c r="D79" s="37"/>
      <c r="E79" s="42"/>
      <c r="F79" s="42"/>
      <c r="G79" s="42"/>
      <c r="H79" s="42"/>
      <c r="I79" s="37"/>
      <c r="J79" s="37"/>
      <c r="K79" s="15">
        <v>1</v>
      </c>
      <c r="L79" s="15" t="s">
        <v>137</v>
      </c>
      <c r="M79" s="15" t="s">
        <v>193</v>
      </c>
      <c r="N79" s="43">
        <f>SUM(rebio23_80ml!AR3:AR50)</f>
        <v>4</v>
      </c>
      <c r="O79" s="37"/>
      <c r="P79" s="37"/>
      <c r="Q79" s="37"/>
    </row>
    <row r="80" spans="1:17" ht="15.75" customHeight="1" x14ac:dyDescent="0.25">
      <c r="A80" s="37"/>
      <c r="B80" s="39">
        <v>1</v>
      </c>
      <c r="C80" s="39" t="s">
        <v>151</v>
      </c>
      <c r="D80" s="39" t="s">
        <v>206</v>
      </c>
      <c r="E80" s="42">
        <v>0</v>
      </c>
      <c r="F80" s="42">
        <v>0.187654320987655</v>
      </c>
      <c r="G80" s="42">
        <v>0</v>
      </c>
      <c r="H80" s="42">
        <v>0.53333333333333299</v>
      </c>
      <c r="I80" s="37"/>
      <c r="J80" s="37"/>
      <c r="L80" s="40" t="s">
        <v>498</v>
      </c>
      <c r="M80" s="38"/>
      <c r="O80" s="37"/>
      <c r="P80" s="37"/>
      <c r="Q80" s="37"/>
    </row>
    <row r="81" spans="1:17" ht="15.75" customHeight="1" x14ac:dyDescent="0.25">
      <c r="A81" s="37"/>
      <c r="B81"/>
      <c r="C81" s="39" t="s">
        <v>499</v>
      </c>
      <c r="D81"/>
      <c r="E81"/>
      <c r="F81"/>
      <c r="G81"/>
      <c r="H81"/>
      <c r="I81" s="37"/>
      <c r="J81" s="37"/>
      <c r="K81" s="15">
        <v>1</v>
      </c>
      <c r="L81" s="15" t="s">
        <v>141</v>
      </c>
      <c r="M81" s="15" t="s">
        <v>141</v>
      </c>
      <c r="N81" s="43">
        <f>SUM(rebio23_80ml!AV3:AV50)</f>
        <v>1260</v>
      </c>
      <c r="O81" s="37"/>
      <c r="P81" s="37"/>
      <c r="Q81" s="37"/>
    </row>
    <row r="82" spans="1:17" ht="15.75" customHeight="1" x14ac:dyDescent="0.25">
      <c r="A82" s="37"/>
      <c r="B82" s="39">
        <v>0</v>
      </c>
      <c r="C82" s="36" t="s">
        <v>500</v>
      </c>
      <c r="D82" s="37"/>
      <c r="E82" s="42"/>
      <c r="F82" s="42"/>
      <c r="G82" s="42"/>
      <c r="H82" s="42"/>
      <c r="I82" s="37"/>
      <c r="J82" s="37"/>
      <c r="K82" s="15">
        <v>1</v>
      </c>
      <c r="L82" s="15" t="s">
        <v>102</v>
      </c>
      <c r="M82" s="15" t="s">
        <v>102</v>
      </c>
      <c r="N82" s="43">
        <f>SUM(rebio23_80ml!I3:I50)</f>
        <v>595</v>
      </c>
      <c r="O82" s="37"/>
      <c r="P82" s="37"/>
      <c r="Q82" s="37"/>
    </row>
    <row r="83" spans="1:17" ht="15.75" customHeight="1" x14ac:dyDescent="0.25">
      <c r="A83" s="37"/>
      <c r="B83" s="39">
        <v>1</v>
      </c>
      <c r="C83" s="39" t="s">
        <v>501</v>
      </c>
      <c r="D83" s="39" t="s">
        <v>502</v>
      </c>
      <c r="E83" s="42">
        <v>4.9382716049382699E-2</v>
      </c>
      <c r="F83" s="42">
        <v>9.8765432098765604E-3</v>
      </c>
      <c r="G83" s="42">
        <v>0</v>
      </c>
      <c r="H83" s="42">
        <v>0</v>
      </c>
      <c r="I83" s="37"/>
      <c r="J83" s="37"/>
      <c r="K83" s="15"/>
      <c r="L83" s="40" t="s">
        <v>503</v>
      </c>
      <c r="M83" s="38"/>
      <c r="N83" s="15"/>
      <c r="O83" s="37"/>
      <c r="P83" s="37"/>
      <c r="Q83" s="37"/>
    </row>
    <row r="84" spans="1:17" ht="15.75" customHeight="1" x14ac:dyDescent="0.25">
      <c r="A84" s="37"/>
      <c r="B84" s="39">
        <v>0</v>
      </c>
      <c r="C84" s="36" t="s">
        <v>459</v>
      </c>
      <c r="D84" s="37"/>
      <c r="E84" s="42"/>
      <c r="F84" s="42"/>
      <c r="G84" s="42"/>
      <c r="H84" s="42"/>
      <c r="I84" s="37"/>
      <c r="J84" s="37"/>
      <c r="K84" s="15">
        <v>0</v>
      </c>
      <c r="L84" s="40" t="s">
        <v>504</v>
      </c>
      <c r="M84" s="38"/>
      <c r="O84" s="37"/>
      <c r="P84" s="37"/>
      <c r="Q84" s="37"/>
    </row>
    <row r="85" spans="1:17" ht="15.75" customHeight="1" x14ac:dyDescent="0.25">
      <c r="A85" s="37"/>
      <c r="B85" s="39">
        <v>1</v>
      </c>
      <c r="C85" s="39" t="s">
        <v>109</v>
      </c>
      <c r="D85" s="39" t="s">
        <v>165</v>
      </c>
      <c r="E85" s="42">
        <v>0</v>
      </c>
      <c r="F85" s="42">
        <v>9.8765432098765604E-3</v>
      </c>
      <c r="G85" s="42">
        <v>0</v>
      </c>
      <c r="H85" s="42">
        <v>0</v>
      </c>
      <c r="I85" s="37"/>
      <c r="J85" s="37"/>
      <c r="K85" s="38">
        <v>1</v>
      </c>
      <c r="L85" s="20" t="s">
        <v>132</v>
      </c>
      <c r="M85" s="15" t="s">
        <v>188</v>
      </c>
      <c r="N85" s="43">
        <f>SUM(rebio23_80ml!AM3:AM50)</f>
        <v>7</v>
      </c>
      <c r="O85" s="37"/>
      <c r="P85" s="37"/>
      <c r="Q85" s="37"/>
    </row>
    <row r="86" spans="1:17" ht="15.75" customHeight="1" x14ac:dyDescent="0.25">
      <c r="A86" s="37"/>
      <c r="B86" s="39">
        <v>0</v>
      </c>
      <c r="C86" s="36" t="s">
        <v>505</v>
      </c>
      <c r="D86" s="37"/>
      <c r="E86" s="42"/>
      <c r="F86" s="42"/>
      <c r="G86" s="42"/>
      <c r="H86" s="42"/>
      <c r="I86" s="37"/>
      <c r="J86" s="37"/>
      <c r="K86" s="38">
        <v>1</v>
      </c>
      <c r="L86" s="20" t="s">
        <v>131</v>
      </c>
      <c r="M86" s="15" t="s">
        <v>187</v>
      </c>
      <c r="N86" s="43">
        <f>SUM(rebio23_80ml!AL3:AL50)</f>
        <v>5</v>
      </c>
      <c r="O86" s="37"/>
      <c r="P86" s="37"/>
      <c r="Q86" s="37"/>
    </row>
    <row r="87" spans="1:17" ht="15.75" customHeight="1" x14ac:dyDescent="0.25">
      <c r="A87" s="37"/>
      <c r="B87" s="39">
        <v>1</v>
      </c>
      <c r="C87" s="39" t="s">
        <v>506</v>
      </c>
      <c r="D87" s="39" t="s">
        <v>507</v>
      </c>
      <c r="E87" s="42">
        <v>0</v>
      </c>
      <c r="F87" s="42">
        <v>9.8765432098765604E-3</v>
      </c>
      <c r="G87" s="42">
        <v>0</v>
      </c>
      <c r="H87" s="42">
        <v>0</v>
      </c>
      <c r="I87" s="37"/>
      <c r="J87" s="37"/>
      <c r="K87" s="15">
        <v>1</v>
      </c>
      <c r="L87" s="15" t="s">
        <v>143</v>
      </c>
      <c r="M87" s="15" t="s">
        <v>198</v>
      </c>
      <c r="N87" s="43">
        <f>SUM(rebio23_80ml!AX3:AX50)</f>
        <v>67</v>
      </c>
      <c r="O87" s="37"/>
      <c r="P87" s="37"/>
      <c r="Q87" s="37"/>
    </row>
    <row r="88" spans="1:17" ht="15.75" customHeight="1" x14ac:dyDescent="0.25">
      <c r="A88" s="37"/>
      <c r="B88" s="39">
        <v>0</v>
      </c>
      <c r="C88" s="36" t="s">
        <v>464</v>
      </c>
      <c r="D88" s="37"/>
      <c r="E88" s="42"/>
      <c r="F88" s="42"/>
      <c r="G88" s="42"/>
      <c r="H88" s="42"/>
      <c r="I88" s="37"/>
      <c r="J88" s="37"/>
      <c r="L88" s="40" t="s">
        <v>508</v>
      </c>
      <c r="M88" s="38"/>
      <c r="O88" s="37"/>
      <c r="P88" s="37"/>
      <c r="Q88" s="37"/>
    </row>
    <row r="89" spans="1:17" ht="15.75" customHeight="1" x14ac:dyDescent="0.25">
      <c r="A89" s="37"/>
      <c r="B89" s="39">
        <v>1</v>
      </c>
      <c r="C89" s="39" t="s">
        <v>509</v>
      </c>
      <c r="D89" s="39" t="s">
        <v>510</v>
      </c>
      <c r="E89" s="42">
        <v>3.95061728395062E-2</v>
      </c>
      <c r="F89" s="42">
        <v>0</v>
      </c>
      <c r="G89" s="42">
        <v>0</v>
      </c>
      <c r="H89" s="42">
        <v>0</v>
      </c>
      <c r="I89" s="37"/>
      <c r="J89" s="37"/>
      <c r="K89" s="15">
        <v>0</v>
      </c>
      <c r="L89" s="40" t="s">
        <v>511</v>
      </c>
      <c r="M89" s="38"/>
      <c r="O89" s="37"/>
      <c r="P89" s="37"/>
      <c r="Q89" s="37"/>
    </row>
    <row r="90" spans="1:17" ht="15.75" customHeight="1" x14ac:dyDescent="0.25">
      <c r="A90" s="37"/>
      <c r="B90" s="37"/>
      <c r="C90" s="36" t="s">
        <v>473</v>
      </c>
      <c r="D90" s="37"/>
      <c r="E90" s="42"/>
      <c r="F90" s="42"/>
      <c r="G90" s="42"/>
      <c r="H90" s="42"/>
      <c r="I90" s="37"/>
      <c r="J90" s="37"/>
      <c r="K90" s="15">
        <v>1</v>
      </c>
      <c r="L90" s="15" t="s">
        <v>142</v>
      </c>
      <c r="M90" s="15" t="s">
        <v>197</v>
      </c>
      <c r="N90" s="43">
        <f>SUM(rebio23_80ml!AW3:AW50)</f>
        <v>84</v>
      </c>
      <c r="O90" s="37"/>
      <c r="P90" s="37"/>
      <c r="Q90" s="37"/>
    </row>
    <row r="91" spans="1:17" ht="15.75" customHeight="1" x14ac:dyDescent="0.25">
      <c r="A91" s="37"/>
      <c r="B91" s="37"/>
      <c r="C91" s="36" t="s">
        <v>474</v>
      </c>
      <c r="D91" s="37"/>
      <c r="E91" s="42"/>
      <c r="F91" s="42"/>
      <c r="G91" s="42"/>
      <c r="H91" s="42"/>
      <c r="I91" s="37"/>
      <c r="J91" s="37"/>
      <c r="K91" s="15"/>
      <c r="L91" s="40" t="s">
        <v>512</v>
      </c>
      <c r="M91" s="38"/>
      <c r="N91" s="15"/>
      <c r="O91"/>
      <c r="P91" s="37"/>
      <c r="Q91" s="37"/>
    </row>
    <row r="92" spans="1:17" ht="15.75" customHeight="1" x14ac:dyDescent="0.25">
      <c r="A92" s="37"/>
      <c r="B92" s="37"/>
      <c r="C92" s="36" t="s">
        <v>475</v>
      </c>
      <c r="D92" s="37"/>
      <c r="E92" s="42"/>
      <c r="F92" s="42"/>
      <c r="G92" s="42"/>
      <c r="H92" s="42"/>
      <c r="I92" s="37"/>
      <c r="J92" s="37"/>
      <c r="K92" s="38"/>
      <c r="L92" s="38"/>
      <c r="M92" s="38"/>
      <c r="N92" s="38"/>
      <c r="O92"/>
      <c r="P92" s="37"/>
      <c r="Q92" s="37"/>
    </row>
    <row r="93" spans="1:17" ht="15.75" customHeight="1" x14ac:dyDescent="0.25">
      <c r="A93" s="37"/>
      <c r="B93" s="39">
        <v>0</v>
      </c>
      <c r="C93" s="36" t="s">
        <v>476</v>
      </c>
      <c r="D93" s="37"/>
      <c r="E93" s="42"/>
      <c r="F93" s="42"/>
      <c r="G93" s="42"/>
      <c r="H93" s="42"/>
      <c r="I93" s="37"/>
      <c r="J93" s="37"/>
      <c r="K93" s="38"/>
      <c r="L93" s="38"/>
      <c r="M93" s="38"/>
      <c r="N93" s="38"/>
      <c r="O93" s="37"/>
      <c r="P93" s="37"/>
      <c r="Q93" s="37"/>
    </row>
    <row r="94" spans="1:17" ht="15.75" customHeight="1" x14ac:dyDescent="0.25">
      <c r="A94" s="37"/>
      <c r="B94" s="39">
        <v>1</v>
      </c>
      <c r="C94" s="39" t="s">
        <v>95</v>
      </c>
      <c r="D94" s="39" t="s">
        <v>153</v>
      </c>
      <c r="E94" s="42">
        <v>0</v>
      </c>
      <c r="F94" s="42">
        <v>8.8888888888888906E-2</v>
      </c>
      <c r="G94" s="42">
        <v>0</v>
      </c>
      <c r="H94" s="42">
        <v>0</v>
      </c>
      <c r="I94" s="37"/>
      <c r="J94" s="37"/>
      <c r="K94" s="38"/>
      <c r="L94" s="38"/>
      <c r="M94" s="38"/>
      <c r="N94" s="38"/>
      <c r="O94" s="37"/>
      <c r="P94" s="37"/>
      <c r="Q94" s="37"/>
    </row>
    <row r="95" spans="1:17" ht="15.75" customHeight="1" x14ac:dyDescent="0.25">
      <c r="A95" s="37"/>
      <c r="B95" s="39">
        <v>1</v>
      </c>
      <c r="C95" s="39" t="s">
        <v>96</v>
      </c>
      <c r="D95" s="39" t="s">
        <v>154</v>
      </c>
      <c r="E95" s="42">
        <v>0</v>
      </c>
      <c r="F95" s="42">
        <v>0</v>
      </c>
      <c r="G95" s="42">
        <v>0.10666666666666701</v>
      </c>
      <c r="H95" s="42">
        <v>0</v>
      </c>
      <c r="I95" s="37"/>
      <c r="J95" s="37"/>
      <c r="K95" s="38"/>
      <c r="L95" s="38"/>
      <c r="M95" s="38"/>
      <c r="N95" s="38"/>
      <c r="O95" s="37"/>
      <c r="P95" s="37"/>
      <c r="Q95" s="37"/>
    </row>
    <row r="96" spans="1:17" ht="15.75" customHeight="1" x14ac:dyDescent="0.25">
      <c r="A96" s="37"/>
      <c r="B96" s="39">
        <v>1</v>
      </c>
      <c r="C96" s="39" t="s">
        <v>513</v>
      </c>
      <c r="D96" s="39" t="s">
        <v>514</v>
      </c>
      <c r="E96" s="42">
        <v>0</v>
      </c>
      <c r="F96" s="42">
        <v>0</v>
      </c>
      <c r="G96" s="42">
        <v>0.37333333333333302</v>
      </c>
      <c r="H96" s="42">
        <v>0</v>
      </c>
      <c r="I96" s="37"/>
      <c r="J96" s="37"/>
      <c r="K96" s="38"/>
      <c r="L96" s="38"/>
      <c r="M96" s="38"/>
      <c r="N96" s="38"/>
      <c r="O96" s="37"/>
      <c r="P96" s="37"/>
      <c r="Q96" s="37"/>
    </row>
    <row r="97" spans="1:17" ht="15.75" customHeight="1" x14ac:dyDescent="0.25">
      <c r="A97" s="37"/>
      <c r="B97" s="39">
        <v>1</v>
      </c>
      <c r="C97" s="39" t="s">
        <v>97</v>
      </c>
      <c r="D97" s="39" t="s">
        <v>155</v>
      </c>
      <c r="E97" s="42">
        <v>4.9382716049382699E-2</v>
      </c>
      <c r="F97" s="42">
        <v>3.95061728395062E-2</v>
      </c>
      <c r="G97" s="42">
        <v>0.32</v>
      </c>
      <c r="H97" s="42">
        <v>0</v>
      </c>
      <c r="I97" s="37"/>
      <c r="J97" s="37"/>
      <c r="K97" s="38"/>
      <c r="L97" s="38"/>
      <c r="M97" s="38"/>
      <c r="N97" s="38"/>
      <c r="O97" s="37"/>
      <c r="P97" s="37"/>
      <c r="Q97" s="37"/>
    </row>
    <row r="98" spans="1:17" ht="15.75" customHeight="1" x14ac:dyDescent="0.25">
      <c r="A98" s="37"/>
      <c r="B98" s="39">
        <v>1</v>
      </c>
      <c r="C98" s="39" t="s">
        <v>515</v>
      </c>
      <c r="D98" s="39" t="s">
        <v>516</v>
      </c>
      <c r="E98" s="42">
        <v>3.95061728395062E-2</v>
      </c>
      <c r="F98" s="42">
        <v>3.95061728395062E-2</v>
      </c>
      <c r="G98" s="42">
        <v>0</v>
      </c>
      <c r="H98" s="42">
        <v>0</v>
      </c>
      <c r="I98" s="37"/>
      <c r="J98" s="37"/>
      <c r="K98" s="38"/>
      <c r="L98" s="38"/>
      <c r="M98" s="38"/>
      <c r="N98" s="38"/>
      <c r="O98" s="37"/>
      <c r="P98" s="37"/>
      <c r="Q98" s="37"/>
    </row>
    <row r="99" spans="1:17" ht="15.75" customHeight="1" x14ac:dyDescent="0.25">
      <c r="A99" s="37"/>
      <c r="B99" s="39">
        <v>1</v>
      </c>
      <c r="C99" s="39" t="s">
        <v>517</v>
      </c>
      <c r="D99" s="39" t="s">
        <v>518</v>
      </c>
      <c r="E99" s="42">
        <v>0</v>
      </c>
      <c r="F99" s="42">
        <v>0</v>
      </c>
      <c r="G99" s="42">
        <v>0.37333333333333302</v>
      </c>
      <c r="H99" s="42">
        <v>0</v>
      </c>
      <c r="I99" s="37"/>
      <c r="J99" s="37"/>
      <c r="K99" s="38"/>
      <c r="L99" s="38"/>
      <c r="M99" s="38"/>
      <c r="N99" s="38"/>
      <c r="O99" s="37"/>
      <c r="P99" s="37"/>
      <c r="Q99" s="37"/>
    </row>
    <row r="100" spans="1:17" ht="15.75" customHeight="1" x14ac:dyDescent="0.25">
      <c r="A100" s="37"/>
      <c r="B100" s="39">
        <v>1</v>
      </c>
      <c r="C100" s="39" t="s">
        <v>103</v>
      </c>
      <c r="D100" s="39" t="s">
        <v>159</v>
      </c>
      <c r="E100" s="42">
        <v>0</v>
      </c>
      <c r="F100" s="42">
        <v>0</v>
      </c>
      <c r="G100" s="42">
        <v>0.10666666666666701</v>
      </c>
      <c r="H100" s="42">
        <v>0</v>
      </c>
      <c r="I100" s="37"/>
      <c r="J100" s="37"/>
      <c r="K100" s="38"/>
      <c r="L100" s="38"/>
      <c r="M100" s="38"/>
      <c r="N100" s="38"/>
      <c r="O100" s="37"/>
      <c r="P100" s="37"/>
      <c r="Q100" s="37"/>
    </row>
    <row r="101" spans="1:17" ht="15.75" customHeight="1" x14ac:dyDescent="0.25">
      <c r="A101" s="37"/>
      <c r="B101" s="39">
        <v>0</v>
      </c>
      <c r="C101" s="36" t="s">
        <v>479</v>
      </c>
      <c r="D101" s="37"/>
      <c r="E101" s="42"/>
      <c r="F101" s="42"/>
      <c r="G101" s="42"/>
      <c r="H101" s="42"/>
      <c r="I101" s="37"/>
      <c r="J101" s="37"/>
      <c r="K101" s="38"/>
      <c r="L101" s="38"/>
      <c r="M101" s="38"/>
      <c r="N101" s="38"/>
      <c r="O101" s="37"/>
      <c r="P101" s="37"/>
      <c r="Q101" s="37"/>
    </row>
    <row r="102" spans="1:17" ht="15.75" customHeight="1" x14ac:dyDescent="0.25">
      <c r="A102" s="37"/>
      <c r="B102" s="39">
        <v>1</v>
      </c>
      <c r="C102" s="39" t="s">
        <v>519</v>
      </c>
      <c r="D102" s="39" t="s">
        <v>520</v>
      </c>
      <c r="E102" s="42">
        <v>0</v>
      </c>
      <c r="F102" s="42">
        <v>0</v>
      </c>
      <c r="G102" s="42">
        <v>5.3333333333333302E-2</v>
      </c>
      <c r="H102" s="42">
        <v>0</v>
      </c>
      <c r="I102" s="37"/>
      <c r="J102" s="37"/>
      <c r="K102" s="38"/>
      <c r="L102" s="38"/>
      <c r="M102" s="38"/>
      <c r="N102" s="38"/>
      <c r="O102" s="37"/>
      <c r="P102" s="37"/>
      <c r="Q102" s="37"/>
    </row>
    <row r="103" spans="1:17" ht="15.75" customHeight="1" x14ac:dyDescent="0.25">
      <c r="A103" s="37"/>
      <c r="B103" s="39">
        <v>1</v>
      </c>
      <c r="C103" s="39" t="s">
        <v>480</v>
      </c>
      <c r="D103" s="39" t="s">
        <v>192</v>
      </c>
      <c r="E103" s="42">
        <v>0</v>
      </c>
      <c r="F103" s="42">
        <v>0</v>
      </c>
      <c r="G103" s="42">
        <v>0.266666666666667</v>
      </c>
      <c r="H103" s="42">
        <v>0</v>
      </c>
      <c r="I103" s="37"/>
      <c r="J103" s="37"/>
      <c r="K103" s="38"/>
      <c r="L103" s="38"/>
      <c r="M103" s="38"/>
      <c r="N103" s="38"/>
      <c r="O103" s="37"/>
      <c r="P103" s="37"/>
      <c r="Q103" s="37"/>
    </row>
    <row r="104" spans="1:17" ht="15.75" customHeight="1" x14ac:dyDescent="0.25">
      <c r="A104" s="37"/>
      <c r="B104" s="39">
        <v>1</v>
      </c>
      <c r="C104" s="39" t="s">
        <v>483</v>
      </c>
      <c r="D104" s="39" t="s">
        <v>191</v>
      </c>
      <c r="E104" s="42">
        <v>0</v>
      </c>
      <c r="F104" s="42">
        <v>0</v>
      </c>
      <c r="G104" s="42">
        <v>0.21333333333333299</v>
      </c>
      <c r="H104" s="42">
        <v>0</v>
      </c>
      <c r="I104" s="37"/>
      <c r="J104" s="37"/>
      <c r="K104" s="38"/>
      <c r="L104" s="38"/>
      <c r="M104" s="38"/>
      <c r="N104" s="38"/>
      <c r="O104" s="37"/>
      <c r="P104" s="37"/>
      <c r="Q104" s="37"/>
    </row>
    <row r="105" spans="1:17" ht="15.75" customHeight="1" x14ac:dyDescent="0.25">
      <c r="A105" s="37"/>
      <c r="B105" s="39">
        <v>1</v>
      </c>
      <c r="C105" s="39" t="s">
        <v>134</v>
      </c>
      <c r="D105" s="39" t="s">
        <v>190</v>
      </c>
      <c r="E105" s="42">
        <v>9.8765432098765604E-3</v>
      </c>
      <c r="F105" s="42">
        <v>9.8765432098765604E-3</v>
      </c>
      <c r="G105" s="42">
        <v>0.16</v>
      </c>
      <c r="H105" s="42">
        <v>0</v>
      </c>
      <c r="I105" s="37"/>
      <c r="J105" s="37"/>
      <c r="K105" s="38"/>
      <c r="L105" s="38"/>
      <c r="M105" s="38"/>
      <c r="N105" s="38"/>
      <c r="O105" s="37"/>
      <c r="P105" s="37"/>
      <c r="Q105" s="37"/>
    </row>
    <row r="106" spans="1:17" ht="15.75" customHeight="1" x14ac:dyDescent="0.25">
      <c r="A106" s="37"/>
      <c r="B106" s="39">
        <v>0</v>
      </c>
      <c r="C106" s="36" t="s">
        <v>484</v>
      </c>
      <c r="D106" s="37"/>
      <c r="E106" s="42"/>
      <c r="F106" s="42"/>
      <c r="G106" s="42"/>
      <c r="H106" s="42"/>
      <c r="I106" s="37"/>
      <c r="J106" s="37"/>
      <c r="K106" s="38"/>
      <c r="L106" s="38"/>
      <c r="M106" s="38"/>
      <c r="N106" s="38"/>
      <c r="O106" s="37"/>
      <c r="P106" s="37"/>
      <c r="Q106" s="37"/>
    </row>
    <row r="107" spans="1:17" ht="15.75" customHeight="1" x14ac:dyDescent="0.25">
      <c r="A107" s="37"/>
      <c r="B107" s="39">
        <v>1</v>
      </c>
      <c r="C107" s="39" t="s">
        <v>105</v>
      </c>
      <c r="D107" s="39" t="s">
        <v>161</v>
      </c>
      <c r="E107" s="42">
        <v>0</v>
      </c>
      <c r="F107" s="42">
        <v>0</v>
      </c>
      <c r="G107" s="42">
        <v>0.21333333333333299</v>
      </c>
      <c r="H107" s="42">
        <v>0</v>
      </c>
      <c r="I107" s="37"/>
      <c r="J107" s="37"/>
      <c r="K107" s="38"/>
      <c r="L107" s="38"/>
      <c r="M107" s="38"/>
      <c r="N107" s="38"/>
      <c r="O107" s="37"/>
      <c r="P107" s="37"/>
      <c r="Q107" s="37"/>
    </row>
    <row r="108" spans="1:17" ht="15.75" customHeight="1" x14ac:dyDescent="0.25">
      <c r="A108" s="37"/>
      <c r="B108" s="39">
        <v>1</v>
      </c>
      <c r="C108" s="39" t="s">
        <v>106</v>
      </c>
      <c r="D108" s="39" t="s">
        <v>162</v>
      </c>
      <c r="E108" s="42">
        <v>0</v>
      </c>
      <c r="F108" s="42">
        <v>0</v>
      </c>
      <c r="G108" s="42">
        <v>0.16</v>
      </c>
      <c r="H108" s="42">
        <v>0</v>
      </c>
      <c r="I108" s="37"/>
      <c r="J108" s="37"/>
      <c r="K108" s="38"/>
      <c r="L108" s="38"/>
      <c r="M108" s="38"/>
      <c r="N108" s="38"/>
      <c r="O108" s="37"/>
      <c r="P108" s="37"/>
      <c r="Q108" s="37"/>
    </row>
    <row r="109" spans="1:17" ht="15.75" customHeight="1" x14ac:dyDescent="0.25">
      <c r="A109" s="37"/>
      <c r="B109" s="39">
        <v>0</v>
      </c>
      <c r="C109" s="36" t="s">
        <v>492</v>
      </c>
      <c r="D109" s="37"/>
      <c r="E109" s="42"/>
      <c r="F109" s="42"/>
      <c r="G109" s="42"/>
      <c r="H109" s="42"/>
      <c r="I109" s="37"/>
      <c r="J109" s="37"/>
      <c r="K109" s="38"/>
      <c r="L109" s="38"/>
      <c r="M109" s="38"/>
      <c r="N109" s="38"/>
      <c r="O109" s="37"/>
      <c r="P109" s="37"/>
      <c r="Q109" s="37"/>
    </row>
    <row r="110" spans="1:17" ht="15.75" customHeight="1" x14ac:dyDescent="0.25">
      <c r="A110" s="37"/>
      <c r="B110" s="39">
        <v>1</v>
      </c>
      <c r="C110" s="39" t="s">
        <v>494</v>
      </c>
      <c r="D110" s="39" t="s">
        <v>166</v>
      </c>
      <c r="E110" s="42">
        <v>0</v>
      </c>
      <c r="F110" s="42">
        <v>0</v>
      </c>
      <c r="G110" s="42">
        <v>0.37333333333333302</v>
      </c>
      <c r="H110" s="42">
        <v>0</v>
      </c>
      <c r="I110" s="37"/>
      <c r="J110" s="37"/>
      <c r="K110" s="38"/>
      <c r="L110" s="38"/>
      <c r="M110" s="38"/>
      <c r="N110" s="38"/>
      <c r="O110" s="37"/>
      <c r="P110" s="37"/>
      <c r="Q110" s="37"/>
    </row>
    <row r="111" spans="1:17" ht="15.75" customHeight="1" x14ac:dyDescent="0.25">
      <c r="A111" s="37"/>
      <c r="B111" s="39">
        <v>0</v>
      </c>
      <c r="C111" s="36" t="s">
        <v>497</v>
      </c>
      <c r="D111" s="37"/>
      <c r="E111" s="42"/>
      <c r="F111" s="42"/>
      <c r="G111" s="42"/>
      <c r="H111" s="42"/>
      <c r="I111" s="37"/>
      <c r="J111" s="37"/>
      <c r="K111" s="38"/>
      <c r="L111" s="38"/>
      <c r="M111" s="38"/>
      <c r="N111" s="38"/>
      <c r="O111" s="37"/>
      <c r="P111" s="37"/>
      <c r="Q111" s="37"/>
    </row>
    <row r="112" spans="1:17" ht="15.75" customHeight="1" x14ac:dyDescent="0.25">
      <c r="A112" s="37"/>
      <c r="B112" s="39">
        <v>1</v>
      </c>
      <c r="C112" s="39" t="s">
        <v>137</v>
      </c>
      <c r="D112" s="39" t="s">
        <v>193</v>
      </c>
      <c r="E112" s="42">
        <v>0</v>
      </c>
      <c r="F112" s="42">
        <v>0</v>
      </c>
      <c r="G112" s="42">
        <v>0.266666666666666</v>
      </c>
      <c r="H112" s="42">
        <v>0</v>
      </c>
      <c r="I112" s="37"/>
      <c r="J112" s="37"/>
      <c r="K112" s="38"/>
      <c r="L112" s="38"/>
      <c r="M112" s="38"/>
      <c r="N112" s="38"/>
      <c r="O112" s="37"/>
      <c r="P112" s="37"/>
      <c r="Q112" s="37"/>
    </row>
    <row r="113" spans="1:17" ht="15.75" customHeight="1" x14ac:dyDescent="0.25">
      <c r="A113" s="37"/>
      <c r="B113" s="37"/>
      <c r="C113" s="36" t="s">
        <v>498</v>
      </c>
      <c r="D113" s="37"/>
      <c r="E113" s="42"/>
      <c r="F113" s="42"/>
      <c r="G113" s="42"/>
      <c r="H113" s="42"/>
      <c r="I113" s="37"/>
      <c r="J113" s="37"/>
      <c r="K113" s="38"/>
      <c r="L113" s="38"/>
      <c r="M113" s="38"/>
      <c r="N113" s="38"/>
      <c r="O113" s="37"/>
      <c r="P113" s="37"/>
      <c r="Q113" s="37"/>
    </row>
    <row r="114" spans="1:17" ht="15.75" customHeight="1" x14ac:dyDescent="0.25">
      <c r="A114" s="37"/>
      <c r="B114" s="39">
        <v>1</v>
      </c>
      <c r="C114" s="39" t="s">
        <v>521</v>
      </c>
      <c r="D114" s="39" t="s">
        <v>141</v>
      </c>
      <c r="E114" s="42">
        <v>0.59753086419753099</v>
      </c>
      <c r="F114" s="42">
        <v>2.5975308641975299</v>
      </c>
      <c r="G114" s="42">
        <v>17.0133333333333</v>
      </c>
      <c r="H114" s="42">
        <v>2.1333333333333302</v>
      </c>
      <c r="I114" s="37"/>
      <c r="J114" s="37"/>
      <c r="K114" s="38"/>
      <c r="L114" s="38"/>
      <c r="M114" s="38"/>
      <c r="N114" s="38"/>
      <c r="O114" s="37"/>
      <c r="P114" s="37"/>
      <c r="Q114" s="37"/>
    </row>
    <row r="115" spans="1:17" ht="15.75" customHeight="1" x14ac:dyDescent="0.25">
      <c r="A115" s="37"/>
      <c r="B115" s="39">
        <v>1</v>
      </c>
      <c r="C115" s="39" t="s">
        <v>102</v>
      </c>
      <c r="D115" s="39" t="s">
        <v>102</v>
      </c>
      <c r="E115" s="42">
        <v>8.8888888888888906E-2</v>
      </c>
      <c r="F115" s="42">
        <v>0.43456790123456801</v>
      </c>
      <c r="G115" s="42">
        <v>1.17333333333333</v>
      </c>
      <c r="H115" s="42">
        <v>0.71111111111111103</v>
      </c>
      <c r="I115" s="37"/>
      <c r="J115" s="37"/>
      <c r="K115" s="38"/>
      <c r="L115" s="38"/>
      <c r="M115" s="38"/>
      <c r="N115" s="38"/>
      <c r="O115" s="37"/>
      <c r="P115" s="37"/>
      <c r="Q115" s="37"/>
    </row>
    <row r="116" spans="1:17" ht="15.75" customHeight="1" x14ac:dyDescent="0.25">
      <c r="A116" s="37"/>
      <c r="B116" s="39">
        <v>1</v>
      </c>
      <c r="C116" s="36" t="s">
        <v>503</v>
      </c>
      <c r="D116" s="39" t="s">
        <v>522</v>
      </c>
      <c r="E116" s="42">
        <v>1.97530864197531E-2</v>
      </c>
      <c r="F116" s="42">
        <v>0.15802469135802499</v>
      </c>
      <c r="G116" s="42">
        <v>0.42666666666666703</v>
      </c>
      <c r="H116" s="42">
        <v>0</v>
      </c>
      <c r="I116" s="37"/>
      <c r="J116" s="37"/>
      <c r="K116" s="38"/>
      <c r="L116" s="38"/>
      <c r="M116" s="38"/>
      <c r="N116" s="38"/>
      <c r="O116" s="37"/>
      <c r="P116" s="37"/>
      <c r="Q116" s="37"/>
    </row>
    <row r="117" spans="1:17" ht="15.75" customHeight="1" x14ac:dyDescent="0.25">
      <c r="A117" s="37"/>
      <c r="B117" s="39">
        <v>0</v>
      </c>
      <c r="C117" s="36" t="s">
        <v>504</v>
      </c>
      <c r="D117" s="37"/>
      <c r="E117" s="42"/>
      <c r="F117" s="42"/>
      <c r="G117" s="42"/>
      <c r="H117" s="42"/>
      <c r="I117" s="37"/>
      <c r="J117" s="37"/>
      <c r="K117" s="38"/>
      <c r="L117" s="38"/>
      <c r="M117" s="38"/>
      <c r="N117" s="38"/>
      <c r="O117" s="37"/>
      <c r="P117" s="37"/>
      <c r="Q117" s="37"/>
    </row>
    <row r="118" spans="1:17" ht="15.75" customHeight="1" x14ac:dyDescent="0.25">
      <c r="A118" s="37"/>
      <c r="B118" s="39">
        <v>1</v>
      </c>
      <c r="C118" s="39" t="s">
        <v>143</v>
      </c>
      <c r="D118" s="39" t="s">
        <v>198</v>
      </c>
      <c r="E118" s="42">
        <v>0</v>
      </c>
      <c r="F118" s="42">
        <v>1.97530864197531E-2</v>
      </c>
      <c r="G118" s="42">
        <v>0</v>
      </c>
      <c r="H118" s="42">
        <v>0</v>
      </c>
      <c r="I118" s="37"/>
      <c r="J118" s="37"/>
      <c r="K118" s="38"/>
      <c r="L118" s="38"/>
      <c r="M118" s="38"/>
      <c r="N118" s="38"/>
      <c r="O118" s="37"/>
      <c r="P118" s="37"/>
      <c r="Q118" s="37"/>
    </row>
    <row r="119" spans="1:17" ht="15.75" customHeight="1" x14ac:dyDescent="0.25">
      <c r="A119" s="37"/>
      <c r="B119" s="37"/>
      <c r="C119" s="36" t="s">
        <v>508</v>
      </c>
      <c r="D119" s="37"/>
      <c r="E119" s="42"/>
      <c r="F119" s="42"/>
      <c r="G119" s="42"/>
      <c r="H119" s="42"/>
      <c r="I119" s="37"/>
      <c r="J119" s="37"/>
      <c r="K119" s="38"/>
      <c r="L119" s="38"/>
      <c r="M119" s="38"/>
      <c r="N119" s="38"/>
      <c r="O119" s="37"/>
      <c r="P119" s="37"/>
      <c r="Q119" s="37"/>
    </row>
    <row r="120" spans="1:17" ht="15.75" customHeight="1" x14ac:dyDescent="0.25">
      <c r="A120" s="37"/>
      <c r="B120" s="39">
        <v>0</v>
      </c>
      <c r="C120" s="36" t="s">
        <v>511</v>
      </c>
      <c r="D120" s="37"/>
      <c r="E120" s="42"/>
      <c r="F120" s="42"/>
      <c r="G120" s="42"/>
      <c r="H120" s="42"/>
      <c r="I120" s="37"/>
      <c r="J120" s="37"/>
      <c r="K120" s="38"/>
      <c r="L120" s="38"/>
      <c r="M120" s="38"/>
      <c r="N120" s="38"/>
      <c r="O120" s="37"/>
      <c r="P120" s="37"/>
      <c r="Q120" s="37"/>
    </row>
    <row r="121" spans="1:17" ht="15.75" customHeight="1" x14ac:dyDescent="0.25">
      <c r="A121" s="37"/>
      <c r="B121" s="39">
        <v>1</v>
      </c>
      <c r="C121" s="39" t="s">
        <v>142</v>
      </c>
      <c r="D121" s="39" t="s">
        <v>197</v>
      </c>
      <c r="E121" s="42">
        <v>0</v>
      </c>
      <c r="F121" s="42">
        <v>1.97530864197531E-2</v>
      </c>
      <c r="G121" s="42">
        <v>0</v>
      </c>
      <c r="H121" s="42">
        <v>0</v>
      </c>
      <c r="I121" s="37"/>
      <c r="J121" s="37"/>
      <c r="K121" s="38"/>
      <c r="L121" s="38"/>
      <c r="M121" s="38"/>
      <c r="N121" s="38"/>
      <c r="O121" s="37"/>
      <c r="P121" s="37"/>
      <c r="Q121" s="37"/>
    </row>
    <row r="122" spans="1:17" ht="15.75" customHeight="1" x14ac:dyDescent="0.25">
      <c r="A122" s="37"/>
      <c r="B122" s="39">
        <v>1</v>
      </c>
      <c r="C122" s="36" t="s">
        <v>512</v>
      </c>
      <c r="D122" s="39" t="s">
        <v>523</v>
      </c>
      <c r="E122" s="42">
        <v>9.8765432098765604E-3</v>
      </c>
      <c r="F122" s="42">
        <v>0</v>
      </c>
      <c r="G122" s="42">
        <v>0</v>
      </c>
      <c r="H122" s="42">
        <v>0</v>
      </c>
      <c r="I122" s="37"/>
      <c r="J122" s="37"/>
      <c r="K122" s="38"/>
      <c r="L122" s="38"/>
      <c r="M122" s="38"/>
      <c r="N122" s="38"/>
      <c r="O122" s="37"/>
      <c r="P122" s="37"/>
      <c r="Q122" s="37"/>
    </row>
    <row r="123" spans="1:17" ht="15.75" customHeight="1" x14ac:dyDescent="0.25">
      <c r="A123" s="37"/>
      <c r="B123"/>
      <c r="C123"/>
      <c r="D123"/>
      <c r="E123"/>
      <c r="F123"/>
      <c r="G123"/>
      <c r="H123"/>
      <c r="I123" s="37"/>
      <c r="J123" s="37"/>
      <c r="K123" s="38"/>
      <c r="L123" s="38"/>
      <c r="M123" s="38"/>
      <c r="N123" s="38"/>
      <c r="O123" s="37"/>
      <c r="P123" s="37"/>
      <c r="Q123" s="37"/>
    </row>
    <row r="124" spans="1:17" ht="15.75" customHeight="1" x14ac:dyDescent="0.25">
      <c r="A124" s="37"/>
      <c r="B124"/>
      <c r="C124"/>
      <c r="D124"/>
      <c r="E124"/>
      <c r="F124"/>
      <c r="G124"/>
      <c r="H124"/>
      <c r="I124" s="37"/>
      <c r="J124" s="37"/>
      <c r="K124" s="38"/>
      <c r="L124" s="38"/>
      <c r="M124" s="38"/>
      <c r="N124" s="38"/>
      <c r="O124" s="37"/>
      <c r="P124" s="37"/>
      <c r="Q124" s="37"/>
    </row>
    <row r="125" spans="1:17" ht="15.75" customHeight="1" x14ac:dyDescent="0.25">
      <c r="A125" s="37"/>
      <c r="B125"/>
      <c r="C125"/>
      <c r="D125"/>
      <c r="E125"/>
      <c r="F125"/>
      <c r="G125"/>
      <c r="H125"/>
      <c r="I125" s="37"/>
      <c r="J125" s="37"/>
      <c r="K125" s="38"/>
      <c r="L125" s="38"/>
      <c r="M125" s="38"/>
      <c r="N125" s="38"/>
      <c r="O125" s="37"/>
      <c r="P125" s="37"/>
      <c r="Q125" s="37"/>
    </row>
    <row r="126" spans="1:17" ht="15.75" customHeight="1" x14ac:dyDescent="0.25">
      <c r="A126" s="37"/>
      <c r="B126"/>
      <c r="C126"/>
      <c r="D126"/>
      <c r="E126"/>
      <c r="F126"/>
      <c r="G126"/>
      <c r="H126"/>
      <c r="I126" s="37"/>
      <c r="J126" s="37"/>
      <c r="K126" s="38"/>
      <c r="L126" s="38"/>
      <c r="M126" s="38"/>
      <c r="N126" s="38"/>
      <c r="O126" s="37"/>
      <c r="P126" s="37"/>
      <c r="Q126" s="37"/>
    </row>
    <row r="127" spans="1:17" ht="15.75" customHeight="1" x14ac:dyDescent="0.25">
      <c r="K127" s="38"/>
      <c r="L127" s="38"/>
      <c r="M127" s="38"/>
      <c r="N127" s="38"/>
    </row>
    <row r="128" spans="1:17" ht="15.75" customHeight="1" x14ac:dyDescent="0.25">
      <c r="K128" s="38"/>
      <c r="L128" s="38"/>
      <c r="M128" s="38"/>
      <c r="N128" s="38"/>
    </row>
    <row r="129" spans="11:15" ht="15.75" customHeight="1" x14ac:dyDescent="0.25">
      <c r="K129" s="38"/>
      <c r="L129" s="38"/>
      <c r="M129" s="38"/>
      <c r="N129" s="38"/>
      <c r="O129"/>
    </row>
    <row r="130" spans="11:15" ht="15.75" customHeight="1" x14ac:dyDescent="0.25">
      <c r="K130" s="38"/>
      <c r="L130" s="38"/>
      <c r="M130" s="38"/>
      <c r="N130" s="38"/>
      <c r="O130"/>
    </row>
    <row r="131" spans="11:15" ht="15.75" customHeight="1" x14ac:dyDescent="0.25">
      <c r="K131" s="38"/>
      <c r="L131" s="38"/>
      <c r="M131" s="38"/>
      <c r="N131" s="38"/>
      <c r="O131"/>
    </row>
    <row r="132" spans="11:15" ht="15.75" customHeight="1" x14ac:dyDescent="0.25">
      <c r="K132" s="38"/>
      <c r="L132" s="38"/>
      <c r="M132" s="38"/>
      <c r="N132" s="38"/>
    </row>
    <row r="133" spans="11:15" ht="15.75" customHeight="1" x14ac:dyDescent="0.25"/>
    <row r="134" spans="11:15" ht="15.75" customHeight="1" x14ac:dyDescent="0.25"/>
    <row r="135" spans="11:15" ht="15.75" customHeight="1" x14ac:dyDescent="0.25"/>
    <row r="136" spans="11:15" ht="15.75" customHeight="1" x14ac:dyDescent="0.25"/>
    <row r="137" spans="11:15" ht="15.75" customHeight="1" x14ac:dyDescent="0.25"/>
    <row r="138" spans="11:15" ht="15.75" customHeight="1" x14ac:dyDescent="0.25"/>
    <row r="139" spans="11:15" ht="15.75" customHeight="1" x14ac:dyDescent="0.25"/>
    <row r="140" spans="11:15" ht="15.75" customHeight="1" x14ac:dyDescent="0.25"/>
    <row r="141" spans="11:15" ht="15.75" customHeight="1" x14ac:dyDescent="0.25"/>
    <row r="142" spans="11:15" ht="15.75" customHeight="1" x14ac:dyDescent="0.25"/>
    <row r="143" spans="11:15" ht="15.75" customHeight="1" x14ac:dyDescent="0.25"/>
    <row r="144" spans="11:15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hyperlinks>
    <hyperlink ref="Q2" r:id="rId1" xr:uid="{00000000-0004-0000-0500-000000000000}"/>
    <hyperlink ref="Q3" r:id="rId2" xr:uid="{00000000-0004-0000-0500-000001000000}"/>
    <hyperlink ref="Q4" r:id="rId3" xr:uid="{00000000-0004-0000-0500-000002000000}"/>
  </hyperlinks>
  <pageMargins left="0.7" right="0.7" top="2.3250000000000002" bottom="2.3250000000000002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1048576"/>
  <sheetViews>
    <sheetView zoomScale="60" zoomScaleNormal="60" workbookViewId="0"/>
  </sheetViews>
  <sheetFormatPr defaultColWidth="11.5703125" defaultRowHeight="15.75" customHeight="1" x14ac:dyDescent="0.25"/>
  <sheetData>
    <row r="1" spans="1:14" ht="15" x14ac:dyDescent="0.25">
      <c r="B1" t="s">
        <v>524</v>
      </c>
      <c r="C1" t="s">
        <v>525</v>
      </c>
      <c r="D1" t="s">
        <v>526</v>
      </c>
      <c r="E1" t="s">
        <v>527</v>
      </c>
      <c r="F1" t="s">
        <v>528</v>
      </c>
      <c r="G1" t="s">
        <v>529</v>
      </c>
      <c r="H1" t="s">
        <v>530</v>
      </c>
      <c r="I1" t="s">
        <v>531</v>
      </c>
      <c r="J1" t="s">
        <v>532</v>
      </c>
      <c r="K1" t="s">
        <v>533</v>
      </c>
      <c r="L1" t="s">
        <v>534</v>
      </c>
      <c r="M1" t="s">
        <v>535</v>
      </c>
      <c r="N1" t="s">
        <v>536</v>
      </c>
    </row>
    <row r="2" spans="1:14" ht="15" x14ac:dyDescent="0.25">
      <c r="A2" s="15" t="str">
        <f>rebio23_80ml!A3</f>
        <v>S-B-P05-H1</v>
      </c>
      <c r="B2">
        <v>11111</v>
      </c>
      <c r="C2">
        <v>1111</v>
      </c>
      <c r="D2">
        <v>111</v>
      </c>
      <c r="E2">
        <v>11</v>
      </c>
      <c r="F2">
        <v>1</v>
      </c>
      <c r="G2">
        <v>1111</v>
      </c>
      <c r="H2">
        <v>111</v>
      </c>
      <c r="I2">
        <v>11</v>
      </c>
      <c r="J2">
        <v>1</v>
      </c>
    </row>
    <row r="3" spans="1:14" ht="15" x14ac:dyDescent="0.25">
      <c r="A3" s="15" t="str">
        <f>rebio23_80ml!A4</f>
        <v>S-B-P05-H2</v>
      </c>
      <c r="B3">
        <v>11112</v>
      </c>
      <c r="C3">
        <v>1111</v>
      </c>
      <c r="D3">
        <v>111</v>
      </c>
      <c r="E3">
        <v>11</v>
      </c>
      <c r="F3">
        <v>1</v>
      </c>
      <c r="G3">
        <v>1112</v>
      </c>
      <c r="H3">
        <v>111</v>
      </c>
      <c r="I3">
        <v>11</v>
      </c>
      <c r="J3">
        <v>1</v>
      </c>
    </row>
    <row r="4" spans="1:14" ht="15" x14ac:dyDescent="0.25">
      <c r="A4" s="15" t="str">
        <f>rebio23_80ml!A5</f>
        <v>S-B-P05-H3</v>
      </c>
      <c r="B4">
        <v>11113</v>
      </c>
      <c r="C4">
        <v>1111</v>
      </c>
      <c r="D4">
        <v>111</v>
      </c>
      <c r="E4">
        <v>11</v>
      </c>
      <c r="F4">
        <v>1</v>
      </c>
      <c r="G4">
        <v>1113</v>
      </c>
      <c r="H4">
        <v>111</v>
      </c>
      <c r="I4">
        <v>11</v>
      </c>
      <c r="J4">
        <v>1</v>
      </c>
    </row>
    <row r="5" spans="1:14" ht="15" x14ac:dyDescent="0.25">
      <c r="A5" s="15" t="str">
        <f>rebio23_80ml!A6</f>
        <v>S-B-P06-H1</v>
      </c>
      <c r="B5">
        <v>11114</v>
      </c>
      <c r="C5">
        <v>1112</v>
      </c>
      <c r="D5">
        <v>111</v>
      </c>
      <c r="E5">
        <v>11</v>
      </c>
      <c r="F5">
        <v>1</v>
      </c>
      <c r="G5">
        <v>1114</v>
      </c>
      <c r="H5">
        <v>112</v>
      </c>
      <c r="I5">
        <v>11</v>
      </c>
      <c r="J5">
        <v>1</v>
      </c>
    </row>
    <row r="6" spans="1:14" ht="15" x14ac:dyDescent="0.25">
      <c r="A6" s="15" t="str">
        <f>rebio23_80ml!A7</f>
        <v>S-B-P06-H2</v>
      </c>
      <c r="B6">
        <v>11115</v>
      </c>
      <c r="C6">
        <v>1112</v>
      </c>
      <c r="D6">
        <v>111</v>
      </c>
      <c r="E6">
        <v>11</v>
      </c>
      <c r="F6">
        <v>1</v>
      </c>
      <c r="G6">
        <v>1115</v>
      </c>
      <c r="H6">
        <v>112</v>
      </c>
      <c r="I6">
        <v>11</v>
      </c>
      <c r="J6">
        <v>1</v>
      </c>
    </row>
    <row r="7" spans="1:14" ht="15" x14ac:dyDescent="0.25">
      <c r="A7" s="15" t="str">
        <f>rebio23_80ml!A8</f>
        <v>S-B-P06-H3</v>
      </c>
      <c r="B7">
        <v>11116</v>
      </c>
      <c r="C7">
        <v>1112</v>
      </c>
      <c r="D7">
        <v>111</v>
      </c>
      <c r="E7">
        <v>11</v>
      </c>
      <c r="F7">
        <v>1</v>
      </c>
      <c r="G7">
        <v>1116</v>
      </c>
      <c r="H7">
        <v>112</v>
      </c>
      <c r="I7">
        <v>11</v>
      </c>
      <c r="J7">
        <v>1</v>
      </c>
    </row>
    <row r="8" spans="1:14" ht="15" x14ac:dyDescent="0.25">
      <c r="A8" s="15" t="str">
        <f>rebio23_80ml!A9</f>
        <v>S-B-P07-H1</v>
      </c>
      <c r="B8">
        <v>11117</v>
      </c>
      <c r="C8">
        <v>1113</v>
      </c>
      <c r="D8">
        <v>111</v>
      </c>
      <c r="E8">
        <v>11</v>
      </c>
      <c r="F8">
        <v>1</v>
      </c>
      <c r="G8">
        <v>1117</v>
      </c>
      <c r="H8">
        <v>113</v>
      </c>
      <c r="I8">
        <v>11</v>
      </c>
      <c r="J8">
        <v>1</v>
      </c>
    </row>
    <row r="9" spans="1:14" ht="15" x14ac:dyDescent="0.25">
      <c r="A9" s="15" t="str">
        <f>rebio23_80ml!A10</f>
        <v>S-B-P07-H2</v>
      </c>
      <c r="B9">
        <v>11118</v>
      </c>
      <c r="C9">
        <v>1113</v>
      </c>
      <c r="D9">
        <v>111</v>
      </c>
      <c r="E9">
        <v>11</v>
      </c>
      <c r="F9">
        <v>1</v>
      </c>
      <c r="G9">
        <v>1118</v>
      </c>
      <c r="H9">
        <v>113</v>
      </c>
      <c r="I9">
        <v>11</v>
      </c>
      <c r="J9">
        <v>1</v>
      </c>
    </row>
    <row r="10" spans="1:14" ht="15" x14ac:dyDescent="0.25">
      <c r="A10" s="15" t="str">
        <f>rebio23_80ml!A11</f>
        <v>S-B-P07-H3</v>
      </c>
      <c r="B10">
        <v>11119</v>
      </c>
      <c r="C10">
        <v>1113</v>
      </c>
      <c r="D10">
        <v>111</v>
      </c>
      <c r="E10">
        <v>11</v>
      </c>
      <c r="F10">
        <v>1</v>
      </c>
      <c r="G10">
        <v>1119</v>
      </c>
      <c r="H10">
        <v>113</v>
      </c>
      <c r="I10">
        <v>11</v>
      </c>
      <c r="J10">
        <v>1</v>
      </c>
    </row>
    <row r="11" spans="1:14" ht="15" x14ac:dyDescent="0.25">
      <c r="A11" s="15" t="str">
        <f>rebio23_80ml!A12</f>
        <v>S-B-P08-H1</v>
      </c>
      <c r="B11">
        <v>11120</v>
      </c>
      <c r="C11">
        <v>1114</v>
      </c>
      <c r="D11">
        <v>112</v>
      </c>
      <c r="E11">
        <v>11</v>
      </c>
      <c r="F11">
        <v>1</v>
      </c>
      <c r="G11">
        <v>1120</v>
      </c>
      <c r="H11">
        <v>114</v>
      </c>
      <c r="I11">
        <v>12</v>
      </c>
      <c r="J11">
        <v>1</v>
      </c>
    </row>
    <row r="12" spans="1:14" ht="15" x14ac:dyDescent="0.25">
      <c r="A12" s="15" t="str">
        <f>rebio23_80ml!A13</f>
        <v>S-B-P08-H2</v>
      </c>
      <c r="B12">
        <v>11121</v>
      </c>
      <c r="C12">
        <v>1114</v>
      </c>
      <c r="D12">
        <v>112</v>
      </c>
      <c r="E12">
        <v>11</v>
      </c>
      <c r="F12">
        <v>1</v>
      </c>
      <c r="G12">
        <v>1121</v>
      </c>
      <c r="H12">
        <v>114</v>
      </c>
      <c r="I12">
        <v>12</v>
      </c>
      <c r="J12">
        <v>1</v>
      </c>
    </row>
    <row r="13" spans="1:14" ht="15" x14ac:dyDescent="0.25">
      <c r="A13" s="15" t="str">
        <f>rebio23_80ml!A14</f>
        <v>S-B-P08-H3</v>
      </c>
      <c r="B13">
        <v>11122</v>
      </c>
      <c r="C13">
        <v>1114</v>
      </c>
      <c r="D13">
        <v>112</v>
      </c>
      <c r="E13">
        <v>11</v>
      </c>
      <c r="F13">
        <v>1</v>
      </c>
      <c r="G13">
        <v>1122</v>
      </c>
      <c r="H13">
        <v>114</v>
      </c>
      <c r="I13">
        <v>12</v>
      </c>
      <c r="J13">
        <v>1</v>
      </c>
    </row>
    <row r="14" spans="1:14" ht="15" x14ac:dyDescent="0.25">
      <c r="A14" s="15" t="str">
        <f>rebio23_80ml!A15</f>
        <v>S-B-P09-H1</v>
      </c>
      <c r="B14">
        <v>11123</v>
      </c>
      <c r="C14">
        <v>1115</v>
      </c>
      <c r="D14">
        <v>112</v>
      </c>
      <c r="E14">
        <v>11</v>
      </c>
      <c r="F14">
        <v>1</v>
      </c>
      <c r="G14">
        <v>1123</v>
      </c>
      <c r="H14">
        <v>115</v>
      </c>
      <c r="I14">
        <v>12</v>
      </c>
      <c r="J14">
        <v>1</v>
      </c>
    </row>
    <row r="15" spans="1:14" ht="15" x14ac:dyDescent="0.25">
      <c r="A15" s="15" t="str">
        <f>rebio23_80ml!A16</f>
        <v>S-B-P09-H2</v>
      </c>
      <c r="B15">
        <v>11124</v>
      </c>
      <c r="C15">
        <v>1115</v>
      </c>
      <c r="D15">
        <v>112</v>
      </c>
      <c r="E15">
        <v>11</v>
      </c>
      <c r="F15">
        <v>1</v>
      </c>
      <c r="G15">
        <v>1124</v>
      </c>
      <c r="H15">
        <v>115</v>
      </c>
      <c r="I15">
        <v>12</v>
      </c>
      <c r="J15">
        <v>1</v>
      </c>
    </row>
    <row r="16" spans="1:14" ht="15" x14ac:dyDescent="0.25">
      <c r="A16" s="15" t="str">
        <f>rebio23_80ml!A17</f>
        <v>S-B-P09-H3</v>
      </c>
      <c r="B16">
        <v>11125</v>
      </c>
      <c r="C16">
        <v>1115</v>
      </c>
      <c r="D16">
        <v>112</v>
      </c>
      <c r="E16">
        <v>11</v>
      </c>
      <c r="F16">
        <v>1</v>
      </c>
      <c r="G16">
        <v>1125</v>
      </c>
      <c r="H16">
        <v>115</v>
      </c>
      <c r="I16">
        <v>12</v>
      </c>
      <c r="J16">
        <v>1</v>
      </c>
    </row>
    <row r="17" spans="1:14" ht="15" x14ac:dyDescent="0.25">
      <c r="A17" s="15" t="str">
        <f>rebio23_80ml!A18</f>
        <v>S-B-P10-H1</v>
      </c>
      <c r="B17">
        <v>11126</v>
      </c>
      <c r="C17">
        <v>1116</v>
      </c>
      <c r="D17">
        <v>112</v>
      </c>
      <c r="E17">
        <v>11</v>
      </c>
      <c r="F17">
        <v>1</v>
      </c>
      <c r="G17">
        <v>1126</v>
      </c>
      <c r="H17">
        <v>116</v>
      </c>
      <c r="I17">
        <v>12</v>
      </c>
      <c r="J17">
        <v>1</v>
      </c>
    </row>
    <row r="18" spans="1:14" ht="15" x14ac:dyDescent="0.25">
      <c r="A18" s="15" t="str">
        <f>rebio23_80ml!A19</f>
        <v>S-B-P10-H2</v>
      </c>
      <c r="B18">
        <v>11127</v>
      </c>
      <c r="C18">
        <v>1116</v>
      </c>
      <c r="D18">
        <v>112</v>
      </c>
      <c r="E18">
        <v>11</v>
      </c>
      <c r="F18">
        <v>1</v>
      </c>
      <c r="G18">
        <v>1127</v>
      </c>
      <c r="H18">
        <v>116</v>
      </c>
      <c r="I18">
        <v>12</v>
      </c>
      <c r="J18">
        <v>1</v>
      </c>
    </row>
    <row r="19" spans="1:14" ht="15" x14ac:dyDescent="0.25">
      <c r="A19" s="15" t="str">
        <f>rebio23_80ml!A20</f>
        <v>S-B-P10-H3</v>
      </c>
      <c r="B19">
        <v>11128</v>
      </c>
      <c r="C19">
        <v>1116</v>
      </c>
      <c r="D19">
        <v>112</v>
      </c>
      <c r="E19">
        <v>11</v>
      </c>
      <c r="F19">
        <v>1</v>
      </c>
      <c r="G19">
        <v>1128</v>
      </c>
      <c r="H19">
        <v>116</v>
      </c>
      <c r="I19">
        <v>12</v>
      </c>
      <c r="J19">
        <v>1</v>
      </c>
    </row>
    <row r="20" spans="1:14" ht="15" x14ac:dyDescent="0.25">
      <c r="A20" s="15" t="str">
        <f>rebio23_80ml!A24</f>
        <v>S-C-P12-H1</v>
      </c>
      <c r="B20">
        <v>11129</v>
      </c>
      <c r="C20">
        <v>1117</v>
      </c>
      <c r="D20">
        <v>113</v>
      </c>
      <c r="E20">
        <v>12</v>
      </c>
      <c r="F20">
        <v>1</v>
      </c>
      <c r="K20">
        <v>1111</v>
      </c>
      <c r="L20">
        <v>111</v>
      </c>
      <c r="M20">
        <v>11</v>
      </c>
      <c r="N20">
        <v>1</v>
      </c>
    </row>
    <row r="21" spans="1:14" ht="15" x14ac:dyDescent="0.25">
      <c r="A21" s="15" t="str">
        <f>rebio23_80ml!A25</f>
        <v>S-C-P12-H2</v>
      </c>
      <c r="B21">
        <v>11130</v>
      </c>
      <c r="C21">
        <v>1117</v>
      </c>
      <c r="D21">
        <v>113</v>
      </c>
      <c r="E21">
        <v>12</v>
      </c>
      <c r="F21">
        <v>1</v>
      </c>
      <c r="K21">
        <v>1112</v>
      </c>
      <c r="L21">
        <v>111</v>
      </c>
      <c r="M21">
        <v>11</v>
      </c>
      <c r="N21">
        <v>1</v>
      </c>
    </row>
    <row r="22" spans="1:14" ht="15" x14ac:dyDescent="0.25">
      <c r="A22" s="15" t="str">
        <f>rebio23_80ml!A26</f>
        <v>S-C-P12-H3</v>
      </c>
      <c r="B22">
        <v>11131</v>
      </c>
      <c r="C22">
        <v>1117</v>
      </c>
      <c r="D22">
        <v>113</v>
      </c>
      <c r="E22">
        <v>12</v>
      </c>
      <c r="F22">
        <v>1</v>
      </c>
      <c r="K22">
        <v>1113</v>
      </c>
      <c r="L22">
        <v>111</v>
      </c>
      <c r="M22">
        <v>11</v>
      </c>
      <c r="N22">
        <v>1</v>
      </c>
    </row>
    <row r="23" spans="1:14" ht="15" x14ac:dyDescent="0.25">
      <c r="A23" s="15" t="str">
        <f>rebio23_80ml!A27</f>
        <v>S-C-P13-H1</v>
      </c>
      <c r="B23">
        <v>11132</v>
      </c>
      <c r="C23">
        <v>1118</v>
      </c>
      <c r="D23">
        <v>113</v>
      </c>
      <c r="E23">
        <v>12</v>
      </c>
      <c r="F23">
        <v>1</v>
      </c>
      <c r="K23">
        <v>1114</v>
      </c>
      <c r="L23">
        <v>112</v>
      </c>
      <c r="M23">
        <v>11</v>
      </c>
      <c r="N23">
        <v>1</v>
      </c>
    </row>
    <row r="24" spans="1:14" ht="15" x14ac:dyDescent="0.25">
      <c r="A24" s="15" t="str">
        <f>rebio23_80ml!A28</f>
        <v>S-C-P13-H2</v>
      </c>
      <c r="B24">
        <v>11133</v>
      </c>
      <c r="C24">
        <v>1118</v>
      </c>
      <c r="D24">
        <v>113</v>
      </c>
      <c r="E24">
        <v>12</v>
      </c>
      <c r="F24">
        <v>1</v>
      </c>
      <c r="K24">
        <v>1115</v>
      </c>
      <c r="L24">
        <v>112</v>
      </c>
      <c r="M24">
        <v>11</v>
      </c>
      <c r="N24">
        <v>1</v>
      </c>
    </row>
    <row r="25" spans="1:14" ht="15" x14ac:dyDescent="0.25">
      <c r="A25" s="15" t="str">
        <f>rebio23_80ml!A29</f>
        <v>S-C-P13-H3</v>
      </c>
      <c r="B25">
        <v>11134</v>
      </c>
      <c r="C25">
        <v>1118</v>
      </c>
      <c r="D25">
        <v>113</v>
      </c>
      <c r="E25">
        <v>12</v>
      </c>
      <c r="F25">
        <v>1</v>
      </c>
      <c r="K25">
        <v>1116</v>
      </c>
      <c r="L25">
        <v>112</v>
      </c>
      <c r="M25">
        <v>11</v>
      </c>
      <c r="N25">
        <v>1</v>
      </c>
    </row>
    <row r="26" spans="1:14" ht="15" x14ac:dyDescent="0.25">
      <c r="A26" s="15" t="str">
        <f>rebio23_80ml!A30</f>
        <v>S-C-P14-H1</v>
      </c>
      <c r="B26">
        <v>11135</v>
      </c>
      <c r="C26">
        <v>1119</v>
      </c>
      <c r="D26">
        <v>113</v>
      </c>
      <c r="E26">
        <v>12</v>
      </c>
      <c r="F26">
        <v>1</v>
      </c>
      <c r="K26">
        <v>1117</v>
      </c>
      <c r="L26">
        <v>113</v>
      </c>
      <c r="M26">
        <v>11</v>
      </c>
      <c r="N26">
        <v>1</v>
      </c>
    </row>
    <row r="27" spans="1:14" ht="15" x14ac:dyDescent="0.25">
      <c r="A27" s="15" t="str">
        <f>rebio23_80ml!A31</f>
        <v>S-C-P14-H2</v>
      </c>
      <c r="B27">
        <v>11136</v>
      </c>
      <c r="C27">
        <v>1119</v>
      </c>
      <c r="D27">
        <v>113</v>
      </c>
      <c r="E27">
        <v>12</v>
      </c>
      <c r="F27">
        <v>1</v>
      </c>
      <c r="K27">
        <v>1118</v>
      </c>
      <c r="L27">
        <v>113</v>
      </c>
      <c r="M27">
        <v>11</v>
      </c>
      <c r="N27">
        <v>1</v>
      </c>
    </row>
    <row r="28" spans="1:14" ht="15" x14ac:dyDescent="0.25">
      <c r="A28" s="15" t="str">
        <f>rebio23_80ml!A32</f>
        <v>S-C-P14-H3</v>
      </c>
      <c r="B28">
        <v>11137</v>
      </c>
      <c r="C28">
        <v>1119</v>
      </c>
      <c r="D28">
        <v>113</v>
      </c>
      <c r="E28">
        <v>12</v>
      </c>
      <c r="F28">
        <v>1</v>
      </c>
      <c r="K28">
        <v>1119</v>
      </c>
      <c r="L28">
        <v>113</v>
      </c>
      <c r="M28">
        <v>11</v>
      </c>
      <c r="N28">
        <v>1</v>
      </c>
    </row>
    <row r="29" spans="1:14" ht="15" x14ac:dyDescent="0.25">
      <c r="A29" s="15" t="str">
        <f>rebio23_80ml!A33</f>
        <v>S-C-P15-H1</v>
      </c>
      <c r="B29">
        <v>11138</v>
      </c>
      <c r="C29">
        <v>1120</v>
      </c>
      <c r="D29">
        <v>113</v>
      </c>
      <c r="E29">
        <v>12</v>
      </c>
      <c r="F29">
        <v>1</v>
      </c>
      <c r="K29">
        <v>1120</v>
      </c>
      <c r="L29">
        <v>114</v>
      </c>
      <c r="M29">
        <v>11</v>
      </c>
      <c r="N29">
        <v>1</v>
      </c>
    </row>
    <row r="30" spans="1:14" ht="15" x14ac:dyDescent="0.25">
      <c r="A30" s="15" t="str">
        <f>rebio23_80ml!A34</f>
        <v>S-C-P15-H2</v>
      </c>
      <c r="B30">
        <v>11139</v>
      </c>
      <c r="C30">
        <v>1120</v>
      </c>
      <c r="D30">
        <v>113</v>
      </c>
      <c r="E30">
        <v>12</v>
      </c>
      <c r="F30">
        <v>1</v>
      </c>
      <c r="K30">
        <v>1121</v>
      </c>
      <c r="L30">
        <v>114</v>
      </c>
      <c r="M30">
        <v>11</v>
      </c>
      <c r="N30">
        <v>1</v>
      </c>
    </row>
    <row r="31" spans="1:14" ht="15" x14ac:dyDescent="0.25">
      <c r="A31" s="15" t="str">
        <f>rebio23_80ml!A35</f>
        <v>S-C-P15-H3</v>
      </c>
      <c r="B31">
        <v>11140</v>
      </c>
      <c r="C31">
        <v>1120</v>
      </c>
      <c r="D31">
        <v>113</v>
      </c>
      <c r="E31">
        <v>12</v>
      </c>
      <c r="F31">
        <v>1</v>
      </c>
      <c r="K31">
        <v>1122</v>
      </c>
      <c r="L31">
        <v>114</v>
      </c>
      <c r="M31">
        <v>11</v>
      </c>
      <c r="N31">
        <v>1</v>
      </c>
    </row>
    <row r="32" spans="1:14" ht="15" x14ac:dyDescent="0.25">
      <c r="A32" s="15" t="str">
        <f>rebio23_80ml!A36</f>
        <v>S-C-P16-H1</v>
      </c>
      <c r="B32">
        <v>11141</v>
      </c>
      <c r="C32">
        <v>1121</v>
      </c>
      <c r="D32">
        <v>114</v>
      </c>
      <c r="E32">
        <v>12</v>
      </c>
      <c r="F32">
        <v>1</v>
      </c>
      <c r="K32">
        <v>1123</v>
      </c>
      <c r="L32">
        <v>115</v>
      </c>
      <c r="M32">
        <v>12</v>
      </c>
      <c r="N32">
        <v>1</v>
      </c>
    </row>
    <row r="33" spans="1:14" ht="15" x14ac:dyDescent="0.25">
      <c r="A33" s="15" t="str">
        <f>rebio23_80ml!A37</f>
        <v>S-C-P16-H2</v>
      </c>
      <c r="B33">
        <v>11142</v>
      </c>
      <c r="C33">
        <v>1121</v>
      </c>
      <c r="D33">
        <v>114</v>
      </c>
      <c r="E33">
        <v>12</v>
      </c>
      <c r="F33">
        <v>1</v>
      </c>
      <c r="K33">
        <v>1124</v>
      </c>
      <c r="L33">
        <v>115</v>
      </c>
      <c r="M33">
        <v>12</v>
      </c>
      <c r="N33">
        <v>1</v>
      </c>
    </row>
    <row r="34" spans="1:14" ht="15" x14ac:dyDescent="0.25">
      <c r="A34" s="15" t="str">
        <f>rebio23_80ml!A38</f>
        <v>S-C-P16-H3</v>
      </c>
      <c r="B34">
        <v>11143</v>
      </c>
      <c r="C34">
        <v>1121</v>
      </c>
      <c r="D34">
        <v>114</v>
      </c>
      <c r="E34">
        <v>12</v>
      </c>
      <c r="F34">
        <v>1</v>
      </c>
      <c r="K34">
        <v>1125</v>
      </c>
      <c r="L34">
        <v>115</v>
      </c>
      <c r="M34">
        <v>12</v>
      </c>
      <c r="N34">
        <v>1</v>
      </c>
    </row>
    <row r="35" spans="1:14" ht="15" x14ac:dyDescent="0.25">
      <c r="A35" s="15" t="str">
        <f>rebio23_80ml!A39</f>
        <v>S-C-P17-H1</v>
      </c>
      <c r="B35">
        <v>11144</v>
      </c>
      <c r="C35">
        <v>1122</v>
      </c>
      <c r="D35">
        <v>114</v>
      </c>
      <c r="E35">
        <v>12</v>
      </c>
      <c r="F35">
        <v>1</v>
      </c>
      <c r="K35">
        <v>1126</v>
      </c>
      <c r="L35">
        <v>116</v>
      </c>
      <c r="M35">
        <v>12</v>
      </c>
      <c r="N35">
        <v>1</v>
      </c>
    </row>
    <row r="36" spans="1:14" ht="15" x14ac:dyDescent="0.25">
      <c r="A36" s="15" t="str">
        <f>rebio23_80ml!A40</f>
        <v>S-C-P17-H2</v>
      </c>
      <c r="B36">
        <v>11145</v>
      </c>
      <c r="C36">
        <v>1122</v>
      </c>
      <c r="D36">
        <v>114</v>
      </c>
      <c r="E36">
        <v>12</v>
      </c>
      <c r="F36">
        <v>1</v>
      </c>
      <c r="K36">
        <v>1127</v>
      </c>
      <c r="L36">
        <v>116</v>
      </c>
      <c r="M36">
        <v>12</v>
      </c>
      <c r="N36">
        <v>1</v>
      </c>
    </row>
    <row r="37" spans="1:14" ht="15" x14ac:dyDescent="0.25">
      <c r="A37" s="15" t="str">
        <f>rebio23_80ml!A41</f>
        <v>S-C-P17-H3</v>
      </c>
      <c r="B37">
        <v>11146</v>
      </c>
      <c r="C37">
        <v>1122</v>
      </c>
      <c r="D37">
        <v>114</v>
      </c>
      <c r="E37">
        <v>12</v>
      </c>
      <c r="F37">
        <v>1</v>
      </c>
      <c r="K37">
        <v>1128</v>
      </c>
      <c r="L37">
        <v>116</v>
      </c>
      <c r="M37">
        <v>12</v>
      </c>
      <c r="N37">
        <v>1</v>
      </c>
    </row>
    <row r="38" spans="1:14" ht="15" x14ac:dyDescent="0.25">
      <c r="A38" s="15" t="str">
        <f>rebio23_80ml!A42</f>
        <v>S-C-P18-H1</v>
      </c>
      <c r="B38">
        <v>11147</v>
      </c>
      <c r="C38">
        <v>1123</v>
      </c>
      <c r="D38">
        <v>114</v>
      </c>
      <c r="E38">
        <v>12</v>
      </c>
      <c r="F38">
        <v>1</v>
      </c>
      <c r="K38">
        <v>1129</v>
      </c>
      <c r="L38">
        <v>117</v>
      </c>
      <c r="M38">
        <v>12</v>
      </c>
      <c r="N38">
        <v>1</v>
      </c>
    </row>
    <row r="39" spans="1:14" ht="15" x14ac:dyDescent="0.25">
      <c r="A39" s="15" t="str">
        <f>rebio23_80ml!A43</f>
        <v>S-C-P18-H2</v>
      </c>
      <c r="B39">
        <v>11148</v>
      </c>
      <c r="C39">
        <v>1123</v>
      </c>
      <c r="D39">
        <v>114</v>
      </c>
      <c r="E39">
        <v>12</v>
      </c>
      <c r="F39">
        <v>1</v>
      </c>
      <c r="K39">
        <v>1130</v>
      </c>
      <c r="L39">
        <v>117</v>
      </c>
      <c r="M39">
        <v>12</v>
      </c>
      <c r="N39">
        <v>1</v>
      </c>
    </row>
    <row r="40" spans="1:14" ht="15" x14ac:dyDescent="0.25">
      <c r="A40" s="15" t="str">
        <f>rebio23_80ml!A44</f>
        <v>S-C-P18-H3</v>
      </c>
      <c r="B40">
        <v>11149</v>
      </c>
      <c r="C40">
        <v>1123</v>
      </c>
      <c r="D40">
        <v>114</v>
      </c>
      <c r="E40">
        <v>12</v>
      </c>
      <c r="F40">
        <v>1</v>
      </c>
      <c r="K40">
        <v>1131</v>
      </c>
      <c r="L40">
        <v>117</v>
      </c>
      <c r="M40">
        <v>12</v>
      </c>
      <c r="N40">
        <v>1</v>
      </c>
    </row>
    <row r="41" spans="1:14" ht="15" x14ac:dyDescent="0.25">
      <c r="A41" s="15" t="str">
        <f>rebio23_80ml!A45</f>
        <v>S-C-P19-H1</v>
      </c>
      <c r="B41">
        <v>11150</v>
      </c>
      <c r="C41">
        <v>1124</v>
      </c>
      <c r="D41">
        <v>114</v>
      </c>
      <c r="E41">
        <v>12</v>
      </c>
      <c r="F41">
        <v>1</v>
      </c>
      <c r="K41">
        <v>1132</v>
      </c>
      <c r="L41">
        <v>118</v>
      </c>
      <c r="M41">
        <v>12</v>
      </c>
      <c r="N41">
        <v>1</v>
      </c>
    </row>
    <row r="42" spans="1:14" ht="15" x14ac:dyDescent="0.25">
      <c r="A42" s="15" t="str">
        <f>rebio23_80ml!A46</f>
        <v>S-C-P19-H2</v>
      </c>
      <c r="B42">
        <v>11151</v>
      </c>
      <c r="C42">
        <v>1124</v>
      </c>
      <c r="D42">
        <v>114</v>
      </c>
      <c r="E42">
        <v>12</v>
      </c>
      <c r="F42">
        <v>1</v>
      </c>
      <c r="K42">
        <v>1133</v>
      </c>
      <c r="L42">
        <v>118</v>
      </c>
      <c r="M42">
        <v>12</v>
      </c>
      <c r="N42">
        <v>1</v>
      </c>
    </row>
    <row r="43" spans="1:14" ht="15" x14ac:dyDescent="0.25">
      <c r="A43" s="15" t="str">
        <f>rebio23_80ml!A47</f>
        <v>S-C-P19-H3</v>
      </c>
      <c r="B43">
        <v>11152</v>
      </c>
      <c r="C43">
        <v>1124</v>
      </c>
      <c r="D43">
        <v>114</v>
      </c>
      <c r="E43">
        <v>12</v>
      </c>
      <c r="F43">
        <v>1</v>
      </c>
      <c r="K43">
        <v>1134</v>
      </c>
      <c r="L43">
        <v>118</v>
      </c>
      <c r="M43">
        <v>12</v>
      </c>
      <c r="N43">
        <v>1</v>
      </c>
    </row>
    <row r="44" spans="1:14" ht="15" x14ac:dyDescent="0.25">
      <c r="A44" s="15" t="str">
        <f>rebio23_80ml!A48</f>
        <v>S-C-P20-H1</v>
      </c>
      <c r="B44">
        <v>11153</v>
      </c>
      <c r="C44">
        <v>1125</v>
      </c>
      <c r="D44">
        <v>114</v>
      </c>
      <c r="E44">
        <v>12</v>
      </c>
      <c r="F44">
        <v>1</v>
      </c>
      <c r="K44">
        <v>1135</v>
      </c>
      <c r="L44">
        <v>119</v>
      </c>
      <c r="M44">
        <v>12</v>
      </c>
      <c r="N44">
        <v>1</v>
      </c>
    </row>
    <row r="45" spans="1:14" ht="15" x14ac:dyDescent="0.25">
      <c r="A45" s="15" t="str">
        <f>rebio23_80ml!A49</f>
        <v>S-C-P20-H2</v>
      </c>
      <c r="B45">
        <v>11154</v>
      </c>
      <c r="C45">
        <v>1125</v>
      </c>
      <c r="D45">
        <v>114</v>
      </c>
      <c r="E45">
        <v>12</v>
      </c>
      <c r="F45">
        <v>1</v>
      </c>
      <c r="K45">
        <v>1136</v>
      </c>
      <c r="L45">
        <v>119</v>
      </c>
      <c r="M45">
        <v>12</v>
      </c>
      <c r="N45">
        <v>1</v>
      </c>
    </row>
    <row r="46" spans="1:14" ht="15" x14ac:dyDescent="0.25">
      <c r="A46" s="15" t="str">
        <f>rebio23_80ml!A50</f>
        <v>S-C-P20-H3</v>
      </c>
      <c r="B46">
        <v>11155</v>
      </c>
      <c r="C46">
        <v>1125</v>
      </c>
      <c r="D46">
        <v>114</v>
      </c>
      <c r="E46">
        <v>12</v>
      </c>
      <c r="F46">
        <v>1</v>
      </c>
      <c r="K46">
        <v>1137</v>
      </c>
      <c r="L46">
        <v>119</v>
      </c>
      <c r="M46">
        <v>12</v>
      </c>
      <c r="N46">
        <v>1</v>
      </c>
    </row>
    <row r="47" spans="1:14" ht="15" x14ac:dyDescent="0.25"/>
    <row r="48" spans="1:14" ht="15" x14ac:dyDescent="0.25"/>
    <row r="49" spans="1:1" ht="15" x14ac:dyDescent="0.25"/>
    <row r="50" spans="1:1" ht="15" x14ac:dyDescent="0.25">
      <c r="A50" s="15"/>
    </row>
    <row r="51" spans="1:1" ht="15" x14ac:dyDescent="0.25">
      <c r="A51" s="15"/>
    </row>
    <row r="52" spans="1:1" ht="15" x14ac:dyDescent="0.25">
      <c r="A52" s="15"/>
    </row>
    <row r="53" spans="1:1" ht="15" x14ac:dyDescent="0.25">
      <c r="A53" s="15"/>
    </row>
    <row r="54" spans="1:1" ht="15" x14ac:dyDescent="0.25">
      <c r="A54" s="15"/>
    </row>
    <row r="55" spans="1:1" ht="15" x14ac:dyDescent="0.25">
      <c r="A55" s="15"/>
    </row>
    <row r="56" spans="1:1" ht="15" x14ac:dyDescent="0.25">
      <c r="A56" s="15"/>
    </row>
    <row r="57" spans="1:1" ht="15" x14ac:dyDescent="0.25">
      <c r="A57" s="15"/>
    </row>
    <row r="58" spans="1:1" ht="15" x14ac:dyDescent="0.25">
      <c r="A58" s="15"/>
    </row>
    <row r="59" spans="1:1" ht="15" x14ac:dyDescent="0.25">
      <c r="A59" s="15"/>
    </row>
    <row r="60" spans="1:1" ht="15" x14ac:dyDescent="0.25">
      <c r="A60" s="15"/>
    </row>
    <row r="61" spans="1:1" ht="15" x14ac:dyDescent="0.25">
      <c r="A61" s="15"/>
    </row>
    <row r="62" spans="1:1" ht="15" x14ac:dyDescent="0.25">
      <c r="A62" s="15"/>
    </row>
    <row r="63" spans="1:1" ht="15" x14ac:dyDescent="0.25">
      <c r="A63" s="15"/>
    </row>
    <row r="64" spans="1:1" ht="15" x14ac:dyDescent="0.25">
      <c r="A64" s="15"/>
    </row>
    <row r="65" spans="1:1" ht="15" x14ac:dyDescent="0.25">
      <c r="A65" s="15"/>
    </row>
    <row r="66" spans="1:1" ht="15" x14ac:dyDescent="0.25">
      <c r="A66" s="15"/>
    </row>
    <row r="67" spans="1:1" ht="15" x14ac:dyDescent="0.25">
      <c r="A67" s="15"/>
    </row>
    <row r="68" spans="1:1" ht="15" x14ac:dyDescent="0.25">
      <c r="A68" s="15"/>
    </row>
    <row r="69" spans="1:1" ht="15" x14ac:dyDescent="0.25">
      <c r="A69" s="15"/>
    </row>
    <row r="70" spans="1:1" ht="15" x14ac:dyDescent="0.25">
      <c r="A70" s="15"/>
    </row>
    <row r="71" spans="1:1" ht="15" x14ac:dyDescent="0.25">
      <c r="A71" s="15"/>
    </row>
    <row r="72" spans="1:1" ht="15" x14ac:dyDescent="0.25">
      <c r="A72" s="15"/>
    </row>
    <row r="73" spans="1:1" ht="15" x14ac:dyDescent="0.25">
      <c r="A73" s="15"/>
    </row>
    <row r="74" spans="1:1" ht="15" x14ac:dyDescent="0.25">
      <c r="A74" s="15"/>
    </row>
    <row r="75" spans="1:1" ht="15" x14ac:dyDescent="0.25">
      <c r="A75" s="15"/>
    </row>
    <row r="76" spans="1:1" ht="15" x14ac:dyDescent="0.25">
      <c r="A76" s="15"/>
    </row>
    <row r="77" spans="1:1" ht="15" x14ac:dyDescent="0.25">
      <c r="A77" s="15"/>
    </row>
    <row r="78" spans="1:1" ht="15" x14ac:dyDescent="0.25">
      <c r="A78" s="15"/>
    </row>
    <row r="79" spans="1:1" ht="15" x14ac:dyDescent="0.25">
      <c r="A79" s="15"/>
    </row>
    <row r="80" spans="1:1" ht="15" x14ac:dyDescent="0.25">
      <c r="A80" s="15"/>
    </row>
    <row r="81" spans="1:1" ht="15" x14ac:dyDescent="0.25">
      <c r="A81" s="15"/>
    </row>
    <row r="82" spans="1:1" ht="15" x14ac:dyDescent="0.25">
      <c r="A82" s="15"/>
    </row>
    <row r="83" spans="1:1" ht="15" x14ac:dyDescent="0.25">
      <c r="A83" s="15"/>
    </row>
    <row r="84" spans="1:1" ht="15" x14ac:dyDescent="0.25">
      <c r="A84" s="15"/>
    </row>
    <row r="85" spans="1:1" ht="15" x14ac:dyDescent="0.25">
      <c r="A85" s="15"/>
    </row>
    <row r="86" spans="1:1" ht="15" x14ac:dyDescent="0.25">
      <c r="A86" s="15"/>
    </row>
    <row r="87" spans="1:1" ht="15" x14ac:dyDescent="0.25">
      <c r="A87" s="15"/>
    </row>
    <row r="88" spans="1:1" ht="15" x14ac:dyDescent="0.25">
      <c r="A88" s="15"/>
    </row>
    <row r="89" spans="1:1" ht="15" x14ac:dyDescent="0.25">
      <c r="A89" s="15"/>
    </row>
    <row r="90" spans="1:1" ht="15" x14ac:dyDescent="0.25">
      <c r="A90" s="15"/>
    </row>
    <row r="91" spans="1:1" ht="15" x14ac:dyDescent="0.25">
      <c r="A91" s="15"/>
    </row>
    <row r="92" spans="1:1" ht="15" x14ac:dyDescent="0.25">
      <c r="A92" s="15"/>
    </row>
    <row r="93" spans="1:1" ht="15" x14ac:dyDescent="0.25">
      <c r="A93" s="15"/>
    </row>
    <row r="94" spans="1:1" ht="15" x14ac:dyDescent="0.25">
      <c r="A94" s="15"/>
    </row>
    <row r="1048574" ht="15" x14ac:dyDescent="0.25"/>
    <row r="1048575" ht="15" x14ac:dyDescent="0.25"/>
    <row r="1048576" ht="15" x14ac:dyDescent="0.25"/>
  </sheetData>
  <pageMargins left="0.78749999999999998" right="0.78749999999999998" top="1.0249999999999999" bottom="1.0249999999999999" header="0.78749999999999998" footer="0.78749999999999998"/>
  <pageSetup paperSize="9" orientation="portrait" horizontalDpi="300" verticalDpi="300"/>
  <headerFooter>
    <oddHeader>&amp;C&amp;"Arial,Normal"&amp;10&amp;Kffffff&amp;A</oddHeader>
    <oddFooter>&amp;C&amp;"Arial,Normal"&amp;10&amp;KffffffPágina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1048576"/>
  <sheetViews>
    <sheetView zoomScale="60" zoomScaleNormal="60" workbookViewId="0"/>
  </sheetViews>
  <sheetFormatPr defaultColWidth="11.5703125" defaultRowHeight="13.9" customHeight="1" x14ac:dyDescent="0.25"/>
  <sheetData>
    <row r="1" spans="1:14" ht="15" x14ac:dyDescent="0.25">
      <c r="B1" t="s">
        <v>524</v>
      </c>
      <c r="C1" t="s">
        <v>525</v>
      </c>
      <c r="D1" t="s">
        <v>526</v>
      </c>
      <c r="E1" t="s">
        <v>527</v>
      </c>
      <c r="F1" t="s">
        <v>528</v>
      </c>
      <c r="G1" t="s">
        <v>529</v>
      </c>
      <c r="H1" t="s">
        <v>530</v>
      </c>
      <c r="I1" t="s">
        <v>531</v>
      </c>
      <c r="J1" t="s">
        <v>532</v>
      </c>
      <c r="K1" t="s">
        <v>533</v>
      </c>
      <c r="L1" t="s">
        <v>534</v>
      </c>
      <c r="M1" t="s">
        <v>535</v>
      </c>
      <c r="N1" t="s">
        <v>536</v>
      </c>
    </row>
    <row r="2" spans="1:14" ht="15" x14ac:dyDescent="0.25">
      <c r="A2" s="15" t="str">
        <f>rebio23_80ml!A51</f>
        <v>C-B-P05-H1</v>
      </c>
      <c r="B2">
        <v>11111</v>
      </c>
      <c r="C2">
        <v>1111</v>
      </c>
      <c r="D2">
        <v>111</v>
      </c>
      <c r="E2">
        <v>11</v>
      </c>
      <c r="F2">
        <v>1</v>
      </c>
      <c r="G2">
        <v>1111</v>
      </c>
      <c r="H2">
        <v>111</v>
      </c>
      <c r="I2">
        <v>11</v>
      </c>
      <c r="J2">
        <v>1</v>
      </c>
    </row>
    <row r="3" spans="1:14" ht="15" x14ac:dyDescent="0.25">
      <c r="A3" s="15" t="str">
        <f>rebio23_80ml!A52</f>
        <v>C-B-P05-H2</v>
      </c>
      <c r="B3">
        <v>11112</v>
      </c>
      <c r="C3">
        <v>1111</v>
      </c>
      <c r="D3">
        <v>111</v>
      </c>
      <c r="E3">
        <v>11</v>
      </c>
      <c r="F3">
        <v>1</v>
      </c>
      <c r="G3">
        <v>1112</v>
      </c>
      <c r="H3">
        <v>111</v>
      </c>
      <c r="I3">
        <v>11</v>
      </c>
      <c r="J3">
        <v>1</v>
      </c>
    </row>
    <row r="4" spans="1:14" ht="15" x14ac:dyDescent="0.25">
      <c r="A4" s="15" t="str">
        <f>rebio23_80ml!A53</f>
        <v>C-B-P05-H3</v>
      </c>
      <c r="B4">
        <v>11113</v>
      </c>
      <c r="C4">
        <v>1111</v>
      </c>
      <c r="D4">
        <v>111</v>
      </c>
      <c r="E4">
        <v>11</v>
      </c>
      <c r="F4">
        <v>1</v>
      </c>
      <c r="G4">
        <v>1113</v>
      </c>
      <c r="H4">
        <v>111</v>
      </c>
      <c r="I4">
        <v>11</v>
      </c>
      <c r="J4">
        <v>1</v>
      </c>
    </row>
    <row r="5" spans="1:14" ht="15" x14ac:dyDescent="0.25">
      <c r="A5" s="15" t="str">
        <f>rebio23_80ml!A54</f>
        <v>C-B-P06-H1</v>
      </c>
      <c r="B5">
        <v>11114</v>
      </c>
      <c r="C5">
        <v>1112</v>
      </c>
      <c r="D5">
        <v>111</v>
      </c>
      <c r="E5">
        <v>11</v>
      </c>
      <c r="F5">
        <v>1</v>
      </c>
      <c r="G5">
        <v>1114</v>
      </c>
      <c r="H5">
        <v>112</v>
      </c>
      <c r="I5">
        <v>11</v>
      </c>
      <c r="J5">
        <v>1</v>
      </c>
    </row>
    <row r="6" spans="1:14" ht="15" x14ac:dyDescent="0.25">
      <c r="A6" s="15" t="str">
        <f>rebio23_80ml!A55</f>
        <v>C-B-P06-H2</v>
      </c>
      <c r="B6">
        <v>11115</v>
      </c>
      <c r="C6">
        <v>1112</v>
      </c>
      <c r="D6">
        <v>111</v>
      </c>
      <c r="E6">
        <v>11</v>
      </c>
      <c r="F6">
        <v>1</v>
      </c>
      <c r="G6">
        <v>1115</v>
      </c>
      <c r="H6">
        <v>112</v>
      </c>
      <c r="I6">
        <v>11</v>
      </c>
      <c r="J6">
        <v>1</v>
      </c>
    </row>
    <row r="7" spans="1:14" ht="15" x14ac:dyDescent="0.25">
      <c r="A7" s="15" t="str">
        <f>rebio23_80ml!A56</f>
        <v>C-B-P06-H3</v>
      </c>
      <c r="B7">
        <v>11116</v>
      </c>
      <c r="C7">
        <v>1112</v>
      </c>
      <c r="D7">
        <v>111</v>
      </c>
      <c r="E7">
        <v>11</v>
      </c>
      <c r="F7">
        <v>1</v>
      </c>
      <c r="G7">
        <v>1116</v>
      </c>
      <c r="H7">
        <v>112</v>
      </c>
      <c r="I7">
        <v>11</v>
      </c>
      <c r="J7">
        <v>1</v>
      </c>
    </row>
    <row r="8" spans="1:14" ht="15" x14ac:dyDescent="0.25">
      <c r="A8" s="15" t="str">
        <f>rebio23_80ml!A57</f>
        <v>C-B-P07-H1</v>
      </c>
      <c r="B8">
        <v>11117</v>
      </c>
      <c r="C8">
        <v>1113</v>
      </c>
      <c r="D8">
        <v>111</v>
      </c>
      <c r="E8">
        <v>11</v>
      </c>
      <c r="F8">
        <v>1</v>
      </c>
      <c r="G8">
        <v>1117</v>
      </c>
      <c r="H8">
        <v>113</v>
      </c>
      <c r="I8">
        <v>11</v>
      </c>
      <c r="J8">
        <v>1</v>
      </c>
    </row>
    <row r="9" spans="1:14" ht="15" x14ac:dyDescent="0.25">
      <c r="A9" s="15" t="str">
        <f>rebio23_80ml!A58</f>
        <v>C-B-P07-H2</v>
      </c>
      <c r="B9">
        <v>11118</v>
      </c>
      <c r="C9">
        <v>1113</v>
      </c>
      <c r="D9">
        <v>111</v>
      </c>
      <c r="E9">
        <v>11</v>
      </c>
      <c r="F9">
        <v>1</v>
      </c>
      <c r="G9">
        <v>1118</v>
      </c>
      <c r="H9">
        <v>113</v>
      </c>
      <c r="I9">
        <v>11</v>
      </c>
      <c r="J9">
        <v>1</v>
      </c>
    </row>
    <row r="10" spans="1:14" ht="15" x14ac:dyDescent="0.25">
      <c r="A10" s="15" t="str">
        <f>rebio23_80ml!A59</f>
        <v>C-B-P07-H3</v>
      </c>
      <c r="B10">
        <v>11119</v>
      </c>
      <c r="C10">
        <v>1113</v>
      </c>
      <c r="D10">
        <v>111</v>
      </c>
      <c r="E10">
        <v>11</v>
      </c>
      <c r="F10">
        <v>1</v>
      </c>
      <c r="G10">
        <v>1119</v>
      </c>
      <c r="H10">
        <v>113</v>
      </c>
      <c r="I10">
        <v>11</v>
      </c>
      <c r="J10">
        <v>1</v>
      </c>
    </row>
    <row r="11" spans="1:14" ht="15" x14ac:dyDescent="0.25">
      <c r="A11" s="15" t="str">
        <f>rebio23_80ml!A60</f>
        <v>C-B-P08-H1</v>
      </c>
      <c r="B11">
        <v>11120</v>
      </c>
      <c r="C11">
        <v>1114</v>
      </c>
      <c r="D11">
        <v>112</v>
      </c>
      <c r="E11">
        <v>11</v>
      </c>
      <c r="F11">
        <v>1</v>
      </c>
      <c r="G11">
        <v>1120</v>
      </c>
      <c r="H11">
        <v>114</v>
      </c>
      <c r="I11">
        <v>12</v>
      </c>
      <c r="J11">
        <v>1</v>
      </c>
    </row>
    <row r="12" spans="1:14" ht="15" x14ac:dyDescent="0.25">
      <c r="A12" s="15" t="str">
        <f>rebio23_80ml!A61</f>
        <v>C-B-P08-H2</v>
      </c>
      <c r="B12">
        <v>11121</v>
      </c>
      <c r="C12">
        <v>1114</v>
      </c>
      <c r="D12">
        <v>112</v>
      </c>
      <c r="E12">
        <v>11</v>
      </c>
      <c r="F12">
        <v>1</v>
      </c>
      <c r="G12">
        <v>1121</v>
      </c>
      <c r="H12">
        <v>114</v>
      </c>
      <c r="I12">
        <v>12</v>
      </c>
      <c r="J12">
        <v>1</v>
      </c>
    </row>
    <row r="13" spans="1:14" ht="15" x14ac:dyDescent="0.25">
      <c r="A13" s="15" t="str">
        <f>rebio23_80ml!A62</f>
        <v>C-B-P08-H3</v>
      </c>
      <c r="B13">
        <v>11122</v>
      </c>
      <c r="C13">
        <v>1114</v>
      </c>
      <c r="D13">
        <v>112</v>
      </c>
      <c r="E13">
        <v>11</v>
      </c>
      <c r="F13">
        <v>1</v>
      </c>
      <c r="G13">
        <v>1122</v>
      </c>
      <c r="H13">
        <v>114</v>
      </c>
      <c r="I13">
        <v>12</v>
      </c>
      <c r="J13">
        <v>1</v>
      </c>
    </row>
    <row r="14" spans="1:14" ht="15" x14ac:dyDescent="0.25">
      <c r="A14" s="15" t="str">
        <f>rebio23_80ml!A63</f>
        <v>C-B-P09-H1</v>
      </c>
      <c r="B14">
        <v>11123</v>
      </c>
      <c r="C14">
        <v>1115</v>
      </c>
      <c r="D14">
        <v>112</v>
      </c>
      <c r="E14">
        <v>11</v>
      </c>
      <c r="F14">
        <v>1</v>
      </c>
      <c r="G14">
        <v>1123</v>
      </c>
      <c r="H14">
        <v>115</v>
      </c>
      <c r="I14">
        <v>12</v>
      </c>
      <c r="J14">
        <v>1</v>
      </c>
    </row>
    <row r="15" spans="1:14" ht="15" x14ac:dyDescent="0.25">
      <c r="A15" s="15" t="str">
        <f>rebio23_80ml!A64</f>
        <v>C-B-P09-H2</v>
      </c>
      <c r="B15">
        <v>11124</v>
      </c>
      <c r="C15">
        <v>1115</v>
      </c>
      <c r="D15">
        <v>112</v>
      </c>
      <c r="E15">
        <v>11</v>
      </c>
      <c r="F15">
        <v>1</v>
      </c>
      <c r="G15">
        <v>1124</v>
      </c>
      <c r="H15">
        <v>115</v>
      </c>
      <c r="I15">
        <v>12</v>
      </c>
      <c r="J15">
        <v>1</v>
      </c>
    </row>
    <row r="16" spans="1:14" ht="15" x14ac:dyDescent="0.25">
      <c r="A16" s="15" t="str">
        <f>rebio23_80ml!A65</f>
        <v>C-B-P09-H3</v>
      </c>
      <c r="B16">
        <v>11125</v>
      </c>
      <c r="C16">
        <v>1115</v>
      </c>
      <c r="D16">
        <v>112</v>
      </c>
      <c r="E16">
        <v>11</v>
      </c>
      <c r="F16">
        <v>1</v>
      </c>
      <c r="G16">
        <v>1125</v>
      </c>
      <c r="H16">
        <v>115</v>
      </c>
      <c r="I16">
        <v>12</v>
      </c>
      <c r="J16">
        <v>1</v>
      </c>
    </row>
    <row r="17" spans="1:14" ht="15" x14ac:dyDescent="0.25">
      <c r="A17" s="15" t="str">
        <f>rebio23_80ml!A66</f>
        <v>C-B-P10-H1</v>
      </c>
      <c r="B17">
        <v>11126</v>
      </c>
      <c r="C17">
        <v>1116</v>
      </c>
      <c r="D17">
        <v>112</v>
      </c>
      <c r="E17">
        <v>11</v>
      </c>
      <c r="F17">
        <v>1</v>
      </c>
      <c r="G17">
        <v>1126</v>
      </c>
      <c r="H17">
        <v>116</v>
      </c>
      <c r="I17">
        <v>12</v>
      </c>
      <c r="J17">
        <v>1</v>
      </c>
    </row>
    <row r="18" spans="1:14" ht="15" x14ac:dyDescent="0.25">
      <c r="A18" s="15" t="str">
        <f>rebio23_80ml!A67</f>
        <v>C-B-P10-H2</v>
      </c>
      <c r="B18">
        <v>11127</v>
      </c>
      <c r="C18">
        <v>1116</v>
      </c>
      <c r="D18">
        <v>112</v>
      </c>
      <c r="E18">
        <v>11</v>
      </c>
      <c r="F18">
        <v>1</v>
      </c>
      <c r="G18">
        <v>1127</v>
      </c>
      <c r="H18">
        <v>116</v>
      </c>
      <c r="I18">
        <v>12</v>
      </c>
      <c r="J18">
        <v>1</v>
      </c>
    </row>
    <row r="19" spans="1:14" ht="15" x14ac:dyDescent="0.25">
      <c r="A19" s="15" t="str">
        <f>rebio23_80ml!A68</f>
        <v>C-B-P10-H3</v>
      </c>
      <c r="B19">
        <v>11128</v>
      </c>
      <c r="C19">
        <v>1116</v>
      </c>
      <c r="D19">
        <v>112</v>
      </c>
      <c r="E19">
        <v>11</v>
      </c>
      <c r="F19">
        <v>1</v>
      </c>
      <c r="G19">
        <v>1128</v>
      </c>
      <c r="H19">
        <v>116</v>
      </c>
      <c r="I19">
        <v>12</v>
      </c>
      <c r="J19">
        <v>1</v>
      </c>
    </row>
    <row r="20" spans="1:14" ht="15" x14ac:dyDescent="0.25">
      <c r="A20" s="15" t="str">
        <f>rebio23_80ml!A72</f>
        <v>C-C-P12-H1</v>
      </c>
      <c r="B20">
        <v>11129</v>
      </c>
      <c r="C20">
        <v>1117</v>
      </c>
      <c r="D20">
        <v>113</v>
      </c>
      <c r="E20">
        <v>12</v>
      </c>
      <c r="F20">
        <v>1</v>
      </c>
      <c r="K20">
        <v>1111</v>
      </c>
      <c r="L20">
        <v>111</v>
      </c>
      <c r="M20">
        <v>11</v>
      </c>
      <c r="N20">
        <v>1</v>
      </c>
    </row>
    <row r="21" spans="1:14" ht="15" x14ac:dyDescent="0.25">
      <c r="A21" s="15" t="str">
        <f>rebio23_80ml!A73</f>
        <v>C-C-P12-H2</v>
      </c>
      <c r="B21">
        <v>11130</v>
      </c>
      <c r="C21">
        <v>1117</v>
      </c>
      <c r="D21">
        <v>113</v>
      </c>
      <c r="E21">
        <v>12</v>
      </c>
      <c r="F21">
        <v>1</v>
      </c>
      <c r="K21">
        <v>1112</v>
      </c>
      <c r="L21">
        <v>111</v>
      </c>
      <c r="M21">
        <v>11</v>
      </c>
      <c r="N21">
        <v>1</v>
      </c>
    </row>
    <row r="22" spans="1:14" ht="15" x14ac:dyDescent="0.25">
      <c r="A22" s="15" t="str">
        <f>rebio23_80ml!A74</f>
        <v>C-C-P12-H3</v>
      </c>
      <c r="B22">
        <v>11131</v>
      </c>
      <c r="C22">
        <v>1117</v>
      </c>
      <c r="D22">
        <v>113</v>
      </c>
      <c r="E22">
        <v>12</v>
      </c>
      <c r="F22">
        <v>1</v>
      </c>
      <c r="K22">
        <v>1113</v>
      </c>
      <c r="L22">
        <v>111</v>
      </c>
      <c r="M22">
        <v>11</v>
      </c>
      <c r="N22">
        <v>1</v>
      </c>
    </row>
    <row r="23" spans="1:14" ht="15" x14ac:dyDescent="0.25">
      <c r="A23" s="15" t="str">
        <f>rebio23_80ml!A75</f>
        <v>C-C-P13-H1</v>
      </c>
      <c r="B23">
        <v>11132</v>
      </c>
      <c r="C23">
        <v>1118</v>
      </c>
      <c r="D23">
        <v>113</v>
      </c>
      <c r="E23">
        <v>12</v>
      </c>
      <c r="F23">
        <v>1</v>
      </c>
      <c r="K23">
        <v>1114</v>
      </c>
      <c r="L23">
        <v>112</v>
      </c>
      <c r="M23">
        <v>11</v>
      </c>
      <c r="N23">
        <v>1</v>
      </c>
    </row>
    <row r="24" spans="1:14" ht="15" x14ac:dyDescent="0.25">
      <c r="A24" s="15" t="str">
        <f>rebio23_80ml!A76</f>
        <v>C-C-P13-H2</v>
      </c>
      <c r="B24">
        <v>11133</v>
      </c>
      <c r="C24">
        <v>1118</v>
      </c>
      <c r="D24">
        <v>113</v>
      </c>
      <c r="E24">
        <v>12</v>
      </c>
      <c r="F24">
        <v>1</v>
      </c>
      <c r="K24">
        <v>1115</v>
      </c>
      <c r="L24">
        <v>112</v>
      </c>
      <c r="M24">
        <v>11</v>
      </c>
      <c r="N24">
        <v>1</v>
      </c>
    </row>
    <row r="25" spans="1:14" ht="15" x14ac:dyDescent="0.25">
      <c r="A25" s="15" t="str">
        <f>rebio23_80ml!A77</f>
        <v>C-C-P13-H3</v>
      </c>
      <c r="B25">
        <v>11134</v>
      </c>
      <c r="C25">
        <v>1118</v>
      </c>
      <c r="D25">
        <v>113</v>
      </c>
      <c r="E25">
        <v>12</v>
      </c>
      <c r="F25">
        <v>1</v>
      </c>
      <c r="K25">
        <v>1116</v>
      </c>
      <c r="L25">
        <v>112</v>
      </c>
      <c r="M25">
        <v>11</v>
      </c>
      <c r="N25">
        <v>1</v>
      </c>
    </row>
    <row r="26" spans="1:14" ht="15" x14ac:dyDescent="0.25">
      <c r="A26" s="15" t="str">
        <f>rebio23_80ml!A78</f>
        <v>C-C-P14-H1</v>
      </c>
      <c r="B26">
        <v>11135</v>
      </c>
      <c r="C26">
        <v>1119</v>
      </c>
      <c r="D26">
        <v>113</v>
      </c>
      <c r="E26">
        <v>12</v>
      </c>
      <c r="F26">
        <v>1</v>
      </c>
      <c r="K26">
        <v>1117</v>
      </c>
      <c r="L26">
        <v>113</v>
      </c>
      <c r="M26">
        <v>11</v>
      </c>
      <c r="N26">
        <v>1</v>
      </c>
    </row>
    <row r="27" spans="1:14" ht="15" x14ac:dyDescent="0.25">
      <c r="A27" s="15" t="str">
        <f>rebio23_80ml!A79</f>
        <v>C-C-P14-H2</v>
      </c>
      <c r="B27">
        <v>11136</v>
      </c>
      <c r="C27">
        <v>1119</v>
      </c>
      <c r="D27">
        <v>113</v>
      </c>
      <c r="E27">
        <v>12</v>
      </c>
      <c r="F27">
        <v>1</v>
      </c>
      <c r="K27">
        <v>1118</v>
      </c>
      <c r="L27">
        <v>113</v>
      </c>
      <c r="M27">
        <v>11</v>
      </c>
      <c r="N27">
        <v>1</v>
      </c>
    </row>
    <row r="28" spans="1:14" ht="15" x14ac:dyDescent="0.25">
      <c r="A28" s="15" t="str">
        <f>rebio23_80ml!A80</f>
        <v>C-C-P14-H3</v>
      </c>
      <c r="B28">
        <v>11137</v>
      </c>
      <c r="C28">
        <v>1119</v>
      </c>
      <c r="D28">
        <v>113</v>
      </c>
      <c r="E28">
        <v>12</v>
      </c>
      <c r="F28">
        <v>1</v>
      </c>
      <c r="K28">
        <v>1119</v>
      </c>
      <c r="L28">
        <v>113</v>
      </c>
      <c r="M28">
        <v>11</v>
      </c>
      <c r="N28">
        <v>1</v>
      </c>
    </row>
    <row r="29" spans="1:14" ht="15" x14ac:dyDescent="0.25">
      <c r="A29" s="15" t="str">
        <f>rebio23_80ml!A81</f>
        <v>C-C-P15-H1</v>
      </c>
      <c r="B29">
        <v>11138</v>
      </c>
      <c r="C29">
        <v>1120</v>
      </c>
      <c r="D29">
        <v>113</v>
      </c>
      <c r="E29">
        <v>12</v>
      </c>
      <c r="F29">
        <v>1</v>
      </c>
      <c r="K29">
        <v>1120</v>
      </c>
      <c r="L29">
        <v>114</v>
      </c>
      <c r="M29">
        <v>11</v>
      </c>
      <c r="N29">
        <v>1</v>
      </c>
    </row>
    <row r="30" spans="1:14" ht="15" x14ac:dyDescent="0.25">
      <c r="A30" s="15" t="str">
        <f>rebio23_80ml!A82</f>
        <v>C-C-P15-H2</v>
      </c>
      <c r="B30">
        <v>11139</v>
      </c>
      <c r="C30">
        <v>1120</v>
      </c>
      <c r="D30">
        <v>113</v>
      </c>
      <c r="E30">
        <v>12</v>
      </c>
      <c r="F30">
        <v>1</v>
      </c>
      <c r="K30">
        <v>1121</v>
      </c>
      <c r="L30">
        <v>114</v>
      </c>
      <c r="M30">
        <v>11</v>
      </c>
      <c r="N30">
        <v>1</v>
      </c>
    </row>
    <row r="31" spans="1:14" ht="15" x14ac:dyDescent="0.25">
      <c r="A31" s="15" t="str">
        <f>rebio23_80ml!A83</f>
        <v>C-C-P15-H3</v>
      </c>
      <c r="B31">
        <v>11140</v>
      </c>
      <c r="C31">
        <v>1120</v>
      </c>
      <c r="D31">
        <v>113</v>
      </c>
      <c r="E31">
        <v>12</v>
      </c>
      <c r="F31">
        <v>1</v>
      </c>
      <c r="K31">
        <v>1122</v>
      </c>
      <c r="L31">
        <v>114</v>
      </c>
      <c r="M31">
        <v>11</v>
      </c>
      <c r="N31">
        <v>1</v>
      </c>
    </row>
    <row r="32" spans="1:14" ht="15" x14ac:dyDescent="0.25">
      <c r="A32" s="15" t="str">
        <f>rebio23_80ml!A84</f>
        <v>C-C-P16-H1</v>
      </c>
      <c r="B32">
        <v>11141</v>
      </c>
      <c r="C32">
        <v>1121</v>
      </c>
      <c r="D32">
        <v>114</v>
      </c>
      <c r="E32">
        <v>12</v>
      </c>
      <c r="F32">
        <v>1</v>
      </c>
      <c r="K32">
        <v>1123</v>
      </c>
      <c r="L32">
        <v>115</v>
      </c>
      <c r="M32">
        <v>12</v>
      </c>
      <c r="N32">
        <v>1</v>
      </c>
    </row>
    <row r="33" spans="1:14" ht="15" x14ac:dyDescent="0.25">
      <c r="A33" s="15" t="str">
        <f>rebio23_80ml!A85</f>
        <v>C-C-P16-H2</v>
      </c>
      <c r="B33">
        <v>11142</v>
      </c>
      <c r="C33">
        <v>1121</v>
      </c>
      <c r="D33">
        <v>114</v>
      </c>
      <c r="E33">
        <v>12</v>
      </c>
      <c r="F33">
        <v>1</v>
      </c>
      <c r="K33">
        <v>1124</v>
      </c>
      <c r="L33">
        <v>115</v>
      </c>
      <c r="M33">
        <v>12</v>
      </c>
      <c r="N33">
        <v>1</v>
      </c>
    </row>
    <row r="34" spans="1:14" ht="15" x14ac:dyDescent="0.25">
      <c r="A34" s="15" t="str">
        <f>rebio23_80ml!A86</f>
        <v>C-C-P16-H3</v>
      </c>
      <c r="B34">
        <v>11143</v>
      </c>
      <c r="C34">
        <v>1121</v>
      </c>
      <c r="D34">
        <v>114</v>
      </c>
      <c r="E34">
        <v>12</v>
      </c>
      <c r="F34">
        <v>1</v>
      </c>
      <c r="K34">
        <v>1125</v>
      </c>
      <c r="L34">
        <v>115</v>
      </c>
      <c r="M34">
        <v>12</v>
      </c>
      <c r="N34">
        <v>1</v>
      </c>
    </row>
    <row r="35" spans="1:14" ht="15" x14ac:dyDescent="0.25">
      <c r="A35" s="15" t="str">
        <f>rebio23_80ml!A87</f>
        <v>C-C-P17-H1</v>
      </c>
      <c r="B35">
        <v>11144</v>
      </c>
      <c r="C35">
        <v>1122</v>
      </c>
      <c r="D35">
        <v>114</v>
      </c>
      <c r="E35">
        <v>12</v>
      </c>
      <c r="F35">
        <v>1</v>
      </c>
      <c r="K35">
        <v>1126</v>
      </c>
      <c r="L35">
        <v>116</v>
      </c>
      <c r="M35">
        <v>12</v>
      </c>
      <c r="N35">
        <v>1</v>
      </c>
    </row>
    <row r="36" spans="1:14" ht="15" x14ac:dyDescent="0.25">
      <c r="A36" s="15" t="str">
        <f>rebio23_80ml!A88</f>
        <v>C-C-P17-H2</v>
      </c>
      <c r="B36">
        <v>11145</v>
      </c>
      <c r="C36">
        <v>1122</v>
      </c>
      <c r="D36">
        <v>114</v>
      </c>
      <c r="E36">
        <v>12</v>
      </c>
      <c r="F36">
        <v>1</v>
      </c>
      <c r="K36">
        <v>1127</v>
      </c>
      <c r="L36">
        <v>116</v>
      </c>
      <c r="M36">
        <v>12</v>
      </c>
      <c r="N36">
        <v>1</v>
      </c>
    </row>
    <row r="37" spans="1:14" ht="15" x14ac:dyDescent="0.25">
      <c r="A37" s="15" t="str">
        <f>rebio23_80ml!A89</f>
        <v>C-C-P17-H3</v>
      </c>
      <c r="B37">
        <v>11146</v>
      </c>
      <c r="C37">
        <v>1122</v>
      </c>
      <c r="D37">
        <v>114</v>
      </c>
      <c r="E37">
        <v>12</v>
      </c>
      <c r="F37">
        <v>1</v>
      </c>
      <c r="K37">
        <v>1128</v>
      </c>
      <c r="L37">
        <v>116</v>
      </c>
      <c r="M37">
        <v>12</v>
      </c>
      <c r="N37">
        <v>1</v>
      </c>
    </row>
    <row r="38" spans="1:14" ht="15" x14ac:dyDescent="0.25">
      <c r="A38" s="15" t="str">
        <f>rebio23_80ml!A90</f>
        <v>C-C-P18-H1</v>
      </c>
      <c r="B38">
        <v>11147</v>
      </c>
      <c r="C38">
        <v>1123</v>
      </c>
      <c r="D38">
        <v>114</v>
      </c>
      <c r="E38">
        <v>12</v>
      </c>
      <c r="F38">
        <v>1</v>
      </c>
      <c r="K38">
        <v>1129</v>
      </c>
      <c r="L38">
        <v>117</v>
      </c>
      <c r="M38">
        <v>12</v>
      </c>
      <c r="N38">
        <v>1</v>
      </c>
    </row>
    <row r="39" spans="1:14" ht="15" x14ac:dyDescent="0.25">
      <c r="A39" s="15" t="str">
        <f>rebio23_80ml!A91</f>
        <v>C-C-P18-H2</v>
      </c>
      <c r="B39">
        <v>11148</v>
      </c>
      <c r="C39">
        <v>1123</v>
      </c>
      <c r="D39">
        <v>114</v>
      </c>
      <c r="E39">
        <v>12</v>
      </c>
      <c r="F39">
        <v>1</v>
      </c>
      <c r="K39">
        <v>1130</v>
      </c>
      <c r="L39">
        <v>117</v>
      </c>
      <c r="M39">
        <v>12</v>
      </c>
      <c r="N39">
        <v>1</v>
      </c>
    </row>
    <row r="40" spans="1:14" ht="15" x14ac:dyDescent="0.25">
      <c r="A40" s="15" t="str">
        <f>rebio23_80ml!A92</f>
        <v>C-C-P18-H3</v>
      </c>
      <c r="B40">
        <v>11149</v>
      </c>
      <c r="C40">
        <v>1123</v>
      </c>
      <c r="D40">
        <v>114</v>
      </c>
      <c r="E40">
        <v>12</v>
      </c>
      <c r="F40">
        <v>1</v>
      </c>
      <c r="K40">
        <v>1131</v>
      </c>
      <c r="L40">
        <v>117</v>
      </c>
      <c r="M40">
        <v>12</v>
      </c>
      <c r="N40">
        <v>1</v>
      </c>
    </row>
    <row r="41" spans="1:14" ht="15" x14ac:dyDescent="0.25">
      <c r="A41" s="15" t="str">
        <f>rebio23_80ml!A93</f>
        <v>C-C-P19-H1</v>
      </c>
      <c r="B41">
        <v>11150</v>
      </c>
      <c r="C41">
        <v>1124</v>
      </c>
      <c r="D41">
        <v>114</v>
      </c>
      <c r="E41">
        <v>12</v>
      </c>
      <c r="F41">
        <v>1</v>
      </c>
      <c r="K41">
        <v>1132</v>
      </c>
      <c r="L41">
        <v>118</v>
      </c>
      <c r="M41">
        <v>12</v>
      </c>
      <c r="N41">
        <v>1</v>
      </c>
    </row>
    <row r="42" spans="1:14" ht="15" x14ac:dyDescent="0.25">
      <c r="A42" s="15" t="str">
        <f>rebio23_80ml!A94</f>
        <v>C-C-P19-H2</v>
      </c>
      <c r="B42">
        <v>11151</v>
      </c>
      <c r="C42">
        <v>1124</v>
      </c>
      <c r="D42">
        <v>114</v>
      </c>
      <c r="E42">
        <v>12</v>
      </c>
      <c r="F42">
        <v>1</v>
      </c>
      <c r="K42">
        <v>1133</v>
      </c>
      <c r="L42">
        <v>118</v>
      </c>
      <c r="M42">
        <v>12</v>
      </c>
      <c r="N42">
        <v>1</v>
      </c>
    </row>
    <row r="43" spans="1:14" ht="15" x14ac:dyDescent="0.25">
      <c r="A43" s="15" t="str">
        <f>rebio23_80ml!A95</f>
        <v>C-C-P19-H3</v>
      </c>
      <c r="B43">
        <v>11152</v>
      </c>
      <c r="C43">
        <v>1124</v>
      </c>
      <c r="D43">
        <v>114</v>
      </c>
      <c r="E43">
        <v>12</v>
      </c>
      <c r="F43">
        <v>1</v>
      </c>
      <c r="K43">
        <v>1134</v>
      </c>
      <c r="L43">
        <v>118</v>
      </c>
      <c r="M43">
        <v>12</v>
      </c>
      <c r="N43">
        <v>1</v>
      </c>
    </row>
    <row r="44" spans="1:14" ht="15" x14ac:dyDescent="0.25">
      <c r="A44" s="15" t="str">
        <f>rebio23_80ml!A96</f>
        <v>C-C-P20-H1</v>
      </c>
      <c r="B44">
        <v>11153</v>
      </c>
      <c r="C44">
        <v>1125</v>
      </c>
      <c r="D44">
        <v>114</v>
      </c>
      <c r="E44">
        <v>12</v>
      </c>
      <c r="F44">
        <v>1</v>
      </c>
      <c r="K44">
        <v>1135</v>
      </c>
      <c r="L44">
        <v>119</v>
      </c>
      <c r="M44">
        <v>12</v>
      </c>
      <c r="N44">
        <v>1</v>
      </c>
    </row>
    <row r="45" spans="1:14" ht="15" x14ac:dyDescent="0.25">
      <c r="A45" s="15" t="str">
        <f>rebio23_80ml!A97</f>
        <v>C-C-P20-H2</v>
      </c>
      <c r="B45">
        <v>11154</v>
      </c>
      <c r="C45">
        <v>1125</v>
      </c>
      <c r="D45">
        <v>114</v>
      </c>
      <c r="E45">
        <v>12</v>
      </c>
      <c r="F45">
        <v>1</v>
      </c>
      <c r="K45">
        <v>1136</v>
      </c>
      <c r="L45">
        <v>119</v>
      </c>
      <c r="M45">
        <v>12</v>
      </c>
      <c r="N45">
        <v>1</v>
      </c>
    </row>
    <row r="46" spans="1:14" ht="15" x14ac:dyDescent="0.25">
      <c r="A46" s="15" t="str">
        <f>rebio23_80ml!A98</f>
        <v>C-C-P20-H3</v>
      </c>
      <c r="B46">
        <v>11155</v>
      </c>
      <c r="C46">
        <v>1125</v>
      </c>
      <c r="D46">
        <v>114</v>
      </c>
      <c r="E46">
        <v>12</v>
      </c>
      <c r="F46">
        <v>1</v>
      </c>
      <c r="K46">
        <v>1137</v>
      </c>
      <c r="L46">
        <v>119</v>
      </c>
      <c r="M46">
        <v>12</v>
      </c>
      <c r="N46">
        <v>1</v>
      </c>
    </row>
    <row r="47" spans="1:14" ht="15" x14ac:dyDescent="0.25">
      <c r="A47" s="15"/>
    </row>
    <row r="48" spans="1:14" ht="15" x14ac:dyDescent="0.25">
      <c r="A48" s="15"/>
    </row>
    <row r="49" spans="1:1" ht="15" x14ac:dyDescent="0.25">
      <c r="A49" s="15"/>
    </row>
    <row r="50" spans="1:1" ht="15" x14ac:dyDescent="0.25">
      <c r="A50" s="15"/>
    </row>
    <row r="51" spans="1:1" ht="15" x14ac:dyDescent="0.25">
      <c r="A51" s="15"/>
    </row>
    <row r="52" spans="1:1" ht="15" x14ac:dyDescent="0.25">
      <c r="A52" s="15"/>
    </row>
    <row r="53" spans="1:1" ht="15" x14ac:dyDescent="0.25">
      <c r="A53" s="15"/>
    </row>
    <row r="54" spans="1:1" ht="15" x14ac:dyDescent="0.25">
      <c r="A54" s="15"/>
    </row>
    <row r="55" spans="1:1" ht="15" x14ac:dyDescent="0.25">
      <c r="A55" s="15"/>
    </row>
    <row r="56" spans="1:1" ht="15" x14ac:dyDescent="0.25">
      <c r="A56" s="15"/>
    </row>
    <row r="57" spans="1:1" ht="15" x14ac:dyDescent="0.25">
      <c r="A57" s="15"/>
    </row>
    <row r="58" spans="1:1" ht="15" x14ac:dyDescent="0.25">
      <c r="A58" s="15"/>
    </row>
    <row r="59" spans="1:1" ht="15" x14ac:dyDescent="0.25">
      <c r="A59" s="15"/>
    </row>
    <row r="60" spans="1:1" ht="15" x14ac:dyDescent="0.25">
      <c r="A60" s="15"/>
    </row>
    <row r="61" spans="1:1" ht="15" x14ac:dyDescent="0.25">
      <c r="A61" s="15"/>
    </row>
    <row r="62" spans="1:1" ht="15" x14ac:dyDescent="0.25">
      <c r="A62" s="15"/>
    </row>
    <row r="63" spans="1:1" ht="15" x14ac:dyDescent="0.25">
      <c r="A63" s="15"/>
    </row>
    <row r="64" spans="1:1" ht="15" x14ac:dyDescent="0.25">
      <c r="A64" s="15"/>
    </row>
    <row r="65" spans="1:1" ht="15" x14ac:dyDescent="0.25">
      <c r="A65" s="15"/>
    </row>
    <row r="66" spans="1:1" ht="15" x14ac:dyDescent="0.25">
      <c r="A66" s="15"/>
    </row>
    <row r="67" spans="1:1" ht="15" x14ac:dyDescent="0.25">
      <c r="A67" s="15"/>
    </row>
    <row r="68" spans="1:1" ht="15" x14ac:dyDescent="0.25">
      <c r="A68" s="15"/>
    </row>
    <row r="69" spans="1:1" ht="15" x14ac:dyDescent="0.25">
      <c r="A69" s="15"/>
    </row>
    <row r="70" spans="1:1" ht="15" x14ac:dyDescent="0.25">
      <c r="A70" s="15"/>
    </row>
    <row r="71" spans="1:1" ht="15" x14ac:dyDescent="0.25">
      <c r="A71" s="15"/>
    </row>
    <row r="72" spans="1:1" ht="15" x14ac:dyDescent="0.25">
      <c r="A72" s="15"/>
    </row>
    <row r="73" spans="1:1" ht="15" x14ac:dyDescent="0.25">
      <c r="A73" s="15"/>
    </row>
    <row r="74" spans="1:1" ht="15" x14ac:dyDescent="0.25">
      <c r="A74" s="15"/>
    </row>
    <row r="75" spans="1:1" ht="15" x14ac:dyDescent="0.25">
      <c r="A75" s="15"/>
    </row>
    <row r="76" spans="1:1" ht="15" x14ac:dyDescent="0.25">
      <c r="A76" s="15"/>
    </row>
    <row r="77" spans="1:1" ht="15" x14ac:dyDescent="0.25">
      <c r="A77" s="15"/>
    </row>
    <row r="78" spans="1:1" ht="15" x14ac:dyDescent="0.25">
      <c r="A78" s="15"/>
    </row>
    <row r="79" spans="1:1" ht="15" x14ac:dyDescent="0.25">
      <c r="A79" s="15"/>
    </row>
    <row r="80" spans="1:1" ht="15" x14ac:dyDescent="0.25">
      <c r="A80" s="15"/>
    </row>
    <row r="81" spans="1:1" ht="15" x14ac:dyDescent="0.25">
      <c r="A81" s="15"/>
    </row>
    <row r="82" spans="1:1" ht="15" x14ac:dyDescent="0.25">
      <c r="A82" s="15"/>
    </row>
    <row r="83" spans="1:1" ht="15" x14ac:dyDescent="0.25">
      <c r="A83" s="15"/>
    </row>
    <row r="84" spans="1:1" ht="15" x14ac:dyDescent="0.25">
      <c r="A84" s="15"/>
    </row>
    <row r="85" spans="1:1" ht="15" x14ac:dyDescent="0.25">
      <c r="A85" s="15"/>
    </row>
    <row r="86" spans="1:1" ht="15" x14ac:dyDescent="0.25">
      <c r="A86" s="15"/>
    </row>
    <row r="87" spans="1:1" ht="15" x14ac:dyDescent="0.25">
      <c r="A87" s="15"/>
    </row>
    <row r="1048570" ht="15" x14ac:dyDescent="0.25"/>
    <row r="1048571" ht="15" x14ac:dyDescent="0.25"/>
    <row r="1048572" ht="15" x14ac:dyDescent="0.25"/>
    <row r="1048573" ht="15" x14ac:dyDescent="0.25"/>
    <row r="1048574" ht="15" x14ac:dyDescent="0.25"/>
    <row r="1048575" ht="15" x14ac:dyDescent="0.25"/>
    <row r="1048576" ht="15" x14ac:dyDescent="0.25"/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V1000"/>
  <sheetViews>
    <sheetView zoomScale="60" zoomScaleNormal="60" workbookViewId="0"/>
  </sheetViews>
  <sheetFormatPr defaultColWidth="11.5703125" defaultRowHeight="15" customHeight="1" x14ac:dyDescent="0.25"/>
  <cols>
    <col min="1" max="1" width="10.5703125" customWidth="1"/>
    <col min="2" max="20" width="8.7109375" customWidth="1"/>
    <col min="21" max="21" width="30.28515625" customWidth="1"/>
    <col min="22" max="26" width="8.7109375" customWidth="1"/>
    <col min="27" max="1024" width="14.42578125" customWidth="1"/>
  </cols>
  <sheetData>
    <row r="1" spans="1:22" ht="12.75" customHeight="1" x14ac:dyDescent="0.25">
      <c r="A1" s="34" t="s">
        <v>537</v>
      </c>
      <c r="B1" s="3"/>
      <c r="C1" s="4"/>
      <c r="D1" s="3"/>
      <c r="E1" s="3"/>
      <c r="F1" s="3"/>
      <c r="G1" s="3"/>
      <c r="H1" s="3"/>
      <c r="I1" s="4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spans="1:22" ht="12.75" customHeight="1" x14ac:dyDescent="0.25"/>
    <row r="3" spans="1:22" ht="12.75" customHeight="1" x14ac:dyDescent="0.25"/>
    <row r="4" spans="1:22" ht="12.75" customHeight="1" x14ac:dyDescent="0.25"/>
    <row r="5" spans="1:22" ht="12.75" customHeight="1" x14ac:dyDescent="0.25"/>
    <row r="6" spans="1:22" ht="12.75" customHeight="1" x14ac:dyDescent="0.25"/>
    <row r="7" spans="1:22" ht="12.75" customHeight="1" x14ac:dyDescent="0.25"/>
    <row r="8" spans="1:22" ht="12.75" customHeight="1" x14ac:dyDescent="0.25"/>
    <row r="9" spans="1:22" ht="12.75" customHeight="1" x14ac:dyDescent="0.25"/>
    <row r="10" spans="1:22" ht="12.75" customHeight="1" x14ac:dyDescent="0.25"/>
    <row r="11" spans="1:22" ht="12.75" customHeight="1" x14ac:dyDescent="0.25"/>
    <row r="12" spans="1:22" ht="12.75" customHeight="1" x14ac:dyDescent="0.25"/>
    <row r="13" spans="1:22" ht="12.75" customHeight="1" x14ac:dyDescent="0.25"/>
    <row r="14" spans="1:22" ht="12.75" customHeight="1" x14ac:dyDescent="0.25"/>
    <row r="15" spans="1:22" ht="12.75" customHeight="1" x14ac:dyDescent="0.25"/>
    <row r="16" spans="1:22" ht="12.75" customHeight="1" x14ac:dyDescent="0.25"/>
    <row r="17" ht="12.75" customHeight="1" x14ac:dyDescent="0.25"/>
    <row r="18" ht="12.75" customHeight="1" x14ac:dyDescent="0.25"/>
    <row r="19" ht="12.75" customHeight="1" x14ac:dyDescent="0.25"/>
    <row r="20" ht="12.75" customHeight="1" x14ac:dyDescent="0.25"/>
    <row r="21" ht="12.75" customHeight="1" x14ac:dyDescent="0.25"/>
    <row r="22" ht="12.75" customHeight="1" x14ac:dyDescent="0.25"/>
    <row r="23" ht="12.75" customHeight="1" x14ac:dyDescent="0.25"/>
    <row r="24" ht="12.75" customHeight="1" x14ac:dyDescent="0.25"/>
    <row r="25" ht="12.75" customHeight="1" x14ac:dyDescent="0.25"/>
    <row r="26" ht="12.75" customHeight="1" x14ac:dyDescent="0.25"/>
    <row r="27" ht="12.75" customHeight="1" x14ac:dyDescent="0.25"/>
    <row r="28" ht="12.75" customHeight="1" x14ac:dyDescent="0.25"/>
    <row r="29" ht="12.75" customHeight="1" x14ac:dyDescent="0.25"/>
    <row r="30" ht="12.75" customHeight="1" x14ac:dyDescent="0.25"/>
    <row r="31" ht="12.75" customHeight="1" x14ac:dyDescent="0.25"/>
    <row r="32" ht="12.75" customHeight="1" x14ac:dyDescent="0.25"/>
    <row r="33" ht="12.75" customHeight="1" x14ac:dyDescent="0.25"/>
    <row r="34" ht="12.75" customHeight="1" x14ac:dyDescent="0.25"/>
    <row r="35" ht="12.75" customHeight="1" x14ac:dyDescent="0.25"/>
    <row r="36" ht="12.75" customHeight="1" x14ac:dyDescent="0.25"/>
    <row r="37" ht="12.75" customHeight="1" x14ac:dyDescent="0.25"/>
    <row r="38" ht="12.75" customHeight="1" x14ac:dyDescent="0.25"/>
    <row r="39" ht="12.75" customHeight="1" x14ac:dyDescent="0.25"/>
    <row r="40" ht="12.75" customHeight="1" x14ac:dyDescent="0.25"/>
    <row r="41" ht="12.75" customHeight="1" x14ac:dyDescent="0.25"/>
    <row r="42" ht="12.75" customHeight="1" x14ac:dyDescent="0.25"/>
    <row r="43" ht="12.75" customHeight="1" x14ac:dyDescent="0.25"/>
    <row r="44" ht="12.75" customHeight="1" x14ac:dyDescent="0.25"/>
    <row r="45" ht="12.75" customHeight="1" x14ac:dyDescent="0.25"/>
    <row r="46" ht="12.75" customHeight="1" x14ac:dyDescent="0.25"/>
    <row r="47" ht="12.75" customHeight="1" x14ac:dyDescent="0.25"/>
    <row r="48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2.75" customHeight="1" x14ac:dyDescent="0.25"/>
    <row r="63" ht="12.75" customHeight="1" x14ac:dyDescent="0.25"/>
    <row r="64" ht="12.75" customHeight="1" x14ac:dyDescent="0.25"/>
    <row r="65" ht="12.75" customHeight="1" x14ac:dyDescent="0.25"/>
    <row r="66" ht="12.75" customHeight="1" x14ac:dyDescent="0.25"/>
    <row r="67" ht="12.75" customHeight="1" x14ac:dyDescent="0.25"/>
    <row r="68" ht="12.75" customHeight="1" x14ac:dyDescent="0.25"/>
    <row r="69" ht="12.75" customHeight="1" x14ac:dyDescent="0.25"/>
    <row r="70" ht="12.75" customHeight="1" x14ac:dyDescent="0.25"/>
    <row r="71" ht="12.75" customHeight="1" x14ac:dyDescent="0.25"/>
    <row r="72" ht="12.75" customHeight="1" x14ac:dyDescent="0.25"/>
    <row r="73" ht="12.75" customHeight="1" x14ac:dyDescent="0.25"/>
    <row r="74" ht="12.75" customHeight="1" x14ac:dyDescent="0.25"/>
    <row r="75" ht="12.75" customHeight="1" x14ac:dyDescent="0.25"/>
    <row r="76" ht="12.75" customHeight="1" x14ac:dyDescent="0.25"/>
    <row r="77" ht="12.75" customHeight="1" x14ac:dyDescent="0.25"/>
    <row r="78" ht="12.75" customHeight="1" x14ac:dyDescent="0.25"/>
    <row r="79" ht="12.75" customHeight="1" x14ac:dyDescent="0.25"/>
    <row r="8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1529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2</vt:i4>
      </vt:variant>
    </vt:vector>
  </HeadingPairs>
  <TitlesOfParts>
    <vt:vector size="11" baseType="lpstr">
      <vt:lpstr>contagens</vt:lpstr>
      <vt:lpstr>rebio23_80ml</vt:lpstr>
      <vt:lpstr>densidade_hab_indL</vt:lpstr>
      <vt:lpstr>densidade_ponto_indL</vt:lpstr>
      <vt:lpstr>codes</vt:lpstr>
      <vt:lpstr>Espécies</vt:lpstr>
      <vt:lpstr>escalas_seco</vt:lpstr>
      <vt:lpstr>escalas_chuvoso</vt:lpstr>
      <vt:lpstr>&lt;-- AQUI</vt:lpstr>
      <vt:lpstr>densidade_hab_indL!Excel_BuiltIn__FilterDatabase</vt:lpstr>
      <vt:lpstr>rebio23_80ml!Excel_BuiltIn__FilterDatabase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Elvio Medeiros</cp:lastModifiedBy>
  <cp:revision>44</cp:revision>
  <dcterms:modified xsi:type="dcterms:W3CDTF">2026-09-16T12:17:23Z</dcterms:modified>
  <dc:language>pt-BR</dc:language>
</cp:coreProperties>
</file>