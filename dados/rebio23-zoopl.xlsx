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Zoo-Rebio/ZooRebio3-23_24/rebio23-part/dados/"/>
    </mc:Choice>
  </mc:AlternateContent>
  <xr:revisionPtr revIDLastSave="375" documentId="8_{3F5A86CD-7606-47D4-931D-30BD1EAC09D6}" xr6:coauthVersionLast="47" xr6:coauthVersionMax="47" xr10:uidLastSave="{D943848E-01AA-41A8-BEB6-C639559FB5EC}"/>
  <bookViews>
    <workbookView xWindow="-20490" yWindow="-21510" windowWidth="19470" windowHeight="13380" tabRatio="779" activeTab="6" xr2:uid="{00000000-000D-0000-FFFF-FFFF00000000}"/>
  </bookViews>
  <sheets>
    <sheet name="contagens" sheetId="1" r:id="rId1"/>
    <sheet name="rebio23_80ml" sheetId="2" r:id="rId2"/>
    <sheet name="densidade_hab_indL" sheetId="3" r:id="rId3"/>
    <sheet name="densidade_ponto_indL" sheetId="4" r:id="rId4"/>
    <sheet name="codes" sheetId="5" r:id="rId5"/>
    <sheet name="Espécies" sheetId="6" r:id="rId6"/>
    <sheet name="escalas_final" sheetId="10" r:id="rId7"/>
    <sheet name="&lt;-- AQUI" sheetId="9" r:id="rId8"/>
  </sheets>
  <definedNames>
    <definedName name="Excel_BuiltIn__FilterDatabase" localSheetId="2">densidade_hab_indL!$A$1:$D$49</definedName>
    <definedName name="Excel_BuiltIn__FilterDatabase" localSheetId="1">rebio23_80ml!$A$3:$CM$104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98" i="10" l="1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2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90" i="6"/>
  <c r="N87" i="6"/>
  <c r="N86" i="6"/>
  <c r="N85" i="6"/>
  <c r="N82" i="6"/>
  <c r="N81" i="6"/>
  <c r="N79" i="6"/>
  <c r="N77" i="6"/>
  <c r="N75" i="6"/>
  <c r="N74" i="6"/>
  <c r="N72" i="6"/>
  <c r="N71" i="6"/>
  <c r="N70" i="6"/>
  <c r="N68" i="6"/>
  <c r="N67" i="6"/>
  <c r="N66" i="6"/>
  <c r="N65" i="6"/>
  <c r="N64" i="6"/>
  <c r="N59" i="6"/>
  <c r="N57" i="6"/>
  <c r="N56" i="6"/>
  <c r="N54" i="6"/>
  <c r="N52" i="6"/>
  <c r="N50" i="6"/>
  <c r="N49" i="6"/>
  <c r="N48" i="6"/>
  <c r="N46" i="6"/>
  <c r="N44" i="6"/>
  <c r="N43" i="6"/>
  <c r="N42" i="6"/>
  <c r="N41" i="6"/>
  <c r="N39" i="6"/>
  <c r="N37" i="6"/>
  <c r="N36" i="6"/>
  <c r="N35" i="6"/>
  <c r="N34" i="6"/>
  <c r="N32" i="6"/>
  <c r="N31" i="6"/>
  <c r="N30" i="6"/>
  <c r="N28" i="6"/>
  <c r="N27" i="6"/>
  <c r="N26" i="6"/>
  <c r="N25" i="6"/>
  <c r="N24" i="6"/>
  <c r="N23" i="6"/>
  <c r="N22" i="6"/>
  <c r="N21" i="6"/>
  <c r="N20" i="6"/>
  <c r="N19" i="6"/>
  <c r="N18" i="6"/>
  <c r="J18" i="6"/>
  <c r="A18" i="6"/>
  <c r="N17" i="6"/>
  <c r="J17" i="6"/>
  <c r="A17" i="6"/>
  <c r="N16" i="6"/>
  <c r="J16" i="6"/>
  <c r="A16" i="6"/>
  <c r="N15" i="6"/>
  <c r="J15" i="6"/>
  <c r="A15" i="6"/>
  <c r="N14" i="6"/>
  <c r="J14" i="6"/>
  <c r="A14" i="6"/>
  <c r="J13" i="6"/>
  <c r="A13" i="6"/>
  <c r="J12" i="6"/>
  <c r="A12" i="6"/>
  <c r="J11" i="6"/>
  <c r="A11" i="6"/>
  <c r="N10" i="6"/>
  <c r="J10" i="6"/>
  <c r="A10" i="6"/>
  <c r="J9" i="6"/>
  <c r="A9" i="6"/>
  <c r="N8" i="6"/>
  <c r="J8" i="6"/>
  <c r="A8" i="6"/>
  <c r="J7" i="6"/>
  <c r="A7" i="6"/>
  <c r="N6" i="6"/>
  <c r="J6" i="6"/>
  <c r="A6" i="6"/>
  <c r="J5" i="6"/>
  <c r="A5" i="6"/>
  <c r="N4" i="6"/>
  <c r="J4" i="6"/>
  <c r="A4" i="6"/>
  <c r="J3" i="6"/>
  <c r="A3" i="6"/>
  <c r="J2" i="6"/>
  <c r="A2" i="6"/>
  <c r="D9" i="5"/>
  <c r="E9" i="5" s="1"/>
  <c r="A9" i="5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BG95" i="3"/>
  <c r="BF95" i="3"/>
  <c r="BE95" i="3"/>
  <c r="BD95" i="3"/>
  <c r="BC95" i="3"/>
  <c r="BC33" i="4" s="1"/>
  <c r="BB95" i="3"/>
  <c r="BB33" i="4" s="1"/>
  <c r="BA95" i="3"/>
  <c r="AZ95" i="3"/>
  <c r="AZ33" i="4" s="1"/>
  <c r="AY95" i="3"/>
  <c r="AX95" i="3"/>
  <c r="AW95" i="3"/>
  <c r="AV95" i="3"/>
  <c r="AU95" i="3"/>
  <c r="AU33" i="4" s="1"/>
  <c r="AT95" i="3"/>
  <c r="AT33" i="4" s="1"/>
  <c r="AS95" i="3"/>
  <c r="AR95" i="3"/>
  <c r="AR33" i="4" s="1"/>
  <c r="AQ95" i="3"/>
  <c r="AP95" i="3"/>
  <c r="AO95" i="3"/>
  <c r="AN95" i="3"/>
  <c r="AM95" i="3"/>
  <c r="AM33" i="4" s="1"/>
  <c r="AL95" i="3"/>
  <c r="AL33" i="4" s="1"/>
  <c r="AK95" i="3"/>
  <c r="AK33" i="4" s="1"/>
  <c r="AJ95" i="3"/>
  <c r="AJ33" i="4" s="1"/>
  <c r="AI95" i="3"/>
  <c r="AH95" i="3"/>
  <c r="AG95" i="3"/>
  <c r="AF95" i="3"/>
  <c r="AE95" i="3"/>
  <c r="AE33" i="4" s="1"/>
  <c r="AD95" i="3"/>
  <c r="AD33" i="4" s="1"/>
  <c r="AC95" i="3"/>
  <c r="AC33" i="4" s="1"/>
  <c r="AB95" i="3"/>
  <c r="AB33" i="4" s="1"/>
  <c r="AA95" i="3"/>
  <c r="Z95" i="3"/>
  <c r="Y95" i="3"/>
  <c r="X95" i="3"/>
  <c r="W95" i="3"/>
  <c r="W33" i="4" s="1"/>
  <c r="V95" i="3"/>
  <c r="V33" i="4" s="1"/>
  <c r="U95" i="3"/>
  <c r="U33" i="4" s="1"/>
  <c r="T95" i="3"/>
  <c r="T33" i="4" s="1"/>
  <c r="S95" i="3"/>
  <c r="R95" i="3"/>
  <c r="Q95" i="3"/>
  <c r="P95" i="3"/>
  <c r="O95" i="3"/>
  <c r="O33" i="4" s="1"/>
  <c r="N95" i="3"/>
  <c r="N33" i="4" s="1"/>
  <c r="M95" i="3"/>
  <c r="M33" i="4" s="1"/>
  <c r="L95" i="3"/>
  <c r="L33" i="4" s="1"/>
  <c r="K95" i="3"/>
  <c r="J95" i="3"/>
  <c r="I95" i="3"/>
  <c r="H95" i="3"/>
  <c r="G95" i="3"/>
  <c r="G33" i="4" s="1"/>
  <c r="F95" i="3"/>
  <c r="F33" i="4" s="1"/>
  <c r="E95" i="3"/>
  <c r="E33" i="4" s="1"/>
  <c r="D95" i="3"/>
  <c r="D33" i="4" s="1"/>
  <c r="C95" i="3"/>
  <c r="B95" i="3"/>
  <c r="A95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94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BG92" i="3"/>
  <c r="BF92" i="3"/>
  <c r="BE92" i="3"/>
  <c r="BD92" i="3"/>
  <c r="BC92" i="3"/>
  <c r="BC32" i="4" s="1"/>
  <c r="BB92" i="3"/>
  <c r="BB32" i="4" s="1"/>
  <c r="BA92" i="3"/>
  <c r="AZ92" i="3"/>
  <c r="AY92" i="3"/>
  <c r="AX92" i="3"/>
  <c r="AW92" i="3"/>
  <c r="AV92" i="3"/>
  <c r="AU92" i="3"/>
  <c r="AU32" i="4" s="1"/>
  <c r="AT92" i="3"/>
  <c r="AT32" i="4" s="1"/>
  <c r="AS92" i="3"/>
  <c r="AR92" i="3"/>
  <c r="AQ92" i="3"/>
  <c r="AP92" i="3"/>
  <c r="AO92" i="3"/>
  <c r="AN92" i="3"/>
  <c r="AM92" i="3"/>
  <c r="AM32" i="4" s="1"/>
  <c r="AL92" i="3"/>
  <c r="AL32" i="4" s="1"/>
  <c r="AK92" i="3"/>
  <c r="AJ92" i="3"/>
  <c r="AI92" i="3"/>
  <c r="AH92" i="3"/>
  <c r="AG92" i="3"/>
  <c r="AF92" i="3"/>
  <c r="AE92" i="3"/>
  <c r="AE32" i="4" s="1"/>
  <c r="AD92" i="3"/>
  <c r="AD32" i="4" s="1"/>
  <c r="AC92" i="3"/>
  <c r="AB92" i="3"/>
  <c r="AA92" i="3"/>
  <c r="Z92" i="3"/>
  <c r="Y92" i="3"/>
  <c r="X92" i="3"/>
  <c r="W92" i="3"/>
  <c r="W32" i="4" s="1"/>
  <c r="V92" i="3"/>
  <c r="V32" i="4" s="1"/>
  <c r="U92" i="3"/>
  <c r="T92" i="3"/>
  <c r="S92" i="3"/>
  <c r="R92" i="3"/>
  <c r="Q92" i="3"/>
  <c r="P92" i="3"/>
  <c r="O92" i="3"/>
  <c r="O32" i="4" s="1"/>
  <c r="N92" i="3"/>
  <c r="N32" i="4" s="1"/>
  <c r="M92" i="3"/>
  <c r="L92" i="3"/>
  <c r="K92" i="3"/>
  <c r="J92" i="3"/>
  <c r="I92" i="3"/>
  <c r="H92" i="3"/>
  <c r="G92" i="3"/>
  <c r="G32" i="4" s="1"/>
  <c r="F92" i="3"/>
  <c r="F32" i="4" s="1"/>
  <c r="E92" i="3"/>
  <c r="D92" i="3"/>
  <c r="C92" i="3"/>
  <c r="B92" i="3"/>
  <c r="A92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BG89" i="3"/>
  <c r="BF89" i="3"/>
  <c r="BE89" i="3"/>
  <c r="BD89" i="3"/>
  <c r="BD31" i="4" s="1"/>
  <c r="BC89" i="3"/>
  <c r="BC31" i="4" s="1"/>
  <c r="BB89" i="3"/>
  <c r="BA89" i="3"/>
  <c r="AZ89" i="3"/>
  <c r="AY89" i="3"/>
  <c r="AX89" i="3"/>
  <c r="AW89" i="3"/>
  <c r="AV89" i="3"/>
  <c r="AV31" i="4" s="1"/>
  <c r="AU89" i="3"/>
  <c r="AU31" i="4" s="1"/>
  <c r="AT89" i="3"/>
  <c r="AS89" i="3"/>
  <c r="AR89" i="3"/>
  <c r="AQ89" i="3"/>
  <c r="AP89" i="3"/>
  <c r="AO89" i="3"/>
  <c r="AN89" i="3"/>
  <c r="AN31" i="4" s="1"/>
  <c r="AM89" i="3"/>
  <c r="AM31" i="4" s="1"/>
  <c r="AL89" i="3"/>
  <c r="AK89" i="3"/>
  <c r="AJ89" i="3"/>
  <c r="AI89" i="3"/>
  <c r="AH89" i="3"/>
  <c r="AG89" i="3"/>
  <c r="AF89" i="3"/>
  <c r="AF31" i="4" s="1"/>
  <c r="AE89" i="3"/>
  <c r="AE31" i="4" s="1"/>
  <c r="AD89" i="3"/>
  <c r="AC89" i="3"/>
  <c r="AB89" i="3"/>
  <c r="AA89" i="3"/>
  <c r="Z89" i="3"/>
  <c r="Y89" i="3"/>
  <c r="X89" i="3"/>
  <c r="X31" i="4" s="1"/>
  <c r="W89" i="3"/>
  <c r="W31" i="4" s="1"/>
  <c r="V89" i="3"/>
  <c r="U89" i="3"/>
  <c r="T89" i="3"/>
  <c r="S89" i="3"/>
  <c r="R89" i="3"/>
  <c r="Q89" i="3"/>
  <c r="P89" i="3"/>
  <c r="P31" i="4" s="1"/>
  <c r="O89" i="3"/>
  <c r="O31" i="4" s="1"/>
  <c r="N89" i="3"/>
  <c r="M89" i="3"/>
  <c r="L89" i="3"/>
  <c r="K89" i="3"/>
  <c r="J89" i="3"/>
  <c r="I89" i="3"/>
  <c r="H89" i="3"/>
  <c r="H31" i="4" s="1"/>
  <c r="G89" i="3"/>
  <c r="G31" i="4" s="1"/>
  <c r="F89" i="3"/>
  <c r="E89" i="3"/>
  <c r="D89" i="3"/>
  <c r="C89" i="3"/>
  <c r="B89" i="3"/>
  <c r="A89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BG86" i="3"/>
  <c r="BF86" i="3"/>
  <c r="BE86" i="3"/>
  <c r="BE30" i="4" s="1"/>
  <c r="BD86" i="3"/>
  <c r="BD30" i="4" s="1"/>
  <c r="BC86" i="3"/>
  <c r="BB86" i="3"/>
  <c r="BA86" i="3"/>
  <c r="AZ86" i="3"/>
  <c r="AY86" i="3"/>
  <c r="AX86" i="3"/>
  <c r="AW86" i="3"/>
  <c r="AW30" i="4" s="1"/>
  <c r="AV86" i="3"/>
  <c r="AV30" i="4" s="1"/>
  <c r="AU86" i="3"/>
  <c r="AT86" i="3"/>
  <c r="AS86" i="3"/>
  <c r="AR86" i="3"/>
  <c r="AQ86" i="3"/>
  <c r="AP86" i="3"/>
  <c r="AO86" i="3"/>
  <c r="AO30" i="4" s="1"/>
  <c r="AN86" i="3"/>
  <c r="AN30" i="4" s="1"/>
  <c r="AM86" i="3"/>
  <c r="AL86" i="3"/>
  <c r="AK86" i="3"/>
  <c r="AJ86" i="3"/>
  <c r="AI86" i="3"/>
  <c r="AH86" i="3"/>
  <c r="AG86" i="3"/>
  <c r="AG30" i="4" s="1"/>
  <c r="AF86" i="3"/>
  <c r="AF30" i="4" s="1"/>
  <c r="AE86" i="3"/>
  <c r="AD86" i="3"/>
  <c r="AC86" i="3"/>
  <c r="AB86" i="3"/>
  <c r="AA86" i="3"/>
  <c r="Z86" i="3"/>
  <c r="Y86" i="3"/>
  <c r="Y30" i="4" s="1"/>
  <c r="X86" i="3"/>
  <c r="X30" i="4" s="1"/>
  <c r="W86" i="3"/>
  <c r="V86" i="3"/>
  <c r="U86" i="3"/>
  <c r="T86" i="3"/>
  <c r="S86" i="3"/>
  <c r="R86" i="3"/>
  <c r="Q86" i="3"/>
  <c r="Q30" i="4" s="1"/>
  <c r="P86" i="3"/>
  <c r="P30" i="4" s="1"/>
  <c r="O86" i="3"/>
  <c r="N86" i="3"/>
  <c r="M86" i="3"/>
  <c r="L86" i="3"/>
  <c r="K86" i="3"/>
  <c r="J86" i="3"/>
  <c r="I86" i="3"/>
  <c r="I30" i="4" s="1"/>
  <c r="H86" i="3"/>
  <c r="H30" i="4" s="1"/>
  <c r="G86" i="3"/>
  <c r="F86" i="3"/>
  <c r="E86" i="3"/>
  <c r="D86" i="3"/>
  <c r="C86" i="3"/>
  <c r="B86" i="3"/>
  <c r="A86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BG83" i="3"/>
  <c r="BF83" i="3"/>
  <c r="BF29" i="4" s="1"/>
  <c r="BE83" i="3"/>
  <c r="BE29" i="4" s="1"/>
  <c r="BD83" i="3"/>
  <c r="BC83" i="3"/>
  <c r="BB83" i="3"/>
  <c r="BA83" i="3"/>
  <c r="AZ83" i="3"/>
  <c r="AY83" i="3"/>
  <c r="AX83" i="3"/>
  <c r="AX29" i="4" s="1"/>
  <c r="AW83" i="3"/>
  <c r="AW29" i="4" s="1"/>
  <c r="AV83" i="3"/>
  <c r="AU83" i="3"/>
  <c r="AT83" i="3"/>
  <c r="AS83" i="3"/>
  <c r="AR83" i="3"/>
  <c r="AQ83" i="3"/>
  <c r="AP83" i="3"/>
  <c r="AP29" i="4" s="1"/>
  <c r="AO83" i="3"/>
  <c r="AO29" i="4" s="1"/>
  <c r="AN83" i="3"/>
  <c r="AM83" i="3"/>
  <c r="AL83" i="3"/>
  <c r="AK83" i="3"/>
  <c r="AJ83" i="3"/>
  <c r="AI83" i="3"/>
  <c r="AH83" i="3"/>
  <c r="AH29" i="4" s="1"/>
  <c r="AG83" i="3"/>
  <c r="AG29" i="4" s="1"/>
  <c r="AF83" i="3"/>
  <c r="AE83" i="3"/>
  <c r="AD83" i="3"/>
  <c r="AC83" i="3"/>
  <c r="AB83" i="3"/>
  <c r="AA83" i="3"/>
  <c r="Z83" i="3"/>
  <c r="Z29" i="4" s="1"/>
  <c r="Y83" i="3"/>
  <c r="Y29" i="4" s="1"/>
  <c r="X83" i="3"/>
  <c r="W83" i="3"/>
  <c r="V83" i="3"/>
  <c r="U83" i="3"/>
  <c r="T83" i="3"/>
  <c r="S83" i="3"/>
  <c r="R83" i="3"/>
  <c r="R29" i="4" s="1"/>
  <c r="Q83" i="3"/>
  <c r="Q29" i="4" s="1"/>
  <c r="P83" i="3"/>
  <c r="O83" i="3"/>
  <c r="N83" i="3"/>
  <c r="M83" i="3"/>
  <c r="L83" i="3"/>
  <c r="K83" i="3"/>
  <c r="J83" i="3"/>
  <c r="J29" i="4" s="1"/>
  <c r="I83" i="3"/>
  <c r="I29" i="4" s="1"/>
  <c r="H83" i="3"/>
  <c r="G83" i="3"/>
  <c r="F83" i="3"/>
  <c r="E83" i="3"/>
  <c r="D83" i="3"/>
  <c r="C83" i="3"/>
  <c r="B83" i="3"/>
  <c r="B29" i="4" s="1"/>
  <c r="A83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BG80" i="3"/>
  <c r="BG28" i="4" s="1"/>
  <c r="BF80" i="3"/>
  <c r="BF28" i="4" s="1"/>
  <c r="BE80" i="3"/>
  <c r="BD80" i="3"/>
  <c r="BC80" i="3"/>
  <c r="BB80" i="3"/>
  <c r="BA80" i="3"/>
  <c r="AZ80" i="3"/>
  <c r="AY80" i="3"/>
  <c r="AY28" i="4" s="1"/>
  <c r="AX80" i="3"/>
  <c r="AX28" i="4" s="1"/>
  <c r="AW80" i="3"/>
  <c r="AV80" i="3"/>
  <c r="AU80" i="3"/>
  <c r="AT80" i="3"/>
  <c r="AS80" i="3"/>
  <c r="AR80" i="3"/>
  <c r="AQ80" i="3"/>
  <c r="AQ28" i="4" s="1"/>
  <c r="AP80" i="3"/>
  <c r="AP28" i="4" s="1"/>
  <c r="AO80" i="3"/>
  <c r="AN80" i="3"/>
  <c r="AM80" i="3"/>
  <c r="AL80" i="3"/>
  <c r="AK80" i="3"/>
  <c r="AJ80" i="3"/>
  <c r="AI80" i="3"/>
  <c r="AI28" i="4" s="1"/>
  <c r="AH80" i="3"/>
  <c r="AH28" i="4" s="1"/>
  <c r="AG80" i="3"/>
  <c r="AF80" i="3"/>
  <c r="AE80" i="3"/>
  <c r="AD80" i="3"/>
  <c r="AC80" i="3"/>
  <c r="AB80" i="3"/>
  <c r="AA80" i="3"/>
  <c r="AA28" i="4" s="1"/>
  <c r="Z80" i="3"/>
  <c r="Z28" i="4" s="1"/>
  <c r="Y80" i="3"/>
  <c r="X80" i="3"/>
  <c r="W80" i="3"/>
  <c r="V80" i="3"/>
  <c r="U80" i="3"/>
  <c r="T80" i="3"/>
  <c r="S80" i="3"/>
  <c r="S28" i="4" s="1"/>
  <c r="R80" i="3"/>
  <c r="R28" i="4" s="1"/>
  <c r="Q80" i="3"/>
  <c r="P80" i="3"/>
  <c r="O80" i="3"/>
  <c r="N80" i="3"/>
  <c r="M80" i="3"/>
  <c r="L80" i="3"/>
  <c r="K80" i="3"/>
  <c r="K28" i="4" s="1"/>
  <c r="J80" i="3"/>
  <c r="J28" i="4" s="1"/>
  <c r="I80" i="3"/>
  <c r="H80" i="3"/>
  <c r="G80" i="3"/>
  <c r="F80" i="3"/>
  <c r="E80" i="3"/>
  <c r="D80" i="3"/>
  <c r="C80" i="3"/>
  <c r="C28" i="4" s="1"/>
  <c r="B80" i="3"/>
  <c r="B28" i="4" s="1"/>
  <c r="A80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BG77" i="3"/>
  <c r="BG27" i="4" s="1"/>
  <c r="BF77" i="3"/>
  <c r="BE77" i="3"/>
  <c r="BD77" i="3"/>
  <c r="BC77" i="3"/>
  <c r="BB77" i="3"/>
  <c r="BA77" i="3"/>
  <c r="AZ77" i="3"/>
  <c r="AZ27" i="4" s="1"/>
  <c r="AY77" i="3"/>
  <c r="AY27" i="4" s="1"/>
  <c r="AX77" i="3"/>
  <c r="AW77" i="3"/>
  <c r="AV77" i="3"/>
  <c r="AU77" i="3"/>
  <c r="AT77" i="3"/>
  <c r="AS77" i="3"/>
  <c r="AR77" i="3"/>
  <c r="AR27" i="4" s="1"/>
  <c r="AQ77" i="3"/>
  <c r="AQ27" i="4" s="1"/>
  <c r="AP77" i="3"/>
  <c r="AO77" i="3"/>
  <c r="AN77" i="3"/>
  <c r="AM77" i="3"/>
  <c r="AL77" i="3"/>
  <c r="AK77" i="3"/>
  <c r="AJ77" i="3"/>
  <c r="AJ27" i="4" s="1"/>
  <c r="AI77" i="3"/>
  <c r="AI27" i="4" s="1"/>
  <c r="AH77" i="3"/>
  <c r="AG77" i="3"/>
  <c r="AF77" i="3"/>
  <c r="AE77" i="3"/>
  <c r="AD77" i="3"/>
  <c r="AC77" i="3"/>
  <c r="AB77" i="3"/>
  <c r="AB27" i="4" s="1"/>
  <c r="AA77" i="3"/>
  <c r="AA27" i="4" s="1"/>
  <c r="Z77" i="3"/>
  <c r="Y77" i="3"/>
  <c r="X77" i="3"/>
  <c r="W77" i="3"/>
  <c r="V77" i="3"/>
  <c r="U77" i="3"/>
  <c r="T77" i="3"/>
  <c r="T27" i="4" s="1"/>
  <c r="S77" i="3"/>
  <c r="S27" i="4" s="1"/>
  <c r="R77" i="3"/>
  <c r="Q77" i="3"/>
  <c r="P77" i="3"/>
  <c r="O77" i="3"/>
  <c r="N77" i="3"/>
  <c r="M77" i="3"/>
  <c r="L77" i="3"/>
  <c r="L27" i="4" s="1"/>
  <c r="K77" i="3"/>
  <c r="K27" i="4" s="1"/>
  <c r="J77" i="3"/>
  <c r="I77" i="3"/>
  <c r="H77" i="3"/>
  <c r="G77" i="3"/>
  <c r="F77" i="3"/>
  <c r="E77" i="3"/>
  <c r="D77" i="3"/>
  <c r="D27" i="4" s="1"/>
  <c r="C77" i="3"/>
  <c r="C27" i="4" s="1"/>
  <c r="B77" i="3"/>
  <c r="A77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BG74" i="3"/>
  <c r="BF74" i="3"/>
  <c r="BE74" i="3"/>
  <c r="BD74" i="3"/>
  <c r="BC74" i="3"/>
  <c r="BB74" i="3"/>
  <c r="BA74" i="3"/>
  <c r="BA26" i="4" s="1"/>
  <c r="AZ74" i="3"/>
  <c r="AZ26" i="4" s="1"/>
  <c r="AY74" i="3"/>
  <c r="AX74" i="3"/>
  <c r="AW74" i="3"/>
  <c r="AV74" i="3"/>
  <c r="AU74" i="3"/>
  <c r="AT74" i="3"/>
  <c r="AS74" i="3"/>
  <c r="AS26" i="4" s="1"/>
  <c r="AR74" i="3"/>
  <c r="AR26" i="4" s="1"/>
  <c r="AQ74" i="3"/>
  <c r="AP74" i="3"/>
  <c r="AO74" i="3"/>
  <c r="AN74" i="3"/>
  <c r="AM74" i="3"/>
  <c r="AL74" i="3"/>
  <c r="AK74" i="3"/>
  <c r="AK26" i="4" s="1"/>
  <c r="AJ74" i="3"/>
  <c r="AJ26" i="4" s="1"/>
  <c r="AI74" i="3"/>
  <c r="AH74" i="3"/>
  <c r="AG74" i="3"/>
  <c r="AF74" i="3"/>
  <c r="AE74" i="3"/>
  <c r="AD74" i="3"/>
  <c r="AC74" i="3"/>
  <c r="AC26" i="4" s="1"/>
  <c r="AB74" i="3"/>
  <c r="AB26" i="4" s="1"/>
  <c r="AA74" i="3"/>
  <c r="Z74" i="3"/>
  <c r="Y74" i="3"/>
  <c r="X74" i="3"/>
  <c r="W74" i="3"/>
  <c r="V74" i="3"/>
  <c r="U74" i="3"/>
  <c r="U26" i="4" s="1"/>
  <c r="T74" i="3"/>
  <c r="T26" i="4" s="1"/>
  <c r="S74" i="3"/>
  <c r="R74" i="3"/>
  <c r="Q74" i="3"/>
  <c r="P74" i="3"/>
  <c r="O74" i="3"/>
  <c r="N74" i="3"/>
  <c r="M74" i="3"/>
  <c r="M26" i="4" s="1"/>
  <c r="L74" i="3"/>
  <c r="L26" i="4" s="1"/>
  <c r="K74" i="3"/>
  <c r="J74" i="3"/>
  <c r="I74" i="3"/>
  <c r="H74" i="3"/>
  <c r="G74" i="3"/>
  <c r="F74" i="3"/>
  <c r="E74" i="3"/>
  <c r="E26" i="4" s="1"/>
  <c r="D74" i="3"/>
  <c r="D26" i="4" s="1"/>
  <c r="C74" i="3"/>
  <c r="B74" i="3"/>
  <c r="A74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BG71" i="3"/>
  <c r="BF71" i="3"/>
  <c r="BE71" i="3"/>
  <c r="BD71" i="3"/>
  <c r="BC71" i="3"/>
  <c r="BB71" i="3"/>
  <c r="BB25" i="4" s="1"/>
  <c r="BA71" i="3"/>
  <c r="BA25" i="4" s="1"/>
  <c r="AZ71" i="3"/>
  <c r="AY71" i="3"/>
  <c r="AX71" i="3"/>
  <c r="AW71" i="3"/>
  <c r="AV71" i="3"/>
  <c r="AU71" i="3"/>
  <c r="AT71" i="3"/>
  <c r="AT25" i="4" s="1"/>
  <c r="AS71" i="3"/>
  <c r="AS25" i="4" s="1"/>
  <c r="AR71" i="3"/>
  <c r="AQ71" i="3"/>
  <c r="AP71" i="3"/>
  <c r="AO71" i="3"/>
  <c r="AN71" i="3"/>
  <c r="AM71" i="3"/>
  <c r="AL71" i="3"/>
  <c r="AL25" i="4" s="1"/>
  <c r="AK71" i="3"/>
  <c r="AK25" i="4" s="1"/>
  <c r="AJ71" i="3"/>
  <c r="AI71" i="3"/>
  <c r="AH71" i="3"/>
  <c r="AG71" i="3"/>
  <c r="AF71" i="3"/>
  <c r="AE71" i="3"/>
  <c r="AD71" i="3"/>
  <c r="AD25" i="4" s="1"/>
  <c r="AC71" i="3"/>
  <c r="AC25" i="4" s="1"/>
  <c r="AB71" i="3"/>
  <c r="AA71" i="3"/>
  <c r="Z71" i="3"/>
  <c r="Y71" i="3"/>
  <c r="X71" i="3"/>
  <c r="W71" i="3"/>
  <c r="V71" i="3"/>
  <c r="V25" i="4" s="1"/>
  <c r="U71" i="3"/>
  <c r="U25" i="4" s="1"/>
  <c r="T71" i="3"/>
  <c r="S71" i="3"/>
  <c r="R71" i="3"/>
  <c r="Q71" i="3"/>
  <c r="P71" i="3"/>
  <c r="O71" i="3"/>
  <c r="N71" i="3"/>
  <c r="N25" i="4" s="1"/>
  <c r="M71" i="3"/>
  <c r="M25" i="4" s="1"/>
  <c r="L71" i="3"/>
  <c r="K71" i="3"/>
  <c r="J71" i="3"/>
  <c r="I71" i="3"/>
  <c r="H71" i="3"/>
  <c r="G71" i="3"/>
  <c r="F71" i="3"/>
  <c r="F25" i="4" s="1"/>
  <c r="E71" i="3"/>
  <c r="E25" i="4" s="1"/>
  <c r="D71" i="3"/>
  <c r="D25" i="4" s="1"/>
  <c r="C71" i="3"/>
  <c r="B71" i="3"/>
  <c r="A71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BG65" i="3"/>
  <c r="BF65" i="3"/>
  <c r="BE65" i="3"/>
  <c r="BD65" i="3"/>
  <c r="BD23" i="4" s="1"/>
  <c r="BC65" i="3"/>
  <c r="BC23" i="4" s="1"/>
  <c r="BB65" i="3"/>
  <c r="BA65" i="3"/>
  <c r="AZ65" i="3"/>
  <c r="AY65" i="3"/>
  <c r="AX65" i="3"/>
  <c r="AW65" i="3"/>
  <c r="AV65" i="3"/>
  <c r="AV23" i="4" s="1"/>
  <c r="AU65" i="3"/>
  <c r="AU23" i="4" s="1"/>
  <c r="AT65" i="3"/>
  <c r="AS65" i="3"/>
  <c r="AR65" i="3"/>
  <c r="AQ65" i="3"/>
  <c r="AP65" i="3"/>
  <c r="AO65" i="3"/>
  <c r="AN65" i="3"/>
  <c r="AN23" i="4" s="1"/>
  <c r="AM65" i="3"/>
  <c r="AM23" i="4" s="1"/>
  <c r="AL65" i="3"/>
  <c r="AK65" i="3"/>
  <c r="AJ65" i="3"/>
  <c r="AI65" i="3"/>
  <c r="AH65" i="3"/>
  <c r="AG65" i="3"/>
  <c r="AF65" i="3"/>
  <c r="AF23" i="4" s="1"/>
  <c r="AE65" i="3"/>
  <c r="AE23" i="4" s="1"/>
  <c r="AD65" i="3"/>
  <c r="AC65" i="3"/>
  <c r="AB65" i="3"/>
  <c r="AA65" i="3"/>
  <c r="Z65" i="3"/>
  <c r="Y65" i="3"/>
  <c r="X65" i="3"/>
  <c r="X23" i="4" s="1"/>
  <c r="W65" i="3"/>
  <c r="W23" i="4" s="1"/>
  <c r="V65" i="3"/>
  <c r="U65" i="3"/>
  <c r="T65" i="3"/>
  <c r="S65" i="3"/>
  <c r="R65" i="3"/>
  <c r="Q65" i="3"/>
  <c r="P65" i="3"/>
  <c r="P23" i="4" s="1"/>
  <c r="O65" i="3"/>
  <c r="O23" i="4" s="1"/>
  <c r="N65" i="3"/>
  <c r="M65" i="3"/>
  <c r="L65" i="3"/>
  <c r="K65" i="3"/>
  <c r="J65" i="3"/>
  <c r="I65" i="3"/>
  <c r="H65" i="3"/>
  <c r="H23" i="4" s="1"/>
  <c r="G65" i="3"/>
  <c r="G23" i="4" s="1"/>
  <c r="F65" i="3"/>
  <c r="E65" i="3"/>
  <c r="D65" i="3"/>
  <c r="C65" i="3"/>
  <c r="B65" i="3"/>
  <c r="A65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BG62" i="3"/>
  <c r="BF62" i="3"/>
  <c r="BE62" i="3"/>
  <c r="BE22" i="4" s="1"/>
  <c r="BD62" i="3"/>
  <c r="BD22" i="4" s="1"/>
  <c r="BC62" i="3"/>
  <c r="BB62" i="3"/>
  <c r="BA62" i="3"/>
  <c r="AZ62" i="3"/>
  <c r="AY62" i="3"/>
  <c r="AX62" i="3"/>
  <c r="AW62" i="3"/>
  <c r="AW22" i="4" s="1"/>
  <c r="AV62" i="3"/>
  <c r="AV22" i="4" s="1"/>
  <c r="AU62" i="3"/>
  <c r="AT62" i="3"/>
  <c r="AS62" i="3"/>
  <c r="AR62" i="3"/>
  <c r="AQ62" i="3"/>
  <c r="AP62" i="3"/>
  <c r="AO62" i="3"/>
  <c r="AO22" i="4" s="1"/>
  <c r="AN62" i="3"/>
  <c r="AN22" i="4" s="1"/>
  <c r="AM62" i="3"/>
  <c r="AL62" i="3"/>
  <c r="AK62" i="3"/>
  <c r="AJ62" i="3"/>
  <c r="AI62" i="3"/>
  <c r="AH62" i="3"/>
  <c r="AG62" i="3"/>
  <c r="AG22" i="4" s="1"/>
  <c r="AF62" i="3"/>
  <c r="AF22" i="4" s="1"/>
  <c r="AE62" i="3"/>
  <c r="AD62" i="3"/>
  <c r="AC62" i="3"/>
  <c r="AB62" i="3"/>
  <c r="AA62" i="3"/>
  <c r="Z62" i="3"/>
  <c r="Y62" i="3"/>
  <c r="Y22" i="4" s="1"/>
  <c r="X62" i="3"/>
  <c r="X22" i="4" s="1"/>
  <c r="W62" i="3"/>
  <c r="V62" i="3"/>
  <c r="U62" i="3"/>
  <c r="T62" i="3"/>
  <c r="S62" i="3"/>
  <c r="R62" i="3"/>
  <c r="Q62" i="3"/>
  <c r="Q22" i="4" s="1"/>
  <c r="P62" i="3"/>
  <c r="P22" i="4" s="1"/>
  <c r="O62" i="3"/>
  <c r="N62" i="3"/>
  <c r="M62" i="3"/>
  <c r="L62" i="3"/>
  <c r="K62" i="3"/>
  <c r="J62" i="3"/>
  <c r="I62" i="3"/>
  <c r="I22" i="4" s="1"/>
  <c r="H62" i="3"/>
  <c r="H22" i="4" s="1"/>
  <c r="G62" i="3"/>
  <c r="F62" i="3"/>
  <c r="E62" i="3"/>
  <c r="D62" i="3"/>
  <c r="C62" i="3"/>
  <c r="B62" i="3"/>
  <c r="A62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BG59" i="3"/>
  <c r="BF59" i="3"/>
  <c r="BF21" i="4" s="1"/>
  <c r="BE59" i="3"/>
  <c r="BE21" i="4" s="1"/>
  <c r="BD59" i="3"/>
  <c r="BC59" i="3"/>
  <c r="BB59" i="3"/>
  <c r="BA59" i="3"/>
  <c r="AZ59" i="3"/>
  <c r="AY59" i="3"/>
  <c r="AX59" i="3"/>
  <c r="AX21" i="4" s="1"/>
  <c r="AW59" i="3"/>
  <c r="AW21" i="4" s="1"/>
  <c r="AV59" i="3"/>
  <c r="AU59" i="3"/>
  <c r="AT59" i="3"/>
  <c r="AS59" i="3"/>
  <c r="AR59" i="3"/>
  <c r="AQ59" i="3"/>
  <c r="AP59" i="3"/>
  <c r="AP21" i="4" s="1"/>
  <c r="AO59" i="3"/>
  <c r="AO21" i="4" s="1"/>
  <c r="AN59" i="3"/>
  <c r="AM59" i="3"/>
  <c r="AL59" i="3"/>
  <c r="AK59" i="3"/>
  <c r="AJ59" i="3"/>
  <c r="AI59" i="3"/>
  <c r="AH59" i="3"/>
  <c r="AH21" i="4" s="1"/>
  <c r="AG59" i="3"/>
  <c r="AG21" i="4" s="1"/>
  <c r="AF59" i="3"/>
  <c r="AE59" i="3"/>
  <c r="AD59" i="3"/>
  <c r="AC59" i="3"/>
  <c r="AB59" i="3"/>
  <c r="AA59" i="3"/>
  <c r="Z59" i="3"/>
  <c r="Z21" i="4" s="1"/>
  <c r="Y59" i="3"/>
  <c r="Y21" i="4" s="1"/>
  <c r="X59" i="3"/>
  <c r="W59" i="3"/>
  <c r="V59" i="3"/>
  <c r="U59" i="3"/>
  <c r="T59" i="3"/>
  <c r="S59" i="3"/>
  <c r="R59" i="3"/>
  <c r="R21" i="4" s="1"/>
  <c r="Q59" i="3"/>
  <c r="Q21" i="4" s="1"/>
  <c r="P59" i="3"/>
  <c r="O59" i="3"/>
  <c r="N59" i="3"/>
  <c r="M59" i="3"/>
  <c r="L59" i="3"/>
  <c r="K59" i="3"/>
  <c r="J59" i="3"/>
  <c r="J21" i="4" s="1"/>
  <c r="I59" i="3"/>
  <c r="I21" i="4" s="1"/>
  <c r="H59" i="3"/>
  <c r="G59" i="3"/>
  <c r="F59" i="3"/>
  <c r="E59" i="3"/>
  <c r="D59" i="3"/>
  <c r="C59" i="3"/>
  <c r="B59" i="3"/>
  <c r="B21" i="4" s="1"/>
  <c r="A59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BG56" i="3"/>
  <c r="BG20" i="4" s="1"/>
  <c r="BF56" i="3"/>
  <c r="BF20" i="4" s="1"/>
  <c r="BE56" i="3"/>
  <c r="BD56" i="3"/>
  <c r="BC56" i="3"/>
  <c r="BB56" i="3"/>
  <c r="BA56" i="3"/>
  <c r="AZ56" i="3"/>
  <c r="AY56" i="3"/>
  <c r="AY20" i="4" s="1"/>
  <c r="AX56" i="3"/>
  <c r="AX20" i="4" s="1"/>
  <c r="AW56" i="3"/>
  <c r="AV56" i="3"/>
  <c r="AU56" i="3"/>
  <c r="AT56" i="3"/>
  <c r="AS56" i="3"/>
  <c r="AR56" i="3"/>
  <c r="AQ56" i="3"/>
  <c r="AQ20" i="4" s="1"/>
  <c r="AP56" i="3"/>
  <c r="AP20" i="4" s="1"/>
  <c r="AO56" i="3"/>
  <c r="AN56" i="3"/>
  <c r="AM56" i="3"/>
  <c r="AL56" i="3"/>
  <c r="AK56" i="3"/>
  <c r="AJ56" i="3"/>
  <c r="AI56" i="3"/>
  <c r="AI20" i="4" s="1"/>
  <c r="AH56" i="3"/>
  <c r="AH20" i="4" s="1"/>
  <c r="AG56" i="3"/>
  <c r="AF56" i="3"/>
  <c r="AE56" i="3"/>
  <c r="AD56" i="3"/>
  <c r="AC56" i="3"/>
  <c r="AB56" i="3"/>
  <c r="AA56" i="3"/>
  <c r="AA20" i="4" s="1"/>
  <c r="Z56" i="3"/>
  <c r="Z20" i="4" s="1"/>
  <c r="Y56" i="3"/>
  <c r="X56" i="3"/>
  <c r="W56" i="3"/>
  <c r="V56" i="3"/>
  <c r="U56" i="3"/>
  <c r="T56" i="3"/>
  <c r="S56" i="3"/>
  <c r="S20" i="4" s="1"/>
  <c r="R56" i="3"/>
  <c r="R20" i="4" s="1"/>
  <c r="Q56" i="3"/>
  <c r="P56" i="3"/>
  <c r="O56" i="3"/>
  <c r="N56" i="3"/>
  <c r="M56" i="3"/>
  <c r="L56" i="3"/>
  <c r="K56" i="3"/>
  <c r="K20" i="4" s="1"/>
  <c r="J56" i="3"/>
  <c r="J20" i="4" s="1"/>
  <c r="I56" i="3"/>
  <c r="H56" i="3"/>
  <c r="G56" i="3"/>
  <c r="F56" i="3"/>
  <c r="E56" i="3"/>
  <c r="D56" i="3"/>
  <c r="C56" i="3"/>
  <c r="C20" i="4" s="1"/>
  <c r="B56" i="3"/>
  <c r="B20" i="4" s="1"/>
  <c r="A56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BG53" i="3"/>
  <c r="BG19" i="4" s="1"/>
  <c r="BF53" i="3"/>
  <c r="BE53" i="3"/>
  <c r="BD53" i="3"/>
  <c r="BC53" i="3"/>
  <c r="BB53" i="3"/>
  <c r="BA53" i="3"/>
  <c r="AZ53" i="3"/>
  <c r="AZ19" i="4" s="1"/>
  <c r="AY53" i="3"/>
  <c r="AY19" i="4" s="1"/>
  <c r="AX53" i="3"/>
  <c r="AW53" i="3"/>
  <c r="AV53" i="3"/>
  <c r="AU53" i="3"/>
  <c r="AT53" i="3"/>
  <c r="AS53" i="3"/>
  <c r="AR53" i="3"/>
  <c r="AR19" i="4" s="1"/>
  <c r="AQ53" i="3"/>
  <c r="AQ19" i="4" s="1"/>
  <c r="AP53" i="3"/>
  <c r="AO53" i="3"/>
  <c r="AN53" i="3"/>
  <c r="AM53" i="3"/>
  <c r="AL53" i="3"/>
  <c r="AK53" i="3"/>
  <c r="AJ53" i="3"/>
  <c r="AJ19" i="4" s="1"/>
  <c r="AI53" i="3"/>
  <c r="AI19" i="4" s="1"/>
  <c r="AH53" i="3"/>
  <c r="AG53" i="3"/>
  <c r="AF53" i="3"/>
  <c r="AE53" i="3"/>
  <c r="AD53" i="3"/>
  <c r="AC53" i="3"/>
  <c r="AB53" i="3"/>
  <c r="AB19" i="4" s="1"/>
  <c r="AA53" i="3"/>
  <c r="AA19" i="4" s="1"/>
  <c r="Z53" i="3"/>
  <c r="Y53" i="3"/>
  <c r="X53" i="3"/>
  <c r="W53" i="3"/>
  <c r="V53" i="3"/>
  <c r="U53" i="3"/>
  <c r="T53" i="3"/>
  <c r="T19" i="4" s="1"/>
  <c r="S53" i="3"/>
  <c r="S19" i="4" s="1"/>
  <c r="R53" i="3"/>
  <c r="Q53" i="3"/>
  <c r="P53" i="3"/>
  <c r="O53" i="3"/>
  <c r="N53" i="3"/>
  <c r="M53" i="3"/>
  <c r="L53" i="3"/>
  <c r="L19" i="4" s="1"/>
  <c r="K53" i="3"/>
  <c r="K19" i="4" s="1"/>
  <c r="J53" i="3"/>
  <c r="I53" i="3"/>
  <c r="H53" i="3"/>
  <c r="G53" i="3"/>
  <c r="F53" i="3"/>
  <c r="E53" i="3"/>
  <c r="D53" i="3"/>
  <c r="D19" i="4" s="1"/>
  <c r="C53" i="3"/>
  <c r="C19" i="4" s="1"/>
  <c r="B53" i="3"/>
  <c r="A53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G18" i="4" s="1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BG50" i="3"/>
  <c r="BF50" i="3"/>
  <c r="BE50" i="3"/>
  <c r="BD50" i="3"/>
  <c r="BC50" i="3"/>
  <c r="BB50" i="3"/>
  <c r="BA50" i="3"/>
  <c r="BA18" i="4" s="1"/>
  <c r="AZ50" i="3"/>
  <c r="AZ18" i="4" s="1"/>
  <c r="AY50" i="3"/>
  <c r="AX50" i="3"/>
  <c r="AW50" i="3"/>
  <c r="AV50" i="3"/>
  <c r="AU50" i="3"/>
  <c r="AT50" i="3"/>
  <c r="AS50" i="3"/>
  <c r="AS18" i="4" s="1"/>
  <c r="AR50" i="3"/>
  <c r="AR18" i="4" s="1"/>
  <c r="AQ50" i="3"/>
  <c r="AP50" i="3"/>
  <c r="AO50" i="3"/>
  <c r="AN50" i="3"/>
  <c r="AM50" i="3"/>
  <c r="AL50" i="3"/>
  <c r="AK50" i="3"/>
  <c r="AK18" i="4" s="1"/>
  <c r="AJ50" i="3"/>
  <c r="AJ18" i="4" s="1"/>
  <c r="AI50" i="3"/>
  <c r="AH50" i="3"/>
  <c r="AG50" i="3"/>
  <c r="AF50" i="3"/>
  <c r="AE50" i="3"/>
  <c r="AD50" i="3"/>
  <c r="AC50" i="3"/>
  <c r="AC18" i="4" s="1"/>
  <c r="AB50" i="3"/>
  <c r="AB18" i="4" s="1"/>
  <c r="AA50" i="3"/>
  <c r="Z50" i="3"/>
  <c r="Y50" i="3"/>
  <c r="X50" i="3"/>
  <c r="W50" i="3"/>
  <c r="V50" i="3"/>
  <c r="U50" i="3"/>
  <c r="U18" i="4" s="1"/>
  <c r="T50" i="3"/>
  <c r="T18" i="4" s="1"/>
  <c r="S50" i="3"/>
  <c r="R50" i="3"/>
  <c r="Q50" i="3"/>
  <c r="P50" i="3"/>
  <c r="O50" i="3"/>
  <c r="N50" i="3"/>
  <c r="M50" i="3"/>
  <c r="M18" i="4" s="1"/>
  <c r="L50" i="3"/>
  <c r="L18" i="4" s="1"/>
  <c r="K50" i="3"/>
  <c r="J50" i="3"/>
  <c r="I50" i="3"/>
  <c r="H50" i="3"/>
  <c r="G50" i="3"/>
  <c r="F50" i="3"/>
  <c r="E50" i="3"/>
  <c r="E18" i="4" s="1"/>
  <c r="D50" i="3"/>
  <c r="D18" i="4" s="1"/>
  <c r="C50" i="3"/>
  <c r="B50" i="3"/>
  <c r="A50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BG47" i="3"/>
  <c r="BF47" i="3"/>
  <c r="BE47" i="3"/>
  <c r="BD47" i="3"/>
  <c r="BC47" i="3"/>
  <c r="BB47" i="3"/>
  <c r="BB17" i="4" s="1"/>
  <c r="BA47" i="3"/>
  <c r="BA17" i="4" s="1"/>
  <c r="AZ47" i="3"/>
  <c r="AY47" i="3"/>
  <c r="AX47" i="3"/>
  <c r="AW47" i="3"/>
  <c r="AV47" i="3"/>
  <c r="AU47" i="3"/>
  <c r="AT47" i="3"/>
  <c r="AT17" i="4" s="1"/>
  <c r="AS47" i="3"/>
  <c r="AS17" i="4" s="1"/>
  <c r="AR47" i="3"/>
  <c r="AQ47" i="3"/>
  <c r="AP47" i="3"/>
  <c r="AO47" i="3"/>
  <c r="AN47" i="3"/>
  <c r="AM47" i="3"/>
  <c r="AL47" i="3"/>
  <c r="AL17" i="4" s="1"/>
  <c r="AK47" i="3"/>
  <c r="AK17" i="4" s="1"/>
  <c r="AJ47" i="3"/>
  <c r="AI47" i="3"/>
  <c r="AH47" i="3"/>
  <c r="AG47" i="3"/>
  <c r="AF47" i="3"/>
  <c r="AE47" i="3"/>
  <c r="AD47" i="3"/>
  <c r="AD17" i="4" s="1"/>
  <c r="AC47" i="3"/>
  <c r="AC17" i="4" s="1"/>
  <c r="AB47" i="3"/>
  <c r="AA47" i="3"/>
  <c r="Z47" i="3"/>
  <c r="Y47" i="3"/>
  <c r="X47" i="3"/>
  <c r="W47" i="3"/>
  <c r="V47" i="3"/>
  <c r="V17" i="4" s="1"/>
  <c r="U47" i="3"/>
  <c r="U17" i="4" s="1"/>
  <c r="T47" i="3"/>
  <c r="S47" i="3"/>
  <c r="R47" i="3"/>
  <c r="Q47" i="3"/>
  <c r="P47" i="3"/>
  <c r="O47" i="3"/>
  <c r="N47" i="3"/>
  <c r="N17" i="4" s="1"/>
  <c r="M47" i="3"/>
  <c r="M17" i="4" s="1"/>
  <c r="L47" i="3"/>
  <c r="K47" i="3"/>
  <c r="J47" i="3"/>
  <c r="I47" i="3"/>
  <c r="H47" i="3"/>
  <c r="G47" i="3"/>
  <c r="F47" i="3"/>
  <c r="F17" i="4" s="1"/>
  <c r="E47" i="3"/>
  <c r="E17" i="4" s="1"/>
  <c r="D47" i="3"/>
  <c r="C47" i="3"/>
  <c r="B47" i="3"/>
  <c r="A47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BG44" i="3"/>
  <c r="BF44" i="3"/>
  <c r="BE44" i="3"/>
  <c r="BD44" i="3"/>
  <c r="BC44" i="3"/>
  <c r="BC16" i="4" s="1"/>
  <c r="BB44" i="3"/>
  <c r="BB16" i="4" s="1"/>
  <c r="BA44" i="3"/>
  <c r="AZ44" i="3"/>
  <c r="AY44" i="3"/>
  <c r="AX44" i="3"/>
  <c r="AW44" i="3"/>
  <c r="AV44" i="3"/>
  <c r="AU44" i="3"/>
  <c r="AU16" i="4" s="1"/>
  <c r="AT44" i="3"/>
  <c r="AT16" i="4" s="1"/>
  <c r="AS44" i="3"/>
  <c r="AR44" i="3"/>
  <c r="AQ44" i="3"/>
  <c r="AP44" i="3"/>
  <c r="AO44" i="3"/>
  <c r="AN44" i="3"/>
  <c r="AM44" i="3"/>
  <c r="AM16" i="4" s="1"/>
  <c r="AL44" i="3"/>
  <c r="AL16" i="4" s="1"/>
  <c r="AK44" i="3"/>
  <c r="AJ44" i="3"/>
  <c r="AI44" i="3"/>
  <c r="AH44" i="3"/>
  <c r="AG44" i="3"/>
  <c r="AF44" i="3"/>
  <c r="AE44" i="3"/>
  <c r="AE16" i="4" s="1"/>
  <c r="AD44" i="3"/>
  <c r="AD16" i="4" s="1"/>
  <c r="AC44" i="3"/>
  <c r="AB44" i="3"/>
  <c r="AA44" i="3"/>
  <c r="Z44" i="3"/>
  <c r="Y44" i="3"/>
  <c r="X44" i="3"/>
  <c r="W44" i="3"/>
  <c r="W16" i="4" s="1"/>
  <c r="V44" i="3"/>
  <c r="V16" i="4" s="1"/>
  <c r="U44" i="3"/>
  <c r="T44" i="3"/>
  <c r="S44" i="3"/>
  <c r="R44" i="3"/>
  <c r="Q44" i="3"/>
  <c r="P44" i="3"/>
  <c r="O44" i="3"/>
  <c r="O16" i="4" s="1"/>
  <c r="N44" i="3"/>
  <c r="N16" i="4" s="1"/>
  <c r="M44" i="3"/>
  <c r="L44" i="3"/>
  <c r="K44" i="3"/>
  <c r="J44" i="3"/>
  <c r="I44" i="3"/>
  <c r="H44" i="3"/>
  <c r="G44" i="3"/>
  <c r="G16" i="4" s="1"/>
  <c r="F44" i="3"/>
  <c r="F16" i="4" s="1"/>
  <c r="E44" i="3"/>
  <c r="D44" i="3"/>
  <c r="C44" i="3"/>
  <c r="B44" i="3"/>
  <c r="A44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BG41" i="3"/>
  <c r="BF41" i="3"/>
  <c r="BE41" i="3"/>
  <c r="BD41" i="3"/>
  <c r="BD15" i="4" s="1"/>
  <c r="BC41" i="3"/>
  <c r="BC15" i="4" s="1"/>
  <c r="BB41" i="3"/>
  <c r="BA41" i="3"/>
  <c r="AZ41" i="3"/>
  <c r="AY41" i="3"/>
  <c r="AX41" i="3"/>
  <c r="AW41" i="3"/>
  <c r="AV41" i="3"/>
  <c r="AV15" i="4" s="1"/>
  <c r="AU41" i="3"/>
  <c r="AU15" i="4" s="1"/>
  <c r="AT41" i="3"/>
  <c r="AS41" i="3"/>
  <c r="AR41" i="3"/>
  <c r="AQ41" i="3"/>
  <c r="AP41" i="3"/>
  <c r="AO41" i="3"/>
  <c r="AN41" i="3"/>
  <c r="AN15" i="4" s="1"/>
  <c r="AM41" i="3"/>
  <c r="AM15" i="4" s="1"/>
  <c r="AL41" i="3"/>
  <c r="AK41" i="3"/>
  <c r="AJ41" i="3"/>
  <c r="AI41" i="3"/>
  <c r="AH41" i="3"/>
  <c r="AG41" i="3"/>
  <c r="AF41" i="3"/>
  <c r="AF15" i="4" s="1"/>
  <c r="AE41" i="3"/>
  <c r="AE15" i="4" s="1"/>
  <c r="AD41" i="3"/>
  <c r="AC41" i="3"/>
  <c r="AB41" i="3"/>
  <c r="AA41" i="3"/>
  <c r="Z41" i="3"/>
  <c r="Y41" i="3"/>
  <c r="X41" i="3"/>
  <c r="X15" i="4" s="1"/>
  <c r="W41" i="3"/>
  <c r="W15" i="4" s="1"/>
  <c r="V41" i="3"/>
  <c r="U41" i="3"/>
  <c r="T41" i="3"/>
  <c r="S41" i="3"/>
  <c r="R41" i="3"/>
  <c r="Q41" i="3"/>
  <c r="P41" i="3"/>
  <c r="P15" i="4" s="1"/>
  <c r="O41" i="3"/>
  <c r="O15" i="4" s="1"/>
  <c r="N41" i="3"/>
  <c r="M41" i="3"/>
  <c r="L41" i="3"/>
  <c r="K41" i="3"/>
  <c r="J41" i="3"/>
  <c r="I41" i="3"/>
  <c r="H41" i="3"/>
  <c r="H15" i="4" s="1"/>
  <c r="G41" i="3"/>
  <c r="G15" i="4" s="1"/>
  <c r="F41" i="3"/>
  <c r="E41" i="3"/>
  <c r="D41" i="3"/>
  <c r="C41" i="3"/>
  <c r="B41" i="3"/>
  <c r="A41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BG39" i="3"/>
  <c r="BF39" i="3"/>
  <c r="BE39" i="3"/>
  <c r="BD39" i="3"/>
  <c r="BC39" i="3"/>
  <c r="BB39" i="3"/>
  <c r="BB14" i="4" s="1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BG38" i="3"/>
  <c r="BF38" i="3"/>
  <c r="BE38" i="3"/>
  <c r="BE14" i="4" s="1"/>
  <c r="BD38" i="3"/>
  <c r="BD14" i="4" s="1"/>
  <c r="BC38" i="3"/>
  <c r="BB38" i="3"/>
  <c r="BA38" i="3"/>
  <c r="AZ38" i="3"/>
  <c r="AY38" i="3"/>
  <c r="AX38" i="3"/>
  <c r="AW38" i="3"/>
  <c r="AW14" i="4" s="1"/>
  <c r="AV38" i="3"/>
  <c r="AV14" i="4" s="1"/>
  <c r="AU38" i="3"/>
  <c r="AT38" i="3"/>
  <c r="AS38" i="3"/>
  <c r="AR38" i="3"/>
  <c r="AQ38" i="3"/>
  <c r="AP38" i="3"/>
  <c r="AO38" i="3"/>
  <c r="AO14" i="4" s="1"/>
  <c r="AN38" i="3"/>
  <c r="AN14" i="4" s="1"/>
  <c r="AM38" i="3"/>
  <c r="AL38" i="3"/>
  <c r="AK38" i="3"/>
  <c r="AJ38" i="3"/>
  <c r="AI38" i="3"/>
  <c r="AH38" i="3"/>
  <c r="AG38" i="3"/>
  <c r="AG14" i="4" s="1"/>
  <c r="AF38" i="3"/>
  <c r="AF14" i="4" s="1"/>
  <c r="AE38" i="3"/>
  <c r="AD38" i="3"/>
  <c r="AC38" i="3"/>
  <c r="AB38" i="3"/>
  <c r="AA38" i="3"/>
  <c r="Z38" i="3"/>
  <c r="Y38" i="3"/>
  <c r="Y14" i="4" s="1"/>
  <c r="X38" i="3"/>
  <c r="X14" i="4" s="1"/>
  <c r="W38" i="3"/>
  <c r="V38" i="3"/>
  <c r="U38" i="3"/>
  <c r="T38" i="3"/>
  <c r="S38" i="3"/>
  <c r="R38" i="3"/>
  <c r="Q38" i="3"/>
  <c r="Q14" i="4" s="1"/>
  <c r="P38" i="3"/>
  <c r="P14" i="4" s="1"/>
  <c r="O38" i="3"/>
  <c r="N38" i="3"/>
  <c r="M38" i="3"/>
  <c r="L38" i="3"/>
  <c r="K38" i="3"/>
  <c r="J38" i="3"/>
  <c r="I38" i="3"/>
  <c r="I14" i="4" s="1"/>
  <c r="H38" i="3"/>
  <c r="H14" i="4" s="1"/>
  <c r="G38" i="3"/>
  <c r="F38" i="3"/>
  <c r="E38" i="3"/>
  <c r="D38" i="3"/>
  <c r="C38" i="3"/>
  <c r="B38" i="3"/>
  <c r="A38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U13" i="4" s="1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BG35" i="3"/>
  <c r="BF35" i="3"/>
  <c r="BF13" i="4" s="1"/>
  <c r="BE35" i="3"/>
  <c r="BE13" i="4" s="1"/>
  <c r="BD35" i="3"/>
  <c r="BC35" i="3"/>
  <c r="BB35" i="3"/>
  <c r="BA35" i="3"/>
  <c r="AZ35" i="3"/>
  <c r="AY35" i="3"/>
  <c r="AX35" i="3"/>
  <c r="AX13" i="4" s="1"/>
  <c r="AW35" i="3"/>
  <c r="AW13" i="4" s="1"/>
  <c r="AV35" i="3"/>
  <c r="AU35" i="3"/>
  <c r="AT35" i="3"/>
  <c r="AS35" i="3"/>
  <c r="AR35" i="3"/>
  <c r="AQ35" i="3"/>
  <c r="AP35" i="3"/>
  <c r="AP13" i="4" s="1"/>
  <c r="AO35" i="3"/>
  <c r="AO13" i="4" s="1"/>
  <c r="AN35" i="3"/>
  <c r="AM35" i="3"/>
  <c r="AL35" i="3"/>
  <c r="AK35" i="3"/>
  <c r="AJ35" i="3"/>
  <c r="AI35" i="3"/>
  <c r="AH35" i="3"/>
  <c r="AH13" i="4" s="1"/>
  <c r="AG35" i="3"/>
  <c r="AG13" i="4" s="1"/>
  <c r="AF35" i="3"/>
  <c r="AE35" i="3"/>
  <c r="AD35" i="3"/>
  <c r="AC35" i="3"/>
  <c r="AB35" i="3"/>
  <c r="AA35" i="3"/>
  <c r="Z35" i="3"/>
  <c r="Z13" i="4" s="1"/>
  <c r="Y35" i="3"/>
  <c r="Y13" i="4" s="1"/>
  <c r="X35" i="3"/>
  <c r="W35" i="3"/>
  <c r="V35" i="3"/>
  <c r="U35" i="3"/>
  <c r="T35" i="3"/>
  <c r="S35" i="3"/>
  <c r="R35" i="3"/>
  <c r="R13" i="4" s="1"/>
  <c r="Q35" i="3"/>
  <c r="Q13" i="4" s="1"/>
  <c r="P35" i="3"/>
  <c r="O35" i="3"/>
  <c r="N35" i="3"/>
  <c r="M35" i="3"/>
  <c r="L35" i="3"/>
  <c r="K35" i="3"/>
  <c r="J35" i="3"/>
  <c r="J13" i="4" s="1"/>
  <c r="I35" i="3"/>
  <c r="I13" i="4" s="1"/>
  <c r="H35" i="3"/>
  <c r="G35" i="3"/>
  <c r="F35" i="3"/>
  <c r="E35" i="3"/>
  <c r="D35" i="3"/>
  <c r="C35" i="3"/>
  <c r="B35" i="3"/>
  <c r="B13" i="4" s="1"/>
  <c r="A35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BG32" i="3"/>
  <c r="BG12" i="4" s="1"/>
  <c r="BF32" i="3"/>
  <c r="BF12" i="4" s="1"/>
  <c r="BE32" i="3"/>
  <c r="BD32" i="3"/>
  <c r="BC32" i="3"/>
  <c r="BB32" i="3"/>
  <c r="BA32" i="3"/>
  <c r="AZ32" i="3"/>
  <c r="AY32" i="3"/>
  <c r="AY12" i="4" s="1"/>
  <c r="AX32" i="3"/>
  <c r="AX12" i="4" s="1"/>
  <c r="AW32" i="3"/>
  <c r="AV32" i="3"/>
  <c r="AU32" i="3"/>
  <c r="AT32" i="3"/>
  <c r="AS32" i="3"/>
  <c r="AR32" i="3"/>
  <c r="AQ32" i="3"/>
  <c r="AQ12" i="4" s="1"/>
  <c r="AP32" i="3"/>
  <c r="AP12" i="4" s="1"/>
  <c r="AO32" i="3"/>
  <c r="AN32" i="3"/>
  <c r="AM32" i="3"/>
  <c r="AL32" i="3"/>
  <c r="AK32" i="3"/>
  <c r="AJ32" i="3"/>
  <c r="AI32" i="3"/>
  <c r="AI12" i="4" s="1"/>
  <c r="AH32" i="3"/>
  <c r="AH12" i="4" s="1"/>
  <c r="AG32" i="3"/>
  <c r="AF32" i="3"/>
  <c r="AE32" i="3"/>
  <c r="AD32" i="3"/>
  <c r="AC32" i="3"/>
  <c r="AB32" i="3"/>
  <c r="AA32" i="3"/>
  <c r="AA12" i="4" s="1"/>
  <c r="Z32" i="3"/>
  <c r="Z12" i="4" s="1"/>
  <c r="Y32" i="3"/>
  <c r="X32" i="3"/>
  <c r="W32" i="3"/>
  <c r="V32" i="3"/>
  <c r="U32" i="3"/>
  <c r="T32" i="3"/>
  <c r="S32" i="3"/>
  <c r="S12" i="4" s="1"/>
  <c r="R32" i="3"/>
  <c r="R12" i="4" s="1"/>
  <c r="Q32" i="3"/>
  <c r="P32" i="3"/>
  <c r="O32" i="3"/>
  <c r="N32" i="3"/>
  <c r="M32" i="3"/>
  <c r="L32" i="3"/>
  <c r="K32" i="3"/>
  <c r="K12" i="4" s="1"/>
  <c r="J32" i="3"/>
  <c r="J12" i="4" s="1"/>
  <c r="I32" i="3"/>
  <c r="H32" i="3"/>
  <c r="G32" i="3"/>
  <c r="F32" i="3"/>
  <c r="E32" i="3"/>
  <c r="D32" i="3"/>
  <c r="C32" i="3"/>
  <c r="C12" i="4" s="1"/>
  <c r="B32" i="3"/>
  <c r="B12" i="4" s="1"/>
  <c r="A32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BG29" i="3"/>
  <c r="BG11" i="4" s="1"/>
  <c r="BF29" i="3"/>
  <c r="BE29" i="3"/>
  <c r="BD29" i="3"/>
  <c r="BC29" i="3"/>
  <c r="BB29" i="3"/>
  <c r="BA29" i="3"/>
  <c r="AZ29" i="3"/>
  <c r="AZ11" i="4" s="1"/>
  <c r="AY29" i="3"/>
  <c r="AY11" i="4" s="1"/>
  <c r="AX29" i="3"/>
  <c r="AW29" i="3"/>
  <c r="AV29" i="3"/>
  <c r="AU29" i="3"/>
  <c r="AT29" i="3"/>
  <c r="AS29" i="3"/>
  <c r="AR29" i="3"/>
  <c r="AR11" i="4" s="1"/>
  <c r="AQ29" i="3"/>
  <c r="AQ11" i="4" s="1"/>
  <c r="AP29" i="3"/>
  <c r="AO29" i="3"/>
  <c r="AN29" i="3"/>
  <c r="AM29" i="3"/>
  <c r="AL29" i="3"/>
  <c r="AK29" i="3"/>
  <c r="AJ29" i="3"/>
  <c r="AJ11" i="4" s="1"/>
  <c r="AI29" i="3"/>
  <c r="AI11" i="4" s="1"/>
  <c r="AH29" i="3"/>
  <c r="AG29" i="3"/>
  <c r="AF29" i="3"/>
  <c r="AE29" i="3"/>
  <c r="AD29" i="3"/>
  <c r="AC29" i="3"/>
  <c r="AB29" i="3"/>
  <c r="AB11" i="4" s="1"/>
  <c r="AA29" i="3"/>
  <c r="AA11" i="4" s="1"/>
  <c r="Z29" i="3"/>
  <c r="Y29" i="3"/>
  <c r="X29" i="3"/>
  <c r="W29" i="3"/>
  <c r="V29" i="3"/>
  <c r="U29" i="3"/>
  <c r="T29" i="3"/>
  <c r="T11" i="4" s="1"/>
  <c r="S29" i="3"/>
  <c r="S11" i="4" s="1"/>
  <c r="R29" i="3"/>
  <c r="Q29" i="3"/>
  <c r="P29" i="3"/>
  <c r="O29" i="3"/>
  <c r="N29" i="3"/>
  <c r="M29" i="3"/>
  <c r="L29" i="3"/>
  <c r="L11" i="4" s="1"/>
  <c r="K29" i="3"/>
  <c r="K11" i="4" s="1"/>
  <c r="J29" i="3"/>
  <c r="I29" i="3"/>
  <c r="H29" i="3"/>
  <c r="G29" i="3"/>
  <c r="F29" i="3"/>
  <c r="E29" i="3"/>
  <c r="D29" i="3"/>
  <c r="D11" i="4" s="1"/>
  <c r="C29" i="3"/>
  <c r="C11" i="4" s="1"/>
  <c r="B29" i="3"/>
  <c r="A29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BG26" i="3"/>
  <c r="BF26" i="3"/>
  <c r="BE26" i="3"/>
  <c r="BD26" i="3"/>
  <c r="BC26" i="3"/>
  <c r="BB26" i="3"/>
  <c r="BA26" i="3"/>
  <c r="BA10" i="4" s="1"/>
  <c r="AZ26" i="3"/>
  <c r="AZ10" i="4" s="1"/>
  <c r="AY26" i="3"/>
  <c r="AX26" i="3"/>
  <c r="AW26" i="3"/>
  <c r="AV26" i="3"/>
  <c r="AU26" i="3"/>
  <c r="AT26" i="3"/>
  <c r="AS26" i="3"/>
  <c r="AS10" i="4" s="1"/>
  <c r="AR26" i="3"/>
  <c r="AR10" i="4" s="1"/>
  <c r="AQ26" i="3"/>
  <c r="AP26" i="3"/>
  <c r="AO26" i="3"/>
  <c r="AN26" i="3"/>
  <c r="AM26" i="3"/>
  <c r="AL26" i="3"/>
  <c r="AK26" i="3"/>
  <c r="AK10" i="4" s="1"/>
  <c r="AJ26" i="3"/>
  <c r="AJ10" i="4" s="1"/>
  <c r="AI26" i="3"/>
  <c r="AH26" i="3"/>
  <c r="AG26" i="3"/>
  <c r="AF26" i="3"/>
  <c r="AE26" i="3"/>
  <c r="AD26" i="3"/>
  <c r="AC26" i="3"/>
  <c r="AC10" i="4" s="1"/>
  <c r="AB26" i="3"/>
  <c r="AB10" i="4" s="1"/>
  <c r="AA26" i="3"/>
  <c r="Z26" i="3"/>
  <c r="Y26" i="3"/>
  <c r="X26" i="3"/>
  <c r="W26" i="3"/>
  <c r="V26" i="3"/>
  <c r="U26" i="3"/>
  <c r="U10" i="4" s="1"/>
  <c r="T26" i="3"/>
  <c r="T10" i="4" s="1"/>
  <c r="S26" i="3"/>
  <c r="R26" i="3"/>
  <c r="Q26" i="3"/>
  <c r="P26" i="3"/>
  <c r="O26" i="3"/>
  <c r="N26" i="3"/>
  <c r="M26" i="3"/>
  <c r="M10" i="4" s="1"/>
  <c r="L26" i="3"/>
  <c r="L10" i="4" s="1"/>
  <c r="K26" i="3"/>
  <c r="J26" i="3"/>
  <c r="I26" i="3"/>
  <c r="H26" i="3"/>
  <c r="G26" i="3"/>
  <c r="F26" i="3"/>
  <c r="E26" i="3"/>
  <c r="E10" i="4" s="1"/>
  <c r="D26" i="3"/>
  <c r="D10" i="4" s="1"/>
  <c r="C26" i="3"/>
  <c r="B26" i="3"/>
  <c r="A26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BG23" i="3"/>
  <c r="BF23" i="3"/>
  <c r="BE23" i="3"/>
  <c r="BD23" i="3"/>
  <c r="BC23" i="3"/>
  <c r="BB23" i="3"/>
  <c r="BB9" i="4" s="1"/>
  <c r="BA23" i="3"/>
  <c r="BA9" i="4" s="1"/>
  <c r="AZ23" i="3"/>
  <c r="AY23" i="3"/>
  <c r="AX23" i="3"/>
  <c r="AW23" i="3"/>
  <c r="AV23" i="3"/>
  <c r="AU23" i="3"/>
  <c r="AT23" i="3"/>
  <c r="AT9" i="4" s="1"/>
  <c r="AS23" i="3"/>
  <c r="AS9" i="4" s="1"/>
  <c r="AR23" i="3"/>
  <c r="AQ23" i="3"/>
  <c r="AP23" i="3"/>
  <c r="AO23" i="3"/>
  <c r="AN23" i="3"/>
  <c r="AM23" i="3"/>
  <c r="AL23" i="3"/>
  <c r="AL9" i="4" s="1"/>
  <c r="AK23" i="3"/>
  <c r="AK9" i="4" s="1"/>
  <c r="AJ23" i="3"/>
  <c r="AI23" i="3"/>
  <c r="AH23" i="3"/>
  <c r="AG23" i="3"/>
  <c r="AF23" i="3"/>
  <c r="AE23" i="3"/>
  <c r="AD23" i="3"/>
  <c r="AD9" i="4" s="1"/>
  <c r="AC23" i="3"/>
  <c r="AC9" i="4" s="1"/>
  <c r="AB23" i="3"/>
  <c r="AA23" i="3"/>
  <c r="Z23" i="3"/>
  <c r="Y23" i="3"/>
  <c r="X23" i="3"/>
  <c r="W23" i="3"/>
  <c r="V23" i="3"/>
  <c r="V9" i="4" s="1"/>
  <c r="U23" i="3"/>
  <c r="U9" i="4" s="1"/>
  <c r="T23" i="3"/>
  <c r="S23" i="3"/>
  <c r="R23" i="3"/>
  <c r="Q23" i="3"/>
  <c r="P23" i="3"/>
  <c r="O23" i="3"/>
  <c r="N23" i="3"/>
  <c r="N9" i="4" s="1"/>
  <c r="M23" i="3"/>
  <c r="M9" i="4" s="1"/>
  <c r="L23" i="3"/>
  <c r="K23" i="3"/>
  <c r="J23" i="3"/>
  <c r="I23" i="3"/>
  <c r="H23" i="3"/>
  <c r="G23" i="3"/>
  <c r="F23" i="3"/>
  <c r="F9" i="4" s="1"/>
  <c r="E23" i="3"/>
  <c r="E9" i="4" s="1"/>
  <c r="D23" i="3"/>
  <c r="C23" i="3"/>
  <c r="B23" i="3"/>
  <c r="A23" i="3"/>
  <c r="A22" i="3"/>
  <c r="A21" i="3"/>
  <c r="A20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E7" i="4" s="1"/>
  <c r="D18" i="3"/>
  <c r="C18" i="3"/>
  <c r="B18" i="3"/>
  <c r="A18" i="3"/>
  <c r="BG17" i="3"/>
  <c r="BF17" i="3"/>
  <c r="BF7" i="4" s="1"/>
  <c r="BE17" i="3"/>
  <c r="BE7" i="4" s="1"/>
  <c r="BD17" i="3"/>
  <c r="BC17" i="3"/>
  <c r="BB17" i="3"/>
  <c r="BA17" i="3"/>
  <c r="AZ17" i="3"/>
  <c r="AY17" i="3"/>
  <c r="AX17" i="3"/>
  <c r="AX7" i="4" s="1"/>
  <c r="AW17" i="3"/>
  <c r="AW7" i="4" s="1"/>
  <c r="AV17" i="3"/>
  <c r="AU17" i="3"/>
  <c r="AT17" i="3"/>
  <c r="AS17" i="3"/>
  <c r="AR17" i="3"/>
  <c r="AQ17" i="3"/>
  <c r="AP17" i="3"/>
  <c r="AP7" i="4" s="1"/>
  <c r="AO17" i="3"/>
  <c r="AO7" i="4" s="1"/>
  <c r="AN17" i="3"/>
  <c r="AM17" i="3"/>
  <c r="AL17" i="3"/>
  <c r="AK17" i="3"/>
  <c r="AJ17" i="3"/>
  <c r="AI17" i="3"/>
  <c r="AH17" i="3"/>
  <c r="AH7" i="4" s="1"/>
  <c r="AG17" i="3"/>
  <c r="AG7" i="4" s="1"/>
  <c r="AF17" i="3"/>
  <c r="AE17" i="3"/>
  <c r="AD17" i="3"/>
  <c r="AC17" i="3"/>
  <c r="AB17" i="3"/>
  <c r="AA17" i="3"/>
  <c r="Z17" i="3"/>
  <c r="Z7" i="4" s="1"/>
  <c r="Y17" i="3"/>
  <c r="Y7" i="4" s="1"/>
  <c r="X17" i="3"/>
  <c r="W17" i="3"/>
  <c r="V17" i="3"/>
  <c r="U17" i="3"/>
  <c r="T17" i="3"/>
  <c r="S17" i="3"/>
  <c r="R17" i="3"/>
  <c r="R7" i="4" s="1"/>
  <c r="Q17" i="3"/>
  <c r="Q7" i="4" s="1"/>
  <c r="P17" i="3"/>
  <c r="O17" i="3"/>
  <c r="N17" i="3"/>
  <c r="M17" i="3"/>
  <c r="L17" i="3"/>
  <c r="K17" i="3"/>
  <c r="J17" i="3"/>
  <c r="J7" i="4" s="1"/>
  <c r="I17" i="3"/>
  <c r="I7" i="4" s="1"/>
  <c r="H17" i="3"/>
  <c r="G17" i="3"/>
  <c r="F17" i="3"/>
  <c r="E17" i="3"/>
  <c r="D17" i="3"/>
  <c r="C17" i="3"/>
  <c r="B17" i="3"/>
  <c r="B7" i="4" s="1"/>
  <c r="A17" i="3"/>
  <c r="BG16" i="3"/>
  <c r="BF16" i="3"/>
  <c r="BE16" i="3"/>
  <c r="BD16" i="3"/>
  <c r="BC16" i="3"/>
  <c r="BB16" i="3"/>
  <c r="BA16" i="3"/>
  <c r="BA6" i="4" s="1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BG14" i="3"/>
  <c r="BG6" i="4" s="1"/>
  <c r="BF14" i="3"/>
  <c r="BF6" i="4" s="1"/>
  <c r="BE14" i="3"/>
  <c r="BD14" i="3"/>
  <c r="BC14" i="3"/>
  <c r="BB14" i="3"/>
  <c r="BA14" i="3"/>
  <c r="AZ14" i="3"/>
  <c r="AY14" i="3"/>
  <c r="AY6" i="4" s="1"/>
  <c r="AX14" i="3"/>
  <c r="AX6" i="4" s="1"/>
  <c r="AW14" i="3"/>
  <c r="AV14" i="3"/>
  <c r="AU14" i="3"/>
  <c r="AT14" i="3"/>
  <c r="AS14" i="3"/>
  <c r="AR14" i="3"/>
  <c r="AQ14" i="3"/>
  <c r="AQ6" i="4" s="1"/>
  <c r="AP14" i="3"/>
  <c r="AP6" i="4" s="1"/>
  <c r="AO14" i="3"/>
  <c r="AN14" i="3"/>
  <c r="AM14" i="3"/>
  <c r="AL14" i="3"/>
  <c r="AK14" i="3"/>
  <c r="AJ14" i="3"/>
  <c r="AI14" i="3"/>
  <c r="AI6" i="4" s="1"/>
  <c r="AH14" i="3"/>
  <c r="AH6" i="4" s="1"/>
  <c r="AG14" i="3"/>
  <c r="AF14" i="3"/>
  <c r="AE14" i="3"/>
  <c r="AD14" i="3"/>
  <c r="AC14" i="3"/>
  <c r="AB14" i="3"/>
  <c r="AA14" i="3"/>
  <c r="AA6" i="4" s="1"/>
  <c r="Z14" i="3"/>
  <c r="Z6" i="4" s="1"/>
  <c r="Y14" i="3"/>
  <c r="X14" i="3"/>
  <c r="W14" i="3"/>
  <c r="V14" i="3"/>
  <c r="U14" i="3"/>
  <c r="T14" i="3"/>
  <c r="S14" i="3"/>
  <c r="S6" i="4" s="1"/>
  <c r="R14" i="3"/>
  <c r="R6" i="4" s="1"/>
  <c r="Q14" i="3"/>
  <c r="P14" i="3"/>
  <c r="O14" i="3"/>
  <c r="N14" i="3"/>
  <c r="M14" i="3"/>
  <c r="L14" i="3"/>
  <c r="K14" i="3"/>
  <c r="K6" i="4" s="1"/>
  <c r="J14" i="3"/>
  <c r="J6" i="4" s="1"/>
  <c r="I14" i="3"/>
  <c r="H14" i="3"/>
  <c r="G14" i="3"/>
  <c r="F14" i="3"/>
  <c r="E14" i="3"/>
  <c r="D14" i="3"/>
  <c r="C14" i="3"/>
  <c r="C6" i="4" s="1"/>
  <c r="B14" i="3"/>
  <c r="B6" i="4" s="1"/>
  <c r="A14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BG11" i="3"/>
  <c r="BG5" i="4" s="1"/>
  <c r="BF11" i="3"/>
  <c r="BE11" i="3"/>
  <c r="BD11" i="3"/>
  <c r="BC11" i="3"/>
  <c r="BB11" i="3"/>
  <c r="BA11" i="3"/>
  <c r="AZ11" i="3"/>
  <c r="AZ5" i="4" s="1"/>
  <c r="AY11" i="3"/>
  <c r="AY5" i="4" s="1"/>
  <c r="AX11" i="3"/>
  <c r="AW11" i="3"/>
  <c r="AV11" i="3"/>
  <c r="AU11" i="3"/>
  <c r="AT11" i="3"/>
  <c r="AS11" i="3"/>
  <c r="AR11" i="3"/>
  <c r="AR5" i="4" s="1"/>
  <c r="AQ11" i="3"/>
  <c r="AQ5" i="4" s="1"/>
  <c r="AP11" i="3"/>
  <c r="AP5" i="4" s="1"/>
  <c r="AO11" i="3"/>
  <c r="AN11" i="3"/>
  <c r="AM11" i="3"/>
  <c r="AL11" i="3"/>
  <c r="AK11" i="3"/>
  <c r="AJ11" i="3"/>
  <c r="AJ5" i="4" s="1"/>
  <c r="AI11" i="3"/>
  <c r="AI5" i="4" s="1"/>
  <c r="AH11" i="3"/>
  <c r="AH5" i="4" s="1"/>
  <c r="AG11" i="3"/>
  <c r="AF11" i="3"/>
  <c r="AE11" i="3"/>
  <c r="AD11" i="3"/>
  <c r="AC11" i="3"/>
  <c r="AB11" i="3"/>
  <c r="AB5" i="4" s="1"/>
  <c r="AA11" i="3"/>
  <c r="AA5" i="4" s="1"/>
  <c r="Z11" i="3"/>
  <c r="Z5" i="4" s="1"/>
  <c r="Y11" i="3"/>
  <c r="X11" i="3"/>
  <c r="W11" i="3"/>
  <c r="V11" i="3"/>
  <c r="U11" i="3"/>
  <c r="T11" i="3"/>
  <c r="T5" i="4" s="1"/>
  <c r="S11" i="3"/>
  <c r="S5" i="4" s="1"/>
  <c r="R11" i="3"/>
  <c r="R5" i="4" s="1"/>
  <c r="Q11" i="3"/>
  <c r="P11" i="3"/>
  <c r="O11" i="3"/>
  <c r="N11" i="3"/>
  <c r="M11" i="3"/>
  <c r="L11" i="3"/>
  <c r="L5" i="4" s="1"/>
  <c r="K11" i="3"/>
  <c r="K5" i="4" s="1"/>
  <c r="J11" i="3"/>
  <c r="J5" i="4" s="1"/>
  <c r="I11" i="3"/>
  <c r="H11" i="3"/>
  <c r="G11" i="3"/>
  <c r="F11" i="3"/>
  <c r="E11" i="3"/>
  <c r="D11" i="3"/>
  <c r="D5" i="4" s="1"/>
  <c r="C11" i="3"/>
  <c r="C5" i="4" s="1"/>
  <c r="B11" i="3"/>
  <c r="B5" i="4" s="1"/>
  <c r="A11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BG8" i="3"/>
  <c r="BG4" i="4" s="1"/>
  <c r="BF8" i="3"/>
  <c r="BE8" i="3"/>
  <c r="BD8" i="3"/>
  <c r="BC8" i="3"/>
  <c r="BB8" i="3"/>
  <c r="BA8" i="3"/>
  <c r="BA4" i="4" s="1"/>
  <c r="AZ8" i="3"/>
  <c r="AZ4" i="4" s="1"/>
  <c r="AY8" i="3"/>
  <c r="AY4" i="4" s="1"/>
  <c r="AX8" i="3"/>
  <c r="AW8" i="3"/>
  <c r="AV8" i="3"/>
  <c r="AU8" i="3"/>
  <c r="AT8" i="3"/>
  <c r="AS8" i="3"/>
  <c r="AS4" i="4" s="1"/>
  <c r="AR8" i="3"/>
  <c r="AR4" i="4" s="1"/>
  <c r="AQ8" i="3"/>
  <c r="AQ4" i="4" s="1"/>
  <c r="AP8" i="3"/>
  <c r="AO8" i="3"/>
  <c r="AN8" i="3"/>
  <c r="AM8" i="3"/>
  <c r="AL8" i="3"/>
  <c r="AK8" i="3"/>
  <c r="AK4" i="4" s="1"/>
  <c r="AJ8" i="3"/>
  <c r="AJ4" i="4" s="1"/>
  <c r="AI8" i="3"/>
  <c r="AI4" i="4" s="1"/>
  <c r="AH8" i="3"/>
  <c r="AG8" i="3"/>
  <c r="AF8" i="3"/>
  <c r="AE8" i="3"/>
  <c r="AD8" i="3"/>
  <c r="AC8" i="3"/>
  <c r="AC4" i="4" s="1"/>
  <c r="AB8" i="3"/>
  <c r="AB4" i="4" s="1"/>
  <c r="AA8" i="3"/>
  <c r="AA4" i="4" s="1"/>
  <c r="Z8" i="3"/>
  <c r="Y8" i="3"/>
  <c r="X8" i="3"/>
  <c r="W8" i="3"/>
  <c r="V8" i="3"/>
  <c r="U8" i="3"/>
  <c r="U4" i="4" s="1"/>
  <c r="T8" i="3"/>
  <c r="T4" i="4" s="1"/>
  <c r="S8" i="3"/>
  <c r="S4" i="4" s="1"/>
  <c r="R8" i="3"/>
  <c r="Q8" i="3"/>
  <c r="P8" i="3"/>
  <c r="O8" i="3"/>
  <c r="N8" i="3"/>
  <c r="M8" i="3"/>
  <c r="M4" i="4" s="1"/>
  <c r="L8" i="3"/>
  <c r="L4" i="4" s="1"/>
  <c r="K8" i="3"/>
  <c r="K4" i="4" s="1"/>
  <c r="J8" i="3"/>
  <c r="I8" i="3"/>
  <c r="H8" i="3"/>
  <c r="G8" i="3"/>
  <c r="F8" i="3"/>
  <c r="E8" i="3"/>
  <c r="E4" i="4" s="1"/>
  <c r="D8" i="3"/>
  <c r="D4" i="4" s="1"/>
  <c r="C8" i="3"/>
  <c r="C4" i="4" s="1"/>
  <c r="B8" i="3"/>
  <c r="A8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F3" i="4" s="1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H3" i="4" s="1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BG5" i="3"/>
  <c r="BF5" i="3"/>
  <c r="BE5" i="3"/>
  <c r="BD5" i="3"/>
  <c r="BC5" i="3"/>
  <c r="BB5" i="3"/>
  <c r="BB3" i="4" s="1"/>
  <c r="BA5" i="3"/>
  <c r="BA3" i="4" s="1"/>
  <c r="AZ5" i="3"/>
  <c r="AZ3" i="4" s="1"/>
  <c r="AY5" i="3"/>
  <c r="AX5" i="3"/>
  <c r="AW5" i="3"/>
  <c r="AV5" i="3"/>
  <c r="AU5" i="3"/>
  <c r="AT5" i="3"/>
  <c r="AT3" i="4" s="1"/>
  <c r="AS5" i="3"/>
  <c r="AS3" i="4" s="1"/>
  <c r="AR5" i="3"/>
  <c r="AR3" i="4" s="1"/>
  <c r="AQ5" i="3"/>
  <c r="AP5" i="3"/>
  <c r="AO5" i="3"/>
  <c r="AN5" i="3"/>
  <c r="AM5" i="3"/>
  <c r="AL5" i="3"/>
  <c r="AL3" i="4" s="1"/>
  <c r="AK5" i="3"/>
  <c r="AK3" i="4" s="1"/>
  <c r="AJ5" i="3"/>
  <c r="AJ3" i="4" s="1"/>
  <c r="AI5" i="3"/>
  <c r="AH5" i="3"/>
  <c r="AG5" i="3"/>
  <c r="AF5" i="3"/>
  <c r="AE5" i="3"/>
  <c r="AD5" i="3"/>
  <c r="AD3" i="4" s="1"/>
  <c r="AC5" i="3"/>
  <c r="AC3" i="4" s="1"/>
  <c r="AB5" i="3"/>
  <c r="AB3" i="4" s="1"/>
  <c r="AA5" i="3"/>
  <c r="Z5" i="3"/>
  <c r="Y5" i="3"/>
  <c r="X5" i="3"/>
  <c r="W5" i="3"/>
  <c r="V5" i="3"/>
  <c r="V3" i="4" s="1"/>
  <c r="U5" i="3"/>
  <c r="U3" i="4" s="1"/>
  <c r="T5" i="3"/>
  <c r="T3" i="4" s="1"/>
  <c r="S5" i="3"/>
  <c r="R5" i="3"/>
  <c r="Q5" i="3"/>
  <c r="P5" i="3"/>
  <c r="O5" i="3"/>
  <c r="N5" i="3"/>
  <c r="N3" i="4" s="1"/>
  <c r="M5" i="3"/>
  <c r="M3" i="4" s="1"/>
  <c r="L5" i="3"/>
  <c r="L3" i="4" s="1"/>
  <c r="K5" i="3"/>
  <c r="J5" i="3"/>
  <c r="I5" i="3"/>
  <c r="H5" i="3"/>
  <c r="G5" i="3"/>
  <c r="F5" i="3"/>
  <c r="F3" i="4" s="1"/>
  <c r="E5" i="3"/>
  <c r="E3" i="4" s="1"/>
  <c r="D5" i="3"/>
  <c r="D3" i="4" s="1"/>
  <c r="C5" i="3"/>
  <c r="B5" i="3"/>
  <c r="A5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I2" i="4" s="1"/>
  <c r="H4" i="3"/>
  <c r="G4" i="3"/>
  <c r="F4" i="3"/>
  <c r="E4" i="3"/>
  <c r="D4" i="3"/>
  <c r="C4" i="3"/>
  <c r="B4" i="3"/>
  <c r="A4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D2" i="4" s="1"/>
  <c r="C3" i="3"/>
  <c r="B3" i="3"/>
  <c r="A3" i="3"/>
  <c r="BG2" i="3"/>
  <c r="BF2" i="3"/>
  <c r="BE2" i="3"/>
  <c r="BD2" i="3"/>
  <c r="BC2" i="3"/>
  <c r="BC2" i="4" s="1"/>
  <c r="BB2" i="3"/>
  <c r="BB2" i="4" s="1"/>
  <c r="BA2" i="3"/>
  <c r="BA2" i="4" s="1"/>
  <c r="AZ2" i="3"/>
  <c r="AY2" i="3"/>
  <c r="AX2" i="3"/>
  <c r="AW2" i="3"/>
  <c r="AV2" i="3"/>
  <c r="AU2" i="3"/>
  <c r="AU2" i="4" s="1"/>
  <c r="AT2" i="3"/>
  <c r="AT2" i="4" s="1"/>
  <c r="AS2" i="3"/>
  <c r="AS2" i="4" s="1"/>
  <c r="AR2" i="3"/>
  <c r="AQ2" i="3"/>
  <c r="AP2" i="3"/>
  <c r="AO2" i="3"/>
  <c r="AN2" i="3"/>
  <c r="AM2" i="3"/>
  <c r="AM2" i="4" s="1"/>
  <c r="AL2" i="3"/>
  <c r="AL2" i="4" s="1"/>
  <c r="AK2" i="3"/>
  <c r="AK2" i="4" s="1"/>
  <c r="AJ2" i="3"/>
  <c r="AI2" i="3"/>
  <c r="AH2" i="3"/>
  <c r="AG2" i="3"/>
  <c r="AF2" i="3"/>
  <c r="AE2" i="3"/>
  <c r="AE2" i="4" s="1"/>
  <c r="AD2" i="3"/>
  <c r="AD2" i="4" s="1"/>
  <c r="AC2" i="3"/>
  <c r="AC2" i="4" s="1"/>
  <c r="AB2" i="3"/>
  <c r="AA2" i="3"/>
  <c r="Z2" i="3"/>
  <c r="Y2" i="3"/>
  <c r="X2" i="3"/>
  <c r="W2" i="3"/>
  <c r="W2" i="4" s="1"/>
  <c r="V2" i="3"/>
  <c r="V2" i="4" s="1"/>
  <c r="U2" i="3"/>
  <c r="U2" i="4" s="1"/>
  <c r="T2" i="3"/>
  <c r="S2" i="3"/>
  <c r="R2" i="3"/>
  <c r="Q2" i="3"/>
  <c r="P2" i="3"/>
  <c r="O2" i="3"/>
  <c r="O2" i="4" s="1"/>
  <c r="N2" i="3"/>
  <c r="N2" i="4" s="1"/>
  <c r="M2" i="3"/>
  <c r="M2" i="4" s="1"/>
  <c r="L2" i="3"/>
  <c r="K2" i="3"/>
  <c r="J2" i="3"/>
  <c r="I2" i="3"/>
  <c r="H2" i="3"/>
  <c r="G2" i="3"/>
  <c r="G2" i="4" s="1"/>
  <c r="F2" i="3"/>
  <c r="F2" i="4" s="1"/>
  <c r="E2" i="3"/>
  <c r="E2" i="4" s="1"/>
  <c r="D2" i="3"/>
  <c r="C2" i="3"/>
  <c r="B2" i="3"/>
  <c r="A2" i="3"/>
  <c r="BG1" i="3"/>
  <c r="BF1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H1" i="1"/>
  <c r="G1" i="1"/>
  <c r="A1" i="1"/>
  <c r="A1" i="2"/>
  <c r="A2" i="10" l="1"/>
  <c r="X2" i="4"/>
  <c r="AN2" i="4"/>
  <c r="O3" i="4"/>
  <c r="AU3" i="4"/>
  <c r="AL4" i="4"/>
  <c r="E5" i="4"/>
  <c r="AK5" i="4"/>
  <c r="D6" i="4"/>
  <c r="AJ6" i="4"/>
  <c r="AA7" i="4"/>
  <c r="AY7" i="4"/>
  <c r="AE9" i="4"/>
  <c r="F10" i="4"/>
  <c r="BB10" i="4"/>
  <c r="M11" i="4"/>
  <c r="AK11" i="4"/>
  <c r="L12" i="4"/>
  <c r="AZ12" i="4"/>
  <c r="S13" i="4"/>
  <c r="AQ13" i="4"/>
  <c r="V5" i="4"/>
  <c r="AT5" i="4"/>
  <c r="AF2" i="4"/>
  <c r="W3" i="4"/>
  <c r="F4" i="4"/>
  <c r="AD4" i="4"/>
  <c r="AC5" i="4"/>
  <c r="AR6" i="4"/>
  <c r="S7" i="4"/>
  <c r="AQ7" i="4"/>
  <c r="O9" i="4"/>
  <c r="AM9" i="4"/>
  <c r="AD10" i="4"/>
  <c r="AS11" i="4"/>
  <c r="AJ12" i="4"/>
  <c r="AX2" i="4"/>
  <c r="P4" i="4"/>
  <c r="AN4" i="4"/>
  <c r="H2" i="4"/>
  <c r="AV2" i="4"/>
  <c r="AE3" i="4"/>
  <c r="BC3" i="4"/>
  <c r="N4" i="4"/>
  <c r="AT4" i="4"/>
  <c r="U5" i="4"/>
  <c r="BA5" i="4"/>
  <c r="T6" i="4"/>
  <c r="AZ6" i="4"/>
  <c r="K7" i="4"/>
  <c r="G9" i="4"/>
  <c r="AU9" i="4"/>
  <c r="V10" i="4"/>
  <c r="AT10" i="4"/>
  <c r="U11" i="4"/>
  <c r="BA11" i="4"/>
  <c r="T12" i="4"/>
  <c r="AR12" i="4"/>
  <c r="K13" i="4"/>
  <c r="AI13" i="4"/>
  <c r="BG13" i="4"/>
  <c r="BD3" i="4"/>
  <c r="Z2" i="4"/>
  <c r="J3" i="4"/>
  <c r="O6" i="4"/>
  <c r="AW10" i="4"/>
  <c r="P2" i="4"/>
  <c r="BD2" i="4"/>
  <c r="G3" i="4"/>
  <c r="AM3" i="4"/>
  <c r="V4" i="4"/>
  <c r="BB4" i="4"/>
  <c r="M5" i="4"/>
  <c r="AS5" i="4"/>
  <c r="L6" i="4"/>
  <c r="AB6" i="4"/>
  <c r="C7" i="4"/>
  <c r="AI7" i="4"/>
  <c r="BG7" i="4"/>
  <c r="W9" i="4"/>
  <c r="BC9" i="4"/>
  <c r="N10" i="4"/>
  <c r="AL10" i="4"/>
  <c r="E11" i="4"/>
  <c r="AC11" i="4"/>
  <c r="D12" i="4"/>
  <c r="AB12" i="4"/>
  <c r="C13" i="4"/>
  <c r="AA13" i="4"/>
  <c r="AY13" i="4"/>
  <c r="AW2" i="4"/>
  <c r="AB2" i="4"/>
  <c r="AA9" i="4"/>
  <c r="AX5" i="4"/>
  <c r="BF5" i="4"/>
  <c r="I6" i="4"/>
  <c r="Q6" i="4"/>
  <c r="Y6" i="4"/>
  <c r="AG6" i="4"/>
  <c r="AO6" i="4"/>
  <c r="AW6" i="4"/>
  <c r="BE6" i="4"/>
  <c r="H7" i="4"/>
  <c r="P7" i="4"/>
  <c r="X7" i="4"/>
  <c r="AF7" i="4"/>
  <c r="AN7" i="4"/>
  <c r="AV7" i="4"/>
  <c r="BD7" i="4"/>
  <c r="D9" i="4"/>
  <c r="L9" i="4"/>
  <c r="T9" i="4"/>
  <c r="AB9" i="4"/>
  <c r="AJ9" i="4"/>
  <c r="AR9" i="4"/>
  <c r="AZ9" i="4"/>
  <c r="C10" i="4"/>
  <c r="K10" i="4"/>
  <c r="S10" i="4"/>
  <c r="AA10" i="4"/>
  <c r="AI10" i="4"/>
  <c r="AQ10" i="4"/>
  <c r="AY10" i="4"/>
  <c r="BG10" i="4"/>
  <c r="B11" i="4"/>
  <c r="J11" i="4"/>
  <c r="R11" i="4"/>
  <c r="Z11" i="4"/>
  <c r="AH11" i="4"/>
  <c r="AP11" i="4"/>
  <c r="AX11" i="4"/>
  <c r="BF11" i="4"/>
  <c r="I12" i="4"/>
  <c r="Q12" i="4"/>
  <c r="Y12" i="4"/>
  <c r="AG12" i="4"/>
  <c r="AO12" i="4"/>
  <c r="AW12" i="4"/>
  <c r="BE12" i="4"/>
  <c r="X13" i="4"/>
  <c r="AV13" i="4"/>
  <c r="J14" i="4"/>
  <c r="AH14" i="4"/>
  <c r="BF14" i="4"/>
  <c r="AG15" i="4"/>
  <c r="BE15" i="4"/>
  <c r="P16" i="4"/>
  <c r="AV16" i="4"/>
  <c r="O17" i="4"/>
  <c r="W17" i="4"/>
  <c r="AU17" i="4"/>
  <c r="AD18" i="4"/>
  <c r="BB18" i="4"/>
  <c r="U19" i="4"/>
  <c r="AS19" i="4"/>
  <c r="AJ20" i="4"/>
  <c r="AZ20" i="4"/>
  <c r="C21" i="4"/>
  <c r="S21" i="4"/>
  <c r="AI21" i="4"/>
  <c r="BG21" i="4"/>
  <c r="B22" i="4"/>
  <c r="Z22" i="4"/>
  <c r="AP22" i="4"/>
  <c r="BF22" i="4"/>
  <c r="I23" i="4"/>
  <c r="Y23" i="4"/>
  <c r="AG23" i="4"/>
  <c r="AW23" i="4"/>
  <c r="G25" i="4"/>
  <c r="W25" i="4"/>
  <c r="AM25" i="4"/>
  <c r="BC25" i="4"/>
  <c r="F26" i="4"/>
  <c r="AD26" i="4"/>
  <c r="AL26" i="4"/>
  <c r="BB26" i="4"/>
  <c r="E27" i="4"/>
  <c r="M27" i="4"/>
  <c r="U27" i="4"/>
  <c r="AC27" i="4"/>
  <c r="AK27" i="4"/>
  <c r="AS27" i="4"/>
  <c r="BA27" i="4"/>
  <c r="D28" i="4"/>
  <c r="L28" i="4"/>
  <c r="T28" i="4"/>
  <c r="AB28" i="4"/>
  <c r="AJ28" i="4"/>
  <c r="AR28" i="4"/>
  <c r="AZ28" i="4"/>
  <c r="C29" i="4"/>
  <c r="K29" i="4"/>
  <c r="S29" i="4"/>
  <c r="AA29" i="4"/>
  <c r="AI29" i="4"/>
  <c r="AQ29" i="4"/>
  <c r="AY29" i="4"/>
  <c r="BG29" i="4"/>
  <c r="B30" i="4"/>
  <c r="J30" i="4"/>
  <c r="R30" i="4"/>
  <c r="Z30" i="4"/>
  <c r="AH30" i="4"/>
  <c r="AP30" i="4"/>
  <c r="AX30" i="4"/>
  <c r="BF30" i="4"/>
  <c r="I31" i="4"/>
  <c r="Q31" i="4"/>
  <c r="Y31" i="4"/>
  <c r="AG31" i="4"/>
  <c r="AO31" i="4"/>
  <c r="AW31" i="4"/>
  <c r="BE31" i="4"/>
  <c r="H32" i="4"/>
  <c r="P32" i="4"/>
  <c r="X32" i="4"/>
  <c r="AF32" i="4"/>
  <c r="AN32" i="4"/>
  <c r="AV32" i="4"/>
  <c r="BD32" i="4"/>
  <c r="B14" i="4"/>
  <c r="Z14" i="4"/>
  <c r="AP14" i="4"/>
  <c r="I15" i="4"/>
  <c r="Y15" i="4"/>
  <c r="AW15" i="4"/>
  <c r="X16" i="4"/>
  <c r="AN16" i="4"/>
  <c r="G17" i="4"/>
  <c r="AE17" i="4"/>
  <c r="BC17" i="4"/>
  <c r="F18" i="4"/>
  <c r="V18" i="4"/>
  <c r="AT18" i="4"/>
  <c r="E19" i="4"/>
  <c r="AC19" i="4"/>
  <c r="BA19" i="4"/>
  <c r="L20" i="4"/>
  <c r="T20" i="4"/>
  <c r="AR20" i="4"/>
  <c r="AA21" i="4"/>
  <c r="AQ21" i="4"/>
  <c r="AY21" i="4"/>
  <c r="J22" i="4"/>
  <c r="R22" i="4"/>
  <c r="AH22" i="4"/>
  <c r="AX22" i="4"/>
  <c r="Q23" i="4"/>
  <c r="AO23" i="4"/>
  <c r="BE23" i="4"/>
  <c r="O25" i="4"/>
  <c r="AE25" i="4"/>
  <c r="AU25" i="4"/>
  <c r="N26" i="4"/>
  <c r="V26" i="4"/>
  <c r="AT26" i="4"/>
  <c r="Q2" i="4"/>
  <c r="Y2" i="4"/>
  <c r="AG2" i="4"/>
  <c r="AO2" i="4"/>
  <c r="BE2" i="4"/>
  <c r="H3" i="4"/>
  <c r="P3" i="4"/>
  <c r="X3" i="4"/>
  <c r="AN3" i="4"/>
  <c r="AV3" i="4"/>
  <c r="G4" i="4"/>
  <c r="O4" i="4"/>
  <c r="W4" i="4"/>
  <c r="AE4" i="4"/>
  <c r="AM4" i="4"/>
  <c r="AU4" i="4"/>
  <c r="BC4" i="4"/>
  <c r="F5" i="4"/>
  <c r="N5" i="4"/>
  <c r="AD5" i="4"/>
  <c r="AL5" i="4"/>
  <c r="BB5" i="4"/>
  <c r="E6" i="4"/>
  <c r="M6" i="4"/>
  <c r="U6" i="4"/>
  <c r="AC6" i="4"/>
  <c r="AK6" i="4"/>
  <c r="AS6" i="4"/>
  <c r="D7" i="4"/>
  <c r="L7" i="4"/>
  <c r="T7" i="4"/>
  <c r="AB7" i="4"/>
  <c r="AJ7" i="4"/>
  <c r="AR7" i="4"/>
  <c r="U12" i="4"/>
  <c r="AS20" i="4"/>
  <c r="AB29" i="4"/>
  <c r="R14" i="4"/>
  <c r="AX14" i="4"/>
  <c r="Q15" i="4"/>
  <c r="AO15" i="4"/>
  <c r="H16" i="4"/>
  <c r="BD16" i="4"/>
  <c r="AM17" i="4"/>
  <c r="N18" i="4"/>
  <c r="AL18" i="4"/>
  <c r="M19" i="4"/>
  <c r="AK19" i="4"/>
  <c r="D20" i="4"/>
  <c r="AB20" i="4"/>
  <c r="K21" i="4"/>
  <c r="B2" i="4"/>
  <c r="J2" i="4"/>
  <c r="R2" i="4"/>
  <c r="AH2" i="4"/>
  <c r="AP2" i="4"/>
  <c r="BF2" i="4"/>
  <c r="I3" i="4"/>
  <c r="Q3" i="4"/>
  <c r="Y3" i="4"/>
  <c r="AG3" i="4"/>
  <c r="AO3" i="4"/>
  <c r="AW3" i="4"/>
  <c r="BE3" i="4"/>
  <c r="H4" i="4"/>
  <c r="X4" i="4"/>
  <c r="AF4" i="4"/>
  <c r="AV4" i="4"/>
  <c r="BD4" i="4"/>
  <c r="G5" i="4"/>
  <c r="O5" i="4"/>
  <c r="W5" i="4"/>
  <c r="AE5" i="4"/>
  <c r="AM5" i="4"/>
  <c r="AU5" i="4"/>
  <c r="BC5" i="4"/>
  <c r="F6" i="4"/>
  <c r="N6" i="4"/>
  <c r="V6" i="4"/>
  <c r="AD6" i="4"/>
  <c r="AL6" i="4"/>
  <c r="AT6" i="4"/>
  <c r="U7" i="4"/>
  <c r="AK7" i="4"/>
  <c r="BA7" i="4"/>
  <c r="Q9" i="4"/>
  <c r="AG9" i="4"/>
  <c r="O11" i="4"/>
  <c r="BC11" i="4"/>
  <c r="S15" i="4"/>
  <c r="AX16" i="4"/>
  <c r="Y25" i="4"/>
  <c r="AF16" i="4"/>
  <c r="K2" i="4"/>
  <c r="AA2" i="4"/>
  <c r="AQ2" i="4"/>
  <c r="AY2" i="4"/>
  <c r="BG2" i="4"/>
  <c r="B3" i="4"/>
  <c r="R3" i="4"/>
  <c r="Z3" i="4"/>
  <c r="AP3" i="4"/>
  <c r="AX3" i="4"/>
  <c r="BF3" i="4"/>
  <c r="I4" i="4"/>
  <c r="Q4" i="4"/>
  <c r="Y4" i="4"/>
  <c r="AG4" i="4"/>
  <c r="AO4" i="4"/>
  <c r="AW4" i="4"/>
  <c r="BE4" i="4"/>
  <c r="H5" i="4"/>
  <c r="P5" i="4"/>
  <c r="X5" i="4"/>
  <c r="AF5" i="4"/>
  <c r="AN5" i="4"/>
  <c r="AV5" i="4"/>
  <c r="BD5" i="4"/>
  <c r="G6" i="4"/>
  <c r="W6" i="4"/>
  <c r="AE6" i="4"/>
  <c r="AM6" i="4"/>
  <c r="AU6" i="4"/>
  <c r="BC6" i="4"/>
  <c r="F7" i="4"/>
  <c r="N7" i="4"/>
  <c r="V7" i="4"/>
  <c r="AD7" i="4"/>
  <c r="AL7" i="4"/>
  <c r="AT7" i="4"/>
  <c r="BB7" i="4"/>
  <c r="B9" i="4"/>
  <c r="J9" i="4"/>
  <c r="R9" i="4"/>
  <c r="Z9" i="4"/>
  <c r="AH9" i="4"/>
  <c r="AP9" i="4"/>
  <c r="AX9" i="4"/>
  <c r="BF9" i="4"/>
  <c r="I10" i="4"/>
  <c r="Q10" i="4"/>
  <c r="Y10" i="4"/>
  <c r="AG10" i="4"/>
  <c r="AO10" i="4"/>
  <c r="BE10" i="4"/>
  <c r="H11" i="4"/>
  <c r="P11" i="4"/>
  <c r="X11" i="4"/>
  <c r="AF11" i="4"/>
  <c r="AN11" i="4"/>
  <c r="AV11" i="4"/>
  <c r="BD11" i="4"/>
  <c r="G12" i="4"/>
  <c r="O12" i="4"/>
  <c r="W12" i="4"/>
  <c r="AE12" i="4"/>
  <c r="M14" i="4"/>
  <c r="BA14" i="4"/>
  <c r="AY16" i="4"/>
  <c r="C2" i="4"/>
  <c r="S2" i="4"/>
  <c r="AI2" i="4"/>
  <c r="L2" i="4"/>
  <c r="T2" i="4"/>
  <c r="AJ2" i="4"/>
  <c r="AR2" i="4"/>
  <c r="AZ2" i="4"/>
  <c r="C3" i="4"/>
  <c r="K3" i="4"/>
  <c r="S3" i="4"/>
  <c r="AA3" i="4"/>
  <c r="AI3" i="4"/>
  <c r="AQ3" i="4"/>
  <c r="AY3" i="4"/>
  <c r="BG3" i="4"/>
  <c r="B4" i="4"/>
  <c r="J4" i="4"/>
  <c r="R4" i="4"/>
  <c r="Z4" i="4"/>
  <c r="AH4" i="4"/>
  <c r="AP4" i="4"/>
  <c r="AX4" i="4"/>
  <c r="BF4" i="4"/>
  <c r="I5" i="4"/>
  <c r="Q5" i="4"/>
  <c r="Y5" i="4"/>
  <c r="AG5" i="4"/>
  <c r="AO5" i="4"/>
  <c r="AW5" i="4"/>
  <c r="BE5" i="4"/>
  <c r="H6" i="4"/>
  <c r="P6" i="4"/>
  <c r="X6" i="4"/>
  <c r="AF6" i="4"/>
  <c r="AN6" i="4"/>
  <c r="AV6" i="4"/>
  <c r="BD6" i="4"/>
  <c r="G7" i="4"/>
  <c r="O7" i="4"/>
  <c r="W7" i="4"/>
  <c r="AE7" i="4"/>
  <c r="AM7" i="4"/>
  <c r="AU7" i="4"/>
  <c r="BC7" i="4"/>
  <c r="C9" i="4"/>
  <c r="K9" i="4"/>
  <c r="S9" i="4"/>
  <c r="AI9" i="4"/>
  <c r="AQ9" i="4"/>
  <c r="AY9" i="4"/>
  <c r="BG9" i="4"/>
  <c r="B10" i="4"/>
  <c r="J10" i="4"/>
  <c r="R10" i="4"/>
  <c r="Z10" i="4"/>
  <c r="AH10" i="4"/>
  <c r="AP10" i="4"/>
  <c r="AX10" i="4"/>
  <c r="BF10" i="4"/>
  <c r="I11" i="4"/>
  <c r="Q11" i="4"/>
  <c r="Y11" i="4"/>
  <c r="AG11" i="4"/>
  <c r="AO11" i="4"/>
  <c r="AW11" i="4"/>
  <c r="BE11" i="4"/>
  <c r="G13" i="4"/>
  <c r="AD14" i="4"/>
  <c r="AS15" i="4"/>
  <c r="BA15" i="4"/>
  <c r="H13" i="4"/>
  <c r="P13" i="4"/>
  <c r="AF13" i="4"/>
  <c r="AN13" i="4"/>
  <c r="BD13" i="4"/>
  <c r="G14" i="4"/>
  <c r="O14" i="4"/>
  <c r="W14" i="4"/>
  <c r="AE14" i="4"/>
  <c r="AM14" i="4"/>
  <c r="AU14" i="4"/>
  <c r="BC14" i="4"/>
  <c r="F15" i="4"/>
  <c r="N15" i="4"/>
  <c r="V15" i="4"/>
  <c r="AD15" i="4"/>
  <c r="AL15" i="4"/>
  <c r="AT15" i="4"/>
  <c r="BB15" i="4"/>
  <c r="E16" i="4"/>
  <c r="M16" i="4"/>
  <c r="U16" i="4"/>
  <c r="AC16" i="4"/>
  <c r="AK16" i="4"/>
  <c r="AS16" i="4"/>
  <c r="BA16" i="4"/>
  <c r="D17" i="4"/>
  <c r="L17" i="4"/>
  <c r="T17" i="4"/>
  <c r="AB17" i="4"/>
  <c r="AJ17" i="4"/>
  <c r="AR17" i="4"/>
  <c r="AZ17" i="4"/>
  <c r="C18" i="4"/>
  <c r="K18" i="4"/>
  <c r="S18" i="4"/>
  <c r="AA18" i="4"/>
  <c r="AI18" i="4"/>
  <c r="AQ18" i="4"/>
  <c r="AY18" i="4"/>
  <c r="BG18" i="4"/>
  <c r="B19" i="4"/>
  <c r="J19" i="4"/>
  <c r="R19" i="4"/>
  <c r="Z19" i="4"/>
  <c r="AH19" i="4"/>
  <c r="AP19" i="4"/>
  <c r="AX19" i="4"/>
  <c r="BF19" i="4"/>
  <c r="I20" i="4"/>
  <c r="Q20" i="4"/>
  <c r="Y20" i="4"/>
  <c r="AG20" i="4"/>
  <c r="AO20" i="4"/>
  <c r="AW20" i="4"/>
  <c r="BE20" i="4"/>
  <c r="H21" i="4"/>
  <c r="P21" i="4"/>
  <c r="X21" i="4"/>
  <c r="AF21" i="4"/>
  <c r="AN21" i="4"/>
  <c r="AV21" i="4"/>
  <c r="BD21" i="4"/>
  <c r="G22" i="4"/>
  <c r="O22" i="4"/>
  <c r="W22" i="4"/>
  <c r="AE22" i="4"/>
  <c r="AM22" i="4"/>
  <c r="AU22" i="4"/>
  <c r="BC22" i="4"/>
  <c r="F23" i="4"/>
  <c r="N23" i="4"/>
  <c r="V23" i="4"/>
  <c r="AD23" i="4"/>
  <c r="AL23" i="4"/>
  <c r="AT23" i="4"/>
  <c r="BB23" i="4"/>
  <c r="L25" i="4"/>
  <c r="T25" i="4"/>
  <c r="AB25" i="4"/>
  <c r="AJ25" i="4"/>
  <c r="AR25" i="4"/>
  <c r="AZ25" i="4"/>
  <c r="C26" i="4"/>
  <c r="K26" i="4"/>
  <c r="S26" i="4"/>
  <c r="AA26" i="4"/>
  <c r="AI26" i="4"/>
  <c r="AQ26" i="4"/>
  <c r="AY26" i="4"/>
  <c r="BG26" i="4"/>
  <c r="B27" i="4"/>
  <c r="J27" i="4"/>
  <c r="R27" i="4"/>
  <c r="Z27" i="4"/>
  <c r="AH27" i="4"/>
  <c r="AP27" i="4"/>
  <c r="AX27" i="4"/>
  <c r="BF27" i="4"/>
  <c r="I28" i="4"/>
  <c r="Q28" i="4"/>
  <c r="Y28" i="4"/>
  <c r="AG28" i="4"/>
  <c r="AO28" i="4"/>
  <c r="AW28" i="4"/>
  <c r="BE28" i="4"/>
  <c r="H29" i="4"/>
  <c r="P29" i="4"/>
  <c r="X29" i="4"/>
  <c r="AF29" i="4"/>
  <c r="AN29" i="4"/>
  <c r="AV29" i="4"/>
  <c r="BD29" i="4"/>
  <c r="G30" i="4"/>
  <c r="O30" i="4"/>
  <c r="W30" i="4"/>
  <c r="AE30" i="4"/>
  <c r="AM30" i="4"/>
  <c r="AU30" i="4"/>
  <c r="BC30" i="4"/>
  <c r="F31" i="4"/>
  <c r="N31" i="4"/>
  <c r="V31" i="4"/>
  <c r="AD31" i="4"/>
  <c r="AL31" i="4"/>
  <c r="AT31" i="4"/>
  <c r="BB31" i="4"/>
  <c r="E32" i="4"/>
  <c r="M32" i="4"/>
  <c r="U32" i="4"/>
  <c r="AC32" i="4"/>
  <c r="AK32" i="4"/>
  <c r="AS32" i="4"/>
  <c r="BA32" i="4"/>
  <c r="AZ7" i="4"/>
  <c r="H9" i="4"/>
  <c r="P9" i="4"/>
  <c r="X9" i="4"/>
  <c r="AF9" i="4"/>
  <c r="AN9" i="4"/>
  <c r="AV9" i="4"/>
  <c r="BD9" i="4"/>
  <c r="G10" i="4"/>
  <c r="O10" i="4"/>
  <c r="W10" i="4"/>
  <c r="AE10" i="4"/>
  <c r="AM10" i="4"/>
  <c r="AU10" i="4"/>
  <c r="BC10" i="4"/>
  <c r="F11" i="4"/>
  <c r="N11" i="4"/>
  <c r="V11" i="4"/>
  <c r="AD11" i="4"/>
  <c r="AL11" i="4"/>
  <c r="AT11" i="4"/>
  <c r="BB11" i="4"/>
  <c r="E12" i="4"/>
  <c r="M12" i="4"/>
  <c r="AC12" i="4"/>
  <c r="AK12" i="4"/>
  <c r="AS12" i="4"/>
  <c r="BA12" i="4"/>
  <c r="D13" i="4"/>
  <c r="L13" i="4"/>
  <c r="T13" i="4"/>
  <c r="AB13" i="4"/>
  <c r="AJ13" i="4"/>
  <c r="AR13" i="4"/>
  <c r="AZ13" i="4"/>
  <c r="C14" i="4"/>
  <c r="K14" i="4"/>
  <c r="S14" i="4"/>
  <c r="AA14" i="4"/>
  <c r="AI14" i="4"/>
  <c r="AQ14" i="4"/>
  <c r="AY14" i="4"/>
  <c r="BG14" i="4"/>
  <c r="B15" i="4"/>
  <c r="J15" i="4"/>
  <c r="R15" i="4"/>
  <c r="Z15" i="4"/>
  <c r="AH15" i="4"/>
  <c r="AP15" i="4"/>
  <c r="AX15" i="4"/>
  <c r="BF15" i="4"/>
  <c r="I16" i="4"/>
  <c r="Q16" i="4"/>
  <c r="Y16" i="4"/>
  <c r="AG16" i="4"/>
  <c r="AO16" i="4"/>
  <c r="AW16" i="4"/>
  <c r="BE16" i="4"/>
  <c r="H17" i="4"/>
  <c r="P17" i="4"/>
  <c r="X17" i="4"/>
  <c r="AF17" i="4"/>
  <c r="AN17" i="4"/>
  <c r="AV17" i="4"/>
  <c r="BD17" i="4"/>
  <c r="G18" i="4"/>
  <c r="O18" i="4"/>
  <c r="W18" i="4"/>
  <c r="AE18" i="4"/>
  <c r="AM18" i="4"/>
  <c r="AU18" i="4"/>
  <c r="BC18" i="4"/>
  <c r="F19" i="4"/>
  <c r="N19" i="4"/>
  <c r="V19" i="4"/>
  <c r="AD19" i="4"/>
  <c r="AL19" i="4"/>
  <c r="AT19" i="4"/>
  <c r="BB19" i="4"/>
  <c r="E20" i="4"/>
  <c r="M20" i="4"/>
  <c r="U20" i="4"/>
  <c r="AC20" i="4"/>
  <c r="AK20" i="4"/>
  <c r="BA20" i="4"/>
  <c r="D21" i="4"/>
  <c r="L21" i="4"/>
  <c r="T21" i="4"/>
  <c r="AB21" i="4"/>
  <c r="AJ21" i="4"/>
  <c r="AR21" i="4"/>
  <c r="AZ21" i="4"/>
  <c r="C22" i="4"/>
  <c r="K22" i="4"/>
  <c r="S22" i="4"/>
  <c r="AA22" i="4"/>
  <c r="AI22" i="4"/>
  <c r="AQ22" i="4"/>
  <c r="AY22" i="4"/>
  <c r="BG22" i="4"/>
  <c r="B23" i="4"/>
  <c r="J23" i="4"/>
  <c r="R23" i="4"/>
  <c r="Z23" i="4"/>
  <c r="AH23" i="4"/>
  <c r="AP23" i="4"/>
  <c r="AX23" i="4"/>
  <c r="BF23" i="4"/>
  <c r="H25" i="4"/>
  <c r="P25" i="4"/>
  <c r="X25" i="4"/>
  <c r="AF25" i="4"/>
  <c r="AN25" i="4"/>
  <c r="AV25" i="4"/>
  <c r="BD25" i="4"/>
  <c r="G26" i="4"/>
  <c r="O26" i="4"/>
  <c r="W26" i="4"/>
  <c r="AE26" i="4"/>
  <c r="AM26" i="4"/>
  <c r="AU26" i="4"/>
  <c r="BC26" i="4"/>
  <c r="F27" i="4"/>
  <c r="N27" i="4"/>
  <c r="V27" i="4"/>
  <c r="AD27" i="4"/>
  <c r="AL27" i="4"/>
  <c r="AT27" i="4"/>
  <c r="BB27" i="4"/>
  <c r="E28" i="4"/>
  <c r="M28" i="4"/>
  <c r="U28" i="4"/>
  <c r="AC28" i="4"/>
  <c r="AK28" i="4"/>
  <c r="AS28" i="4"/>
  <c r="BA28" i="4"/>
  <c r="D29" i="4"/>
  <c r="L29" i="4"/>
  <c r="T29" i="4"/>
  <c r="AJ29" i="4"/>
  <c r="AR29" i="4"/>
  <c r="AZ29" i="4"/>
  <c r="C30" i="4"/>
  <c r="K30" i="4"/>
  <c r="S30" i="4"/>
  <c r="AA30" i="4"/>
  <c r="AI30" i="4"/>
  <c r="AQ30" i="4"/>
  <c r="AY30" i="4"/>
  <c r="BG30" i="4"/>
  <c r="BB6" i="4"/>
  <c r="M7" i="4"/>
  <c r="AC7" i="4"/>
  <c r="AS7" i="4"/>
  <c r="I9" i="4"/>
  <c r="Y9" i="4"/>
  <c r="AO9" i="4"/>
  <c r="AW9" i="4"/>
  <c r="BE9" i="4"/>
  <c r="H10" i="4"/>
  <c r="P10" i="4"/>
  <c r="X10" i="4"/>
  <c r="AF10" i="4"/>
  <c r="AN10" i="4"/>
  <c r="AV10" i="4"/>
  <c r="BD10" i="4"/>
  <c r="G11" i="4"/>
  <c r="W11" i="4"/>
  <c r="AE11" i="4"/>
  <c r="AM11" i="4"/>
  <c r="AU11" i="4"/>
  <c r="F12" i="4"/>
  <c r="N12" i="4"/>
  <c r="V12" i="4"/>
  <c r="AD12" i="4"/>
  <c r="AL12" i="4"/>
  <c r="AT12" i="4"/>
  <c r="BB12" i="4"/>
  <c r="E13" i="4"/>
  <c r="M13" i="4"/>
  <c r="U13" i="4"/>
  <c r="AC13" i="4"/>
  <c r="AK13" i="4"/>
  <c r="AS13" i="4"/>
  <c r="BA13" i="4"/>
  <c r="D14" i="4"/>
  <c r="L14" i="4"/>
  <c r="T14" i="4"/>
  <c r="AB14" i="4"/>
  <c r="AJ14" i="4"/>
  <c r="AR14" i="4"/>
  <c r="AZ14" i="4"/>
  <c r="C15" i="4"/>
  <c r="K15" i="4"/>
  <c r="AA15" i="4"/>
  <c r="AI15" i="4"/>
  <c r="AQ15" i="4"/>
  <c r="AY15" i="4"/>
  <c r="BG15" i="4"/>
  <c r="B16" i="4"/>
  <c r="J16" i="4"/>
  <c r="R16" i="4"/>
  <c r="Z16" i="4"/>
  <c r="AH16" i="4"/>
  <c r="AP16" i="4"/>
  <c r="BF16" i="4"/>
  <c r="I17" i="4"/>
  <c r="Q17" i="4"/>
  <c r="Y17" i="4"/>
  <c r="AG17" i="4"/>
  <c r="AO17" i="4"/>
  <c r="AW17" i="4"/>
  <c r="BE17" i="4"/>
  <c r="H18" i="4"/>
  <c r="P18" i="4"/>
  <c r="X18" i="4"/>
  <c r="AF18" i="4"/>
  <c r="AN18" i="4"/>
  <c r="AV18" i="4"/>
  <c r="BD18" i="4"/>
  <c r="G19" i="4"/>
  <c r="O19" i="4"/>
  <c r="W19" i="4"/>
  <c r="AE19" i="4"/>
  <c r="AM19" i="4"/>
  <c r="AU19" i="4"/>
  <c r="BC19" i="4"/>
  <c r="F20" i="4"/>
  <c r="N20" i="4"/>
  <c r="V20" i="4"/>
  <c r="AD20" i="4"/>
  <c r="AL20" i="4"/>
  <c r="AT20" i="4"/>
  <c r="BB20" i="4"/>
  <c r="E21" i="4"/>
  <c r="M21" i="4"/>
  <c r="U21" i="4"/>
  <c r="AC21" i="4"/>
  <c r="AK21" i="4"/>
  <c r="AS21" i="4"/>
  <c r="BA21" i="4"/>
  <c r="D22" i="4"/>
  <c r="L22" i="4"/>
  <c r="T22" i="4"/>
  <c r="AB22" i="4"/>
  <c r="AJ22" i="4"/>
  <c r="AR22" i="4"/>
  <c r="AZ22" i="4"/>
  <c r="C23" i="4"/>
  <c r="K23" i="4"/>
  <c r="S23" i="4"/>
  <c r="AA23" i="4"/>
  <c r="AI23" i="4"/>
  <c r="AQ23" i="4"/>
  <c r="AY23" i="4"/>
  <c r="BG23" i="4"/>
  <c r="I25" i="4"/>
  <c r="Q25" i="4"/>
  <c r="AG25" i="4"/>
  <c r="AO25" i="4"/>
  <c r="AW25" i="4"/>
  <c r="BE25" i="4"/>
  <c r="H26" i="4"/>
  <c r="P26" i="4"/>
  <c r="X26" i="4"/>
  <c r="AF26" i="4"/>
  <c r="AN26" i="4"/>
  <c r="AV26" i="4"/>
  <c r="BD26" i="4"/>
  <c r="G27" i="4"/>
  <c r="O27" i="4"/>
  <c r="W27" i="4"/>
  <c r="AE27" i="4"/>
  <c r="AM27" i="4"/>
  <c r="AU27" i="4"/>
  <c r="BC27" i="4"/>
  <c r="F28" i="4"/>
  <c r="N28" i="4"/>
  <c r="V28" i="4"/>
  <c r="AD28" i="4"/>
  <c r="AL28" i="4"/>
  <c r="AT28" i="4"/>
  <c r="BB28" i="4"/>
  <c r="E29" i="4"/>
  <c r="M29" i="4"/>
  <c r="U29" i="4"/>
  <c r="AC29" i="4"/>
  <c r="AK29" i="4"/>
  <c r="AS29" i="4"/>
  <c r="BA29" i="4"/>
  <c r="D30" i="4"/>
  <c r="L30" i="4"/>
  <c r="T30" i="4"/>
  <c r="AB30" i="4"/>
  <c r="AJ30" i="4"/>
  <c r="AR30" i="4"/>
  <c r="AZ30" i="4"/>
  <c r="I33" i="4"/>
  <c r="AM12" i="4"/>
  <c r="AU12" i="4"/>
  <c r="BC12" i="4"/>
  <c r="F13" i="4"/>
  <c r="N13" i="4"/>
  <c r="V13" i="4"/>
  <c r="AD13" i="4"/>
  <c r="AL13" i="4"/>
  <c r="AT13" i="4"/>
  <c r="BB13" i="4"/>
  <c r="E14" i="4"/>
  <c r="U14" i="4"/>
  <c r="AC14" i="4"/>
  <c r="AK14" i="4"/>
  <c r="AS14" i="4"/>
  <c r="D15" i="4"/>
  <c r="L15" i="4"/>
  <c r="T15" i="4"/>
  <c r="AB15" i="4"/>
  <c r="AJ15" i="4"/>
  <c r="AR15" i="4"/>
  <c r="AZ15" i="4"/>
  <c r="C16" i="4"/>
  <c r="K16" i="4"/>
  <c r="S16" i="4"/>
  <c r="AA16" i="4"/>
  <c r="AI16" i="4"/>
  <c r="AQ16" i="4"/>
  <c r="BG16" i="4"/>
  <c r="B17" i="4"/>
  <c r="J17" i="4"/>
  <c r="R17" i="4"/>
  <c r="Z17" i="4"/>
  <c r="AH17" i="4"/>
  <c r="AP17" i="4"/>
  <c r="AX17" i="4"/>
  <c r="BF17" i="4"/>
  <c r="I18" i="4"/>
  <c r="Q18" i="4"/>
  <c r="Y18" i="4"/>
  <c r="AO18" i="4"/>
  <c r="AW18" i="4"/>
  <c r="BE18" i="4"/>
  <c r="H19" i="4"/>
  <c r="P19" i="4"/>
  <c r="X19" i="4"/>
  <c r="AF19" i="4"/>
  <c r="AN19" i="4"/>
  <c r="AV19" i="4"/>
  <c r="BD19" i="4"/>
  <c r="G20" i="4"/>
  <c r="O20" i="4"/>
  <c r="W20" i="4"/>
  <c r="AE20" i="4"/>
  <c r="AM20" i="4"/>
  <c r="AU20" i="4"/>
  <c r="BC20" i="4"/>
  <c r="F21" i="4"/>
  <c r="N21" i="4"/>
  <c r="V21" i="4"/>
  <c r="AD21" i="4"/>
  <c r="AL21" i="4"/>
  <c r="AT21" i="4"/>
  <c r="BB21" i="4"/>
  <c r="E22" i="4"/>
  <c r="M22" i="4"/>
  <c r="U22" i="4"/>
  <c r="AC22" i="4"/>
  <c r="AK22" i="4"/>
  <c r="AS22" i="4"/>
  <c r="BA22" i="4"/>
  <c r="D23" i="4"/>
  <c r="L23" i="4"/>
  <c r="T23" i="4"/>
  <c r="AB23" i="4"/>
  <c r="AJ23" i="4"/>
  <c r="AR23" i="4"/>
  <c r="AZ23" i="4"/>
  <c r="B25" i="4"/>
  <c r="J25" i="4"/>
  <c r="R25" i="4"/>
  <c r="Z25" i="4"/>
  <c r="AH25" i="4"/>
  <c r="AP25" i="4"/>
  <c r="AX25" i="4"/>
  <c r="BF25" i="4"/>
  <c r="I26" i="4"/>
  <c r="Q26" i="4"/>
  <c r="Y26" i="4"/>
  <c r="AG26" i="4"/>
  <c r="AO26" i="4"/>
  <c r="AW26" i="4"/>
  <c r="BE26" i="4"/>
  <c r="H27" i="4"/>
  <c r="P27" i="4"/>
  <c r="X27" i="4"/>
  <c r="AF27" i="4"/>
  <c r="AN27" i="4"/>
  <c r="AV27" i="4"/>
  <c r="BD27" i="4"/>
  <c r="G28" i="4"/>
  <c r="O28" i="4"/>
  <c r="W28" i="4"/>
  <c r="AE28" i="4"/>
  <c r="AM28" i="4"/>
  <c r="AU28" i="4"/>
  <c r="BC28" i="4"/>
  <c r="F29" i="4"/>
  <c r="N29" i="4"/>
  <c r="V29" i="4"/>
  <c r="AD29" i="4"/>
  <c r="AL29" i="4"/>
  <c r="AT29" i="4"/>
  <c r="BB29" i="4"/>
  <c r="E30" i="4"/>
  <c r="M30" i="4"/>
  <c r="U30" i="4"/>
  <c r="AC30" i="4"/>
  <c r="AK30" i="4"/>
  <c r="C32" i="4"/>
  <c r="H12" i="4"/>
  <c r="P12" i="4"/>
  <c r="X12" i="4"/>
  <c r="AF12" i="4"/>
  <c r="AN12" i="4"/>
  <c r="AV12" i="4"/>
  <c r="BD12" i="4"/>
  <c r="O13" i="4"/>
  <c r="W13" i="4"/>
  <c r="AE13" i="4"/>
  <c r="AM13" i="4"/>
  <c r="BC13" i="4"/>
  <c r="F14" i="4"/>
  <c r="N14" i="4"/>
  <c r="V14" i="4"/>
  <c r="AL14" i="4"/>
  <c r="AT14" i="4"/>
  <c r="E15" i="4"/>
  <c r="M15" i="4"/>
  <c r="U15" i="4"/>
  <c r="AC15" i="4"/>
  <c r="AK15" i="4"/>
  <c r="D16" i="4"/>
  <c r="L16" i="4"/>
  <c r="T16" i="4"/>
  <c r="AB16" i="4"/>
  <c r="AJ16" i="4"/>
  <c r="AR16" i="4"/>
  <c r="AZ16" i="4"/>
  <c r="C17" i="4"/>
  <c r="K17" i="4"/>
  <c r="S17" i="4"/>
  <c r="AA17" i="4"/>
  <c r="AI17" i="4"/>
  <c r="AQ17" i="4"/>
  <c r="AY17" i="4"/>
  <c r="BG17" i="4"/>
  <c r="B18" i="4"/>
  <c r="J18" i="4"/>
  <c r="R18" i="4"/>
  <c r="Z18" i="4"/>
  <c r="AH18" i="4"/>
  <c r="AP18" i="4"/>
  <c r="AX18" i="4"/>
  <c r="BF18" i="4"/>
  <c r="I19" i="4"/>
  <c r="Q19" i="4"/>
  <c r="Y19" i="4"/>
  <c r="AG19" i="4"/>
  <c r="AO19" i="4"/>
  <c r="AW19" i="4"/>
  <c r="BE19" i="4"/>
  <c r="H20" i="4"/>
  <c r="P20" i="4"/>
  <c r="X20" i="4"/>
  <c r="AF20" i="4"/>
  <c r="AN20" i="4"/>
  <c r="AV20" i="4"/>
  <c r="BD20" i="4"/>
  <c r="G21" i="4"/>
  <c r="O21" i="4"/>
  <c r="W21" i="4"/>
  <c r="AE21" i="4"/>
  <c r="AM21" i="4"/>
  <c r="AU21" i="4"/>
  <c r="BC21" i="4"/>
  <c r="F22" i="4"/>
  <c r="N22" i="4"/>
  <c r="V22" i="4"/>
  <c r="AD22" i="4"/>
  <c r="AL22" i="4"/>
  <c r="AT22" i="4"/>
  <c r="BB22" i="4"/>
  <c r="E23" i="4"/>
  <c r="M23" i="4"/>
  <c r="U23" i="4"/>
  <c r="AC23" i="4"/>
  <c r="AK23" i="4"/>
  <c r="AS23" i="4"/>
  <c r="BA23" i="4"/>
  <c r="C25" i="4"/>
  <c r="K25" i="4"/>
  <c r="S25" i="4"/>
  <c r="AA25" i="4"/>
  <c r="AI25" i="4"/>
  <c r="AQ25" i="4"/>
  <c r="AY25" i="4"/>
  <c r="BG25" i="4"/>
  <c r="B26" i="4"/>
  <c r="J26" i="4"/>
  <c r="R26" i="4"/>
  <c r="Z26" i="4"/>
  <c r="AH26" i="4"/>
  <c r="AP26" i="4"/>
  <c r="AX26" i="4"/>
  <c r="BF26" i="4"/>
  <c r="I27" i="4"/>
  <c r="Q27" i="4"/>
  <c r="Y27" i="4"/>
  <c r="AG27" i="4"/>
  <c r="AO27" i="4"/>
  <c r="AW27" i="4"/>
  <c r="BE27" i="4"/>
  <c r="H28" i="4"/>
  <c r="P28" i="4"/>
  <c r="X28" i="4"/>
  <c r="AF28" i="4"/>
  <c r="AN28" i="4"/>
  <c r="AV28" i="4"/>
  <c r="BD28" i="4"/>
  <c r="G29" i="4"/>
  <c r="O29" i="4"/>
  <c r="W29" i="4"/>
  <c r="AE29" i="4"/>
  <c r="AM29" i="4"/>
  <c r="AU29" i="4"/>
  <c r="BC29" i="4"/>
  <c r="F30" i="4"/>
  <c r="N30" i="4"/>
  <c r="V30" i="4"/>
  <c r="AD30" i="4"/>
  <c r="AL30" i="4"/>
  <c r="AT30" i="4"/>
  <c r="BB30" i="4"/>
  <c r="E31" i="4"/>
  <c r="M31" i="4"/>
  <c r="U31" i="4"/>
  <c r="AC31" i="4"/>
  <c r="AK31" i="4"/>
  <c r="AS31" i="4"/>
  <c r="BA31" i="4"/>
  <c r="D32" i="4"/>
  <c r="L32" i="4"/>
  <c r="T32" i="4"/>
  <c r="AB32" i="4"/>
  <c r="AJ32" i="4"/>
  <c r="AR32" i="4"/>
  <c r="AZ32" i="4"/>
  <c r="C33" i="4"/>
  <c r="K33" i="4"/>
  <c r="S33" i="4"/>
  <c r="AA33" i="4"/>
  <c r="AI33" i="4"/>
  <c r="AQ33" i="4"/>
  <c r="AY33" i="4"/>
  <c r="BG33" i="4"/>
  <c r="AS33" i="4"/>
  <c r="BA33" i="4"/>
  <c r="B31" i="4"/>
  <c r="J31" i="4"/>
  <c r="R31" i="4"/>
  <c r="Z31" i="4"/>
  <c r="AH31" i="4"/>
  <c r="AP31" i="4"/>
  <c r="AX31" i="4"/>
  <c r="BF31" i="4"/>
  <c r="I32" i="4"/>
  <c r="Q32" i="4"/>
  <c r="Y32" i="4"/>
  <c r="AG32" i="4"/>
  <c r="AO32" i="4"/>
  <c r="AW32" i="4"/>
  <c r="BE32" i="4"/>
  <c r="H33" i="4"/>
  <c r="P33" i="4"/>
  <c r="X33" i="4"/>
  <c r="AF33" i="4"/>
  <c r="AN33" i="4"/>
  <c r="AV33" i="4"/>
  <c r="BD33" i="4"/>
  <c r="C31" i="4"/>
  <c r="K31" i="4"/>
  <c r="S31" i="4"/>
  <c r="AA31" i="4"/>
  <c r="AI31" i="4"/>
  <c r="AQ31" i="4"/>
  <c r="AY31" i="4"/>
  <c r="BG31" i="4"/>
  <c r="B32" i="4"/>
  <c r="J32" i="4"/>
  <c r="R32" i="4"/>
  <c r="Z32" i="4"/>
  <c r="AH32" i="4"/>
  <c r="AP32" i="4"/>
  <c r="AX32" i="4"/>
  <c r="BF32" i="4"/>
  <c r="Q33" i="4"/>
  <c r="Y33" i="4"/>
  <c r="AG33" i="4"/>
  <c r="AO33" i="4"/>
  <c r="AW33" i="4"/>
  <c r="BE33" i="4"/>
  <c r="AS30" i="4"/>
  <c r="BA30" i="4"/>
  <c r="D31" i="4"/>
  <c r="L31" i="4"/>
  <c r="T31" i="4"/>
  <c r="AB31" i="4"/>
  <c r="AJ31" i="4"/>
  <c r="AR31" i="4"/>
  <c r="AZ31" i="4"/>
  <c r="K32" i="4"/>
  <c r="S32" i="4"/>
  <c r="AA32" i="4"/>
  <c r="AI32" i="4"/>
  <c r="AQ32" i="4"/>
  <c r="AY32" i="4"/>
  <c r="BG32" i="4"/>
  <c r="B33" i="4"/>
  <c r="J33" i="4"/>
  <c r="R33" i="4"/>
  <c r="Z33" i="4"/>
  <c r="AH33" i="4"/>
  <c r="AP33" i="4"/>
  <c r="AX33" i="4"/>
  <c r="BF33" i="4"/>
  <c r="N3" i="6"/>
</calcChain>
</file>

<file path=xl/sharedStrings.xml><?xml version="1.0" encoding="utf-8"?>
<sst xmlns="http://schemas.openxmlformats.org/spreadsheetml/2006/main" count="971" uniqueCount="551">
  <si>
    <t>TAG</t>
  </si>
  <si>
    <t>Coleta</t>
  </si>
  <si>
    <t>Data</t>
  </si>
  <si>
    <t>Rio</t>
  </si>
  <si>
    <t>Habitat=Pote</t>
  </si>
  <si>
    <t>PONTO1</t>
  </si>
  <si>
    <t>PONTO2</t>
  </si>
  <si>
    <t>PONTO3</t>
  </si>
  <si>
    <t>PONTO4</t>
  </si>
  <si>
    <t>PONTO5</t>
  </si>
  <si>
    <t>P05-C1-H1</t>
  </si>
  <si>
    <t>Barro Branco</t>
  </si>
  <si>
    <t>P05-C1-H2</t>
  </si>
  <si>
    <t>P05-C1-H3</t>
  </si>
  <si>
    <t>PONTO6</t>
  </si>
  <si>
    <t>P06-C1-H1</t>
  </si>
  <si>
    <t>P06-C1-H2</t>
  </si>
  <si>
    <t>P06-C1-H3</t>
  </si>
  <si>
    <t>PONTO7</t>
  </si>
  <si>
    <t>P07-C1-H1</t>
  </si>
  <si>
    <t>P07-C1-H2</t>
  </si>
  <si>
    <t>P07-C1-H3</t>
  </si>
  <si>
    <t>PONTO8</t>
  </si>
  <si>
    <t>P08-C1-H1</t>
  </si>
  <si>
    <t>P08-C1-H2</t>
  </si>
  <si>
    <t>P08-C1-H3</t>
  </si>
  <si>
    <t>PONTO9</t>
  </si>
  <si>
    <t>P09-C1-H1</t>
  </si>
  <si>
    <t>P09-C1-H2</t>
  </si>
  <si>
    <t>P09-C1-H3</t>
  </si>
  <si>
    <t>PONTO10</t>
  </si>
  <si>
    <t>P010-C1-H1</t>
  </si>
  <si>
    <t>P010-C1-H2</t>
  </si>
  <si>
    <t>P010-C1-H3</t>
  </si>
  <si>
    <t>PONTO11</t>
  </si>
  <si>
    <t>P011-C1-H1</t>
  </si>
  <si>
    <t>Caiana</t>
  </si>
  <si>
    <t>P011-C1-H2</t>
  </si>
  <si>
    <t>P011-C1-H3</t>
  </si>
  <si>
    <t>PONTO12</t>
  </si>
  <si>
    <t>P012-C1-H1</t>
  </si>
  <si>
    <t>P012-C1-H2</t>
  </si>
  <si>
    <t>P012-C1-H3</t>
  </si>
  <si>
    <t>PONTO13</t>
  </si>
  <si>
    <t>P013-C1-H1</t>
  </si>
  <si>
    <t>P013-C1-H2</t>
  </si>
  <si>
    <t>P013-C1-H3</t>
  </si>
  <si>
    <t>PONTO14</t>
  </si>
  <si>
    <t>P014-C1-H1</t>
  </si>
  <si>
    <t>P014-C1-H2</t>
  </si>
  <si>
    <t>P014-C1-H3</t>
  </si>
  <si>
    <t>PONTO15</t>
  </si>
  <si>
    <t>P015-C1-H1</t>
  </si>
  <si>
    <t>P015-C1-H2</t>
  </si>
  <si>
    <t>P015-C1-H3</t>
  </si>
  <si>
    <t>PONTO16</t>
  </si>
  <si>
    <t>P016-C1-H1</t>
  </si>
  <si>
    <t>P016-C1-H2</t>
  </si>
  <si>
    <t>P016-C1-H3</t>
  </si>
  <si>
    <t>PONTO17</t>
  </si>
  <si>
    <t>P017-C1-H1</t>
  </si>
  <si>
    <t>P017-C1-H2</t>
  </si>
  <si>
    <t>P017-C1-H3</t>
  </si>
  <si>
    <t>PONTO18</t>
  </si>
  <si>
    <t>P018-C1-H1</t>
  </si>
  <si>
    <t>P018-C1-H2</t>
  </si>
  <si>
    <t>P018-C1-H3</t>
  </si>
  <si>
    <t>PONTO19</t>
  </si>
  <si>
    <t>P019-C1-H1</t>
  </si>
  <si>
    <t>P019-C1-H2</t>
  </si>
  <si>
    <t>P019-C1-H3</t>
  </si>
  <si>
    <t>PONTO20</t>
  </si>
  <si>
    <t>P020-C1-H1</t>
  </si>
  <si>
    <t>P020-C1-H2</t>
  </si>
  <si>
    <t>P020-C1-H3</t>
  </si>
  <si>
    <t>PONTO21</t>
  </si>
  <si>
    <t>PONTO22</t>
  </si>
  <si>
    <t>PONTO23</t>
  </si>
  <si>
    <t>PONTO24</t>
  </si>
  <si>
    <t>PONTO25</t>
  </si>
  <si>
    <t>PONTO26</t>
  </si>
  <si>
    <t>PONTO27</t>
  </si>
  <si>
    <t>PONTO28</t>
  </si>
  <si>
    <t>PONTO29</t>
  </si>
  <si>
    <t>PONTO30</t>
  </si>
  <si>
    <t>PONTO31</t>
  </si>
  <si>
    <t>PONTO32</t>
  </si>
  <si>
    <t>PONTO33</t>
  </si>
  <si>
    <t>PONTO34</t>
  </si>
  <si>
    <t>PONTO35</t>
  </si>
  <si>
    <t>PONTO36</t>
  </si>
  <si>
    <t>PONTO37</t>
  </si>
  <si>
    <t>PONTO38</t>
  </si>
  <si>
    <t>PONTO39</t>
  </si>
  <si>
    <t>PONTO40</t>
  </si>
  <si>
    <t>Alonella dadayi Birge, 1910</t>
  </si>
  <si>
    <t>Alonella hamulata (Birge, 1910)</t>
  </si>
  <si>
    <t>Alonella sp.</t>
  </si>
  <si>
    <t>Bdelloidea</t>
  </si>
  <si>
    <t>Brachionus patulus Müller, 1786</t>
  </si>
  <si>
    <t>Cephalodella sp.</t>
  </si>
  <si>
    <t>Colurella adriatica Ehrenberg, 1831</t>
  </si>
  <si>
    <t>Copepodite</t>
  </si>
  <si>
    <t>Chydorus sp.</t>
  </si>
  <si>
    <t>Dicranophoroides sp.</t>
  </si>
  <si>
    <t>Diaphanosoma birgei Korínek, 1981</t>
  </si>
  <si>
    <t>Diaphanosoma spinulosum Herbst, 1975</t>
  </si>
  <si>
    <t>Dissotrocha aculeata (Ehrenberg, 1832)</t>
  </si>
  <si>
    <t>Euchlanis dilatata Ehrenberg, 1832</t>
  </si>
  <si>
    <t>Filinia longiseta (Ehrenberg, 1834)</t>
  </si>
  <si>
    <t>Ilyocryptus spinifer Herrick, 1882</t>
  </si>
  <si>
    <t>Lecane aculeata (Jakubski, 1912)</t>
  </si>
  <si>
    <t>Lecane bulla (Gosse, 1851)</t>
  </si>
  <si>
    <t>Lecane cornuta (Müller, 1786)</t>
  </si>
  <si>
    <t>Lecane crepida Murray, 1913</t>
  </si>
  <si>
    <t>Lecane curvicornis (Murray, 1913)</t>
  </si>
  <si>
    <t>Lecane furcata (Murray, 1913)</t>
  </si>
  <si>
    <t>Lecane haliclysta Harring &amp; Myers, 1926</t>
  </si>
  <si>
    <t>Lecane leontina (Turner, 1892)</t>
  </si>
  <si>
    <t>Lecane lunaris (Ehrenberg, 1832)</t>
  </si>
  <si>
    <t>Lecane luna (Müller, 1776)</t>
  </si>
  <si>
    <t>Lecane monostyla (Daday, 1897)</t>
  </si>
  <si>
    <t>Lecane obtusa (Murray, 1913)</t>
  </si>
  <si>
    <t>Lecane papuana (Murray, 1913)</t>
  </si>
  <si>
    <t>Lecane quadridentata (Ehrenberg, 1832)</t>
  </si>
  <si>
    <t>Lecane signifera (Jennings, 1896)</t>
  </si>
  <si>
    <t>Leydigia sp.</t>
  </si>
  <si>
    <t xml:space="preserve">Lepadella benjamini Harring, 1916 </t>
  </si>
  <si>
    <t>Lepadella imbricata Harring, 1914</t>
  </si>
  <si>
    <t>Lepadella ovalis (Müller, 1786)</t>
  </si>
  <si>
    <t>Lepadella patella (Müller, 1773)</t>
  </si>
  <si>
    <t>Mesocyclops sp.</t>
  </si>
  <si>
    <t>Macrocyclops sp.</t>
  </si>
  <si>
    <t>Macrochaetus sp.</t>
  </si>
  <si>
    <t>Macrothrix sp.</t>
  </si>
  <si>
    <t>Macrothrix mira (Smirnov, 1992)</t>
  </si>
  <si>
    <t>Macrothrix laticornis (Jurine, 1820)</t>
  </si>
  <si>
    <t>Moina minuta Hansen, 1899</t>
  </si>
  <si>
    <t>Mytilina crassipes Wulfert, 1939</t>
  </si>
  <si>
    <t>Mytilina sp.</t>
  </si>
  <si>
    <t>Mytilina bisulcata (Lucks, 1912)</t>
  </si>
  <si>
    <t>Nauplii</t>
  </si>
  <si>
    <t>Notodiaptomus sp.</t>
  </si>
  <si>
    <t>Paracyclops sp.</t>
  </si>
  <si>
    <t>Platyias quadricornis (Ehrenberg, 1832)</t>
  </si>
  <si>
    <t>Polyarthra sp.</t>
  </si>
  <si>
    <t>Polyarthra bicerca Wulfert, 1956</t>
  </si>
  <si>
    <t>Polyarthra dolichoptera Idelson, 1925</t>
  </si>
  <si>
    <t>Polyarthra vulgaris Carlin, 1943</t>
  </si>
  <si>
    <t>Testudinella patina (Hermann, 1783)</t>
  </si>
  <si>
    <t xml:space="preserve">Testudinella mucronata (Gosse, 1886) </t>
  </si>
  <si>
    <t>Trichocerca sp.</t>
  </si>
  <si>
    <t>Trichotria tetractis (Ehrenberg, 1830)</t>
  </si>
  <si>
    <t>Alo.dadayi</t>
  </si>
  <si>
    <t>Alo.hamulata</t>
  </si>
  <si>
    <t>Alonella.sp</t>
  </si>
  <si>
    <t>Bra.patulus</t>
  </si>
  <si>
    <t>Cephalodella.sp</t>
  </si>
  <si>
    <t>Colurella.sp</t>
  </si>
  <si>
    <t>Chydorus.sp</t>
  </si>
  <si>
    <t>Dicranophoroides.sp</t>
  </si>
  <si>
    <t>Dia.birgei</t>
  </si>
  <si>
    <t>Dia.spinulosum</t>
  </si>
  <si>
    <t>Dis.aculeata</t>
  </si>
  <si>
    <t>Euc.dilatata</t>
  </si>
  <si>
    <t>Fil.longiseta</t>
  </si>
  <si>
    <t>Ily.spinifer</t>
  </si>
  <si>
    <t>Lec.aculeata</t>
  </si>
  <si>
    <t>Lec.bulla</t>
  </si>
  <si>
    <t>Lec.cornuta</t>
  </si>
  <si>
    <t>Lec.crepida</t>
  </si>
  <si>
    <t>Lec.curvicornis</t>
  </si>
  <si>
    <t>Lec.furcata</t>
  </si>
  <si>
    <t>Lecane.sp1</t>
  </si>
  <si>
    <t>Lec.leontina</t>
  </si>
  <si>
    <t>Lec.lunaris</t>
  </si>
  <si>
    <t>Lec.luna</t>
  </si>
  <si>
    <t>Lec.monostyla</t>
  </si>
  <si>
    <t>Lecane.sp2</t>
  </si>
  <si>
    <t>Lec.papuana</t>
  </si>
  <si>
    <t>Lec.quadridentata</t>
  </si>
  <si>
    <t>Lecane.sp3</t>
  </si>
  <si>
    <t>Leydigia.sp</t>
  </si>
  <si>
    <t>Lepadella.sp1</t>
  </si>
  <si>
    <t>Lepadella.sp2</t>
  </si>
  <si>
    <t>Lep.ovalis</t>
  </si>
  <si>
    <t>Lep.patella</t>
  </si>
  <si>
    <t>Mesocyclops.sp</t>
  </si>
  <si>
    <t>Macrocyclops.sp</t>
  </si>
  <si>
    <t>Macrochaetus.sp</t>
  </si>
  <si>
    <t>Macrothrix.sp</t>
  </si>
  <si>
    <t>Mac.mira</t>
  </si>
  <si>
    <t>Mac.laticornis</t>
  </si>
  <si>
    <t>Moi.minuta</t>
  </si>
  <si>
    <t>Myt.crassipes</t>
  </si>
  <si>
    <t>Mytilina.sp</t>
  </si>
  <si>
    <t>Myt.bisulcata</t>
  </si>
  <si>
    <t>Notodiaptomus.sp</t>
  </si>
  <si>
    <t>Paracyclops.sp</t>
  </si>
  <si>
    <t>Pla.quadricornis</t>
  </si>
  <si>
    <t>Polyarthra.sp</t>
  </si>
  <si>
    <t>Pol.bicerca</t>
  </si>
  <si>
    <t>Pol.dolichoptera</t>
  </si>
  <si>
    <t>Pol.vulgaris</t>
  </si>
  <si>
    <t>Tes.patina</t>
  </si>
  <si>
    <t>Tes.mucronata</t>
  </si>
  <si>
    <t>Trichocerca.sp</t>
  </si>
  <si>
    <t>Tri.tetractis</t>
  </si>
  <si>
    <t>S-B-P05-H1</t>
  </si>
  <si>
    <t>S-B-P05-H2</t>
  </si>
  <si>
    <t>S-B-P05-H3</t>
  </si>
  <si>
    <t>S-B-P06-H1</t>
  </si>
  <si>
    <t>S-B-P06-H2</t>
  </si>
  <si>
    <t>S-B-P06-H3</t>
  </si>
  <si>
    <t>S-B-P07-H1</t>
  </si>
  <si>
    <t>S-B-P07-H2</t>
  </si>
  <si>
    <t>S-B-P07-H3</t>
  </si>
  <si>
    <t>S-B-P08-H1</t>
  </si>
  <si>
    <t>S-B-P08-H2</t>
  </si>
  <si>
    <t>S-B-P08-H3</t>
  </si>
  <si>
    <t>S-B-P09-H1</t>
  </si>
  <si>
    <t>S-B-P09-H2</t>
  </si>
  <si>
    <t>S-B-P09-H3</t>
  </si>
  <si>
    <t>S-B-P10-H1</t>
  </si>
  <si>
    <t>S-B-P10-H2</t>
  </si>
  <si>
    <t>S-B-P10-H3</t>
  </si>
  <si>
    <t>S-C-P11-H1</t>
  </si>
  <si>
    <t>S-C-P11-H2</t>
  </si>
  <si>
    <t>S-C-P11-H3</t>
  </si>
  <si>
    <t>S-C-P12-H1</t>
  </si>
  <si>
    <t>S-C-P12-H2</t>
  </si>
  <si>
    <t>S-C-P12-H3</t>
  </si>
  <si>
    <t>S-C-P13-H1</t>
  </si>
  <si>
    <t>S-C-P13-H2</t>
  </si>
  <si>
    <t>S-C-P13-H3</t>
  </si>
  <si>
    <t>S-C-P14-H1</t>
  </si>
  <si>
    <t>S-C-P14-H2</t>
  </si>
  <si>
    <t>S-C-P14-H3</t>
  </si>
  <si>
    <t>S-C-P15-H1</t>
  </si>
  <si>
    <t>S-C-P15-H2</t>
  </si>
  <si>
    <t>S-C-P15-H3</t>
  </si>
  <si>
    <t>S-C-P16-H1</t>
  </si>
  <si>
    <t>S-C-P16-H2</t>
  </si>
  <si>
    <t>S-C-P16-H3</t>
  </si>
  <si>
    <t>S-C-P17-H1</t>
  </si>
  <si>
    <t>S-C-P17-H2</t>
  </si>
  <si>
    <t>S-C-P17-H3</t>
  </si>
  <si>
    <t>S-C-P18-H1</t>
  </si>
  <si>
    <t>S-C-P18-H2</t>
  </si>
  <si>
    <t>S-C-P18-H3</t>
  </si>
  <si>
    <t>S-C-P19-H1</t>
  </si>
  <si>
    <t>S-C-P19-H2</t>
  </si>
  <si>
    <t>S-C-P19-H3</t>
  </si>
  <si>
    <t>S-C-P20-H1</t>
  </si>
  <si>
    <t>S-C-P20-H2</t>
  </si>
  <si>
    <t>S-C-P20-H3</t>
  </si>
  <si>
    <t>C-B-P05-H1</t>
  </si>
  <si>
    <t>C-B-P05-H2</t>
  </si>
  <si>
    <t>C-B-P05-H3</t>
  </si>
  <si>
    <t>C-B-P06-H1</t>
  </si>
  <si>
    <t>C-B-P06-H2</t>
  </si>
  <si>
    <t>C-B-P06-H3</t>
  </si>
  <si>
    <t>C-B-P07-H1</t>
  </si>
  <si>
    <t>C-B-P07-H2</t>
  </si>
  <si>
    <t>C-B-P07-H3</t>
  </si>
  <si>
    <t>C-B-P08-H1</t>
  </si>
  <si>
    <t>C-B-P08-H2</t>
  </si>
  <si>
    <t>C-B-P08-H3</t>
  </si>
  <si>
    <t>C-B-P09-H1</t>
  </si>
  <si>
    <t>C-B-P09-H2</t>
  </si>
  <si>
    <t>C-B-P09-H3</t>
  </si>
  <si>
    <t>C-B-P10-H1</t>
  </si>
  <si>
    <t>C-B-P10-H2</t>
  </si>
  <si>
    <t>C-B-P10-H3</t>
  </si>
  <si>
    <t>C-C-P11-H1</t>
  </si>
  <si>
    <t>C-C-P11-H2</t>
  </si>
  <si>
    <t>C-C-P11-H3</t>
  </si>
  <si>
    <t>C-C-P12-H1</t>
  </si>
  <si>
    <t>C-C-P12-H2</t>
  </si>
  <si>
    <t>C-C-P12-H3</t>
  </si>
  <si>
    <t>C-C-P13-H1</t>
  </si>
  <si>
    <t>C-C-P13-H2</t>
  </si>
  <si>
    <t>C-C-P13-H3</t>
  </si>
  <si>
    <t>C-C-P14-H1</t>
  </si>
  <si>
    <t>C-C-P14-H2</t>
  </si>
  <si>
    <t>C-C-P14-H3</t>
  </si>
  <si>
    <t>C-C-P15-H1</t>
  </si>
  <si>
    <t>C-C-P15-H2</t>
  </si>
  <si>
    <t>C-C-P15-H3</t>
  </si>
  <si>
    <t>C-C-P16-H1</t>
  </si>
  <si>
    <t>C-C-P16-H2</t>
  </si>
  <si>
    <t>C-C-P16-H3</t>
  </si>
  <si>
    <t>C-C-P17-H1</t>
  </si>
  <si>
    <t>C-C-P17-H2</t>
  </si>
  <si>
    <t>C-C-P17-H3</t>
  </si>
  <si>
    <t>C-C-P18-H1</t>
  </si>
  <si>
    <t>C-C-P18-H2</t>
  </si>
  <si>
    <t>C-C-P18-H3</t>
  </si>
  <si>
    <t>C-C-P19-H1</t>
  </si>
  <si>
    <t>C-C-P19-H2</t>
  </si>
  <si>
    <t>C-C-P19-H3</t>
  </si>
  <si>
    <t>C-C-P20-H1</t>
  </si>
  <si>
    <t>C-C-P20-H2</t>
  </si>
  <si>
    <t>C-C-P20-H3</t>
  </si>
  <si>
    <t>n/a</t>
  </si>
  <si>
    <t>S-BB-P05</t>
  </si>
  <si>
    <t>S-BB-P06</t>
  </si>
  <si>
    <t>S-BB-P07</t>
  </si>
  <si>
    <t>S-BB-P08</t>
  </si>
  <si>
    <t>S-BB-P09</t>
  </si>
  <si>
    <t>S-BB-P10</t>
  </si>
  <si>
    <t>S-CA-P11</t>
  </si>
  <si>
    <t>S-CA-P12</t>
  </si>
  <si>
    <t>S-CA-P13</t>
  </si>
  <si>
    <t>S-CA-P14</t>
  </si>
  <si>
    <t>S-CA-P15</t>
  </si>
  <si>
    <t>S-CA-P16</t>
  </si>
  <si>
    <t>S-CA-P17</t>
  </si>
  <si>
    <t>S-CA-P18</t>
  </si>
  <si>
    <t>S-CA-P19</t>
  </si>
  <si>
    <t>S-CA-P20</t>
  </si>
  <si>
    <t>C-BB-P05</t>
  </si>
  <si>
    <t>C-BB-P06</t>
  </si>
  <si>
    <t>C-BB-P07</t>
  </si>
  <si>
    <t>C-BB-P08</t>
  </si>
  <si>
    <t>C-BB-P09</t>
  </si>
  <si>
    <t>C-BB-P10</t>
  </si>
  <si>
    <t>C-CA-P11</t>
  </si>
  <si>
    <t>C-CA-P12</t>
  </si>
  <si>
    <t>C-CA-P13</t>
  </si>
  <si>
    <t>C-CA-P14</t>
  </si>
  <si>
    <t>C-CA-P15</t>
  </si>
  <si>
    <t>C-CA-P16</t>
  </si>
  <si>
    <t>C-CA-P17</t>
  </si>
  <si>
    <t>C-CA-P18</t>
  </si>
  <si>
    <t>C-CA-P19</t>
  </si>
  <si>
    <t>C-CA-P20</t>
  </si>
  <si>
    <t>P01C1-H1-I</t>
  </si>
  <si>
    <t>Amostra (50L/80mL)</t>
  </si>
  <si>
    <t>Alíquota (1mL)</t>
  </si>
  <si>
    <t>Ponto</t>
  </si>
  <si>
    <t>Datas</t>
  </si>
  <si>
    <t>Lâmina</t>
  </si>
  <si>
    <t>P01</t>
  </si>
  <si>
    <t>C1</t>
  </si>
  <si>
    <t>x</t>
  </si>
  <si>
    <t>-H1</t>
  </si>
  <si>
    <t>-I</t>
  </si>
  <si>
    <t>P02</t>
  </si>
  <si>
    <t>-H2</t>
  </si>
  <si>
    <t>-II</t>
  </si>
  <si>
    <t>P03</t>
  </si>
  <si>
    <t>-H3</t>
  </si>
  <si>
    <t>-III</t>
  </si>
  <si>
    <t>P04</t>
  </si>
  <si>
    <t>P05</t>
  </si>
  <si>
    <t>Em vermelho</t>
  </si>
  <si>
    <t>conferir ou alterado</t>
  </si>
  <si>
    <t>Em azul</t>
  </si>
  <si>
    <t>errado</t>
  </si>
  <si>
    <t>Em verde</t>
  </si>
  <si>
    <t>não foram nós que identificamos</t>
  </si>
  <si>
    <t>Em rosa</t>
  </si>
  <si>
    <t>corrigir</t>
  </si>
  <si>
    <t>Em preto</t>
  </si>
  <si>
    <t>conferido por Elvio</t>
  </si>
  <si>
    <t>TOTAL REBIO 2012</t>
  </si>
  <si>
    <t>TOTAL REBIO 2023</t>
  </si>
  <si>
    <t>Lista de acordo com:</t>
  </si>
  <si>
    <t>ROTIFERA</t>
  </si>
  <si>
    <t>https://www.gbif.org/</t>
  </si>
  <si>
    <t xml:space="preserve">  DIGONONTA</t>
  </si>
  <si>
    <t>Entorno</t>
  </si>
  <si>
    <t>REBio</t>
  </si>
  <si>
    <t>https://www.nies.go.jp/chiiki1/protoz/index.html</t>
  </si>
  <si>
    <r>
      <rPr>
        <sz val="10"/>
        <color rgb="FF000000"/>
        <rFont val="Calibri"/>
        <charset val="1"/>
      </rPr>
      <t xml:space="preserve">     </t>
    </r>
    <r>
      <rPr>
        <b/>
        <sz val="10"/>
        <color rgb="FF000000"/>
        <rFont val="Calibri"/>
        <charset val="1"/>
      </rPr>
      <t>BDELLOIDEA</t>
    </r>
  </si>
  <si>
    <t>https://www.nies.go.jp/chiiki1/protoz/identi-r.htm</t>
  </si>
  <si>
    <t>Philodinidae</t>
  </si>
  <si>
    <t>Rotaria neptunia (Ehrenberg, 1830)</t>
  </si>
  <si>
    <t>Rot.neptunia</t>
  </si>
  <si>
    <t>Dicranophoridae</t>
  </si>
  <si>
    <t>Rotaria sp.</t>
  </si>
  <si>
    <t>Rotaria.sp</t>
  </si>
  <si>
    <t>Dicranop.sp</t>
  </si>
  <si>
    <t xml:space="preserve">  MONOGONONTA</t>
  </si>
  <si>
    <t>Notommatidae</t>
  </si>
  <si>
    <r>
      <rPr>
        <sz val="10"/>
        <color rgb="FF000000"/>
        <rFont val="Calibri"/>
        <charset val="1"/>
      </rPr>
      <t xml:space="preserve">     </t>
    </r>
    <r>
      <rPr>
        <b/>
        <sz val="10"/>
        <color rgb="FF000000"/>
        <rFont val="Calibri"/>
        <charset val="1"/>
      </rPr>
      <t>PLOIMA</t>
    </r>
  </si>
  <si>
    <t xml:space="preserve">     FLOSCULARIACEA</t>
  </si>
  <si>
    <t xml:space="preserve">Lecanidae </t>
  </si>
  <si>
    <t>Lecane aculeata (Jakubski, 1912)</t>
  </si>
  <si>
    <t>Lecane cornuta (Müller, 1786)</t>
  </si>
  <si>
    <t>Lecane crepida Harring, 1914</t>
  </si>
  <si>
    <t>Lecane curvicornis (Murray, 1913)</t>
  </si>
  <si>
    <t>Lecane elasma Harring &amp; Myers, 1926</t>
  </si>
  <si>
    <t>Lec.elasma</t>
  </si>
  <si>
    <t>Lecane furcata (Murray, 1913)</t>
  </si>
  <si>
    <t>Lecane leontina (Turner, 1892)</t>
  </si>
  <si>
    <t>Lecane hastata (Murray, 1913)</t>
  </si>
  <si>
    <t>Lec.hastata</t>
  </si>
  <si>
    <t>Lecane hornemanni (Ehrenberg, 1834)</t>
  </si>
  <si>
    <t>Lec.hornemanni</t>
  </si>
  <si>
    <t>Lecane luna (Müller, 1776)</t>
  </si>
  <si>
    <t>Lecane kluchor Tarnogradski, 1930</t>
  </si>
  <si>
    <t>Lec.kluchor</t>
  </si>
  <si>
    <t>Lecane monostyla (Daday, 1897):</t>
  </si>
  <si>
    <t>Lecane ligona (Dunlop, 1901)</t>
  </si>
  <si>
    <t>Lec.ligona</t>
  </si>
  <si>
    <t>Lecane quadridentata (Ehrenberg, 1830)</t>
  </si>
  <si>
    <t>Lecane sp.1</t>
  </si>
  <si>
    <t>Lecane sp.2</t>
  </si>
  <si>
    <t>Lecane sp.3</t>
  </si>
  <si>
    <t>Lecane ovalis (Jakubski, 1914)</t>
  </si>
  <si>
    <t>Lec.ovalis</t>
  </si>
  <si>
    <t>Brachionidae</t>
  </si>
  <si>
    <t>Lecane sp.</t>
  </si>
  <si>
    <t>Lecane.sp</t>
  </si>
  <si>
    <t>Brachionus urceolaris Müller, 1773</t>
  </si>
  <si>
    <t>Bra.urceolaris</t>
  </si>
  <si>
    <t>Lepadellidae</t>
  </si>
  <si>
    <t>Brachionus calyciflorus Pallas, 1766</t>
  </si>
  <si>
    <t>Bra.calyciflorus</t>
  </si>
  <si>
    <t>Lepadella ovalis (Müller, 1786)</t>
  </si>
  <si>
    <t>Brachionus caudatus Barrois &amp; Daday, 1894</t>
  </si>
  <si>
    <t>Bra.caudatus</t>
  </si>
  <si>
    <t>Brachionus angularis Gosse, 1851</t>
  </si>
  <si>
    <t>Bra.angularis</t>
  </si>
  <si>
    <t>Lep.imbricata</t>
  </si>
  <si>
    <t>Brachionus havanaensis Rousselet, 1911</t>
  </si>
  <si>
    <t>Bra.havanaensis</t>
  </si>
  <si>
    <t>Lepadella sp.</t>
  </si>
  <si>
    <t>Lepadella.sp</t>
  </si>
  <si>
    <t>Brachionus falcatus Zacharias, 1898</t>
  </si>
  <si>
    <t>Bra.falcatus</t>
  </si>
  <si>
    <t>Euchlanidae</t>
  </si>
  <si>
    <t>Brachionus quadridentatus Hermann, 1783</t>
  </si>
  <si>
    <t>Bra.quadridentatus</t>
  </si>
  <si>
    <t>Synchaetidae</t>
  </si>
  <si>
    <t>Keratella tropica (Apstein, 1907)</t>
  </si>
  <si>
    <t>Ker.tropica</t>
  </si>
  <si>
    <t>Polyarthra bicerca</t>
  </si>
  <si>
    <t>Keratella serrulata (Ehrenberg, 1838)</t>
  </si>
  <si>
    <t>Ker.serrulata</t>
  </si>
  <si>
    <t>Keratella Ienzi Hauer, 1987</t>
  </si>
  <si>
    <t>Ker.lenzi</t>
  </si>
  <si>
    <t>Polyarthra vulgaris</t>
  </si>
  <si>
    <t>Macrochaetus collinsi Gosse, 1867</t>
  </si>
  <si>
    <t>Mac.collinsi</t>
  </si>
  <si>
    <t>Plationus patulus (Müller,1786)</t>
  </si>
  <si>
    <t>Pla.patulus</t>
  </si>
  <si>
    <t xml:space="preserve">Colurellidae </t>
  </si>
  <si>
    <t>Notholca sp.</t>
  </si>
  <si>
    <t>Notholca.sp</t>
  </si>
  <si>
    <t>Colurella sp.</t>
  </si>
  <si>
    <t xml:space="preserve">Mytilinidae </t>
  </si>
  <si>
    <t>Mytilina crassipes (Lucks, 1912)</t>
  </si>
  <si>
    <t>Lepadella dactyliseta (Stenroos, 1898)</t>
  </si>
  <si>
    <t>Lep.dactyliseta</t>
  </si>
  <si>
    <t>Trichotriidae</t>
  </si>
  <si>
    <t>Trichotria tetractis (Ehrenberg, 1830)</t>
  </si>
  <si>
    <t>Filiniidae</t>
  </si>
  <si>
    <t>Beauchampiella eudactylota (Gosse, 1886)</t>
  </si>
  <si>
    <t>Bea.eudactylota</t>
  </si>
  <si>
    <t>Euchlanis sp.</t>
  </si>
  <si>
    <t>Euchlanis.sp</t>
  </si>
  <si>
    <t>Testudinellidae</t>
  </si>
  <si>
    <t>Gastropodidae</t>
  </si>
  <si>
    <t>Ascomorpha ecaudis Perty, 1850</t>
  </si>
  <si>
    <t>Asc.ecaudis</t>
  </si>
  <si>
    <t>Ascomorpha saltans Bartsch, 1870</t>
  </si>
  <si>
    <t>Asc.saltans</t>
  </si>
  <si>
    <t xml:space="preserve">Trichocercidae </t>
  </si>
  <si>
    <t>Ascomorpha sp.</t>
  </si>
  <si>
    <t>Ascomorpha.sp</t>
  </si>
  <si>
    <t>CRUSTACEA</t>
  </si>
  <si>
    <t xml:space="preserve">  CLADOCERA</t>
  </si>
  <si>
    <t xml:space="preserve">     ANOMOPODA</t>
  </si>
  <si>
    <t>Chydoridae</t>
  </si>
  <si>
    <t>Colurella geophila Donner, 1951</t>
  </si>
  <si>
    <t>Col.geophila</t>
  </si>
  <si>
    <t>Macrothricidae</t>
  </si>
  <si>
    <t>Macrothrix laticornis (Jurine, 1820)</t>
  </si>
  <si>
    <t>Macrochaetus subquadratus Perty, 1850</t>
  </si>
  <si>
    <t>Mac.subquadratus</t>
  </si>
  <si>
    <t>Macrothrix mira Smirnov 1982</t>
  </si>
  <si>
    <t>Sididae</t>
  </si>
  <si>
    <t>Aspelta sp.</t>
  </si>
  <si>
    <t>Aspelta.sp</t>
  </si>
  <si>
    <t>Diaphanosoma birgei</t>
  </si>
  <si>
    <t>Epiphanidae</t>
  </si>
  <si>
    <t>Diaphanosoma spinulosum</t>
  </si>
  <si>
    <t>Epiphanes senta (Müller, 1773)</t>
  </si>
  <si>
    <t>Epi.senta</t>
  </si>
  <si>
    <t>Ilyocryptidae</t>
  </si>
  <si>
    <t>Proalidae</t>
  </si>
  <si>
    <t>Ilyocryptus spinifer Herrick, 1882</t>
  </si>
  <si>
    <t>Proales similis de Beauchamp, 1907</t>
  </si>
  <si>
    <t>Pro.similis</t>
  </si>
  <si>
    <t>Moinidae</t>
  </si>
  <si>
    <t>COPEPODA</t>
  </si>
  <si>
    <r>
      <rPr>
        <sz val="10"/>
        <color rgb="FF000000"/>
        <rFont val="Calibri"/>
        <charset val="1"/>
      </rPr>
      <t xml:space="preserve">     </t>
    </r>
    <r>
      <rPr>
        <b/>
        <sz val="10"/>
        <color rgb="FF000000"/>
        <rFont val="Calibri"/>
        <charset val="1"/>
      </rPr>
      <t>FLOSCULARIACEAE</t>
    </r>
  </si>
  <si>
    <t>Conochilidae</t>
  </si>
  <si>
    <t>Conochilus unicornis Rousselet, 1892</t>
  </si>
  <si>
    <t>Con.unicornis</t>
  </si>
  <si>
    <t xml:space="preserve">  CYCLOPOIDA</t>
  </si>
  <si>
    <t>Cyclopidae</t>
  </si>
  <si>
    <t>Hexarthridae</t>
  </si>
  <si>
    <t>Hexarthra sp.</t>
  </si>
  <si>
    <t>Hexarthra.sp</t>
  </si>
  <si>
    <t xml:space="preserve">  CALANOIDA</t>
  </si>
  <si>
    <t>Pompholyx sulcata Hudson, 1885</t>
  </si>
  <si>
    <t>Pom.sulcata</t>
  </si>
  <si>
    <t>Diaptomidae</t>
  </si>
  <si>
    <t xml:space="preserve">  HARPACTICOIDA</t>
  </si>
  <si>
    <t>Alona pulchella King, 1853</t>
  </si>
  <si>
    <t>Alo.pulchella</t>
  </si>
  <si>
    <t>Chydorus eurynotus Sars, 1901</t>
  </si>
  <si>
    <t>Chy.eurynotus</t>
  </si>
  <si>
    <t>Chydorus sphaericus (O.F.Müller, 1776)</t>
  </si>
  <si>
    <t>Chy.sphaericus</t>
  </si>
  <si>
    <t>Dunhevedia odontoplax Sars, 1901</t>
  </si>
  <si>
    <t>Dun.odontoplax</t>
  </si>
  <si>
    <t>Nauplius</t>
  </si>
  <si>
    <t>Cyclopoida</t>
  </si>
  <si>
    <t>Harpacticoida</t>
  </si>
  <si>
    <t>caiana</t>
  </si>
  <si>
    <t>Daqui para o lado esquerdo está correto e atualizado</t>
  </si>
  <si>
    <t>partição total</t>
  </si>
  <si>
    <t>chuvoso</t>
  </si>
  <si>
    <t>seco</t>
  </si>
  <si>
    <t>barro branco</t>
  </si>
  <si>
    <t>pt.periodo</t>
  </si>
  <si>
    <t>pt.rio</t>
  </si>
  <si>
    <t>pt.rebio</t>
  </si>
  <si>
    <t>s.habitat</t>
  </si>
  <si>
    <t>s.ponto</t>
  </si>
  <si>
    <t>s.rio</t>
  </si>
  <si>
    <t>s.rebio</t>
  </si>
  <si>
    <t>c.habitat</t>
  </si>
  <si>
    <t>c.ponto</t>
  </si>
  <si>
    <t>c.rio</t>
  </si>
  <si>
    <t>c.rebio</t>
  </si>
  <si>
    <t>bb.habitat</t>
  </si>
  <si>
    <t>bb.ponto</t>
  </si>
  <si>
    <t>bb.rio</t>
  </si>
  <si>
    <t>ca.habitat</t>
  </si>
  <si>
    <t>ca.ponto</t>
  </si>
  <si>
    <t>ca.rio</t>
  </si>
  <si>
    <t>ca.trecho</t>
  </si>
  <si>
    <t>bb.trecho</t>
  </si>
  <si>
    <t>c.trecho</t>
  </si>
  <si>
    <t>s.trecho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</si>
</sst>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"/>
  </numFmts>
  <fonts count="17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000000"/>
      <name val="Calibri"/>
      <family val="2"/>
      <charset val="1"/>
    </font>
    <font>
      <sz val="10"/>
      <color rgb="FFC9211E"/>
      <name val="Calibri"/>
      <charset val="1"/>
    </font>
    <font>
      <sz val="10"/>
      <color rgb="FF008000"/>
      <name val="Calibri"/>
      <charset val="1"/>
    </font>
    <font>
      <sz val="10"/>
      <color rgb="FFFF4000"/>
      <name val="Calibri"/>
      <charset val="1"/>
    </font>
    <font>
      <sz val="10"/>
      <color rgb="FFFF0000"/>
      <name val="Calibri"/>
      <charset val="1"/>
    </font>
    <font>
      <sz val="10"/>
      <color rgb="FF0000FF"/>
      <name val="Calibri"/>
      <charset val="1"/>
    </font>
    <font>
      <sz val="11"/>
      <color rgb="FFFF00FF"/>
      <name val="Calibri"/>
      <charset val="1"/>
    </font>
    <font>
      <sz val="11"/>
      <color rgb="FF000000"/>
      <name val="Calibri"/>
      <charset val="1"/>
    </font>
    <font>
      <u/>
      <sz val="10"/>
      <color rgb="FF0000EE"/>
      <name val="Calibri"/>
      <charset val="1"/>
    </font>
    <font>
      <b/>
      <sz val="10"/>
      <color rgb="FF000000"/>
      <name val="Calibri"/>
      <family val="2"/>
      <charset val="1"/>
    </font>
    <font>
      <sz val="10"/>
      <color rgb="FF00AE00"/>
      <name val="Calibri"/>
      <charset val="1"/>
    </font>
    <font>
      <sz val="10"/>
      <color rgb="FF00AE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5" fontId="2" fillId="0" borderId="0" xfId="0" applyNumberFormat="1" applyFont="1"/>
    <xf numFmtId="4" fontId="2" fillId="0" borderId="0" xfId="0" applyNumberFormat="1" applyFont="1"/>
    <xf numFmtId="4" fontId="0" fillId="0" borderId="0" xfId="0" applyNumberForma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2" fontId="1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5" fontId="2" fillId="2" borderId="0" xfId="0" applyNumberFormat="1" applyFont="1" applyFill="1"/>
    <xf numFmtId="0" fontId="15" fillId="0" borderId="0" xfId="0" applyFont="1" applyAlignment="1">
      <alignment horizontal="left" vertical="center"/>
    </xf>
    <xf numFmtId="0" fontId="15" fillId="0" borderId="0" xfId="0" applyFont="1"/>
    <xf numFmtId="0" fontId="15" fillId="3" borderId="0" xfId="0" applyFont="1" applyFill="1" applyAlignment="1">
      <alignment horizontal="left" vertical="center"/>
    </xf>
    <xf numFmtId="0" fontId="15" fillId="3" borderId="0" xfId="0" applyFont="1" applyFill="1"/>
    <xf numFmtId="0" fontId="15" fillId="4" borderId="0" xfId="0" applyFont="1" applyFill="1" applyAlignment="1">
      <alignment horizontal="left" vertical="center"/>
    </xf>
    <xf numFmtId="0" fontId="15" fillId="4" borderId="0" xfId="0" applyFont="1" applyFill="1"/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66"/>
      <rgbColor rgb="FF99CC00"/>
      <rgbColor rgb="FFFFCC00"/>
      <rgbColor rgb="FFFF9900"/>
      <rgbColor rgb="FFFF4000"/>
      <rgbColor rgb="FF666699"/>
      <rgbColor rgb="FF969696"/>
      <rgbColor rgb="FF003366"/>
      <rgbColor rgb="FF00AE0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es.go.jp/chiiki1/protoz/identi-r.htm" TargetMode="External"/><Relationship Id="rId2" Type="http://schemas.openxmlformats.org/officeDocument/2006/relationships/hyperlink" Target="https://www.nies.go.jp/chiiki1/protoz/index.html" TargetMode="External"/><Relationship Id="rId1" Type="http://schemas.openxmlformats.org/officeDocument/2006/relationships/hyperlink" Target="https://www.gbif.org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60" zoomScaleNormal="60" workbookViewId="0"/>
  </sheetViews>
  <sheetFormatPr defaultColWidth="11.5703125" defaultRowHeight="15" customHeight="1" x14ac:dyDescent="0.25"/>
  <cols>
    <col min="1" max="8" width="19.140625" customWidth="1"/>
    <col min="9" max="26" width="8.7109375" customWidth="1"/>
    <col min="27" max="1024" width="14.42578125" customWidth="1"/>
  </cols>
  <sheetData>
    <row r="1" spans="1:26" ht="15.75" customHeight="1" x14ac:dyDescent="0.25">
      <c r="A1" s="1" t="str">
        <f>"n = "&amp;(COUNTA(A6:A1024))</f>
        <v>n = 68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tr">
        <f>"Alíquotas = "&amp;SUM(G6:G1024)</f>
        <v>Alíquotas = 54</v>
      </c>
      <c r="H1" s="1" t="str">
        <f>"Amostras = "&amp;SUM(H6:H1024)</f>
        <v>Amostras = 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1" t="s">
        <v>5</v>
      </c>
      <c r="B2" s="2"/>
      <c r="C2" s="2"/>
      <c r="D2" s="2"/>
      <c r="E2" s="2"/>
      <c r="F2" s="2"/>
      <c r="G2" s="1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1" t="s">
        <v>6</v>
      </c>
      <c r="B3" s="2"/>
      <c r="C3" s="2"/>
      <c r="D3" s="2"/>
      <c r="E3" s="2"/>
      <c r="F3" s="2"/>
      <c r="G3" s="1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1" t="s">
        <v>7</v>
      </c>
      <c r="B4" s="2"/>
      <c r="C4" s="2"/>
      <c r="D4" s="2"/>
      <c r="E4" s="2"/>
      <c r="F4" s="2"/>
      <c r="G4" s="1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1" t="s">
        <v>8</v>
      </c>
      <c r="B5" s="2"/>
      <c r="C5" s="2"/>
      <c r="D5" s="2"/>
      <c r="E5" s="2"/>
      <c r="F5" s="2"/>
      <c r="G5" s="1"/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1" t="s">
        <v>9</v>
      </c>
      <c r="B6" s="4" t="s">
        <v>10</v>
      </c>
      <c r="C6" s="3">
        <v>2</v>
      </c>
      <c r="D6" s="5">
        <v>45210</v>
      </c>
      <c r="E6" s="4" t="s">
        <v>11</v>
      </c>
      <c r="F6" s="3">
        <v>1</v>
      </c>
      <c r="G6" s="3">
        <v>3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1" t="s">
        <v>9</v>
      </c>
      <c r="B7" s="4" t="s">
        <v>12</v>
      </c>
      <c r="C7" s="3">
        <v>2</v>
      </c>
      <c r="D7" s="5">
        <v>45210</v>
      </c>
      <c r="E7" s="4" t="s">
        <v>11</v>
      </c>
      <c r="F7" s="3">
        <v>2</v>
      </c>
      <c r="G7" s="3">
        <v>3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1" t="s">
        <v>9</v>
      </c>
      <c r="B8" s="4" t="s">
        <v>13</v>
      </c>
      <c r="C8" s="3">
        <v>2</v>
      </c>
      <c r="D8" s="5">
        <v>45210</v>
      </c>
      <c r="E8" s="4" t="s">
        <v>11</v>
      </c>
      <c r="F8" s="3">
        <v>3</v>
      </c>
      <c r="G8" s="3">
        <v>3</v>
      </c>
      <c r="H8" s="3"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1" t="s">
        <v>14</v>
      </c>
      <c r="B9" s="4" t="s">
        <v>15</v>
      </c>
      <c r="C9" s="3">
        <v>2</v>
      </c>
      <c r="D9" s="5">
        <v>45210</v>
      </c>
      <c r="E9" s="4" t="s">
        <v>11</v>
      </c>
      <c r="F9" s="3">
        <v>1</v>
      </c>
      <c r="G9" s="3">
        <v>3</v>
      </c>
      <c r="H9" s="3"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1" t="s">
        <v>14</v>
      </c>
      <c r="B10" s="4" t="s">
        <v>16</v>
      </c>
      <c r="C10" s="3">
        <v>2</v>
      </c>
      <c r="D10" s="5">
        <v>45210</v>
      </c>
      <c r="E10" s="4" t="s">
        <v>11</v>
      </c>
      <c r="F10" s="3">
        <v>2</v>
      </c>
      <c r="G10" s="3">
        <v>3</v>
      </c>
      <c r="H10" s="3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1" t="s">
        <v>14</v>
      </c>
      <c r="B11" s="4" t="s">
        <v>17</v>
      </c>
      <c r="C11" s="3">
        <v>2</v>
      </c>
      <c r="D11" s="5">
        <v>45210</v>
      </c>
      <c r="E11" s="4" t="s">
        <v>11</v>
      </c>
      <c r="F11" s="3">
        <v>3</v>
      </c>
      <c r="G11" s="3">
        <v>3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1" t="s">
        <v>18</v>
      </c>
      <c r="B12" s="4" t="s">
        <v>19</v>
      </c>
      <c r="C12" s="3">
        <v>2</v>
      </c>
      <c r="D12" s="5">
        <v>45210</v>
      </c>
      <c r="E12" s="4" t="s">
        <v>11</v>
      </c>
      <c r="F12" s="3">
        <v>1</v>
      </c>
      <c r="G12" s="3">
        <v>3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1" t="s">
        <v>18</v>
      </c>
      <c r="B13" s="4" t="s">
        <v>20</v>
      </c>
      <c r="C13" s="3">
        <v>2</v>
      </c>
      <c r="D13" s="5">
        <v>45210</v>
      </c>
      <c r="E13" s="4" t="s">
        <v>11</v>
      </c>
      <c r="F13" s="3">
        <v>2</v>
      </c>
      <c r="G13" s="3">
        <v>3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1" t="s">
        <v>18</v>
      </c>
      <c r="B14" s="4" t="s">
        <v>21</v>
      </c>
      <c r="C14" s="3">
        <v>2</v>
      </c>
      <c r="D14" s="5">
        <v>45210</v>
      </c>
      <c r="E14" s="4" t="s">
        <v>11</v>
      </c>
      <c r="F14" s="3">
        <v>3</v>
      </c>
      <c r="G14" s="3">
        <v>3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1" t="s">
        <v>22</v>
      </c>
      <c r="B15" s="3" t="s">
        <v>23</v>
      </c>
      <c r="C15" s="3">
        <v>1</v>
      </c>
      <c r="D15" s="6">
        <v>45168</v>
      </c>
      <c r="E15" s="6" t="s">
        <v>11</v>
      </c>
      <c r="F15" s="3">
        <v>1</v>
      </c>
      <c r="G15" s="3">
        <v>3</v>
      </c>
      <c r="H15" s="3"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1" t="s">
        <v>22</v>
      </c>
      <c r="B16" s="3" t="s">
        <v>24</v>
      </c>
      <c r="C16" s="3">
        <v>1</v>
      </c>
      <c r="D16" s="6">
        <v>45168</v>
      </c>
      <c r="E16" s="6" t="s">
        <v>11</v>
      </c>
      <c r="F16" s="3">
        <v>2</v>
      </c>
      <c r="G16" s="3">
        <v>3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1" t="s">
        <v>22</v>
      </c>
      <c r="B17" s="3" t="s">
        <v>25</v>
      </c>
      <c r="C17" s="3">
        <v>1</v>
      </c>
      <c r="D17" s="6">
        <v>45168</v>
      </c>
      <c r="E17" s="6" t="s">
        <v>11</v>
      </c>
      <c r="F17" s="3">
        <v>3</v>
      </c>
      <c r="G17" s="3">
        <v>3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1" t="s">
        <v>26</v>
      </c>
      <c r="B18" s="4" t="s">
        <v>27</v>
      </c>
      <c r="C18" s="3">
        <v>1</v>
      </c>
      <c r="D18" s="6">
        <v>45168</v>
      </c>
      <c r="E18" s="6" t="s">
        <v>11</v>
      </c>
      <c r="F18" s="3">
        <v>1</v>
      </c>
      <c r="G18" s="3">
        <v>3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1" t="s">
        <v>26</v>
      </c>
      <c r="B19" s="4" t="s">
        <v>28</v>
      </c>
      <c r="C19" s="3">
        <v>1</v>
      </c>
      <c r="D19" s="6">
        <v>45168</v>
      </c>
      <c r="E19" s="6" t="s">
        <v>11</v>
      </c>
      <c r="F19" s="3">
        <v>2</v>
      </c>
      <c r="G19" s="3">
        <v>3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1" t="s">
        <v>26</v>
      </c>
      <c r="B20" s="4" t="s">
        <v>29</v>
      </c>
      <c r="C20" s="3">
        <v>1</v>
      </c>
      <c r="D20" s="6">
        <v>45168</v>
      </c>
      <c r="E20" s="6" t="s">
        <v>11</v>
      </c>
      <c r="F20" s="3">
        <v>3</v>
      </c>
      <c r="G20" s="3">
        <v>3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1" t="s">
        <v>30</v>
      </c>
      <c r="B21" s="4" t="s">
        <v>31</v>
      </c>
      <c r="C21" s="3">
        <v>1</v>
      </c>
      <c r="D21" s="5">
        <v>45168</v>
      </c>
      <c r="E21" s="4" t="s">
        <v>11</v>
      </c>
      <c r="F21" s="3">
        <v>1</v>
      </c>
      <c r="G21" s="3">
        <v>3</v>
      </c>
      <c r="H21" s="3">
        <v>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1" t="s">
        <v>30</v>
      </c>
      <c r="B22" s="4" t="s">
        <v>32</v>
      </c>
      <c r="C22" s="3">
        <v>1</v>
      </c>
      <c r="D22" s="5">
        <v>45168</v>
      </c>
      <c r="E22" s="4" t="s">
        <v>11</v>
      </c>
      <c r="F22" s="3">
        <v>2</v>
      </c>
      <c r="G22" s="3">
        <v>3</v>
      </c>
      <c r="H22" s="3">
        <v>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1" t="s">
        <v>30</v>
      </c>
      <c r="B23" s="4" t="s">
        <v>33</v>
      </c>
      <c r="C23" s="3">
        <v>1</v>
      </c>
      <c r="D23" s="6">
        <v>45168</v>
      </c>
      <c r="E23" s="6" t="s">
        <v>11</v>
      </c>
      <c r="F23" s="3">
        <v>3</v>
      </c>
      <c r="G23" s="3">
        <v>3</v>
      </c>
      <c r="H23" s="3">
        <v>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1" t="s">
        <v>34</v>
      </c>
      <c r="B24" s="4" t="s">
        <v>35</v>
      </c>
      <c r="C24" s="3">
        <v>5</v>
      </c>
      <c r="D24" s="6">
        <v>45322</v>
      </c>
      <c r="E24" s="6" t="s">
        <v>36</v>
      </c>
      <c r="F24" s="3">
        <v>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1" t="s">
        <v>34</v>
      </c>
      <c r="B25" s="4" t="s">
        <v>37</v>
      </c>
      <c r="C25" s="3">
        <v>5</v>
      </c>
      <c r="D25" s="6">
        <v>45322</v>
      </c>
      <c r="E25" s="6" t="s">
        <v>36</v>
      </c>
      <c r="F25" s="3">
        <v>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1" t="s">
        <v>34</v>
      </c>
      <c r="B26" s="4" t="s">
        <v>38</v>
      </c>
      <c r="C26" s="3">
        <v>5</v>
      </c>
      <c r="D26" s="6">
        <v>45322</v>
      </c>
      <c r="E26" s="6" t="s">
        <v>36</v>
      </c>
      <c r="F26" s="3">
        <v>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1" t="s">
        <v>39</v>
      </c>
      <c r="B27" s="4" t="s">
        <v>40</v>
      </c>
      <c r="C27" s="3">
        <v>5</v>
      </c>
      <c r="D27" s="6">
        <v>45322</v>
      </c>
      <c r="E27" s="6" t="s">
        <v>36</v>
      </c>
      <c r="F27" s="3">
        <v>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1" t="s">
        <v>39</v>
      </c>
      <c r="B28" s="4" t="s">
        <v>41</v>
      </c>
      <c r="C28" s="3">
        <v>5</v>
      </c>
      <c r="D28" s="6">
        <v>45322</v>
      </c>
      <c r="E28" s="6" t="s">
        <v>36</v>
      </c>
      <c r="F28" s="3">
        <v>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1" t="s">
        <v>39</v>
      </c>
      <c r="B29" s="4" t="s">
        <v>42</v>
      </c>
      <c r="C29" s="3">
        <v>5</v>
      </c>
      <c r="D29" s="6">
        <v>45322</v>
      </c>
      <c r="E29" s="6" t="s">
        <v>36</v>
      </c>
      <c r="F29" s="3">
        <v>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1" t="s">
        <v>43</v>
      </c>
      <c r="B30" s="4" t="s">
        <v>44</v>
      </c>
      <c r="C30" s="3">
        <v>5</v>
      </c>
      <c r="D30" s="6">
        <v>45322</v>
      </c>
      <c r="E30" s="6" t="s">
        <v>36</v>
      </c>
      <c r="F30" s="3">
        <v>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1" t="s">
        <v>43</v>
      </c>
      <c r="B31" s="4" t="s">
        <v>45</v>
      </c>
      <c r="C31" s="3">
        <v>5</v>
      </c>
      <c r="D31" s="6">
        <v>45322</v>
      </c>
      <c r="E31" s="6" t="s">
        <v>36</v>
      </c>
      <c r="F31" s="3">
        <v>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1" t="s">
        <v>43</v>
      </c>
      <c r="B32" s="4" t="s">
        <v>46</v>
      </c>
      <c r="C32" s="3">
        <v>5</v>
      </c>
      <c r="D32" s="6">
        <v>45322</v>
      </c>
      <c r="E32" s="6" t="s">
        <v>36</v>
      </c>
      <c r="F32" s="3">
        <v>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1" t="s">
        <v>47</v>
      </c>
      <c r="B33" s="4" t="s">
        <v>48</v>
      </c>
      <c r="C33" s="3">
        <v>5</v>
      </c>
      <c r="D33" s="6">
        <v>45322</v>
      </c>
      <c r="E33" s="6" t="s">
        <v>36</v>
      </c>
      <c r="F33" s="3">
        <v>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1" t="s">
        <v>47</v>
      </c>
      <c r="B34" s="4" t="s">
        <v>49</v>
      </c>
      <c r="C34" s="3">
        <v>5</v>
      </c>
      <c r="D34" s="6">
        <v>45322</v>
      </c>
      <c r="E34" s="6" t="s">
        <v>36</v>
      </c>
      <c r="F34" s="3">
        <v>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1" t="s">
        <v>47</v>
      </c>
      <c r="B35" s="4" t="s">
        <v>50</v>
      </c>
      <c r="C35" s="3">
        <v>5</v>
      </c>
      <c r="D35" s="6">
        <v>45322</v>
      </c>
      <c r="E35" s="6" t="s">
        <v>36</v>
      </c>
      <c r="F35" s="3">
        <v>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1" t="s">
        <v>51</v>
      </c>
      <c r="B36" s="4" t="s">
        <v>52</v>
      </c>
      <c r="C36" s="3">
        <v>5</v>
      </c>
      <c r="D36" s="6">
        <v>45322</v>
      </c>
      <c r="E36" s="6" t="s">
        <v>36</v>
      </c>
      <c r="F36" s="3">
        <v>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1" t="s">
        <v>51</v>
      </c>
      <c r="B37" s="4" t="s">
        <v>53</v>
      </c>
      <c r="C37" s="3">
        <v>5</v>
      </c>
      <c r="D37" s="6">
        <v>45322</v>
      </c>
      <c r="E37" s="6" t="s">
        <v>36</v>
      </c>
      <c r="F37" s="3">
        <v>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1" t="s">
        <v>51</v>
      </c>
      <c r="B38" s="4" t="s">
        <v>54</v>
      </c>
      <c r="C38" s="3">
        <v>5</v>
      </c>
      <c r="D38" s="6">
        <v>45322</v>
      </c>
      <c r="E38" s="6" t="s">
        <v>36</v>
      </c>
      <c r="F38" s="3">
        <v>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1" t="s">
        <v>55</v>
      </c>
      <c r="B39" s="4" t="s">
        <v>56</v>
      </c>
      <c r="C39" s="3">
        <v>5</v>
      </c>
      <c r="D39" s="6">
        <v>45322</v>
      </c>
      <c r="E39" s="6" t="s">
        <v>36</v>
      </c>
      <c r="F39" s="3">
        <v>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" t="s">
        <v>55</v>
      </c>
      <c r="B40" s="4" t="s">
        <v>57</v>
      </c>
      <c r="C40" s="3">
        <v>5</v>
      </c>
      <c r="D40" s="6">
        <v>45322</v>
      </c>
      <c r="E40" s="6" t="s">
        <v>36</v>
      </c>
      <c r="F40" s="3">
        <v>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1" t="s">
        <v>55</v>
      </c>
      <c r="B41" s="4" t="s">
        <v>58</v>
      </c>
      <c r="C41" s="3">
        <v>5</v>
      </c>
      <c r="D41" s="6">
        <v>45322</v>
      </c>
      <c r="E41" s="6" t="s">
        <v>36</v>
      </c>
      <c r="F41" s="3">
        <v>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1" t="s">
        <v>59</v>
      </c>
      <c r="B42" s="4" t="s">
        <v>60</v>
      </c>
      <c r="C42" s="3">
        <v>6</v>
      </c>
      <c r="D42" s="5">
        <v>45343</v>
      </c>
      <c r="E42" s="3" t="s">
        <v>36</v>
      </c>
      <c r="F42" s="3">
        <v>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1" t="s">
        <v>59</v>
      </c>
      <c r="B43" s="4" t="s">
        <v>61</v>
      </c>
      <c r="C43" s="3">
        <v>6</v>
      </c>
      <c r="D43" s="5">
        <v>45343</v>
      </c>
      <c r="E43" s="3" t="s">
        <v>36</v>
      </c>
      <c r="F43" s="3">
        <v>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1" t="s">
        <v>59</v>
      </c>
      <c r="B44" s="4" t="s">
        <v>62</v>
      </c>
      <c r="C44" s="3">
        <v>6</v>
      </c>
      <c r="D44" s="5">
        <v>45343</v>
      </c>
      <c r="E44" s="3" t="s">
        <v>36</v>
      </c>
      <c r="F44" s="3">
        <v>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1" t="s">
        <v>63</v>
      </c>
      <c r="B45" s="4" t="s">
        <v>64</v>
      </c>
      <c r="C45" s="3">
        <v>6</v>
      </c>
      <c r="D45" s="5">
        <v>45343</v>
      </c>
      <c r="E45" s="3" t="s">
        <v>36</v>
      </c>
      <c r="F45" s="3">
        <v>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1" t="s">
        <v>63</v>
      </c>
      <c r="B46" s="4" t="s">
        <v>65</v>
      </c>
      <c r="C46" s="3">
        <v>6</v>
      </c>
      <c r="D46" s="5">
        <v>45343</v>
      </c>
      <c r="E46" s="3" t="s">
        <v>36</v>
      </c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1" t="s">
        <v>63</v>
      </c>
      <c r="B47" s="4" t="s">
        <v>66</v>
      </c>
      <c r="C47" s="3">
        <v>6</v>
      </c>
      <c r="D47" s="5">
        <v>45343</v>
      </c>
      <c r="E47" s="3" t="s">
        <v>36</v>
      </c>
      <c r="F47" s="3">
        <v>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1" t="s">
        <v>67</v>
      </c>
      <c r="B48" s="4" t="s">
        <v>68</v>
      </c>
      <c r="C48" s="3">
        <v>6</v>
      </c>
      <c r="D48" s="5">
        <v>45343</v>
      </c>
      <c r="E48" s="3" t="s">
        <v>36</v>
      </c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1" t="s">
        <v>67</v>
      </c>
      <c r="B49" s="4" t="s">
        <v>69</v>
      </c>
      <c r="C49" s="3">
        <v>6</v>
      </c>
      <c r="D49" s="5">
        <v>45343</v>
      </c>
      <c r="E49" s="3" t="s">
        <v>36</v>
      </c>
      <c r="F49" s="3">
        <v>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1" t="s">
        <v>67</v>
      </c>
      <c r="B50" s="4" t="s">
        <v>70</v>
      </c>
      <c r="C50" s="3">
        <v>6</v>
      </c>
      <c r="D50" s="5">
        <v>45343</v>
      </c>
      <c r="E50" s="3" t="s">
        <v>36</v>
      </c>
      <c r="F50" s="3">
        <v>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1" t="s">
        <v>71</v>
      </c>
      <c r="B51" s="4" t="s">
        <v>72</v>
      </c>
      <c r="C51" s="3">
        <v>6</v>
      </c>
      <c r="D51" s="5">
        <v>45343</v>
      </c>
      <c r="E51" s="3" t="s">
        <v>36</v>
      </c>
      <c r="F51" s="3">
        <v>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1" t="s">
        <v>71</v>
      </c>
      <c r="B52" s="4" t="s">
        <v>73</v>
      </c>
      <c r="C52" s="3">
        <v>6</v>
      </c>
      <c r="D52" s="5">
        <v>45343</v>
      </c>
      <c r="E52" s="3" t="s">
        <v>36</v>
      </c>
      <c r="F52" s="3">
        <v>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1" t="s">
        <v>71</v>
      </c>
      <c r="B53" s="4" t="s">
        <v>74</v>
      </c>
      <c r="C53" s="3">
        <v>6</v>
      </c>
      <c r="D53" s="5">
        <v>45343</v>
      </c>
      <c r="E53" s="3" t="s">
        <v>36</v>
      </c>
      <c r="F53" s="3">
        <v>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1" t="s">
        <v>75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1" t="s">
        <v>76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1" t="s">
        <v>77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1" t="s">
        <v>78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1" t="s">
        <v>79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1" t="s">
        <v>80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1" t="s">
        <v>81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1" t="s">
        <v>82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1" t="s">
        <v>83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1" t="s">
        <v>84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1" t="s">
        <v>85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1" t="s">
        <v>86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1" t="s">
        <v>87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1" t="s">
        <v>88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1" t="s">
        <v>89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1" t="s">
        <v>90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1" t="s">
        <v>91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1" t="s">
        <v>92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1" t="s">
        <v>93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1" t="s">
        <v>94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0555555555596" right="0.51180555555555596" top="1.575" bottom="1.5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CC66"/>
  </sheetPr>
  <dimension ref="A1:AMH1000"/>
  <sheetViews>
    <sheetView zoomScale="60" zoomScaleNormal="60" workbookViewId="0">
      <selection activeCell="A2" sqref="A2"/>
    </sheetView>
  </sheetViews>
  <sheetFormatPr defaultColWidth="11.5703125" defaultRowHeight="16.5" customHeight="1" x14ac:dyDescent="0.2"/>
  <cols>
    <col min="1" max="1" width="12.140625" style="7" customWidth="1"/>
    <col min="2" max="1022" width="23.85546875" style="7" customWidth="1"/>
    <col min="1023" max="16384" width="11.5703125" style="7"/>
  </cols>
  <sheetData>
    <row r="1" spans="1:1022" ht="16.5" customHeight="1" x14ac:dyDescent="0.2">
      <c r="A1" s="8" t="str">
        <f>"sum= "&amp;SUM(B3:BG50)</f>
        <v>sum= 4420</v>
      </c>
      <c r="B1" s="9" t="s">
        <v>95</v>
      </c>
      <c r="C1" s="9" t="s">
        <v>96</v>
      </c>
      <c r="D1" s="9" t="s">
        <v>97</v>
      </c>
      <c r="E1" s="9" t="s">
        <v>98</v>
      </c>
      <c r="F1" s="9" t="s">
        <v>99</v>
      </c>
      <c r="G1" s="9" t="s">
        <v>100</v>
      </c>
      <c r="H1" s="10" t="s">
        <v>101</v>
      </c>
      <c r="I1" s="9" t="s">
        <v>102</v>
      </c>
      <c r="J1" s="9" t="s">
        <v>103</v>
      </c>
      <c r="K1" s="9" t="s">
        <v>104</v>
      </c>
      <c r="L1" s="9" t="s">
        <v>105</v>
      </c>
      <c r="M1" s="9" t="s">
        <v>106</v>
      </c>
      <c r="N1" s="9" t="s">
        <v>107</v>
      </c>
      <c r="O1" s="9" t="s">
        <v>108</v>
      </c>
      <c r="P1" s="11" t="s">
        <v>109</v>
      </c>
      <c r="Q1" s="9" t="s">
        <v>110</v>
      </c>
      <c r="R1" s="9" t="s">
        <v>111</v>
      </c>
      <c r="S1" s="9" t="s">
        <v>112</v>
      </c>
      <c r="T1" s="9" t="s">
        <v>113</v>
      </c>
      <c r="U1" s="9" t="s">
        <v>114</v>
      </c>
      <c r="V1" s="9" t="s">
        <v>115</v>
      </c>
      <c r="W1" s="9" t="s">
        <v>116</v>
      </c>
      <c r="X1" s="12" t="s">
        <v>117</v>
      </c>
      <c r="Y1" s="9" t="s">
        <v>118</v>
      </c>
      <c r="Z1" s="9" t="s">
        <v>119</v>
      </c>
      <c r="AA1" s="9" t="s">
        <v>120</v>
      </c>
      <c r="AB1" s="9" t="s">
        <v>121</v>
      </c>
      <c r="AC1" s="12" t="s">
        <v>122</v>
      </c>
      <c r="AD1" s="9" t="s">
        <v>123</v>
      </c>
      <c r="AE1" s="9" t="s">
        <v>124</v>
      </c>
      <c r="AF1" s="12" t="s">
        <v>125</v>
      </c>
      <c r="AG1" s="9" t="s">
        <v>126</v>
      </c>
      <c r="AH1" s="12" t="s">
        <v>127</v>
      </c>
      <c r="AI1" s="12" t="s">
        <v>128</v>
      </c>
      <c r="AJ1" s="9" t="s">
        <v>129</v>
      </c>
      <c r="AK1" s="9" t="s">
        <v>130</v>
      </c>
      <c r="AL1" s="9" t="s">
        <v>131</v>
      </c>
      <c r="AM1" s="9" t="s">
        <v>132</v>
      </c>
      <c r="AN1" s="9" t="s">
        <v>133</v>
      </c>
      <c r="AO1" s="9" t="s">
        <v>134</v>
      </c>
      <c r="AP1" s="9" t="s">
        <v>135</v>
      </c>
      <c r="AQ1" s="9" t="s">
        <v>136</v>
      </c>
      <c r="AR1" s="9" t="s">
        <v>137</v>
      </c>
      <c r="AS1" s="9" t="s">
        <v>138</v>
      </c>
      <c r="AT1" s="9" t="s">
        <v>139</v>
      </c>
      <c r="AU1" s="12" t="s">
        <v>140</v>
      </c>
      <c r="AV1" s="9" t="s">
        <v>141</v>
      </c>
      <c r="AW1" s="9" t="s">
        <v>142</v>
      </c>
      <c r="AX1" s="9" t="s">
        <v>143</v>
      </c>
      <c r="AY1" s="9" t="s">
        <v>144</v>
      </c>
      <c r="AZ1" s="9" t="s">
        <v>145</v>
      </c>
      <c r="BA1" s="9" t="s">
        <v>146</v>
      </c>
      <c r="BB1" s="12" t="s">
        <v>147</v>
      </c>
      <c r="BC1" s="9" t="s">
        <v>148</v>
      </c>
      <c r="BD1" s="9" t="s">
        <v>149</v>
      </c>
      <c r="BE1" s="9" t="s">
        <v>150</v>
      </c>
      <c r="BF1" s="9" t="s">
        <v>151</v>
      </c>
      <c r="BG1" s="9" t="s">
        <v>152</v>
      </c>
      <c r="BH1" s="13"/>
      <c r="BI1" s="14"/>
      <c r="BJ1" s="14"/>
      <c r="BK1" s="14"/>
      <c r="BL1" s="14"/>
      <c r="BM1" s="14"/>
      <c r="BN1" s="14"/>
      <c r="BO1" s="14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</row>
    <row r="2" spans="1:1022" ht="16.5" customHeight="1" x14ac:dyDescent="0.2">
      <c r="A2" s="15" t="str">
        <f>"n = "&amp;COUNTA(A3:A1014)</f>
        <v>n = 96</v>
      </c>
      <c r="B2" s="15" t="s">
        <v>153</v>
      </c>
      <c r="C2" s="15" t="s">
        <v>154</v>
      </c>
      <c r="D2" s="15" t="s">
        <v>155</v>
      </c>
      <c r="E2" s="15" t="s">
        <v>98</v>
      </c>
      <c r="F2" s="15" t="s">
        <v>156</v>
      </c>
      <c r="G2" s="15" t="s">
        <v>157</v>
      </c>
      <c r="H2" s="16" t="s">
        <v>158</v>
      </c>
      <c r="I2" s="15" t="s">
        <v>102</v>
      </c>
      <c r="J2" s="15" t="s">
        <v>159</v>
      </c>
      <c r="K2" s="15" t="s">
        <v>160</v>
      </c>
      <c r="L2" s="15" t="s">
        <v>161</v>
      </c>
      <c r="M2" s="15" t="s">
        <v>162</v>
      </c>
      <c r="N2" s="15" t="s">
        <v>163</v>
      </c>
      <c r="O2" s="15" t="s">
        <v>164</v>
      </c>
      <c r="P2" s="17" t="s">
        <v>165</v>
      </c>
      <c r="Q2" s="15" t="s">
        <v>166</v>
      </c>
      <c r="R2" s="15" t="s">
        <v>167</v>
      </c>
      <c r="S2" s="15" t="s">
        <v>168</v>
      </c>
      <c r="T2" s="15" t="s">
        <v>169</v>
      </c>
      <c r="U2" s="15" t="s">
        <v>170</v>
      </c>
      <c r="V2" s="15" t="s">
        <v>171</v>
      </c>
      <c r="W2" s="15" t="s">
        <v>172</v>
      </c>
      <c r="X2" s="18" t="s">
        <v>173</v>
      </c>
      <c r="Y2" s="15" t="s">
        <v>174</v>
      </c>
      <c r="Z2" s="15" t="s">
        <v>175</v>
      </c>
      <c r="AA2" s="15" t="s">
        <v>176</v>
      </c>
      <c r="AB2" s="15" t="s">
        <v>177</v>
      </c>
      <c r="AC2" s="18" t="s">
        <v>178</v>
      </c>
      <c r="AD2" s="15" t="s">
        <v>179</v>
      </c>
      <c r="AE2" s="15" t="s">
        <v>180</v>
      </c>
      <c r="AF2" s="18" t="s">
        <v>181</v>
      </c>
      <c r="AG2" s="15" t="s">
        <v>182</v>
      </c>
      <c r="AH2" s="19" t="s">
        <v>183</v>
      </c>
      <c r="AI2" s="19" t="s">
        <v>184</v>
      </c>
      <c r="AJ2" s="15" t="s">
        <v>185</v>
      </c>
      <c r="AK2" s="15" t="s">
        <v>186</v>
      </c>
      <c r="AL2" s="15" t="s">
        <v>187</v>
      </c>
      <c r="AM2" s="15" t="s">
        <v>188</v>
      </c>
      <c r="AN2" s="15" t="s">
        <v>189</v>
      </c>
      <c r="AO2" s="15" t="s">
        <v>190</v>
      </c>
      <c r="AP2" s="15" t="s">
        <v>191</v>
      </c>
      <c r="AQ2" s="20" t="s">
        <v>192</v>
      </c>
      <c r="AR2" s="20" t="s">
        <v>193</v>
      </c>
      <c r="AS2" s="20" t="s">
        <v>194</v>
      </c>
      <c r="AT2" s="15" t="s">
        <v>195</v>
      </c>
      <c r="AU2" s="19" t="s">
        <v>196</v>
      </c>
      <c r="AV2" s="15" t="s">
        <v>141</v>
      </c>
      <c r="AW2" s="15" t="s">
        <v>197</v>
      </c>
      <c r="AX2" s="15" t="s">
        <v>198</v>
      </c>
      <c r="AY2" s="15" t="s">
        <v>199</v>
      </c>
      <c r="AZ2" s="15" t="s">
        <v>200</v>
      </c>
      <c r="BA2" s="15" t="s">
        <v>201</v>
      </c>
      <c r="BB2" s="18" t="s">
        <v>202</v>
      </c>
      <c r="BC2" s="15" t="s">
        <v>203</v>
      </c>
      <c r="BD2" s="15" t="s">
        <v>204</v>
      </c>
      <c r="BE2" s="15" t="s">
        <v>205</v>
      </c>
      <c r="BF2" s="15" t="s">
        <v>206</v>
      </c>
      <c r="BG2" s="15" t="s">
        <v>207</v>
      </c>
      <c r="BI2" s="3"/>
      <c r="BJ2" s="3"/>
      <c r="BK2" s="3"/>
      <c r="BL2" s="3"/>
      <c r="BM2" s="3"/>
      <c r="BN2" s="3"/>
      <c r="BO2" s="3"/>
    </row>
    <row r="3" spans="1:1022" ht="16.5" customHeight="1" x14ac:dyDescent="0.2">
      <c r="A3" s="15" t="s">
        <v>208</v>
      </c>
      <c r="B3" s="21">
        <v>0</v>
      </c>
      <c r="C3" s="21">
        <v>0</v>
      </c>
      <c r="D3" s="21">
        <v>0</v>
      </c>
      <c r="E3" s="21">
        <v>37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1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3</v>
      </c>
      <c r="AW3" s="21">
        <v>0</v>
      </c>
      <c r="AX3" s="21">
        <v>1</v>
      </c>
      <c r="AY3" s="21">
        <v>0</v>
      </c>
      <c r="AZ3" s="21">
        <v>1</v>
      </c>
      <c r="BA3" s="21">
        <v>0</v>
      </c>
      <c r="BB3" s="21">
        <v>1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I3" s="3"/>
      <c r="BJ3" s="3"/>
      <c r="BK3" s="3"/>
      <c r="BL3" s="3"/>
      <c r="BM3" s="3"/>
      <c r="BN3" s="3"/>
      <c r="BO3" s="3"/>
    </row>
    <row r="4" spans="1:1022" ht="16.5" customHeight="1" x14ac:dyDescent="0.2">
      <c r="A4" s="15" t="s">
        <v>209</v>
      </c>
      <c r="B4" s="21">
        <v>0</v>
      </c>
      <c r="C4" s="21">
        <v>0</v>
      </c>
      <c r="D4" s="21">
        <v>0</v>
      </c>
      <c r="E4" s="21">
        <v>23</v>
      </c>
      <c r="F4" s="21">
        <v>0</v>
      </c>
      <c r="G4" s="21">
        <v>0</v>
      </c>
      <c r="H4" s="21">
        <v>0</v>
      </c>
      <c r="I4" s="21">
        <v>4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1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1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I4" s="3"/>
      <c r="BJ4" s="3"/>
      <c r="BK4" s="3"/>
      <c r="BL4" s="3"/>
      <c r="BM4" s="3"/>
      <c r="BN4" s="3"/>
      <c r="BO4" s="3"/>
    </row>
    <row r="5" spans="1:1022" ht="16.5" customHeight="1" x14ac:dyDescent="0.2">
      <c r="A5" s="15" t="s">
        <v>210</v>
      </c>
      <c r="B5" s="21">
        <v>0</v>
      </c>
      <c r="C5" s="21">
        <v>0</v>
      </c>
      <c r="D5" s="21">
        <v>0</v>
      </c>
      <c r="E5" s="21">
        <v>32</v>
      </c>
      <c r="F5" s="21">
        <v>0</v>
      </c>
      <c r="G5" s="21">
        <v>0</v>
      </c>
      <c r="H5" s="21">
        <v>0</v>
      </c>
      <c r="I5" s="21">
        <v>2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2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6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I5" s="3"/>
      <c r="BJ5" s="3"/>
      <c r="BK5" s="3"/>
      <c r="BL5" s="3"/>
      <c r="BM5" s="3"/>
      <c r="BN5" s="3"/>
      <c r="BO5" s="3"/>
    </row>
    <row r="6" spans="1:1022" ht="16.5" customHeight="1" x14ac:dyDescent="0.2">
      <c r="A6" s="15" t="s">
        <v>211</v>
      </c>
      <c r="B6" s="21">
        <v>0</v>
      </c>
      <c r="C6" s="21">
        <v>0</v>
      </c>
      <c r="D6" s="21">
        <v>0</v>
      </c>
      <c r="E6" s="21">
        <v>32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I6" s="3"/>
      <c r="BJ6" s="3"/>
      <c r="BK6" s="3"/>
      <c r="BL6" s="3"/>
      <c r="BM6" s="3"/>
      <c r="BN6" s="3"/>
      <c r="BO6" s="3"/>
    </row>
    <row r="7" spans="1:1022" ht="16.5" customHeight="1" x14ac:dyDescent="0.2">
      <c r="A7" s="15" t="s">
        <v>212</v>
      </c>
      <c r="B7" s="21">
        <v>1</v>
      </c>
      <c r="C7" s="21">
        <v>0</v>
      </c>
      <c r="D7" s="21">
        <v>0</v>
      </c>
      <c r="E7" s="21">
        <v>64</v>
      </c>
      <c r="F7" s="21">
        <v>0</v>
      </c>
      <c r="G7" s="21">
        <v>0</v>
      </c>
      <c r="H7" s="21">
        <v>0</v>
      </c>
      <c r="I7" s="21">
        <v>1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1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I7" s="3"/>
      <c r="BJ7" s="3"/>
      <c r="BK7" s="3"/>
      <c r="BL7" s="3"/>
      <c r="BM7" s="3"/>
      <c r="BN7" s="3"/>
      <c r="BO7" s="3"/>
    </row>
    <row r="8" spans="1:1022" ht="16.5" customHeight="1" x14ac:dyDescent="0.2">
      <c r="A8" s="15" t="s">
        <v>213</v>
      </c>
      <c r="B8" s="21">
        <v>0</v>
      </c>
      <c r="C8" s="21">
        <v>0</v>
      </c>
      <c r="D8" s="21">
        <v>0</v>
      </c>
      <c r="E8" s="21">
        <v>77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3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I8" s="3"/>
      <c r="BJ8" s="3"/>
      <c r="BK8" s="3"/>
      <c r="BL8" s="3"/>
      <c r="BM8" s="3"/>
      <c r="BN8" s="3"/>
      <c r="BO8" s="3"/>
    </row>
    <row r="9" spans="1:1022" ht="16.5" customHeight="1" x14ac:dyDescent="0.2">
      <c r="A9" s="15" t="s">
        <v>214</v>
      </c>
      <c r="B9" s="21">
        <v>0</v>
      </c>
      <c r="C9" s="21">
        <v>0</v>
      </c>
      <c r="D9" s="21">
        <v>0</v>
      </c>
      <c r="E9" s="21">
        <v>59</v>
      </c>
      <c r="F9" s="21">
        <v>0</v>
      </c>
      <c r="G9" s="21">
        <v>0</v>
      </c>
      <c r="H9" s="21">
        <v>0</v>
      </c>
      <c r="I9" s="21">
        <v>2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1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I9" s="3"/>
      <c r="BJ9" s="3"/>
      <c r="BK9" s="3"/>
      <c r="BL9" s="3"/>
      <c r="BM9" s="3"/>
      <c r="BN9" s="3"/>
      <c r="BO9" s="3"/>
    </row>
    <row r="10" spans="1:1022" ht="16.5" customHeight="1" x14ac:dyDescent="0.2">
      <c r="A10" s="15" t="s">
        <v>215</v>
      </c>
      <c r="B10" s="21">
        <v>0</v>
      </c>
      <c r="C10" s="21">
        <v>0</v>
      </c>
      <c r="D10" s="21">
        <v>0</v>
      </c>
      <c r="E10" s="21">
        <v>44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2</v>
      </c>
      <c r="AW10" s="21">
        <v>0</v>
      </c>
      <c r="AX10" s="21">
        <v>1</v>
      </c>
      <c r="AY10" s="21">
        <v>0</v>
      </c>
      <c r="AZ10" s="21">
        <v>1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I10" s="3"/>
      <c r="BJ10" s="3"/>
      <c r="BK10" s="3"/>
      <c r="BL10" s="3"/>
      <c r="BM10" s="3"/>
      <c r="BN10" s="3"/>
      <c r="BO10" s="3"/>
    </row>
    <row r="11" spans="1:1022" ht="16.5" customHeight="1" x14ac:dyDescent="0.2">
      <c r="A11" s="15" t="s">
        <v>216</v>
      </c>
      <c r="B11" s="21">
        <v>0</v>
      </c>
      <c r="C11" s="21">
        <v>0</v>
      </c>
      <c r="D11" s="21">
        <v>0</v>
      </c>
      <c r="E11" s="21">
        <v>43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1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1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4</v>
      </c>
      <c r="AW11" s="21">
        <v>0</v>
      </c>
      <c r="AX11" s="21">
        <v>0</v>
      </c>
      <c r="AY11" s="21">
        <v>0</v>
      </c>
      <c r="AZ11" s="21">
        <v>1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I11" s="3"/>
      <c r="BJ11" s="3"/>
      <c r="BK11" s="3"/>
      <c r="BL11" s="3"/>
      <c r="BM11" s="3"/>
      <c r="BN11" s="3"/>
      <c r="BO11" s="3"/>
    </row>
    <row r="12" spans="1:1022" ht="16.5" customHeight="1" x14ac:dyDescent="0.2">
      <c r="A12" s="15" t="s">
        <v>217</v>
      </c>
      <c r="B12" s="21">
        <v>1</v>
      </c>
      <c r="C12" s="21">
        <v>0</v>
      </c>
      <c r="D12" s="21">
        <v>0</v>
      </c>
      <c r="E12" s="21">
        <v>69</v>
      </c>
      <c r="F12" s="21">
        <v>0</v>
      </c>
      <c r="G12" s="21">
        <v>0</v>
      </c>
      <c r="H12" s="21">
        <v>1</v>
      </c>
      <c r="I12" s="21">
        <v>76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1</v>
      </c>
      <c r="Q12" s="21">
        <v>1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1</v>
      </c>
      <c r="Y12" s="21">
        <v>1</v>
      </c>
      <c r="Z12" s="21">
        <v>0</v>
      </c>
      <c r="AA12" s="21">
        <v>4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3</v>
      </c>
      <c r="AM12" s="21">
        <v>2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1</v>
      </c>
      <c r="AV12" s="21">
        <v>15</v>
      </c>
      <c r="AW12" s="21">
        <v>0</v>
      </c>
      <c r="AX12" s="21">
        <v>9</v>
      </c>
      <c r="AY12" s="21">
        <v>0</v>
      </c>
      <c r="AZ12" s="21">
        <v>0</v>
      </c>
      <c r="BA12" s="21">
        <v>0</v>
      </c>
      <c r="BB12" s="21">
        <v>1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I12" s="3"/>
      <c r="BJ12" s="3"/>
      <c r="BK12" s="3"/>
      <c r="BL12" s="3"/>
      <c r="BM12" s="3"/>
      <c r="BN12" s="3"/>
      <c r="BO12" s="3"/>
    </row>
    <row r="13" spans="1:1022" ht="16.5" customHeight="1" x14ac:dyDescent="0.2">
      <c r="A13" s="15" t="s">
        <v>218</v>
      </c>
      <c r="B13" s="21">
        <v>6</v>
      </c>
      <c r="C13" s="21">
        <v>0</v>
      </c>
      <c r="D13" s="21">
        <v>0</v>
      </c>
      <c r="E13" s="21">
        <v>50</v>
      </c>
      <c r="F13" s="21">
        <v>0</v>
      </c>
      <c r="G13" s="21">
        <v>0</v>
      </c>
      <c r="H13" s="21">
        <v>0</v>
      </c>
      <c r="I13" s="21">
        <v>77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8</v>
      </c>
      <c r="T13" s="21">
        <v>0</v>
      </c>
      <c r="U13" s="21">
        <v>4</v>
      </c>
      <c r="V13" s="21">
        <v>0</v>
      </c>
      <c r="W13" s="21">
        <v>0</v>
      </c>
      <c r="X13" s="21">
        <v>0</v>
      </c>
      <c r="Y13" s="21">
        <v>0</v>
      </c>
      <c r="Z13" s="21">
        <v>2</v>
      </c>
      <c r="AA13" s="21">
        <v>2</v>
      </c>
      <c r="AB13" s="21">
        <v>0</v>
      </c>
      <c r="AC13" s="21">
        <v>0</v>
      </c>
      <c r="AD13" s="21">
        <v>0</v>
      </c>
      <c r="AE13" s="21">
        <v>1</v>
      </c>
      <c r="AF13" s="21">
        <v>0</v>
      </c>
      <c r="AG13" s="21">
        <v>0</v>
      </c>
      <c r="AH13" s="21">
        <v>0</v>
      </c>
      <c r="AI13" s="21">
        <v>0</v>
      </c>
      <c r="AJ13" s="21">
        <v>2</v>
      </c>
      <c r="AK13" s="21">
        <v>0</v>
      </c>
      <c r="AL13" s="21">
        <v>1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60</v>
      </c>
      <c r="AW13" s="21">
        <v>0</v>
      </c>
      <c r="AX13" s="21">
        <v>4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I13" s="3"/>
      <c r="BJ13" s="3"/>
      <c r="BK13" s="3"/>
      <c r="BL13" s="3"/>
      <c r="BM13" s="3"/>
      <c r="BN13" s="3"/>
      <c r="BO13" s="3"/>
    </row>
    <row r="14" spans="1:1022" ht="16.5" customHeight="1" x14ac:dyDescent="0.2">
      <c r="A14" s="15" t="s">
        <v>219</v>
      </c>
      <c r="B14" s="21">
        <v>1</v>
      </c>
      <c r="C14" s="21">
        <v>0</v>
      </c>
      <c r="D14" s="21">
        <v>0</v>
      </c>
      <c r="E14" s="21">
        <v>51</v>
      </c>
      <c r="F14" s="21">
        <v>0</v>
      </c>
      <c r="G14" s="21">
        <v>0</v>
      </c>
      <c r="H14" s="21">
        <v>0</v>
      </c>
      <c r="I14" s="21">
        <v>3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2</v>
      </c>
      <c r="T14" s="21">
        <v>0</v>
      </c>
      <c r="U14" s="21">
        <v>1</v>
      </c>
      <c r="V14" s="21">
        <v>1</v>
      </c>
      <c r="W14" s="21">
        <v>0</v>
      </c>
      <c r="X14" s="21">
        <v>0</v>
      </c>
      <c r="Y14" s="21">
        <v>0</v>
      </c>
      <c r="Z14" s="21">
        <v>0</v>
      </c>
      <c r="AA14" s="21">
        <v>4</v>
      </c>
      <c r="AB14" s="21">
        <v>1</v>
      </c>
      <c r="AC14" s="21">
        <v>0</v>
      </c>
      <c r="AD14" s="21">
        <v>2</v>
      </c>
      <c r="AE14" s="21">
        <v>1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1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15</v>
      </c>
      <c r="AW14" s="21">
        <v>0</v>
      </c>
      <c r="AX14" s="21">
        <v>1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I14" s="3"/>
      <c r="BJ14" s="3"/>
      <c r="BK14" s="3"/>
      <c r="BL14" s="3"/>
      <c r="BM14" s="3"/>
      <c r="BN14" s="3"/>
      <c r="BO14" s="3"/>
    </row>
    <row r="15" spans="1:1022" ht="16.5" customHeight="1" x14ac:dyDescent="0.2">
      <c r="A15" s="15" t="s">
        <v>220</v>
      </c>
      <c r="B15" s="21">
        <v>0</v>
      </c>
      <c r="C15" s="21">
        <v>0</v>
      </c>
      <c r="D15" s="21">
        <v>0</v>
      </c>
      <c r="E15" s="21">
        <v>35</v>
      </c>
      <c r="F15" s="21">
        <v>0</v>
      </c>
      <c r="G15" s="21">
        <v>0</v>
      </c>
      <c r="H15" s="21">
        <v>0</v>
      </c>
      <c r="I15" s="21">
        <v>1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1</v>
      </c>
      <c r="V15" s="21">
        <v>0</v>
      </c>
      <c r="W15" s="21">
        <v>0</v>
      </c>
      <c r="X15" s="21">
        <v>0</v>
      </c>
      <c r="Y15" s="21">
        <v>0</v>
      </c>
      <c r="Z15" s="21">
        <v>1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1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3</v>
      </c>
      <c r="AW15" s="21">
        <v>0</v>
      </c>
      <c r="AX15" s="21">
        <v>0</v>
      </c>
      <c r="AY15" s="21">
        <v>1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I15" s="3"/>
      <c r="BJ15" s="3"/>
      <c r="BK15" s="3"/>
      <c r="BL15" s="3"/>
      <c r="BM15" s="3"/>
      <c r="BN15" s="3"/>
      <c r="BO15" s="3"/>
    </row>
    <row r="16" spans="1:1022" ht="16.5" customHeight="1" x14ac:dyDescent="0.2">
      <c r="A16" s="15" t="s">
        <v>221</v>
      </c>
      <c r="B16" s="21">
        <v>0</v>
      </c>
      <c r="C16" s="21">
        <v>0</v>
      </c>
      <c r="D16" s="21">
        <v>0</v>
      </c>
      <c r="E16" s="21">
        <v>104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3</v>
      </c>
      <c r="T16" s="21">
        <v>1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2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2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2</v>
      </c>
      <c r="AW16" s="21">
        <v>0</v>
      </c>
      <c r="AX16" s="21">
        <v>0</v>
      </c>
      <c r="AY16" s="21">
        <v>0</v>
      </c>
      <c r="AZ16" s="21">
        <v>5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I16" s="3"/>
      <c r="BJ16" s="3"/>
      <c r="BK16" s="3"/>
      <c r="BL16" s="3"/>
      <c r="BM16" s="3"/>
      <c r="BN16" s="3"/>
      <c r="BO16" s="3"/>
    </row>
    <row r="17" spans="1:67" ht="16.5" customHeight="1" x14ac:dyDescent="0.2">
      <c r="A17" s="15" t="s">
        <v>222</v>
      </c>
      <c r="B17" s="21">
        <v>0</v>
      </c>
      <c r="C17" s="21">
        <v>0</v>
      </c>
      <c r="D17" s="21">
        <v>0</v>
      </c>
      <c r="E17" s="21">
        <v>84</v>
      </c>
      <c r="F17" s="21">
        <v>0</v>
      </c>
      <c r="G17" s="21">
        <v>0</v>
      </c>
      <c r="H17" s="21">
        <v>2</v>
      </c>
      <c r="I17" s="21">
        <v>0</v>
      </c>
      <c r="J17" s="21">
        <v>1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4</v>
      </c>
      <c r="T17" s="21">
        <v>1</v>
      </c>
      <c r="U17" s="21">
        <v>0</v>
      </c>
      <c r="V17" s="21">
        <v>0</v>
      </c>
      <c r="W17" s="21">
        <v>0</v>
      </c>
      <c r="X17" s="21">
        <v>0</v>
      </c>
      <c r="Y17" s="21">
        <v>1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1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4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1</v>
      </c>
      <c r="BE17" s="21">
        <v>0</v>
      </c>
      <c r="BF17" s="21">
        <v>0</v>
      </c>
      <c r="BG17" s="21">
        <v>0</v>
      </c>
      <c r="BI17" s="3"/>
      <c r="BJ17" s="3"/>
      <c r="BK17" s="3"/>
      <c r="BL17" s="3"/>
      <c r="BM17" s="3"/>
      <c r="BN17" s="3"/>
      <c r="BO17" s="3"/>
    </row>
    <row r="18" spans="1:67" ht="16.5" customHeight="1" x14ac:dyDescent="0.2">
      <c r="A18" s="15" t="s">
        <v>223</v>
      </c>
      <c r="B18" s="21">
        <v>1</v>
      </c>
      <c r="C18" s="21">
        <v>0</v>
      </c>
      <c r="D18" s="21">
        <v>0</v>
      </c>
      <c r="E18" s="21">
        <v>59</v>
      </c>
      <c r="F18" s="21">
        <v>2</v>
      </c>
      <c r="G18" s="21">
        <v>0</v>
      </c>
      <c r="H18" s="21">
        <v>1</v>
      </c>
      <c r="I18" s="21">
        <v>1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1</v>
      </c>
      <c r="S18" s="21">
        <v>8</v>
      </c>
      <c r="T18" s="21">
        <v>1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1</v>
      </c>
      <c r="AA18" s="21">
        <v>1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7</v>
      </c>
      <c r="AK18" s="21">
        <v>0</v>
      </c>
      <c r="AL18" s="21">
        <v>0</v>
      </c>
      <c r="AM18" s="21">
        <v>0</v>
      </c>
      <c r="AN18" s="21">
        <v>1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21</v>
      </c>
      <c r="AW18" s="21">
        <v>0</v>
      </c>
      <c r="AX18" s="21">
        <v>0</v>
      </c>
      <c r="AY18" s="21">
        <v>2</v>
      </c>
      <c r="AZ18" s="21">
        <v>0</v>
      </c>
      <c r="BA18" s="21">
        <v>0</v>
      </c>
      <c r="BB18" s="21">
        <v>0</v>
      </c>
      <c r="BC18" s="21">
        <v>0</v>
      </c>
      <c r="BD18" s="21">
        <v>2</v>
      </c>
      <c r="BE18" s="21">
        <v>0</v>
      </c>
      <c r="BF18" s="21">
        <v>0</v>
      </c>
      <c r="BG18" s="21">
        <v>1</v>
      </c>
      <c r="BI18" s="22"/>
      <c r="BJ18" s="22"/>
      <c r="BK18" s="22"/>
      <c r="BL18" s="22"/>
      <c r="BM18" s="22"/>
      <c r="BN18" s="22"/>
      <c r="BO18" s="22"/>
    </row>
    <row r="19" spans="1:67" ht="16.5" customHeight="1" x14ac:dyDescent="0.2">
      <c r="A19" s="15" t="s">
        <v>224</v>
      </c>
      <c r="B19" s="21">
        <v>1</v>
      </c>
      <c r="C19" s="21">
        <v>0</v>
      </c>
      <c r="D19" s="21">
        <v>0</v>
      </c>
      <c r="E19" s="21">
        <v>25</v>
      </c>
      <c r="F19" s="21">
        <v>0</v>
      </c>
      <c r="G19" s="21">
        <v>2</v>
      </c>
      <c r="H19" s="21">
        <v>3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13</v>
      </c>
      <c r="T19" s="21">
        <v>0</v>
      </c>
      <c r="U19" s="21">
        <v>7</v>
      </c>
      <c r="V19" s="21">
        <v>0</v>
      </c>
      <c r="W19" s="21">
        <v>1</v>
      </c>
      <c r="X19" s="21">
        <v>0</v>
      </c>
      <c r="Y19" s="21">
        <v>1</v>
      </c>
      <c r="Z19" s="21">
        <v>0</v>
      </c>
      <c r="AA19" s="21">
        <v>1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2</v>
      </c>
      <c r="AK19" s="21">
        <v>0</v>
      </c>
      <c r="AL19" s="21">
        <v>0</v>
      </c>
      <c r="AM19" s="21">
        <v>0</v>
      </c>
      <c r="AN19" s="21">
        <v>0</v>
      </c>
      <c r="AO19" s="21">
        <v>1</v>
      </c>
      <c r="AP19" s="21">
        <v>0</v>
      </c>
      <c r="AQ19" s="21">
        <v>0</v>
      </c>
      <c r="AR19" s="21">
        <v>0</v>
      </c>
      <c r="AS19" s="21">
        <v>0</v>
      </c>
      <c r="AT19" s="21">
        <v>1</v>
      </c>
      <c r="AU19" s="21">
        <v>0</v>
      </c>
      <c r="AV19" s="21">
        <v>1</v>
      </c>
      <c r="AW19" s="21">
        <v>0</v>
      </c>
      <c r="AX19" s="21">
        <v>0</v>
      </c>
      <c r="AY19" s="21">
        <v>3</v>
      </c>
      <c r="AZ19" s="21">
        <v>0</v>
      </c>
      <c r="BA19" s="21">
        <v>0</v>
      </c>
      <c r="BB19" s="21">
        <v>0</v>
      </c>
      <c r="BC19" s="21">
        <v>0</v>
      </c>
      <c r="BD19" s="21">
        <v>1</v>
      </c>
      <c r="BE19" s="21">
        <v>0</v>
      </c>
      <c r="BF19" s="21">
        <v>0</v>
      </c>
      <c r="BG19" s="21">
        <v>1</v>
      </c>
      <c r="BI19" s="3"/>
      <c r="BJ19" s="3"/>
      <c r="BK19" s="3"/>
      <c r="BL19" s="3"/>
      <c r="BM19" s="3"/>
      <c r="BN19" s="3"/>
      <c r="BO19" s="3"/>
    </row>
    <row r="20" spans="1:67" ht="16.5" customHeight="1" x14ac:dyDescent="0.2">
      <c r="A20" s="15" t="s">
        <v>225</v>
      </c>
      <c r="B20" s="21">
        <v>2</v>
      </c>
      <c r="C20" s="21">
        <v>0</v>
      </c>
      <c r="D20" s="21">
        <v>0</v>
      </c>
      <c r="E20" s="21">
        <v>106</v>
      </c>
      <c r="F20" s="21">
        <v>1</v>
      </c>
      <c r="G20" s="21">
        <v>0</v>
      </c>
      <c r="H20" s="21">
        <v>1</v>
      </c>
      <c r="I20" s="21">
        <v>0</v>
      </c>
      <c r="J20" s="21">
        <v>1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18</v>
      </c>
      <c r="T20" s="21">
        <v>1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1</v>
      </c>
      <c r="AA20" s="21">
        <v>1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3</v>
      </c>
      <c r="AK20" s="21">
        <v>1</v>
      </c>
      <c r="AL20" s="21">
        <v>0</v>
      </c>
      <c r="AM20" s="21">
        <v>0</v>
      </c>
      <c r="AN20" s="21">
        <v>1</v>
      </c>
      <c r="AO20" s="21">
        <v>1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15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I20" s="3"/>
      <c r="BJ20" s="3"/>
      <c r="BK20" s="3"/>
      <c r="BL20" s="3"/>
      <c r="BM20" s="3"/>
      <c r="BN20" s="3"/>
      <c r="BO20" s="3"/>
    </row>
    <row r="21" spans="1:67" ht="16.5" customHeight="1" x14ac:dyDescent="0.2">
      <c r="A21" s="15" t="s">
        <v>226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I21" s="3"/>
      <c r="BJ21" s="3"/>
      <c r="BK21" s="3"/>
      <c r="BL21" s="3"/>
      <c r="BM21" s="3"/>
      <c r="BN21" s="3"/>
      <c r="BO21" s="3"/>
    </row>
    <row r="22" spans="1:67" ht="16.5" customHeight="1" x14ac:dyDescent="0.2">
      <c r="A22" s="15" t="s">
        <v>227</v>
      </c>
      <c r="B22" s="21">
        <v>0</v>
      </c>
      <c r="C22" s="21">
        <v>0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I22" s="3"/>
      <c r="BJ22" s="3"/>
      <c r="BK22" s="3"/>
      <c r="BL22" s="3"/>
      <c r="BM22" s="3"/>
      <c r="BN22" s="3"/>
      <c r="BO22" s="3"/>
    </row>
    <row r="23" spans="1:67" ht="16.5" customHeight="1" x14ac:dyDescent="0.2">
      <c r="A23" s="15" t="s">
        <v>228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I23" s="3"/>
      <c r="BJ23" s="3"/>
      <c r="BK23" s="3"/>
      <c r="BL23" s="3"/>
      <c r="BM23" s="3"/>
      <c r="BN23" s="3"/>
      <c r="BO23" s="3"/>
    </row>
    <row r="24" spans="1:67" ht="16.5" customHeight="1" x14ac:dyDescent="0.2">
      <c r="A24" s="15" t="s">
        <v>229</v>
      </c>
      <c r="B24" s="21">
        <v>1</v>
      </c>
      <c r="C24" s="21">
        <v>0</v>
      </c>
      <c r="D24" s="21">
        <v>0</v>
      </c>
      <c r="E24" s="15">
        <v>25</v>
      </c>
      <c r="F24" s="21">
        <v>0</v>
      </c>
      <c r="G24" s="21">
        <v>0</v>
      </c>
      <c r="H24" s="21">
        <v>0</v>
      </c>
      <c r="I24" s="15">
        <v>2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15">
        <v>1</v>
      </c>
      <c r="T24" s="21">
        <v>0</v>
      </c>
      <c r="U24" s="15">
        <v>1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2</v>
      </c>
      <c r="AD24" s="21">
        <v>1</v>
      </c>
      <c r="AE24" s="21">
        <v>0</v>
      </c>
      <c r="AF24" s="21">
        <v>0</v>
      </c>
      <c r="AG24" s="21">
        <v>0</v>
      </c>
      <c r="AH24" s="21">
        <v>1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12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I24" s="3"/>
      <c r="BJ24" s="3"/>
      <c r="BK24" s="3"/>
      <c r="BL24" s="3"/>
      <c r="BM24" s="3"/>
      <c r="BN24" s="3"/>
      <c r="BO24" s="3"/>
    </row>
    <row r="25" spans="1:67" ht="16.5" customHeight="1" x14ac:dyDescent="0.2">
      <c r="A25" s="15" t="s">
        <v>230</v>
      </c>
      <c r="B25" s="21">
        <v>1</v>
      </c>
      <c r="C25" s="21">
        <v>0</v>
      </c>
      <c r="D25" s="21">
        <v>0</v>
      </c>
      <c r="E25" s="21">
        <v>19</v>
      </c>
      <c r="F25" s="21">
        <v>0</v>
      </c>
      <c r="G25" s="21">
        <v>0</v>
      </c>
      <c r="H25" s="21">
        <v>0</v>
      </c>
      <c r="I25" s="21">
        <v>7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3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15">
        <v>3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15">
        <v>1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3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I25" s="3"/>
      <c r="BJ25" s="3"/>
      <c r="BK25" s="3"/>
      <c r="BL25" s="3"/>
      <c r="BM25" s="3"/>
      <c r="BN25" s="3"/>
      <c r="BO25" s="3"/>
    </row>
    <row r="26" spans="1:67" ht="16.5" customHeight="1" x14ac:dyDescent="0.2">
      <c r="A26" s="15" t="s">
        <v>231</v>
      </c>
      <c r="B26" s="21">
        <v>2</v>
      </c>
      <c r="C26" s="21">
        <v>0</v>
      </c>
      <c r="D26" s="21">
        <v>0</v>
      </c>
      <c r="E26" s="15">
        <v>23</v>
      </c>
      <c r="F26" s="21">
        <v>0</v>
      </c>
      <c r="G26" s="21">
        <v>0</v>
      </c>
      <c r="H26" s="21">
        <v>0</v>
      </c>
      <c r="I26" s="15">
        <v>1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4</v>
      </c>
      <c r="T26" s="21">
        <v>2</v>
      </c>
      <c r="U26" s="21">
        <v>0</v>
      </c>
      <c r="V26" s="21">
        <v>0</v>
      </c>
      <c r="W26" s="21">
        <v>0</v>
      </c>
      <c r="X26" s="21">
        <v>1</v>
      </c>
      <c r="Y26" s="21">
        <v>0</v>
      </c>
      <c r="Z26" s="15">
        <v>1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1</v>
      </c>
      <c r="AJ26" s="21">
        <v>0</v>
      </c>
      <c r="AK26" s="21">
        <v>0</v>
      </c>
      <c r="AL26" s="21">
        <v>1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4</v>
      </c>
      <c r="AW26" s="21">
        <v>0</v>
      </c>
      <c r="AX26" s="21">
        <v>1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I26" s="3"/>
      <c r="BJ26" s="3"/>
      <c r="BK26" s="3"/>
      <c r="BL26" s="3"/>
      <c r="BM26" s="3"/>
      <c r="BN26" s="3"/>
      <c r="BO26" s="3"/>
    </row>
    <row r="27" spans="1:67" ht="16.5" customHeight="1" x14ac:dyDescent="0.2">
      <c r="A27" s="15" t="s">
        <v>232</v>
      </c>
      <c r="B27" s="21">
        <v>0</v>
      </c>
      <c r="C27" s="21">
        <v>0</v>
      </c>
      <c r="D27" s="21">
        <v>0</v>
      </c>
      <c r="E27" s="15">
        <v>7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1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I27" s="3"/>
      <c r="BJ27" s="3"/>
      <c r="BK27" s="3"/>
      <c r="BL27" s="3"/>
      <c r="BM27" s="3"/>
      <c r="BN27" s="3"/>
      <c r="BO27" s="3"/>
    </row>
    <row r="28" spans="1:67" ht="16.5" customHeight="1" x14ac:dyDescent="0.2">
      <c r="A28" s="15" t="s">
        <v>233</v>
      </c>
      <c r="B28" s="21">
        <v>0</v>
      </c>
      <c r="C28" s="21">
        <v>0</v>
      </c>
      <c r="D28" s="21">
        <v>0</v>
      </c>
      <c r="E28" s="15">
        <v>12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I28" s="3"/>
      <c r="BJ28" s="3"/>
      <c r="BK28" s="3"/>
      <c r="BL28" s="3"/>
      <c r="BM28" s="3"/>
      <c r="BN28" s="3"/>
      <c r="BO28" s="3"/>
    </row>
    <row r="29" spans="1:67" ht="16.5" customHeight="1" x14ac:dyDescent="0.2">
      <c r="A29" s="15" t="s">
        <v>234</v>
      </c>
      <c r="B29" s="21">
        <v>0</v>
      </c>
      <c r="C29" s="21">
        <v>0</v>
      </c>
      <c r="D29" s="21">
        <v>0</v>
      </c>
      <c r="E29" s="15">
        <v>36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1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3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I29" s="3"/>
      <c r="BJ29" s="3"/>
      <c r="BK29" s="3"/>
      <c r="BL29" s="3"/>
      <c r="BM29" s="3"/>
      <c r="BN29" s="3"/>
      <c r="BO29" s="3"/>
    </row>
    <row r="30" spans="1:67" ht="16.5" customHeight="1" x14ac:dyDescent="0.2">
      <c r="A30" s="15" t="s">
        <v>235</v>
      </c>
      <c r="B30" s="21">
        <v>0</v>
      </c>
      <c r="C30" s="21">
        <v>0</v>
      </c>
      <c r="D30" s="21">
        <v>0</v>
      </c>
      <c r="E30" s="15">
        <v>13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1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1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1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I30" s="3"/>
      <c r="BJ30" s="3"/>
      <c r="BK30" s="3"/>
      <c r="BL30" s="3"/>
      <c r="BM30" s="3"/>
      <c r="BN30" s="3"/>
      <c r="BO30" s="3"/>
    </row>
    <row r="31" spans="1:67" ht="16.5" customHeight="1" x14ac:dyDescent="0.2">
      <c r="A31" s="15" t="s">
        <v>236</v>
      </c>
      <c r="B31" s="21">
        <v>0</v>
      </c>
      <c r="C31" s="21">
        <v>0</v>
      </c>
      <c r="D31" s="21">
        <v>0</v>
      </c>
      <c r="E31" s="15">
        <v>27</v>
      </c>
      <c r="F31" s="21">
        <v>0</v>
      </c>
      <c r="G31" s="21">
        <v>0</v>
      </c>
      <c r="H31" s="21">
        <v>0</v>
      </c>
      <c r="I31" s="21">
        <v>1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2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I31" s="3"/>
      <c r="BJ31" s="3"/>
      <c r="BK31" s="3"/>
      <c r="BL31" s="3"/>
      <c r="BM31" s="3"/>
      <c r="BN31" s="3"/>
      <c r="BO31" s="3"/>
    </row>
    <row r="32" spans="1:67" ht="16.5" customHeight="1" x14ac:dyDescent="0.2">
      <c r="A32" s="15" t="s">
        <v>237</v>
      </c>
      <c r="B32" s="21">
        <v>0</v>
      </c>
      <c r="C32" s="21">
        <v>0</v>
      </c>
      <c r="D32" s="21">
        <v>0</v>
      </c>
      <c r="E32" s="15">
        <v>50</v>
      </c>
      <c r="F32" s="21">
        <v>0</v>
      </c>
      <c r="G32" s="21">
        <v>0</v>
      </c>
      <c r="H32" s="21">
        <v>0</v>
      </c>
      <c r="I32" s="21">
        <v>1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1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8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I32" s="3"/>
      <c r="BJ32" s="3"/>
      <c r="BK32" s="3"/>
      <c r="BL32" s="3"/>
      <c r="BM32" s="3"/>
      <c r="BN32" s="3"/>
      <c r="BO32" s="3"/>
    </row>
    <row r="33" spans="1:67" ht="16.5" customHeight="1" x14ac:dyDescent="0.2">
      <c r="A33" s="15" t="s">
        <v>238</v>
      </c>
      <c r="B33" s="21">
        <v>0</v>
      </c>
      <c r="C33" s="21">
        <v>0</v>
      </c>
      <c r="D33" s="21">
        <v>0</v>
      </c>
      <c r="E33" s="21">
        <v>16</v>
      </c>
      <c r="F33" s="21">
        <v>0</v>
      </c>
      <c r="G33" s="21">
        <v>0</v>
      </c>
      <c r="H33" s="21">
        <v>0</v>
      </c>
      <c r="I33" s="15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2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I33" s="3"/>
      <c r="BJ33" s="3"/>
      <c r="BK33" s="3"/>
      <c r="BL33" s="3"/>
      <c r="BM33" s="3"/>
      <c r="BN33" s="3"/>
      <c r="BO33" s="3"/>
    </row>
    <row r="34" spans="1:67" ht="16.5" customHeight="1" x14ac:dyDescent="0.2">
      <c r="A34" s="15" t="s">
        <v>239</v>
      </c>
      <c r="B34" s="21">
        <v>0</v>
      </c>
      <c r="C34" s="21">
        <v>0</v>
      </c>
      <c r="D34" s="21">
        <v>0</v>
      </c>
      <c r="E34" s="21">
        <v>22</v>
      </c>
      <c r="F34" s="21">
        <v>0</v>
      </c>
      <c r="G34" s="21">
        <v>0</v>
      </c>
      <c r="H34" s="21">
        <v>0</v>
      </c>
      <c r="I34" s="21">
        <v>4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1</v>
      </c>
      <c r="AR34" s="21">
        <v>0</v>
      </c>
      <c r="AS34" s="21">
        <v>0</v>
      </c>
      <c r="AT34" s="21">
        <v>0</v>
      </c>
      <c r="AU34" s="21">
        <v>0</v>
      </c>
      <c r="AV34" s="21">
        <v>6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I34" s="3"/>
      <c r="BJ34" s="3"/>
      <c r="BK34" s="3"/>
      <c r="BL34" s="3"/>
      <c r="BM34" s="3"/>
      <c r="BN34" s="3"/>
      <c r="BO34" s="3"/>
    </row>
    <row r="35" spans="1:67" ht="16.5" customHeight="1" x14ac:dyDescent="0.2">
      <c r="A35" s="15" t="s">
        <v>240</v>
      </c>
      <c r="B35" s="21">
        <v>0</v>
      </c>
      <c r="C35" s="21">
        <v>0</v>
      </c>
      <c r="D35" s="21">
        <v>0</v>
      </c>
      <c r="E35" s="21">
        <v>17</v>
      </c>
      <c r="F35" s="21">
        <v>0</v>
      </c>
      <c r="G35" s="21">
        <v>0</v>
      </c>
      <c r="H35" s="21">
        <v>0</v>
      </c>
      <c r="I35" s="21">
        <v>16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1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9</v>
      </c>
      <c r="AW35" s="21">
        <v>0</v>
      </c>
      <c r="AX35" s="21">
        <v>4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I35" s="3"/>
      <c r="BJ35" s="3"/>
      <c r="BK35" s="3"/>
      <c r="BL35" s="3"/>
      <c r="BM35" s="3"/>
      <c r="BN35" s="3"/>
      <c r="BO35" s="3"/>
    </row>
    <row r="36" spans="1:67" ht="16.5" customHeight="1" x14ac:dyDescent="0.2">
      <c r="A36" s="15" t="s">
        <v>241</v>
      </c>
      <c r="B36" s="21">
        <v>1</v>
      </c>
      <c r="C36" s="21">
        <v>0</v>
      </c>
      <c r="D36" s="21">
        <v>0</v>
      </c>
      <c r="E36" s="21">
        <v>54</v>
      </c>
      <c r="F36" s="21">
        <v>0</v>
      </c>
      <c r="G36" s="21">
        <v>0</v>
      </c>
      <c r="H36" s="21">
        <v>0</v>
      </c>
      <c r="I36" s="21">
        <v>132</v>
      </c>
      <c r="J36" s="21">
        <v>0</v>
      </c>
      <c r="K36" s="21">
        <v>0</v>
      </c>
      <c r="L36" s="21">
        <v>0</v>
      </c>
      <c r="M36" s="21">
        <v>1</v>
      </c>
      <c r="N36" s="21">
        <v>2</v>
      </c>
      <c r="O36" s="21">
        <v>0</v>
      </c>
      <c r="P36" s="21">
        <v>0</v>
      </c>
      <c r="Q36" s="21">
        <v>0</v>
      </c>
      <c r="R36" s="21">
        <v>0</v>
      </c>
      <c r="S36" s="21">
        <v>2</v>
      </c>
      <c r="T36" s="21">
        <v>1</v>
      </c>
      <c r="U36" s="21">
        <v>1</v>
      </c>
      <c r="V36" s="21">
        <v>1</v>
      </c>
      <c r="W36" s="21">
        <v>0</v>
      </c>
      <c r="X36" s="21">
        <v>0</v>
      </c>
      <c r="Y36" s="21">
        <v>1</v>
      </c>
      <c r="Z36" s="21">
        <v>0</v>
      </c>
      <c r="AA36" s="21">
        <v>0</v>
      </c>
      <c r="AB36" s="21">
        <v>1</v>
      </c>
      <c r="AC36" s="21">
        <v>1</v>
      </c>
      <c r="AD36" s="21">
        <v>1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817</v>
      </c>
      <c r="AW36" s="21">
        <v>28</v>
      </c>
      <c r="AX36" s="21">
        <v>4</v>
      </c>
      <c r="AY36" s="21">
        <v>0</v>
      </c>
      <c r="AZ36" s="21">
        <v>0</v>
      </c>
      <c r="BA36" s="21">
        <v>34</v>
      </c>
      <c r="BB36" s="21">
        <v>0</v>
      </c>
      <c r="BC36" s="21">
        <v>141</v>
      </c>
      <c r="BD36" s="21">
        <v>9</v>
      </c>
      <c r="BE36" s="21">
        <v>2</v>
      </c>
      <c r="BF36" s="21">
        <v>0</v>
      </c>
      <c r="BG36" s="21">
        <v>0</v>
      </c>
      <c r="BI36" s="3"/>
      <c r="BJ36" s="3"/>
      <c r="BK36" s="3"/>
      <c r="BL36" s="3"/>
      <c r="BM36" s="3"/>
      <c r="BN36" s="3"/>
      <c r="BO36" s="3"/>
    </row>
    <row r="37" spans="1:67" ht="16.5" customHeight="1" x14ac:dyDescent="0.2">
      <c r="A37" s="15" t="s">
        <v>242</v>
      </c>
      <c r="B37" s="21">
        <v>2</v>
      </c>
      <c r="C37" s="21">
        <v>0</v>
      </c>
      <c r="D37" s="21">
        <v>3</v>
      </c>
      <c r="E37" s="21">
        <v>9</v>
      </c>
      <c r="F37" s="21">
        <v>0</v>
      </c>
      <c r="G37" s="21">
        <v>4</v>
      </c>
      <c r="H37" s="21">
        <v>0</v>
      </c>
      <c r="I37" s="21">
        <v>19</v>
      </c>
      <c r="J37" s="21">
        <v>0</v>
      </c>
      <c r="K37" s="21">
        <v>1</v>
      </c>
      <c r="L37" s="21">
        <v>33</v>
      </c>
      <c r="M37" s="21">
        <v>17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6</v>
      </c>
      <c r="T37" s="21">
        <v>2</v>
      </c>
      <c r="U37" s="21">
        <v>0</v>
      </c>
      <c r="V37" s="21">
        <v>3</v>
      </c>
      <c r="W37" s="21">
        <v>0</v>
      </c>
      <c r="X37" s="21">
        <v>0</v>
      </c>
      <c r="Y37" s="21">
        <v>0</v>
      </c>
      <c r="Z37" s="21">
        <v>0</v>
      </c>
      <c r="AA37" s="21">
        <v>1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3</v>
      </c>
      <c r="AN37" s="21">
        <v>2</v>
      </c>
      <c r="AO37" s="21">
        <v>4</v>
      </c>
      <c r="AP37" s="21">
        <v>2</v>
      </c>
      <c r="AQ37" s="21">
        <v>4</v>
      </c>
      <c r="AR37" s="21">
        <v>0</v>
      </c>
      <c r="AS37" s="21">
        <v>0</v>
      </c>
      <c r="AT37" s="21">
        <v>0</v>
      </c>
      <c r="AU37" s="21">
        <v>0</v>
      </c>
      <c r="AV37" s="21">
        <v>91</v>
      </c>
      <c r="AW37" s="21">
        <v>8</v>
      </c>
      <c r="AX37" s="21">
        <v>7</v>
      </c>
      <c r="AY37" s="21">
        <v>0</v>
      </c>
      <c r="AZ37" s="21">
        <v>0</v>
      </c>
      <c r="BA37" s="21">
        <v>2</v>
      </c>
      <c r="BB37" s="21">
        <v>0</v>
      </c>
      <c r="BC37" s="21">
        <v>2</v>
      </c>
      <c r="BD37" s="21">
        <v>1</v>
      </c>
      <c r="BE37" s="21">
        <v>1</v>
      </c>
      <c r="BF37" s="21">
        <v>0</v>
      </c>
      <c r="BG37" s="21">
        <v>0</v>
      </c>
      <c r="BI37" s="3"/>
      <c r="BJ37" s="3"/>
      <c r="BK37" s="3"/>
      <c r="BL37" s="3"/>
      <c r="BM37" s="3"/>
      <c r="BN37" s="3"/>
      <c r="BO37" s="3"/>
    </row>
    <row r="38" spans="1:67" ht="16.5" customHeight="1" x14ac:dyDescent="0.2">
      <c r="A38" s="15" t="s">
        <v>243</v>
      </c>
      <c r="B38" s="21">
        <v>0</v>
      </c>
      <c r="C38" s="21">
        <v>0</v>
      </c>
      <c r="D38" s="21">
        <v>0</v>
      </c>
      <c r="E38" s="21">
        <v>16</v>
      </c>
      <c r="F38" s="21">
        <v>0</v>
      </c>
      <c r="G38" s="21">
        <v>0</v>
      </c>
      <c r="H38" s="21">
        <v>0</v>
      </c>
      <c r="I38" s="21">
        <v>16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2</v>
      </c>
      <c r="Z38" s="21">
        <v>0</v>
      </c>
      <c r="AA38" s="21">
        <v>2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2</v>
      </c>
      <c r="AR38" s="21">
        <v>0</v>
      </c>
      <c r="AS38" s="21">
        <v>0</v>
      </c>
      <c r="AT38" s="21">
        <v>0</v>
      </c>
      <c r="AU38" s="21">
        <v>0</v>
      </c>
      <c r="AV38" s="21">
        <v>45</v>
      </c>
      <c r="AW38" s="21">
        <v>12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2</v>
      </c>
      <c r="BD38" s="21">
        <v>1</v>
      </c>
      <c r="BE38" s="21">
        <v>0</v>
      </c>
      <c r="BF38" s="21">
        <v>1</v>
      </c>
      <c r="BG38" s="21">
        <v>0</v>
      </c>
      <c r="BI38" s="3"/>
      <c r="BJ38" s="3"/>
      <c r="BK38" s="3"/>
      <c r="BL38" s="3"/>
      <c r="BM38" s="3"/>
      <c r="BN38" s="3"/>
      <c r="BO38" s="3"/>
    </row>
    <row r="39" spans="1:67" ht="16.5" customHeight="1" x14ac:dyDescent="0.2">
      <c r="A39" s="15" t="s">
        <v>244</v>
      </c>
      <c r="B39" s="21">
        <v>0</v>
      </c>
      <c r="C39" s="21">
        <v>0</v>
      </c>
      <c r="D39" s="21">
        <v>0</v>
      </c>
      <c r="E39" s="15">
        <v>28</v>
      </c>
      <c r="F39" s="21">
        <v>0</v>
      </c>
      <c r="G39" s="21">
        <v>0</v>
      </c>
      <c r="H39" s="21">
        <v>0</v>
      </c>
      <c r="I39" s="21">
        <v>55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2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1</v>
      </c>
      <c r="Z39" s="21">
        <v>0</v>
      </c>
      <c r="AA39" s="21">
        <v>0</v>
      </c>
      <c r="AB39" s="21">
        <v>0</v>
      </c>
      <c r="AC39" s="21">
        <v>0</v>
      </c>
      <c r="AD39" s="21">
        <v>1</v>
      </c>
      <c r="AE39" s="21">
        <v>0</v>
      </c>
      <c r="AF39" s="21">
        <v>0</v>
      </c>
      <c r="AG39" s="21">
        <v>1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1</v>
      </c>
      <c r="AR39" s="21">
        <v>0</v>
      </c>
      <c r="AS39" s="21">
        <v>0</v>
      </c>
      <c r="AT39" s="21">
        <v>0</v>
      </c>
      <c r="AU39" s="21">
        <v>0</v>
      </c>
      <c r="AV39" s="21">
        <v>15</v>
      </c>
      <c r="AW39" s="21">
        <v>1</v>
      </c>
      <c r="AX39" s="21">
        <v>0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I39" s="3"/>
      <c r="BJ39" s="3"/>
      <c r="BK39" s="3"/>
      <c r="BL39" s="3"/>
      <c r="BM39" s="3"/>
      <c r="BN39" s="3"/>
      <c r="BO39" s="3"/>
    </row>
    <row r="40" spans="1:67" ht="16.5" customHeight="1" x14ac:dyDescent="0.2">
      <c r="A40" s="15" t="s">
        <v>245</v>
      </c>
      <c r="B40" s="15">
        <v>2</v>
      </c>
      <c r="C40" s="21">
        <v>0</v>
      </c>
      <c r="D40" s="21">
        <v>0</v>
      </c>
      <c r="E40" s="15">
        <v>39</v>
      </c>
      <c r="F40" s="21">
        <v>0</v>
      </c>
      <c r="G40" s="21">
        <v>0</v>
      </c>
      <c r="H40" s="21">
        <v>0</v>
      </c>
      <c r="I40" s="21">
        <v>72</v>
      </c>
      <c r="J40" s="21">
        <v>0</v>
      </c>
      <c r="K40" s="15">
        <v>1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1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3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15">
        <v>42</v>
      </c>
      <c r="AW40" s="15">
        <v>20</v>
      </c>
      <c r="AX40" s="15">
        <v>26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1</v>
      </c>
      <c r="BG40" s="21">
        <v>0</v>
      </c>
      <c r="BI40" s="3"/>
      <c r="BJ40" s="3"/>
      <c r="BK40" s="3"/>
      <c r="BL40" s="3"/>
      <c r="BM40" s="3"/>
      <c r="BN40" s="3"/>
      <c r="BO40" s="3"/>
    </row>
    <row r="41" spans="1:67" ht="16.5" customHeight="1" x14ac:dyDescent="0.2">
      <c r="A41" s="15" t="s">
        <v>246</v>
      </c>
      <c r="B41" s="21">
        <v>1</v>
      </c>
      <c r="C41" s="21">
        <v>0</v>
      </c>
      <c r="D41" s="21">
        <v>0</v>
      </c>
      <c r="E41" s="15">
        <v>50</v>
      </c>
      <c r="F41" s="21">
        <v>0</v>
      </c>
      <c r="G41" s="21">
        <v>0</v>
      </c>
      <c r="H41" s="21">
        <v>0</v>
      </c>
      <c r="I41" s="21">
        <v>70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1</v>
      </c>
      <c r="P41" s="21">
        <v>1</v>
      </c>
      <c r="Q41" s="21">
        <v>1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2</v>
      </c>
      <c r="AN41" s="21">
        <v>0</v>
      </c>
      <c r="AO41" s="21">
        <v>0</v>
      </c>
      <c r="AP41" s="21">
        <v>0</v>
      </c>
      <c r="AQ41" s="21">
        <v>0</v>
      </c>
      <c r="AR41" s="21">
        <v>4</v>
      </c>
      <c r="AS41" s="21">
        <v>1</v>
      </c>
      <c r="AT41" s="21">
        <v>1</v>
      </c>
      <c r="AU41" s="21">
        <v>0</v>
      </c>
      <c r="AV41" s="21">
        <v>28</v>
      </c>
      <c r="AW41" s="21">
        <v>14</v>
      </c>
      <c r="AX41" s="21">
        <v>4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I41" s="3"/>
      <c r="BJ41" s="3"/>
      <c r="BK41" s="3"/>
      <c r="BL41" s="3"/>
      <c r="BM41" s="3"/>
      <c r="BN41" s="3"/>
      <c r="BO41" s="3"/>
    </row>
    <row r="42" spans="1:67" ht="16.5" customHeight="1" x14ac:dyDescent="0.2">
      <c r="A42" s="15" t="s">
        <v>247</v>
      </c>
      <c r="B42" s="21">
        <v>1</v>
      </c>
      <c r="C42" s="21">
        <v>0</v>
      </c>
      <c r="D42" s="21">
        <v>0</v>
      </c>
      <c r="E42" s="15">
        <v>22</v>
      </c>
      <c r="F42" s="21">
        <v>0</v>
      </c>
      <c r="G42" s="21">
        <v>0</v>
      </c>
      <c r="H42" s="21">
        <v>0</v>
      </c>
      <c r="I42" s="21">
        <v>4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6</v>
      </c>
      <c r="AW42" s="21">
        <v>0</v>
      </c>
      <c r="AX42" s="21">
        <v>2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I42" s="3"/>
      <c r="BJ42" s="3"/>
      <c r="BK42" s="3"/>
      <c r="BL42" s="3"/>
      <c r="BM42" s="3"/>
      <c r="BN42" s="3"/>
      <c r="BO42" s="3"/>
    </row>
    <row r="43" spans="1:67" ht="16.5" customHeight="1" x14ac:dyDescent="0.2">
      <c r="A43" s="15" t="s">
        <v>248</v>
      </c>
      <c r="B43" s="21">
        <v>0</v>
      </c>
      <c r="C43" s="21">
        <v>0</v>
      </c>
      <c r="D43" s="21">
        <v>0</v>
      </c>
      <c r="E43" s="15">
        <v>13</v>
      </c>
      <c r="F43" s="21">
        <v>0</v>
      </c>
      <c r="G43" s="21">
        <v>0</v>
      </c>
      <c r="H43" s="21">
        <v>0</v>
      </c>
      <c r="I43" s="21">
        <v>15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3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5</v>
      </c>
      <c r="AW43" s="21">
        <v>0</v>
      </c>
      <c r="AX43" s="21">
        <v>0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I43" s="3"/>
      <c r="BJ43" s="3"/>
      <c r="BK43" s="3"/>
      <c r="BL43" s="3"/>
      <c r="BM43" s="3"/>
      <c r="BN43" s="3"/>
      <c r="BO43" s="3"/>
    </row>
    <row r="44" spans="1:67" ht="16.5" customHeight="1" x14ac:dyDescent="0.2">
      <c r="A44" s="15" t="s">
        <v>249</v>
      </c>
      <c r="B44" s="21">
        <v>2</v>
      </c>
      <c r="C44" s="21">
        <v>0</v>
      </c>
      <c r="D44" s="21">
        <v>0</v>
      </c>
      <c r="E44" s="15">
        <v>12</v>
      </c>
      <c r="F44" s="21">
        <v>0</v>
      </c>
      <c r="G44" s="21">
        <v>3</v>
      </c>
      <c r="H44" s="21">
        <v>0</v>
      </c>
      <c r="I44" s="21">
        <v>4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2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2</v>
      </c>
      <c r="AW44" s="21">
        <v>0</v>
      </c>
      <c r="AX44" s="21">
        <v>1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I44" s="3"/>
      <c r="BJ44" s="3"/>
      <c r="BK44" s="3"/>
      <c r="BL44" s="3"/>
      <c r="BM44" s="3"/>
      <c r="BN44" s="3"/>
      <c r="BO44" s="3"/>
    </row>
    <row r="45" spans="1:67" ht="16.5" customHeight="1" x14ac:dyDescent="0.2">
      <c r="A45" s="15" t="s">
        <v>250</v>
      </c>
      <c r="B45" s="21">
        <v>0</v>
      </c>
      <c r="C45" s="21">
        <v>0</v>
      </c>
      <c r="D45" s="21">
        <v>0</v>
      </c>
      <c r="E45" s="15">
        <v>15</v>
      </c>
      <c r="F45" s="21">
        <v>0</v>
      </c>
      <c r="G45" s="21">
        <v>1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1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I45" s="3"/>
      <c r="BJ45" s="3"/>
      <c r="BK45" s="3"/>
      <c r="BL45" s="3"/>
      <c r="BM45" s="3"/>
      <c r="BN45" s="3"/>
      <c r="BO45" s="3"/>
    </row>
    <row r="46" spans="1:67" ht="16.5" customHeight="1" x14ac:dyDescent="0.2">
      <c r="A46" s="15" t="s">
        <v>251</v>
      </c>
      <c r="B46" s="21">
        <v>0</v>
      </c>
      <c r="C46" s="21">
        <v>2</v>
      </c>
      <c r="D46" s="21">
        <v>0</v>
      </c>
      <c r="E46" s="15">
        <v>62</v>
      </c>
      <c r="F46" s="21">
        <v>0</v>
      </c>
      <c r="G46" s="21">
        <v>0</v>
      </c>
      <c r="H46" s="21">
        <v>0</v>
      </c>
      <c r="I46" s="21">
        <v>1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I46" s="3"/>
      <c r="BJ46" s="3"/>
      <c r="BK46" s="3"/>
      <c r="BL46" s="3"/>
      <c r="BM46" s="3"/>
      <c r="BN46" s="3"/>
      <c r="BO46" s="3"/>
    </row>
    <row r="47" spans="1:67" ht="16.5" customHeight="1" x14ac:dyDescent="0.2">
      <c r="A47" s="15" t="s">
        <v>252</v>
      </c>
      <c r="B47" s="21">
        <v>0</v>
      </c>
      <c r="C47" s="21">
        <v>0</v>
      </c>
      <c r="D47" s="21">
        <v>0</v>
      </c>
      <c r="E47" s="15">
        <v>75</v>
      </c>
      <c r="F47" s="21">
        <v>0</v>
      </c>
      <c r="G47" s="21">
        <v>0</v>
      </c>
      <c r="H47" s="21">
        <v>0</v>
      </c>
      <c r="I47" s="21">
        <v>2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1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I47" s="3"/>
      <c r="BJ47" s="3"/>
      <c r="BK47" s="3"/>
      <c r="BL47" s="3"/>
      <c r="BM47" s="3"/>
      <c r="BN47" s="3"/>
      <c r="BO47" s="3"/>
    </row>
    <row r="48" spans="1:67" ht="16.5" customHeight="1" x14ac:dyDescent="0.2">
      <c r="A48" s="15" t="s">
        <v>253</v>
      </c>
      <c r="B48" s="21">
        <v>0</v>
      </c>
      <c r="C48" s="21">
        <v>0</v>
      </c>
      <c r="D48" s="21">
        <v>0</v>
      </c>
      <c r="E48" s="21">
        <v>103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1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1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2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I48" s="3"/>
      <c r="BJ48" s="3"/>
      <c r="BK48" s="3"/>
      <c r="BL48" s="3"/>
      <c r="BM48" s="3"/>
      <c r="BN48" s="3"/>
      <c r="BO48" s="3"/>
    </row>
    <row r="49" spans="1:100" ht="16.5" customHeight="1" x14ac:dyDescent="0.2">
      <c r="A49" s="15" t="s">
        <v>254</v>
      </c>
      <c r="B49" s="21">
        <v>0</v>
      </c>
      <c r="C49" s="21">
        <v>0</v>
      </c>
      <c r="D49" s="21">
        <v>0</v>
      </c>
      <c r="E49" s="21">
        <v>32</v>
      </c>
      <c r="F49" s="21">
        <v>0</v>
      </c>
      <c r="G49" s="21">
        <v>0</v>
      </c>
      <c r="H49" s="21">
        <v>0</v>
      </c>
      <c r="I49" s="21">
        <v>1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1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2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1</v>
      </c>
      <c r="AW49" s="21">
        <v>1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I49" s="3"/>
      <c r="BJ49" s="3"/>
      <c r="BK49" s="3"/>
      <c r="BL49" s="3"/>
      <c r="BM49" s="3"/>
      <c r="BN49" s="3"/>
      <c r="BO49" s="3"/>
    </row>
    <row r="50" spans="1:100" ht="16.5" customHeight="1" x14ac:dyDescent="0.2">
      <c r="A50" s="15" t="s">
        <v>255</v>
      </c>
      <c r="B50" s="21">
        <v>0</v>
      </c>
      <c r="C50" s="21">
        <v>2</v>
      </c>
      <c r="D50" s="21">
        <v>0</v>
      </c>
      <c r="E50" s="21">
        <v>38</v>
      </c>
      <c r="F50" s="21">
        <v>0</v>
      </c>
      <c r="G50" s="21">
        <v>0</v>
      </c>
      <c r="H50" s="21">
        <v>0</v>
      </c>
      <c r="I50" s="21">
        <v>5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2</v>
      </c>
      <c r="AW50" s="21">
        <v>0</v>
      </c>
      <c r="AX50" s="21">
        <v>1</v>
      </c>
      <c r="AY50" s="21">
        <v>2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I50" s="3"/>
      <c r="BJ50" s="3"/>
      <c r="BK50" s="3"/>
      <c r="BL50" s="3"/>
      <c r="BM50" s="3"/>
      <c r="BN50" s="3"/>
      <c r="BO50" s="3"/>
    </row>
    <row r="51" spans="1:100" ht="16.5" customHeight="1" x14ac:dyDescent="0.2">
      <c r="A51" s="15" t="s">
        <v>256</v>
      </c>
      <c r="B51" s="21">
        <v>1</v>
      </c>
      <c r="C51" s="4">
        <v>0</v>
      </c>
      <c r="D51" s="4">
        <v>0</v>
      </c>
      <c r="E51" s="21">
        <v>75</v>
      </c>
      <c r="F51" s="4">
        <v>0</v>
      </c>
      <c r="G51" s="4">
        <v>0</v>
      </c>
      <c r="H51" s="4">
        <v>0</v>
      </c>
      <c r="I51" s="21">
        <v>24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21">
        <v>2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23"/>
      <c r="BI51" s="4"/>
      <c r="BJ51" s="4"/>
      <c r="BK51" s="4"/>
      <c r="BL51" s="4"/>
      <c r="BM51" s="4"/>
      <c r="BN51" s="4"/>
      <c r="BO51" s="4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</row>
    <row r="52" spans="1:100" ht="16.5" customHeight="1" x14ac:dyDescent="0.2">
      <c r="A52" s="15" t="s">
        <v>257</v>
      </c>
      <c r="B52" s="4">
        <v>0</v>
      </c>
      <c r="C52" s="4">
        <v>0</v>
      </c>
      <c r="D52" s="4">
        <v>0</v>
      </c>
      <c r="E52" s="21">
        <v>65</v>
      </c>
      <c r="F52" s="4">
        <v>0</v>
      </c>
      <c r="G52" s="4">
        <v>0</v>
      </c>
      <c r="H52" s="4">
        <v>0</v>
      </c>
      <c r="I52" s="21">
        <v>8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21">
        <v>7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23"/>
      <c r="BI52" s="4"/>
      <c r="BJ52" s="4"/>
      <c r="BK52" s="4"/>
      <c r="BL52" s="4"/>
      <c r="BM52" s="4"/>
      <c r="BN52" s="4"/>
      <c r="BO52" s="4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</row>
    <row r="53" spans="1:100" ht="16.5" customHeight="1" x14ac:dyDescent="0.2">
      <c r="A53" s="15" t="s">
        <v>258</v>
      </c>
      <c r="B53" s="4">
        <v>0</v>
      </c>
      <c r="C53" s="4">
        <v>0</v>
      </c>
      <c r="D53" s="4">
        <v>0</v>
      </c>
      <c r="E53" s="21">
        <v>110</v>
      </c>
      <c r="F53" s="4">
        <v>0</v>
      </c>
      <c r="G53" s="4">
        <v>0</v>
      </c>
      <c r="H53" s="4">
        <v>0</v>
      </c>
      <c r="I53" s="21">
        <v>50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21">
        <v>2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21">
        <v>18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23"/>
      <c r="BI53" s="4"/>
      <c r="BJ53" s="4"/>
      <c r="BK53" s="4"/>
      <c r="BL53" s="4"/>
      <c r="BM53" s="4"/>
      <c r="BN53" s="4"/>
      <c r="BO53" s="4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</row>
    <row r="54" spans="1:100" ht="16.5" customHeight="1" x14ac:dyDescent="0.2">
      <c r="A54" s="15" t="s">
        <v>259</v>
      </c>
      <c r="B54" s="21">
        <v>3</v>
      </c>
      <c r="C54" s="4">
        <v>0</v>
      </c>
      <c r="D54" s="4">
        <v>0</v>
      </c>
      <c r="E54" s="21">
        <v>67</v>
      </c>
      <c r="F54" s="4">
        <v>0</v>
      </c>
      <c r="G54" s="4">
        <v>0</v>
      </c>
      <c r="H54" s="4">
        <v>0</v>
      </c>
      <c r="I54" s="21">
        <v>2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21">
        <v>1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21">
        <v>8</v>
      </c>
      <c r="AW54" s="4">
        <v>0</v>
      </c>
      <c r="AX54" s="21">
        <v>1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23"/>
      <c r="BI54" s="4"/>
      <c r="BJ54" s="4"/>
      <c r="BK54" s="4"/>
      <c r="BL54" s="4"/>
      <c r="BM54" s="4"/>
      <c r="BN54" s="4"/>
      <c r="BO54" s="4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</row>
    <row r="55" spans="1:100" ht="16.5" customHeight="1" x14ac:dyDescent="0.2">
      <c r="A55" s="15" t="s">
        <v>260</v>
      </c>
      <c r="B55" s="21">
        <v>1</v>
      </c>
      <c r="C55" s="4">
        <v>0</v>
      </c>
      <c r="D55" s="4">
        <v>0</v>
      </c>
      <c r="E55" s="21">
        <v>65</v>
      </c>
      <c r="F55" s="4">
        <v>0</v>
      </c>
      <c r="G55" s="4">
        <v>0</v>
      </c>
      <c r="H55" s="4">
        <v>0</v>
      </c>
      <c r="I55" s="21">
        <v>5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21">
        <v>1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23"/>
      <c r="BI55" s="4"/>
      <c r="BJ55" s="4"/>
      <c r="BK55" s="4"/>
      <c r="BL55" s="4"/>
      <c r="BM55" s="4"/>
      <c r="BN55" s="4"/>
      <c r="BO55" s="4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</row>
    <row r="56" spans="1:100" ht="16.5" customHeight="1" x14ac:dyDescent="0.2">
      <c r="A56" s="15" t="s">
        <v>261</v>
      </c>
      <c r="B56" s="4">
        <v>0</v>
      </c>
      <c r="C56" s="4">
        <v>0</v>
      </c>
      <c r="D56" s="4">
        <v>0</v>
      </c>
      <c r="E56" s="21">
        <v>67</v>
      </c>
      <c r="F56" s="4">
        <v>0</v>
      </c>
      <c r="G56" s="4">
        <v>0</v>
      </c>
      <c r="H56" s="4">
        <v>0</v>
      </c>
      <c r="I56" s="21">
        <v>2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21">
        <v>1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21">
        <v>1</v>
      </c>
      <c r="BE56" s="4">
        <v>0</v>
      </c>
      <c r="BF56" s="4">
        <v>0</v>
      </c>
      <c r="BG56" s="4">
        <v>0</v>
      </c>
      <c r="BH56" s="23"/>
      <c r="BI56" s="4"/>
      <c r="BJ56" s="4"/>
      <c r="BK56" s="4"/>
      <c r="BL56" s="4"/>
      <c r="BM56" s="4"/>
      <c r="BN56" s="4"/>
      <c r="BO56" s="4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</row>
    <row r="57" spans="1:100" ht="16.5" customHeight="1" x14ac:dyDescent="0.2">
      <c r="A57" s="15" t="s">
        <v>262</v>
      </c>
      <c r="B57" s="21">
        <v>1</v>
      </c>
      <c r="C57" s="4">
        <v>0</v>
      </c>
      <c r="D57" s="4">
        <v>0</v>
      </c>
      <c r="E57" s="21">
        <v>105</v>
      </c>
      <c r="F57" s="4">
        <v>0</v>
      </c>
      <c r="G57" s="4">
        <v>0</v>
      </c>
      <c r="H57" s="4">
        <v>0</v>
      </c>
      <c r="I57" s="21">
        <v>6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21">
        <v>7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23"/>
      <c r="BI57" s="4"/>
      <c r="BJ57" s="4"/>
      <c r="BK57" s="4"/>
      <c r="BL57" s="4"/>
      <c r="BM57" s="4"/>
      <c r="BN57" s="4"/>
      <c r="BO57" s="4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</row>
    <row r="58" spans="1:100" ht="16.5" customHeight="1" x14ac:dyDescent="0.2">
      <c r="A58" s="15" t="s">
        <v>263</v>
      </c>
      <c r="B58" s="21">
        <v>1</v>
      </c>
      <c r="C58" s="4">
        <v>0</v>
      </c>
      <c r="D58" s="4">
        <v>0</v>
      </c>
      <c r="E58" s="21">
        <v>57</v>
      </c>
      <c r="F58" s="4">
        <v>0</v>
      </c>
      <c r="G58" s="4">
        <v>0</v>
      </c>
      <c r="H58" s="4">
        <v>0</v>
      </c>
      <c r="I58" s="21">
        <v>5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21">
        <v>6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23"/>
      <c r="BI58" s="4"/>
      <c r="BJ58" s="4"/>
      <c r="BK58" s="4"/>
      <c r="BL58" s="4"/>
      <c r="BM58" s="4"/>
      <c r="BN58" s="4"/>
      <c r="BO58" s="4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</row>
    <row r="59" spans="1:100" ht="16.5" customHeight="1" x14ac:dyDescent="0.2">
      <c r="A59" s="15" t="s">
        <v>264</v>
      </c>
      <c r="B59" s="4">
        <v>0</v>
      </c>
      <c r="C59" s="4">
        <v>0</v>
      </c>
      <c r="D59" s="4">
        <v>0</v>
      </c>
      <c r="E59" s="21">
        <v>67</v>
      </c>
      <c r="F59" s="4">
        <v>0</v>
      </c>
      <c r="G59" s="4">
        <v>0</v>
      </c>
      <c r="H59" s="4">
        <v>0</v>
      </c>
      <c r="I59" s="21">
        <v>3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21">
        <v>7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23"/>
      <c r="BI59" s="4"/>
      <c r="BJ59" s="4"/>
      <c r="BK59" s="4"/>
      <c r="BL59" s="4"/>
      <c r="BM59" s="4"/>
      <c r="BN59" s="4"/>
      <c r="BO59" s="4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</row>
    <row r="60" spans="1:100" ht="16.5" customHeight="1" x14ac:dyDescent="0.25">
      <c r="A60" s="15" t="s">
        <v>265</v>
      </c>
      <c r="B60" s="4">
        <v>634</v>
      </c>
      <c r="C60" s="4">
        <v>127</v>
      </c>
      <c r="D60" s="4">
        <v>47</v>
      </c>
      <c r="E60" s="23">
        <v>187</v>
      </c>
      <c r="F60" s="4">
        <v>0</v>
      </c>
      <c r="G60" s="4">
        <v>0</v>
      </c>
      <c r="H60" s="4">
        <v>0</v>
      </c>
      <c r="I60" s="24">
        <v>1410</v>
      </c>
      <c r="J60" s="4">
        <v>343</v>
      </c>
      <c r="K60" s="4">
        <v>0</v>
      </c>
      <c r="L60" s="4">
        <v>10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6</v>
      </c>
      <c r="T60" s="4">
        <v>1</v>
      </c>
      <c r="U60" s="4">
        <v>0</v>
      </c>
      <c r="V60" s="4">
        <v>1</v>
      </c>
      <c r="W60" s="4">
        <v>0</v>
      </c>
      <c r="X60" s="4">
        <v>0</v>
      </c>
      <c r="Y60" s="4">
        <v>52</v>
      </c>
      <c r="Z60" s="4">
        <v>1</v>
      </c>
      <c r="AA60" s="4">
        <v>1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1</v>
      </c>
      <c r="AK60" s="4">
        <v>3</v>
      </c>
      <c r="AL60" s="4">
        <v>62</v>
      </c>
      <c r="AM60" s="4">
        <v>20</v>
      </c>
      <c r="AN60" s="4">
        <v>25</v>
      </c>
      <c r="AO60" s="4">
        <v>2</v>
      </c>
      <c r="AP60" s="4">
        <v>30</v>
      </c>
      <c r="AQ60" s="4">
        <v>12</v>
      </c>
      <c r="AR60" s="4">
        <v>1</v>
      </c>
      <c r="AS60" s="4">
        <v>0</v>
      </c>
      <c r="AT60" s="4">
        <v>0</v>
      </c>
      <c r="AU60" s="4">
        <v>0</v>
      </c>
      <c r="AV60" s="4">
        <v>249</v>
      </c>
      <c r="AW60" s="4">
        <v>0</v>
      </c>
      <c r="AX60" s="4">
        <v>110</v>
      </c>
      <c r="AY60" s="4">
        <v>0</v>
      </c>
      <c r="AZ60" s="4">
        <v>0</v>
      </c>
      <c r="BA60" s="4">
        <v>1</v>
      </c>
      <c r="BB60" s="4">
        <v>0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/>
      <c r="BI60" s="4"/>
      <c r="BJ60" s="4"/>
      <c r="BK60" s="4"/>
      <c r="BL60" s="4"/>
      <c r="BM60" s="4"/>
      <c r="BN60" s="4"/>
      <c r="BO60" s="4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</row>
    <row r="61" spans="1:100" ht="16.5" customHeight="1" x14ac:dyDescent="0.2">
      <c r="A61" s="15" t="s">
        <v>266</v>
      </c>
      <c r="B61" s="4">
        <v>158</v>
      </c>
      <c r="C61" s="4">
        <v>31</v>
      </c>
      <c r="D61" s="4">
        <v>10</v>
      </c>
      <c r="E61" s="23">
        <v>197</v>
      </c>
      <c r="F61" s="4">
        <v>1</v>
      </c>
      <c r="G61" s="4">
        <v>0</v>
      </c>
      <c r="H61" s="4">
        <v>0</v>
      </c>
      <c r="I61" s="4">
        <v>407</v>
      </c>
      <c r="J61" s="4">
        <v>136</v>
      </c>
      <c r="K61" s="4">
        <v>0</v>
      </c>
      <c r="L61" s="4">
        <v>3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0</v>
      </c>
      <c r="Y61" s="4">
        <v>20</v>
      </c>
      <c r="Z61" s="4">
        <v>1</v>
      </c>
      <c r="AA61" s="4">
        <v>1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4</v>
      </c>
      <c r="AK61" s="4">
        <v>0</v>
      </c>
      <c r="AL61" s="4">
        <v>24</v>
      </c>
      <c r="AM61" s="4">
        <v>3</v>
      </c>
      <c r="AN61" s="25">
        <v>0</v>
      </c>
      <c r="AO61" s="4">
        <v>1</v>
      </c>
      <c r="AP61" s="4">
        <v>4</v>
      </c>
      <c r="AQ61" s="25">
        <v>0</v>
      </c>
      <c r="AR61" s="4">
        <v>3</v>
      </c>
      <c r="AS61" s="4">
        <v>0</v>
      </c>
      <c r="AT61" s="4">
        <v>0</v>
      </c>
      <c r="AU61" s="4">
        <v>0</v>
      </c>
      <c r="AV61" s="4">
        <v>218</v>
      </c>
      <c r="AW61" s="4">
        <v>0</v>
      </c>
      <c r="AX61" s="4">
        <v>2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/>
      <c r="BI61" s="4"/>
      <c r="BJ61" s="4"/>
      <c r="BK61" s="4"/>
      <c r="BL61" s="4"/>
      <c r="BM61" s="4"/>
      <c r="BN61" s="4"/>
      <c r="BO61" s="4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</row>
    <row r="62" spans="1:100" ht="16.5" customHeight="1" x14ac:dyDescent="0.2">
      <c r="A62" s="15" t="s">
        <v>267</v>
      </c>
      <c r="B62" s="4">
        <v>1</v>
      </c>
      <c r="C62" s="4">
        <v>0</v>
      </c>
      <c r="D62" s="4">
        <v>0</v>
      </c>
      <c r="E62" s="23">
        <v>126</v>
      </c>
      <c r="F62" s="4">
        <v>0</v>
      </c>
      <c r="G62" s="4">
        <v>0</v>
      </c>
      <c r="H62" s="4">
        <v>0</v>
      </c>
      <c r="I62" s="4">
        <v>5</v>
      </c>
      <c r="J62" s="4">
        <v>0</v>
      </c>
      <c r="K62" s="4">
        <v>0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2</v>
      </c>
      <c r="U62" s="4">
        <v>0</v>
      </c>
      <c r="V62" s="4">
        <v>0</v>
      </c>
      <c r="W62" s="4">
        <v>0</v>
      </c>
      <c r="X62" s="4">
        <v>0</v>
      </c>
      <c r="Y62" s="4">
        <v>2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8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/>
      <c r="BI62" s="4"/>
      <c r="BJ62" s="4"/>
      <c r="BK62" s="4"/>
      <c r="BL62" s="4"/>
      <c r="BM62" s="4"/>
      <c r="BN62" s="4"/>
      <c r="BO62" s="4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</row>
    <row r="63" spans="1:100" ht="16.5" customHeight="1" x14ac:dyDescent="0.2">
      <c r="A63" s="15" t="s">
        <v>268</v>
      </c>
      <c r="B63" s="4">
        <v>0</v>
      </c>
      <c r="C63" s="4">
        <v>0</v>
      </c>
      <c r="D63" s="4">
        <v>0</v>
      </c>
      <c r="E63" s="23">
        <v>74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1</v>
      </c>
      <c r="BE63" s="4">
        <v>0</v>
      </c>
      <c r="BF63" s="4">
        <v>0</v>
      </c>
      <c r="BG63" s="4">
        <v>0</v>
      </c>
      <c r="BH63" s="4"/>
      <c r="BI63" s="4"/>
      <c r="BJ63" s="4"/>
      <c r="BK63" s="4"/>
      <c r="BL63" s="4"/>
      <c r="BM63" s="4"/>
      <c r="BN63" s="4"/>
      <c r="BO63" s="4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</row>
    <row r="64" spans="1:100" ht="16.5" customHeight="1" x14ac:dyDescent="0.2">
      <c r="A64" s="15" t="s">
        <v>269</v>
      </c>
      <c r="B64" s="4">
        <v>1</v>
      </c>
      <c r="C64" s="4">
        <v>0</v>
      </c>
      <c r="D64" s="4">
        <v>0</v>
      </c>
      <c r="E64" s="23">
        <v>78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2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1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/>
      <c r="BI64" s="4"/>
      <c r="BJ64" s="4"/>
      <c r="BK64" s="4"/>
      <c r="BL64" s="4"/>
      <c r="BM64" s="4"/>
      <c r="BN64" s="4"/>
      <c r="BO64" s="4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</row>
    <row r="65" spans="1:100" ht="16.5" customHeight="1" x14ac:dyDescent="0.2">
      <c r="A65" s="15" t="s">
        <v>270</v>
      </c>
      <c r="B65" s="4">
        <v>1</v>
      </c>
      <c r="C65" s="4">
        <v>2</v>
      </c>
      <c r="D65" s="4">
        <v>0</v>
      </c>
      <c r="E65" s="23">
        <v>149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5</v>
      </c>
      <c r="AW65" s="4">
        <v>0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/>
      <c r="BI65" s="4"/>
      <c r="BJ65" s="4"/>
      <c r="BK65" s="4"/>
      <c r="BL65" s="4"/>
      <c r="BM65" s="4"/>
      <c r="BN65" s="4"/>
      <c r="BO65" s="4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</row>
    <row r="66" spans="1:100" ht="16.5" customHeight="1" x14ac:dyDescent="0.2">
      <c r="A66" s="15" t="s">
        <v>271</v>
      </c>
      <c r="B66" s="4">
        <v>7</v>
      </c>
      <c r="C66" s="4">
        <v>0</v>
      </c>
      <c r="D66" s="4">
        <v>0</v>
      </c>
      <c r="E66" s="23">
        <v>105</v>
      </c>
      <c r="F66" s="4">
        <v>0</v>
      </c>
      <c r="G66" s="4">
        <v>0</v>
      </c>
      <c r="H66" s="4">
        <v>0</v>
      </c>
      <c r="I66" s="4">
        <v>2</v>
      </c>
      <c r="J66" s="4">
        <v>1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0</v>
      </c>
      <c r="Z66" s="4">
        <v>1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9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/>
      <c r="BI66" s="4"/>
      <c r="BJ66" s="4"/>
      <c r="BK66" s="4"/>
      <c r="BL66" s="4"/>
      <c r="BM66" s="4"/>
      <c r="BN66" s="4"/>
      <c r="BO66" s="4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</row>
    <row r="67" spans="1:100" ht="16.5" customHeight="1" x14ac:dyDescent="0.2">
      <c r="A67" s="15" t="s">
        <v>272</v>
      </c>
      <c r="B67" s="4">
        <v>11</v>
      </c>
      <c r="C67" s="4">
        <v>1</v>
      </c>
      <c r="D67" s="4">
        <v>2</v>
      </c>
      <c r="E67" s="23">
        <v>116</v>
      </c>
      <c r="F67" s="4">
        <v>0</v>
      </c>
      <c r="G67" s="4">
        <v>1</v>
      </c>
      <c r="H67" s="4">
        <v>0</v>
      </c>
      <c r="I67" s="4">
        <v>8</v>
      </c>
      <c r="J67" s="4">
        <v>10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5</v>
      </c>
      <c r="R67" s="4">
        <v>0</v>
      </c>
      <c r="S67" s="4">
        <v>0</v>
      </c>
      <c r="T67" s="4">
        <v>0</v>
      </c>
      <c r="U67" s="4">
        <v>1</v>
      </c>
      <c r="V67" s="4">
        <v>3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7</v>
      </c>
      <c r="AW67" s="4">
        <v>0</v>
      </c>
      <c r="AX67" s="4">
        <v>0</v>
      </c>
      <c r="AY67" s="4">
        <v>35</v>
      </c>
      <c r="AZ67" s="4">
        <v>0</v>
      </c>
      <c r="BA67" s="4">
        <v>0</v>
      </c>
      <c r="BB67" s="4">
        <v>0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/>
      <c r="BI67" s="4"/>
      <c r="BJ67" s="4"/>
      <c r="BK67" s="4"/>
      <c r="BL67" s="4"/>
      <c r="BM67" s="4"/>
      <c r="BN67" s="4"/>
      <c r="BO67" s="4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</row>
    <row r="68" spans="1:100" ht="16.5" customHeight="1" x14ac:dyDescent="0.2">
      <c r="A68" s="15" t="s">
        <v>273</v>
      </c>
      <c r="B68" s="4">
        <v>36</v>
      </c>
      <c r="C68" s="4">
        <v>8</v>
      </c>
      <c r="D68" s="4">
        <v>5</v>
      </c>
      <c r="E68" s="23">
        <v>220</v>
      </c>
      <c r="F68" s="4">
        <v>2</v>
      </c>
      <c r="G68" s="4">
        <v>7</v>
      </c>
      <c r="H68" s="4">
        <v>0</v>
      </c>
      <c r="I68" s="4">
        <v>70</v>
      </c>
      <c r="J68" s="4">
        <v>13</v>
      </c>
      <c r="K68" s="4">
        <v>0</v>
      </c>
      <c r="L68" s="4">
        <v>10</v>
      </c>
      <c r="M68" s="4">
        <v>0</v>
      </c>
      <c r="N68" s="4">
        <v>0</v>
      </c>
      <c r="O68" s="4">
        <v>0</v>
      </c>
      <c r="P68" s="4">
        <v>0</v>
      </c>
      <c r="Q68" s="4">
        <v>10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6</v>
      </c>
      <c r="Z68" s="4">
        <v>2</v>
      </c>
      <c r="AA68" s="4">
        <v>2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4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107</v>
      </c>
      <c r="AW68" s="4">
        <v>0</v>
      </c>
      <c r="AX68" s="4">
        <v>1</v>
      </c>
      <c r="AY68" s="4">
        <v>129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1</v>
      </c>
      <c r="BG68" s="4">
        <v>0</v>
      </c>
      <c r="BH68" s="4"/>
      <c r="BI68" s="4"/>
      <c r="BJ68" s="4"/>
      <c r="BK68" s="4"/>
      <c r="BL68" s="4"/>
      <c r="BM68" s="4"/>
      <c r="BN68" s="4"/>
      <c r="BO68" s="4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</row>
    <row r="69" spans="1:100" ht="16.5" customHeight="1" x14ac:dyDescent="0.2">
      <c r="A69" s="15" t="s">
        <v>274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/>
      <c r="BI69" s="4"/>
      <c r="BJ69" s="4"/>
      <c r="BK69" s="4"/>
      <c r="BL69" s="4"/>
      <c r="BM69" s="4"/>
      <c r="BN69" s="4"/>
      <c r="BO69" s="4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</row>
    <row r="70" spans="1:100" ht="16.5" customHeight="1" x14ac:dyDescent="0.2">
      <c r="A70" s="15" t="s">
        <v>275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/>
      <c r="BI70" s="4"/>
      <c r="BJ70" s="4"/>
      <c r="BK70" s="4"/>
      <c r="BL70" s="4"/>
      <c r="BM70" s="4"/>
      <c r="BN70" s="4"/>
      <c r="BO70" s="4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</row>
    <row r="71" spans="1:100" ht="16.5" customHeight="1" x14ac:dyDescent="0.2">
      <c r="A71" s="15" t="s">
        <v>276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/>
      <c r="BI71" s="4"/>
      <c r="BJ71" s="4"/>
      <c r="BK71" s="4"/>
      <c r="BL71" s="4"/>
      <c r="BM71" s="4"/>
      <c r="BN71" s="4"/>
      <c r="BO71" s="4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</row>
    <row r="72" spans="1:100" ht="16.5" customHeight="1" x14ac:dyDescent="0.2">
      <c r="A72" s="15" t="s">
        <v>277</v>
      </c>
      <c r="B72" s="4">
        <v>3</v>
      </c>
      <c r="C72" s="4">
        <v>0</v>
      </c>
      <c r="D72" s="4">
        <v>0</v>
      </c>
      <c r="E72" s="23">
        <v>131</v>
      </c>
      <c r="F72" s="4">
        <v>0</v>
      </c>
      <c r="G72" s="4">
        <v>0</v>
      </c>
      <c r="H72" s="4">
        <v>0</v>
      </c>
      <c r="I72" s="4">
        <v>10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2</v>
      </c>
      <c r="AA72" s="4">
        <v>3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4</v>
      </c>
      <c r="AW72" s="4">
        <v>0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/>
      <c r="BI72" s="4"/>
      <c r="BJ72" s="4"/>
      <c r="BK72" s="4"/>
      <c r="BL72" s="4"/>
      <c r="BM72" s="4"/>
      <c r="BN72" s="4"/>
      <c r="BO72" s="4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</row>
    <row r="73" spans="1:100" ht="16.5" customHeight="1" x14ac:dyDescent="0.2">
      <c r="A73" s="15" t="s">
        <v>278</v>
      </c>
      <c r="B73" s="4">
        <v>2</v>
      </c>
      <c r="C73" s="4">
        <v>0</v>
      </c>
      <c r="D73" s="4">
        <v>0</v>
      </c>
      <c r="E73" s="23">
        <v>209</v>
      </c>
      <c r="F73" s="4">
        <v>0</v>
      </c>
      <c r="G73" s="4">
        <v>0</v>
      </c>
      <c r="H73" s="4">
        <v>0</v>
      </c>
      <c r="I73" s="4">
        <v>3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7</v>
      </c>
      <c r="AW73" s="4">
        <v>0</v>
      </c>
      <c r="AX73" s="4">
        <v>0</v>
      </c>
      <c r="AY73" s="4">
        <v>1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/>
      <c r="BI73" s="4"/>
      <c r="BJ73" s="4"/>
      <c r="BK73" s="4"/>
      <c r="BL73" s="4"/>
      <c r="BM73" s="4"/>
      <c r="BN73" s="4"/>
      <c r="BO73" s="4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</row>
    <row r="74" spans="1:100" ht="16.5" customHeight="1" x14ac:dyDescent="0.2">
      <c r="A74" s="15" t="s">
        <v>279</v>
      </c>
      <c r="B74" s="4">
        <v>5</v>
      </c>
      <c r="C74" s="4">
        <v>0</v>
      </c>
      <c r="D74" s="4">
        <v>0</v>
      </c>
      <c r="E74" s="23">
        <v>158</v>
      </c>
      <c r="F74" s="4">
        <v>0</v>
      </c>
      <c r="G74" s="4">
        <v>0</v>
      </c>
      <c r="H74" s="4">
        <v>0</v>
      </c>
      <c r="I74" s="4">
        <v>4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12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/>
      <c r="BI74" s="4"/>
      <c r="BJ74" s="4"/>
      <c r="BK74" s="4"/>
      <c r="BL74" s="4"/>
      <c r="BM74" s="4"/>
      <c r="BN74" s="4"/>
      <c r="BO74" s="4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</row>
    <row r="75" spans="1:100" ht="16.5" customHeight="1" x14ac:dyDescent="0.2">
      <c r="A75" s="15" t="s">
        <v>280</v>
      </c>
      <c r="B75" s="4">
        <v>5</v>
      </c>
      <c r="C75" s="4">
        <v>0</v>
      </c>
      <c r="D75" s="4">
        <v>0</v>
      </c>
      <c r="E75" s="23">
        <v>107</v>
      </c>
      <c r="F75" s="4">
        <v>1</v>
      </c>
      <c r="G75" s="4">
        <v>0</v>
      </c>
      <c r="H75" s="4">
        <v>0</v>
      </c>
      <c r="I75" s="4">
        <v>14</v>
      </c>
      <c r="J75" s="4">
        <v>1</v>
      </c>
      <c r="K75" s="4">
        <v>0</v>
      </c>
      <c r="L75" s="4">
        <v>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5</v>
      </c>
      <c r="AW75" s="4">
        <v>0</v>
      </c>
      <c r="AX75" s="4">
        <v>1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/>
      <c r="BI75" s="4"/>
      <c r="BJ75" s="4"/>
      <c r="BK75" s="4"/>
      <c r="BL75" s="4"/>
      <c r="BM75" s="4"/>
      <c r="BN75" s="4"/>
      <c r="BO75" s="4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</row>
    <row r="76" spans="1:100" ht="16.5" customHeight="1" x14ac:dyDescent="0.2">
      <c r="A76" s="15" t="s">
        <v>281</v>
      </c>
      <c r="B76" s="4">
        <v>4</v>
      </c>
      <c r="C76" s="4">
        <v>0</v>
      </c>
      <c r="D76" s="4">
        <v>0</v>
      </c>
      <c r="E76" s="23">
        <v>105</v>
      </c>
      <c r="F76" s="4">
        <v>0</v>
      </c>
      <c r="G76" s="4">
        <v>0</v>
      </c>
      <c r="H76" s="4">
        <v>0</v>
      </c>
      <c r="I76" s="4">
        <v>11</v>
      </c>
      <c r="J76" s="4">
        <v>0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2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16</v>
      </c>
      <c r="AW76" s="4">
        <v>0</v>
      </c>
      <c r="AX76" s="4">
        <v>3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/>
      <c r="BI76" s="4"/>
      <c r="BJ76" s="4"/>
      <c r="BK76" s="4"/>
      <c r="BL76" s="4"/>
      <c r="BM76" s="4"/>
      <c r="BN76" s="4"/>
      <c r="BO76" s="4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</row>
    <row r="77" spans="1:100" ht="16.5" customHeight="1" x14ac:dyDescent="0.2">
      <c r="A77" s="15" t="s">
        <v>282</v>
      </c>
      <c r="B77" s="4">
        <v>3</v>
      </c>
      <c r="C77" s="4">
        <v>2</v>
      </c>
      <c r="D77" s="4">
        <v>0</v>
      </c>
      <c r="E77" s="23">
        <v>157</v>
      </c>
      <c r="F77" s="4">
        <v>0</v>
      </c>
      <c r="G77" s="4">
        <v>0</v>
      </c>
      <c r="H77" s="4">
        <v>0</v>
      </c>
      <c r="I77" s="4">
        <v>13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1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/>
      <c r="BI77" s="4"/>
      <c r="BJ77" s="4"/>
      <c r="BK77" s="4"/>
      <c r="BL77" s="4"/>
      <c r="BM77" s="4"/>
      <c r="BN77" s="4"/>
      <c r="BO77" s="4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</row>
    <row r="78" spans="1:100" ht="16.5" customHeight="1" x14ac:dyDescent="0.2">
      <c r="A78" s="15" t="s">
        <v>283</v>
      </c>
      <c r="B78" s="4">
        <v>0</v>
      </c>
      <c r="C78" s="4">
        <v>1</v>
      </c>
      <c r="D78" s="4">
        <v>0</v>
      </c>
      <c r="E78" s="23">
        <v>96</v>
      </c>
      <c r="F78" s="4">
        <v>1</v>
      </c>
      <c r="G78" s="4">
        <v>0</v>
      </c>
      <c r="H78" s="4">
        <v>0</v>
      </c>
      <c r="I78" s="4">
        <v>4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9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/>
      <c r="BI78" s="4"/>
      <c r="BJ78" s="4"/>
      <c r="BK78" s="4"/>
      <c r="BL78" s="4"/>
      <c r="BM78" s="4"/>
      <c r="BN78" s="4"/>
      <c r="BO78" s="4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</row>
    <row r="79" spans="1:100" ht="16.5" customHeight="1" x14ac:dyDescent="0.2">
      <c r="A79" s="15" t="s">
        <v>284</v>
      </c>
      <c r="B79" s="4">
        <v>8</v>
      </c>
      <c r="C79" s="4">
        <v>0</v>
      </c>
      <c r="D79" s="4">
        <v>0</v>
      </c>
      <c r="E79" s="23">
        <v>98</v>
      </c>
      <c r="F79" s="4">
        <v>0</v>
      </c>
      <c r="G79" s="4">
        <v>0</v>
      </c>
      <c r="H79" s="4">
        <v>0</v>
      </c>
      <c r="I79" s="4">
        <v>9</v>
      </c>
      <c r="J79" s="4">
        <v>0</v>
      </c>
      <c r="K79" s="4">
        <v>0</v>
      </c>
      <c r="L79" s="4">
        <v>5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2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5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6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/>
      <c r="BI79" s="4"/>
      <c r="BJ79" s="4"/>
      <c r="BK79" s="4"/>
      <c r="BL79" s="4"/>
      <c r="BM79" s="4"/>
      <c r="BN79" s="4"/>
      <c r="BO79" s="4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</row>
    <row r="80" spans="1:100" ht="16.5" customHeight="1" x14ac:dyDescent="0.2">
      <c r="A80" s="15" t="s">
        <v>285</v>
      </c>
      <c r="B80" s="4">
        <v>2</v>
      </c>
      <c r="C80" s="4">
        <v>0</v>
      </c>
      <c r="D80" s="4">
        <v>0</v>
      </c>
      <c r="E80" s="23">
        <v>68</v>
      </c>
      <c r="F80" s="4">
        <v>0</v>
      </c>
      <c r="G80" s="4">
        <v>0</v>
      </c>
      <c r="H80" s="4">
        <v>0</v>
      </c>
      <c r="I80" s="4">
        <v>2</v>
      </c>
      <c r="J80" s="4">
        <v>0</v>
      </c>
      <c r="K80" s="4">
        <v>0</v>
      </c>
      <c r="L80" s="4">
        <v>2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0</v>
      </c>
      <c r="T80" s="4">
        <v>1</v>
      </c>
      <c r="U80" s="4">
        <v>0</v>
      </c>
      <c r="V80" s="4">
        <v>1</v>
      </c>
      <c r="W80" s="4">
        <v>0</v>
      </c>
      <c r="X80" s="4">
        <v>0</v>
      </c>
      <c r="Y80" s="4">
        <v>1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5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/>
      <c r="BI80" s="4"/>
      <c r="BJ80" s="4"/>
      <c r="BK80" s="4"/>
      <c r="BL80" s="4"/>
      <c r="BM80" s="4"/>
      <c r="BN80" s="4"/>
      <c r="BO80" s="4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</row>
    <row r="81" spans="1:100" ht="16.5" customHeight="1" x14ac:dyDescent="0.2">
      <c r="A81" s="15" t="s">
        <v>286</v>
      </c>
      <c r="B81" s="4">
        <v>2</v>
      </c>
      <c r="C81" s="4">
        <v>0</v>
      </c>
      <c r="D81" s="4">
        <v>0</v>
      </c>
      <c r="E81" s="23">
        <v>134</v>
      </c>
      <c r="F81" s="4">
        <v>4</v>
      </c>
      <c r="G81" s="4">
        <v>0</v>
      </c>
      <c r="H81" s="4">
        <v>0</v>
      </c>
      <c r="I81" s="4">
        <v>2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4</v>
      </c>
      <c r="AW81" s="4">
        <v>0</v>
      </c>
      <c r="AX81" s="4">
        <v>1</v>
      </c>
      <c r="AY81" s="4">
        <v>4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/>
      <c r="BI81" s="4"/>
      <c r="BJ81" s="4"/>
      <c r="BK81" s="4"/>
      <c r="BL81" s="4"/>
      <c r="BM81" s="4"/>
      <c r="BN81" s="4"/>
      <c r="BO81" s="4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</row>
    <row r="82" spans="1:100" ht="16.5" customHeight="1" x14ac:dyDescent="0.2">
      <c r="A82" s="15" t="s">
        <v>287</v>
      </c>
      <c r="B82" s="4">
        <v>0</v>
      </c>
      <c r="C82" s="4">
        <v>0</v>
      </c>
      <c r="D82" s="4">
        <v>0</v>
      </c>
      <c r="E82" s="23">
        <v>69</v>
      </c>
      <c r="F82" s="4">
        <v>2</v>
      </c>
      <c r="G82" s="4">
        <v>0</v>
      </c>
      <c r="H82" s="4">
        <v>0</v>
      </c>
      <c r="I82" s="4">
        <v>2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1</v>
      </c>
      <c r="W82" s="4">
        <v>0</v>
      </c>
      <c r="X82" s="4">
        <v>0</v>
      </c>
      <c r="Y82" s="4">
        <v>0</v>
      </c>
      <c r="Z82" s="4">
        <v>1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2</v>
      </c>
      <c r="AW82" s="4">
        <v>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2</v>
      </c>
      <c r="BE82" s="4">
        <v>0</v>
      </c>
      <c r="BF82" s="4">
        <v>0</v>
      </c>
      <c r="BG82" s="4">
        <v>0</v>
      </c>
      <c r="BH82" s="4"/>
      <c r="BI82" s="4"/>
      <c r="BJ82" s="4"/>
      <c r="BK82" s="4"/>
      <c r="BL82" s="4"/>
      <c r="BM82" s="4"/>
      <c r="BN82" s="4"/>
      <c r="BO82" s="4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</row>
    <row r="83" spans="1:100" ht="16.5" customHeight="1" x14ac:dyDescent="0.2">
      <c r="A83" s="15" t="s">
        <v>288</v>
      </c>
      <c r="B83" s="4">
        <v>2</v>
      </c>
      <c r="C83" s="4">
        <v>0</v>
      </c>
      <c r="D83" s="4">
        <v>0</v>
      </c>
      <c r="E83" s="23">
        <v>78</v>
      </c>
      <c r="F83" s="4">
        <v>0</v>
      </c>
      <c r="G83" s="4">
        <v>0</v>
      </c>
      <c r="H83" s="4">
        <v>0</v>
      </c>
      <c r="I83" s="4">
        <v>2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2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/>
      <c r="BI83" s="4"/>
      <c r="BJ83" s="4"/>
      <c r="BK83" s="4"/>
      <c r="BL83" s="4"/>
      <c r="BM83" s="4"/>
      <c r="BN83" s="4"/>
      <c r="BO83" s="4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</row>
    <row r="84" spans="1:100" ht="16.5" customHeight="1" x14ac:dyDescent="0.2">
      <c r="A84" s="15" t="s">
        <v>289</v>
      </c>
      <c r="B84" s="4">
        <v>50</v>
      </c>
      <c r="C84" s="4">
        <v>17</v>
      </c>
      <c r="D84" s="4">
        <v>26</v>
      </c>
      <c r="E84" s="23">
        <v>169</v>
      </c>
      <c r="F84" s="4">
        <v>85</v>
      </c>
      <c r="G84" s="4">
        <v>0</v>
      </c>
      <c r="H84" s="4">
        <v>0</v>
      </c>
      <c r="I84" s="4">
        <v>445</v>
      </c>
      <c r="J84" s="4">
        <v>142</v>
      </c>
      <c r="K84" s="4">
        <v>0</v>
      </c>
      <c r="L84" s="4">
        <v>145</v>
      </c>
      <c r="M84" s="4">
        <v>0</v>
      </c>
      <c r="N84" s="4">
        <v>0</v>
      </c>
      <c r="O84" s="4">
        <v>0</v>
      </c>
      <c r="P84" s="4">
        <v>0</v>
      </c>
      <c r="Q84" s="4">
        <v>65</v>
      </c>
      <c r="R84" s="4">
        <v>25</v>
      </c>
      <c r="S84" s="4">
        <v>17</v>
      </c>
      <c r="T84" s="4">
        <v>38</v>
      </c>
      <c r="U84" s="4">
        <v>0</v>
      </c>
      <c r="V84" s="4">
        <v>141</v>
      </c>
      <c r="W84" s="4">
        <v>0</v>
      </c>
      <c r="X84" s="4">
        <v>0</v>
      </c>
      <c r="Y84" s="4">
        <v>13</v>
      </c>
      <c r="Z84" s="4">
        <v>36</v>
      </c>
      <c r="AA84" s="4">
        <v>34</v>
      </c>
      <c r="AB84" s="4">
        <v>0</v>
      </c>
      <c r="AC84" s="4">
        <v>0</v>
      </c>
      <c r="AD84" s="4">
        <v>19</v>
      </c>
      <c r="AE84" s="4">
        <v>0</v>
      </c>
      <c r="AF84" s="4">
        <v>0</v>
      </c>
      <c r="AG84" s="4">
        <v>11</v>
      </c>
      <c r="AH84" s="4">
        <v>0</v>
      </c>
      <c r="AI84" s="4">
        <v>0</v>
      </c>
      <c r="AJ84" s="4">
        <v>0</v>
      </c>
      <c r="AK84" s="4">
        <v>0</v>
      </c>
      <c r="AL84" s="4">
        <v>12</v>
      </c>
      <c r="AM84" s="4">
        <v>0</v>
      </c>
      <c r="AN84" s="4">
        <v>0</v>
      </c>
      <c r="AO84" s="4">
        <v>0</v>
      </c>
      <c r="AP84" s="4">
        <v>41</v>
      </c>
      <c r="AQ84" s="4">
        <v>106</v>
      </c>
      <c r="AR84" s="4">
        <v>4</v>
      </c>
      <c r="AS84" s="4">
        <v>0</v>
      </c>
      <c r="AT84" s="4">
        <v>0</v>
      </c>
      <c r="AU84" s="4">
        <v>0</v>
      </c>
      <c r="AV84" s="4">
        <v>169</v>
      </c>
      <c r="AW84" s="4">
        <v>0</v>
      </c>
      <c r="AX84" s="4">
        <v>14</v>
      </c>
      <c r="AY84" s="4">
        <v>28</v>
      </c>
      <c r="AZ84" s="4">
        <v>0</v>
      </c>
      <c r="BA84" s="4">
        <v>0</v>
      </c>
      <c r="BB84" s="4">
        <v>0</v>
      </c>
      <c r="BC84" s="4">
        <v>0</v>
      </c>
      <c r="BD84" s="4">
        <v>18</v>
      </c>
      <c r="BE84" s="4">
        <v>13</v>
      </c>
      <c r="BF84" s="4">
        <v>0</v>
      </c>
      <c r="BG84" s="4">
        <v>0</v>
      </c>
      <c r="BH84" s="4"/>
      <c r="BI84" s="4"/>
      <c r="BJ84" s="4"/>
      <c r="BK84" s="4"/>
      <c r="BL84" s="4"/>
      <c r="BM84" s="4"/>
      <c r="BN84" s="4"/>
      <c r="BO84" s="4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</row>
    <row r="85" spans="1:100" ht="16.5" customHeight="1" x14ac:dyDescent="0.2">
      <c r="A85" s="15" t="s">
        <v>290</v>
      </c>
      <c r="B85" s="4">
        <v>3</v>
      </c>
      <c r="C85" s="4">
        <v>0</v>
      </c>
      <c r="D85" s="4">
        <v>5</v>
      </c>
      <c r="E85" s="23">
        <v>68</v>
      </c>
      <c r="F85" s="4">
        <v>40</v>
      </c>
      <c r="G85" s="4">
        <v>0</v>
      </c>
      <c r="H85" s="4">
        <v>7</v>
      </c>
      <c r="I85" s="4">
        <v>355</v>
      </c>
      <c r="J85" s="4">
        <v>58</v>
      </c>
      <c r="K85" s="4">
        <v>0</v>
      </c>
      <c r="L85" s="4">
        <v>65</v>
      </c>
      <c r="M85" s="4">
        <v>0</v>
      </c>
      <c r="N85" s="4">
        <v>0</v>
      </c>
      <c r="O85" s="4">
        <v>0</v>
      </c>
      <c r="P85" s="4">
        <v>0</v>
      </c>
      <c r="Q85" s="4">
        <v>50</v>
      </c>
      <c r="R85" s="4">
        <v>0</v>
      </c>
      <c r="S85" s="4">
        <v>0</v>
      </c>
      <c r="T85" s="4">
        <v>35</v>
      </c>
      <c r="U85" s="4">
        <v>0</v>
      </c>
      <c r="V85" s="4">
        <v>40</v>
      </c>
      <c r="W85" s="4">
        <v>0</v>
      </c>
      <c r="X85" s="4">
        <v>0</v>
      </c>
      <c r="Y85" s="4">
        <v>4</v>
      </c>
      <c r="Z85" s="4">
        <v>0</v>
      </c>
      <c r="AA85" s="4">
        <v>35</v>
      </c>
      <c r="AB85" s="4">
        <v>0</v>
      </c>
      <c r="AC85" s="4">
        <v>0</v>
      </c>
      <c r="AD85" s="4">
        <v>10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16</v>
      </c>
      <c r="AM85" s="4">
        <v>0</v>
      </c>
      <c r="AN85" s="4">
        <v>0</v>
      </c>
      <c r="AO85" s="4">
        <v>0</v>
      </c>
      <c r="AP85" s="4">
        <v>81</v>
      </c>
      <c r="AQ85" s="4">
        <v>25</v>
      </c>
      <c r="AR85" s="4">
        <v>4</v>
      </c>
      <c r="AS85" s="4">
        <v>0</v>
      </c>
      <c r="AT85" s="4">
        <v>0</v>
      </c>
      <c r="AU85" s="4">
        <v>0</v>
      </c>
      <c r="AV85" s="4">
        <v>92</v>
      </c>
      <c r="AW85" s="4">
        <v>15</v>
      </c>
      <c r="AX85" s="4">
        <v>5</v>
      </c>
      <c r="AY85" s="4">
        <v>25</v>
      </c>
      <c r="AZ85" s="4">
        <v>0</v>
      </c>
      <c r="BA85" s="4">
        <v>0</v>
      </c>
      <c r="BB85" s="4">
        <v>0</v>
      </c>
      <c r="BC85" s="4">
        <v>0</v>
      </c>
      <c r="BD85" s="4">
        <v>11</v>
      </c>
      <c r="BE85" s="4">
        <v>10</v>
      </c>
      <c r="BF85" s="4">
        <v>0</v>
      </c>
      <c r="BG85" s="4">
        <v>0</v>
      </c>
      <c r="BH85" s="4"/>
      <c r="BI85" s="4"/>
      <c r="BJ85" s="4"/>
      <c r="BK85" s="4"/>
      <c r="BL85" s="4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</row>
    <row r="86" spans="1:100" ht="16.5" customHeight="1" x14ac:dyDescent="0.2">
      <c r="A86" s="15" t="s">
        <v>291</v>
      </c>
      <c r="B86" s="4">
        <v>42</v>
      </c>
      <c r="C86" s="4">
        <v>16</v>
      </c>
      <c r="D86" s="4">
        <v>0</v>
      </c>
      <c r="E86" s="23">
        <v>44</v>
      </c>
      <c r="F86" s="4">
        <v>61</v>
      </c>
      <c r="G86" s="4">
        <v>0</v>
      </c>
      <c r="H86" s="4">
        <v>1</v>
      </c>
      <c r="I86" s="4">
        <v>381</v>
      </c>
      <c r="J86" s="4">
        <v>78</v>
      </c>
      <c r="K86" s="4">
        <v>0</v>
      </c>
      <c r="L86" s="4">
        <v>77</v>
      </c>
      <c r="M86" s="4">
        <v>0</v>
      </c>
      <c r="N86" s="4">
        <v>0</v>
      </c>
      <c r="O86" s="4">
        <v>0</v>
      </c>
      <c r="P86" s="4">
        <v>0</v>
      </c>
      <c r="Q86" s="4">
        <v>82</v>
      </c>
      <c r="R86" s="4">
        <v>19</v>
      </c>
      <c r="S86" s="4">
        <v>2</v>
      </c>
      <c r="T86" s="4">
        <v>30</v>
      </c>
      <c r="U86" s="4">
        <v>10</v>
      </c>
      <c r="V86" s="4">
        <v>417</v>
      </c>
      <c r="W86" s="4">
        <v>0</v>
      </c>
      <c r="X86" s="4">
        <v>0</v>
      </c>
      <c r="Y86" s="4">
        <v>3</v>
      </c>
      <c r="Z86" s="4">
        <v>19</v>
      </c>
      <c r="AA86" s="4">
        <v>67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12</v>
      </c>
      <c r="AH86" s="4">
        <v>0</v>
      </c>
      <c r="AI86" s="4">
        <v>0</v>
      </c>
      <c r="AJ86" s="4">
        <v>0</v>
      </c>
      <c r="AK86" s="4">
        <v>0</v>
      </c>
      <c r="AL86" s="4">
        <v>9</v>
      </c>
      <c r="AM86" s="4">
        <v>0</v>
      </c>
      <c r="AN86" s="4">
        <v>0</v>
      </c>
      <c r="AO86" s="4">
        <v>0</v>
      </c>
      <c r="AP86" s="4">
        <v>54</v>
      </c>
      <c r="AQ86" s="4">
        <v>82</v>
      </c>
      <c r="AR86" s="4">
        <v>36</v>
      </c>
      <c r="AS86" s="4">
        <v>0</v>
      </c>
      <c r="AT86" s="4">
        <v>0</v>
      </c>
      <c r="AU86" s="4">
        <v>0</v>
      </c>
      <c r="AV86" s="4">
        <v>99</v>
      </c>
      <c r="AW86" s="4">
        <v>0</v>
      </c>
      <c r="AX86" s="4">
        <v>10</v>
      </c>
      <c r="AY86" s="4">
        <v>128</v>
      </c>
      <c r="AZ86" s="4">
        <v>0</v>
      </c>
      <c r="BA86" s="4">
        <v>0</v>
      </c>
      <c r="BB86" s="4">
        <v>0</v>
      </c>
      <c r="BC86" s="4">
        <v>0</v>
      </c>
      <c r="BD86" s="4">
        <v>8</v>
      </c>
      <c r="BE86" s="4">
        <v>10</v>
      </c>
      <c r="BF86" s="4">
        <v>0</v>
      </c>
      <c r="BG86" s="4">
        <v>0</v>
      </c>
      <c r="BH86" s="4"/>
      <c r="BI86" s="4"/>
      <c r="BJ86" s="4"/>
      <c r="BK86" s="4"/>
      <c r="BL86" s="4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</row>
    <row r="87" spans="1:100" ht="16.5" customHeight="1" x14ac:dyDescent="0.2">
      <c r="A87" s="15" t="s">
        <v>292</v>
      </c>
      <c r="B87" s="4">
        <v>1</v>
      </c>
      <c r="C87" s="4">
        <v>0</v>
      </c>
      <c r="D87" s="4">
        <v>0</v>
      </c>
      <c r="E87" s="23">
        <v>83</v>
      </c>
      <c r="F87" s="4">
        <v>2</v>
      </c>
      <c r="G87" s="4">
        <v>0</v>
      </c>
      <c r="H87" s="4">
        <v>0</v>
      </c>
      <c r="I87" s="4">
        <v>5</v>
      </c>
      <c r="J87" s="4">
        <v>3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2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7</v>
      </c>
      <c r="AW87" s="4">
        <v>0</v>
      </c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/>
      <c r="BI87" s="4"/>
      <c r="BJ87" s="4"/>
      <c r="BK87" s="4"/>
      <c r="BL87" s="4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</row>
    <row r="88" spans="1:100" ht="16.5" customHeight="1" x14ac:dyDescent="0.2">
      <c r="A88" s="15" t="s">
        <v>293</v>
      </c>
      <c r="B88" s="4">
        <v>18</v>
      </c>
      <c r="C88" s="4">
        <v>0</v>
      </c>
      <c r="D88" s="4">
        <v>3</v>
      </c>
      <c r="E88" s="23">
        <v>91</v>
      </c>
      <c r="F88" s="4">
        <v>14</v>
      </c>
      <c r="G88" s="4">
        <v>0</v>
      </c>
      <c r="H88" s="4">
        <v>0</v>
      </c>
      <c r="I88" s="4">
        <v>38</v>
      </c>
      <c r="J88" s="4">
        <v>21</v>
      </c>
      <c r="K88" s="4">
        <v>0</v>
      </c>
      <c r="L88" s="4">
        <v>12</v>
      </c>
      <c r="M88" s="4">
        <v>0</v>
      </c>
      <c r="N88" s="4">
        <v>0</v>
      </c>
      <c r="O88" s="4">
        <v>0</v>
      </c>
      <c r="P88" s="4">
        <v>1</v>
      </c>
      <c r="Q88" s="4">
        <v>2</v>
      </c>
      <c r="R88" s="4">
        <v>11</v>
      </c>
      <c r="S88" s="4">
        <v>2</v>
      </c>
      <c r="T88" s="4">
        <v>1</v>
      </c>
      <c r="U88" s="4">
        <v>0</v>
      </c>
      <c r="V88" s="4">
        <v>8</v>
      </c>
      <c r="W88" s="4">
        <v>0</v>
      </c>
      <c r="X88" s="4">
        <v>0</v>
      </c>
      <c r="Y88" s="4">
        <v>0</v>
      </c>
      <c r="Z88" s="4">
        <v>8</v>
      </c>
      <c r="AA88" s="4">
        <v>28</v>
      </c>
      <c r="AB88" s="4">
        <v>0</v>
      </c>
      <c r="AC88" s="4">
        <v>0</v>
      </c>
      <c r="AD88" s="4">
        <v>1</v>
      </c>
      <c r="AE88" s="4">
        <v>0</v>
      </c>
      <c r="AF88" s="4">
        <v>0</v>
      </c>
      <c r="AG88" s="4">
        <v>4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14</v>
      </c>
      <c r="AR88" s="4">
        <v>0</v>
      </c>
      <c r="AS88" s="4">
        <v>0</v>
      </c>
      <c r="AT88" s="4">
        <v>0</v>
      </c>
      <c r="AU88" s="4">
        <v>0</v>
      </c>
      <c r="AV88" s="4">
        <v>13</v>
      </c>
      <c r="AW88" s="4">
        <v>0</v>
      </c>
      <c r="AX88" s="4">
        <v>0</v>
      </c>
      <c r="AY88" s="4">
        <v>6</v>
      </c>
      <c r="AZ88" s="4">
        <v>0</v>
      </c>
      <c r="BA88" s="4">
        <v>0</v>
      </c>
      <c r="BB88" s="4">
        <v>0</v>
      </c>
      <c r="BC88" s="4">
        <v>0</v>
      </c>
      <c r="BD88" s="4">
        <v>16</v>
      </c>
      <c r="BE88" s="4">
        <v>4</v>
      </c>
      <c r="BF88" s="4">
        <v>0</v>
      </c>
      <c r="BG88" s="4">
        <v>0</v>
      </c>
      <c r="BH88" s="4"/>
      <c r="BI88" s="4"/>
      <c r="BJ88" s="4"/>
      <c r="BK88" s="4"/>
      <c r="BL88" s="4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</row>
    <row r="89" spans="1:100" ht="16.5" customHeight="1" x14ac:dyDescent="0.2">
      <c r="A89" s="15" t="s">
        <v>294</v>
      </c>
      <c r="B89" s="4">
        <v>0</v>
      </c>
      <c r="C89" s="4">
        <v>0</v>
      </c>
      <c r="D89" s="4">
        <v>0</v>
      </c>
      <c r="E89" s="23">
        <v>57</v>
      </c>
      <c r="F89" s="4">
        <v>4</v>
      </c>
      <c r="G89" s="4">
        <v>0</v>
      </c>
      <c r="H89" s="4">
        <v>0</v>
      </c>
      <c r="I89" s="4">
        <v>13</v>
      </c>
      <c r="J89" s="4">
        <v>9</v>
      </c>
      <c r="K89" s="4">
        <v>0</v>
      </c>
      <c r="L89" s="4">
        <v>5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5</v>
      </c>
      <c r="S89" s="4">
        <v>0</v>
      </c>
      <c r="T89" s="4">
        <v>6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1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/>
      <c r="BI89" s="4"/>
      <c r="BJ89" s="4"/>
      <c r="BK89" s="4"/>
      <c r="BL89" s="4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</row>
    <row r="90" spans="1:100" ht="16.5" customHeight="1" x14ac:dyDescent="0.2">
      <c r="A90" s="15" t="s">
        <v>295</v>
      </c>
      <c r="B90" s="4">
        <v>4</v>
      </c>
      <c r="C90" s="4">
        <v>1</v>
      </c>
      <c r="D90" s="4">
        <v>0</v>
      </c>
      <c r="E90" s="23">
        <v>65</v>
      </c>
      <c r="F90" s="4">
        <v>2</v>
      </c>
      <c r="G90" s="4">
        <v>0</v>
      </c>
      <c r="H90" s="4">
        <v>0</v>
      </c>
      <c r="I90" s="4">
        <v>6</v>
      </c>
      <c r="J90" s="4">
        <v>3</v>
      </c>
      <c r="K90" s="4">
        <v>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1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2</v>
      </c>
      <c r="AR90" s="4">
        <v>0</v>
      </c>
      <c r="AS90" s="4">
        <v>0</v>
      </c>
      <c r="AT90" s="4">
        <v>0</v>
      </c>
      <c r="AU90" s="4">
        <v>0</v>
      </c>
      <c r="AV90" s="4">
        <v>1</v>
      </c>
      <c r="AW90" s="4">
        <v>0</v>
      </c>
      <c r="AX90" s="4">
        <v>0</v>
      </c>
      <c r="AY90" s="4">
        <v>3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/>
      <c r="BI90" s="4"/>
      <c r="BJ90" s="4"/>
      <c r="BK90" s="4"/>
      <c r="BL90" s="4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</row>
    <row r="91" spans="1:100" ht="16.5" customHeight="1" x14ac:dyDescent="0.2">
      <c r="A91" s="15" t="s">
        <v>296</v>
      </c>
      <c r="B91" s="4">
        <v>6</v>
      </c>
      <c r="C91" s="4">
        <v>0</v>
      </c>
      <c r="D91" s="4">
        <v>0</v>
      </c>
      <c r="E91" s="23">
        <v>107</v>
      </c>
      <c r="F91" s="4">
        <v>4</v>
      </c>
      <c r="G91" s="4">
        <v>0</v>
      </c>
      <c r="H91" s="4">
        <v>0</v>
      </c>
      <c r="I91" s="4">
        <v>84</v>
      </c>
      <c r="J91" s="4">
        <v>12</v>
      </c>
      <c r="K91" s="4">
        <v>0</v>
      </c>
      <c r="L91" s="4">
        <v>23</v>
      </c>
      <c r="M91" s="4">
        <v>0</v>
      </c>
      <c r="N91" s="4">
        <v>0</v>
      </c>
      <c r="O91" s="4">
        <v>0</v>
      </c>
      <c r="P91" s="4">
        <v>0</v>
      </c>
      <c r="Q91" s="4">
        <v>2</v>
      </c>
      <c r="R91" s="4">
        <v>0</v>
      </c>
      <c r="S91" s="4">
        <v>0</v>
      </c>
      <c r="T91" s="4">
        <v>1</v>
      </c>
      <c r="U91" s="4">
        <v>0</v>
      </c>
      <c r="V91" s="4">
        <v>4</v>
      </c>
      <c r="W91" s="4">
        <v>0</v>
      </c>
      <c r="X91" s="4">
        <v>0</v>
      </c>
      <c r="Y91" s="4">
        <v>3</v>
      </c>
      <c r="Z91" s="4">
        <v>1</v>
      </c>
      <c r="AA91" s="4">
        <v>3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3</v>
      </c>
      <c r="AM91" s="4">
        <v>0</v>
      </c>
      <c r="AN91" s="4">
        <v>0</v>
      </c>
      <c r="AO91" s="4">
        <v>0</v>
      </c>
      <c r="AP91" s="4">
        <v>0</v>
      </c>
      <c r="AQ91" s="4">
        <v>1</v>
      </c>
      <c r="AR91" s="4">
        <v>0</v>
      </c>
      <c r="AS91" s="4">
        <v>0</v>
      </c>
      <c r="AT91" s="4">
        <v>0</v>
      </c>
      <c r="AU91" s="4">
        <v>0</v>
      </c>
      <c r="AV91" s="4">
        <v>41</v>
      </c>
      <c r="AW91" s="4">
        <v>1</v>
      </c>
      <c r="AX91" s="4">
        <v>12</v>
      </c>
      <c r="AY91" s="4">
        <v>4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/>
      <c r="BI91" s="4"/>
      <c r="BJ91" s="4"/>
      <c r="BK91" s="4"/>
      <c r="BL91" s="4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</row>
    <row r="92" spans="1:100" ht="16.5" customHeight="1" x14ac:dyDescent="0.2">
      <c r="A92" s="15" t="s">
        <v>297</v>
      </c>
      <c r="B92" s="4">
        <v>7</v>
      </c>
      <c r="C92" s="4">
        <v>0</v>
      </c>
      <c r="D92" s="4">
        <v>0</v>
      </c>
      <c r="E92" s="23">
        <v>39</v>
      </c>
      <c r="F92" s="4">
        <v>1</v>
      </c>
      <c r="G92" s="4">
        <v>0</v>
      </c>
      <c r="H92" s="4">
        <v>0</v>
      </c>
      <c r="I92" s="4">
        <v>49</v>
      </c>
      <c r="J92" s="4">
        <v>2</v>
      </c>
      <c r="K92" s="4">
        <v>0</v>
      </c>
      <c r="L92" s="4">
        <v>9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1</v>
      </c>
      <c r="S92" s="4">
        <v>0</v>
      </c>
      <c r="T92" s="4">
        <v>2</v>
      </c>
      <c r="U92" s="4">
        <v>0</v>
      </c>
      <c r="V92" s="4">
        <v>2</v>
      </c>
      <c r="W92" s="4">
        <v>0</v>
      </c>
      <c r="X92" s="4">
        <v>0</v>
      </c>
      <c r="Y92" s="4">
        <v>2</v>
      </c>
      <c r="Z92" s="4">
        <v>0</v>
      </c>
      <c r="AA92" s="4">
        <v>2</v>
      </c>
      <c r="AB92" s="4">
        <v>0</v>
      </c>
      <c r="AC92" s="4">
        <v>0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2</v>
      </c>
      <c r="AR92" s="4">
        <v>0</v>
      </c>
      <c r="AS92" s="4">
        <v>0</v>
      </c>
      <c r="AT92" s="4">
        <v>0</v>
      </c>
      <c r="AU92" s="4">
        <v>0</v>
      </c>
      <c r="AV92" s="4">
        <v>21</v>
      </c>
      <c r="AW92" s="4">
        <v>16</v>
      </c>
      <c r="AX92" s="4">
        <v>2</v>
      </c>
      <c r="AY92" s="4">
        <v>4</v>
      </c>
      <c r="AZ92" s="4">
        <v>0</v>
      </c>
      <c r="BA92" s="4">
        <v>1</v>
      </c>
      <c r="BB92" s="4">
        <v>0</v>
      </c>
      <c r="BC92" s="4">
        <v>0</v>
      </c>
      <c r="BD92" s="4">
        <v>1</v>
      </c>
      <c r="BE92" s="4">
        <v>1</v>
      </c>
      <c r="BF92" s="4">
        <v>0</v>
      </c>
      <c r="BG92" s="4">
        <v>0</v>
      </c>
      <c r="BH92" s="4"/>
      <c r="BI92" s="4"/>
      <c r="BJ92" s="4"/>
      <c r="BK92" s="4"/>
      <c r="BL92" s="4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</row>
    <row r="93" spans="1:100" ht="16.5" customHeight="1" x14ac:dyDescent="0.2">
      <c r="A93" s="15" t="s">
        <v>298</v>
      </c>
      <c r="B93" s="4">
        <v>1</v>
      </c>
      <c r="C93" s="4">
        <v>2</v>
      </c>
      <c r="D93" s="4">
        <v>0</v>
      </c>
      <c r="E93" s="23">
        <v>105</v>
      </c>
      <c r="F93" s="4">
        <v>0</v>
      </c>
      <c r="G93" s="4">
        <v>0</v>
      </c>
      <c r="H93" s="4">
        <v>0</v>
      </c>
      <c r="I93" s="4">
        <v>3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1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3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/>
      <c r="BI93" s="4"/>
      <c r="BJ93" s="4"/>
      <c r="BK93" s="4"/>
      <c r="BL93" s="4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</row>
    <row r="94" spans="1:100" ht="16.5" customHeight="1" x14ac:dyDescent="0.2">
      <c r="A94" s="15" t="s">
        <v>299</v>
      </c>
      <c r="B94" s="4">
        <v>0</v>
      </c>
      <c r="C94" s="4">
        <v>3</v>
      </c>
      <c r="D94" s="4">
        <v>0</v>
      </c>
      <c r="E94" s="23">
        <v>37</v>
      </c>
      <c r="F94" s="4">
        <v>0</v>
      </c>
      <c r="G94" s="4">
        <v>0</v>
      </c>
      <c r="H94" s="4">
        <v>0</v>
      </c>
      <c r="I94" s="4">
        <v>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2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/>
      <c r="BI94" s="4"/>
      <c r="BJ94" s="4"/>
      <c r="BK94" s="4"/>
      <c r="BL94" s="4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</row>
    <row r="95" spans="1:100" ht="16.5" customHeight="1" x14ac:dyDescent="0.2">
      <c r="A95" s="15" t="s">
        <v>300</v>
      </c>
      <c r="B95" s="4">
        <v>0</v>
      </c>
      <c r="C95" s="4">
        <v>5</v>
      </c>
      <c r="D95" s="4">
        <v>0</v>
      </c>
      <c r="E95" s="23">
        <v>36</v>
      </c>
      <c r="F95" s="4">
        <v>0</v>
      </c>
      <c r="G95" s="4">
        <v>0</v>
      </c>
      <c r="H95" s="4">
        <v>0</v>
      </c>
      <c r="I95" s="4">
        <v>1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2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/>
      <c r="BI95" s="4"/>
      <c r="BJ95" s="4"/>
      <c r="BK95" s="4"/>
      <c r="BL95" s="4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</row>
    <row r="96" spans="1:100" ht="16.5" customHeight="1" x14ac:dyDescent="0.2">
      <c r="A96" s="15" t="s">
        <v>301</v>
      </c>
      <c r="B96" s="4">
        <v>1</v>
      </c>
      <c r="C96" s="4">
        <v>0</v>
      </c>
      <c r="D96" s="4">
        <v>0</v>
      </c>
      <c r="E96" s="23">
        <v>35</v>
      </c>
      <c r="F96" s="4">
        <v>0</v>
      </c>
      <c r="G96" s="4">
        <v>0</v>
      </c>
      <c r="H96" s="4">
        <v>0</v>
      </c>
      <c r="I96" s="4">
        <v>1</v>
      </c>
      <c r="J96" s="4">
        <v>2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1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/>
      <c r="BI96" s="4"/>
      <c r="BJ96" s="4"/>
      <c r="BK96" s="4"/>
      <c r="BL96" s="4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</row>
    <row r="97" spans="1:100" ht="16.5" customHeight="1" x14ac:dyDescent="0.2">
      <c r="A97" s="15" t="s">
        <v>302</v>
      </c>
      <c r="B97" s="4">
        <v>0</v>
      </c>
      <c r="C97" s="4">
        <v>1</v>
      </c>
      <c r="D97" s="4">
        <v>0</v>
      </c>
      <c r="E97" s="23">
        <v>39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1</v>
      </c>
      <c r="AW97" s="4">
        <v>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1</v>
      </c>
      <c r="BE97" s="4">
        <v>0</v>
      </c>
      <c r="BF97" s="4">
        <v>2</v>
      </c>
      <c r="BG97" s="4">
        <v>0</v>
      </c>
      <c r="BH97" s="4"/>
      <c r="BI97" s="4"/>
      <c r="BJ97" s="4"/>
      <c r="BK97" s="4"/>
      <c r="BL97" s="4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</row>
    <row r="98" spans="1:100" ht="16.5" customHeight="1" x14ac:dyDescent="0.2">
      <c r="A98" s="15" t="s">
        <v>303</v>
      </c>
      <c r="B98" s="4">
        <v>0</v>
      </c>
      <c r="C98" s="4">
        <v>0</v>
      </c>
      <c r="D98" s="4">
        <v>0</v>
      </c>
      <c r="E98" s="23">
        <v>50</v>
      </c>
      <c r="F98" s="4">
        <v>0</v>
      </c>
      <c r="G98" s="4">
        <v>0</v>
      </c>
      <c r="H98" s="4">
        <v>0</v>
      </c>
      <c r="I98" s="23">
        <v>1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</row>
    <row r="99" spans="1:100" ht="16.5" customHeight="1" x14ac:dyDescent="0.2">
      <c r="A99" s="3"/>
      <c r="B99" s="4"/>
      <c r="C99" s="4"/>
      <c r="D99" s="4"/>
      <c r="E99" s="2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</row>
    <row r="100" spans="1:100" ht="16.5" customHeight="1" x14ac:dyDescent="0.2">
      <c r="A100" s="3"/>
      <c r="B100" s="4"/>
      <c r="C100" s="4"/>
      <c r="D100" s="4"/>
      <c r="E100" s="2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</row>
    <row r="101" spans="1:100" ht="16.5" customHeight="1" x14ac:dyDescent="0.2">
      <c r="A101" s="3"/>
      <c r="B101" s="4"/>
      <c r="C101" s="4"/>
      <c r="D101" s="4"/>
      <c r="E101" s="2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</row>
    <row r="102" spans="1:100" ht="16.5" customHeight="1" x14ac:dyDescent="0.2">
      <c r="A102" s="3"/>
      <c r="B102" s="4"/>
      <c r="C102" s="4"/>
      <c r="D102" s="4"/>
      <c r="E102" s="2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</row>
    <row r="103" spans="1:100" ht="16.5" customHeight="1" x14ac:dyDescent="0.2">
      <c r="A103" s="3"/>
      <c r="B103" s="4"/>
      <c r="C103" s="4"/>
      <c r="D103" s="4"/>
      <c r="E103" s="2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</row>
    <row r="104" spans="1:100" ht="16.5" customHeight="1" x14ac:dyDescent="0.2">
      <c r="A104" s="3"/>
      <c r="B104" s="4"/>
      <c r="C104" s="4"/>
      <c r="D104" s="4"/>
      <c r="E104" s="2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</row>
    <row r="105" spans="1:100" ht="16.5" customHeight="1" x14ac:dyDescent="0.2">
      <c r="A105" s="3"/>
      <c r="B105" s="4"/>
      <c r="C105" s="4"/>
      <c r="D105" s="4"/>
      <c r="E105" s="2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</row>
    <row r="106" spans="1:100" ht="16.5" customHeight="1" x14ac:dyDescent="0.2">
      <c r="A106" s="3"/>
      <c r="B106" s="4"/>
      <c r="C106" s="4"/>
      <c r="D106" s="4"/>
      <c r="E106" s="2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</row>
    <row r="107" spans="1:100" ht="16.5" customHeight="1" x14ac:dyDescent="0.2">
      <c r="A107" s="3"/>
      <c r="B107" s="4"/>
      <c r="C107" s="4"/>
      <c r="D107" s="4"/>
      <c r="E107" s="2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</row>
    <row r="108" spans="1:100" ht="16.5" customHeight="1" x14ac:dyDescent="0.2">
      <c r="A108" s="3"/>
      <c r="B108" s="4"/>
      <c r="C108" s="4"/>
      <c r="D108" s="4"/>
      <c r="E108" s="2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</row>
    <row r="109" spans="1:100" ht="16.5" customHeight="1" x14ac:dyDescent="0.2">
      <c r="A109" s="3"/>
      <c r="B109" s="4"/>
      <c r="C109" s="4"/>
      <c r="D109" s="4"/>
      <c r="E109" s="2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</row>
    <row r="110" spans="1:100" ht="16.5" customHeight="1" x14ac:dyDescent="0.2">
      <c r="A110" s="3"/>
      <c r="B110" s="4"/>
      <c r="C110" s="4"/>
      <c r="D110" s="4"/>
      <c r="E110" s="2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</row>
    <row r="111" spans="1:100" ht="16.5" customHeight="1" x14ac:dyDescent="0.2">
      <c r="A111" s="3"/>
      <c r="B111" s="4"/>
      <c r="C111" s="4"/>
      <c r="D111" s="4"/>
      <c r="E111" s="2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</row>
    <row r="112" spans="1:100" ht="16.5" customHeight="1" x14ac:dyDescent="0.2">
      <c r="A112" s="3"/>
      <c r="B112" s="4"/>
      <c r="C112" s="4"/>
      <c r="D112" s="4"/>
      <c r="E112" s="2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</row>
    <row r="113" spans="1:100" ht="16.5" customHeight="1" x14ac:dyDescent="0.2">
      <c r="A113" s="3"/>
      <c r="B113" s="4"/>
      <c r="C113" s="4"/>
      <c r="D113" s="4"/>
      <c r="E113" s="2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</row>
    <row r="114" spans="1:100" ht="16.5" customHeight="1" x14ac:dyDescent="0.2">
      <c r="A114" s="3"/>
      <c r="B114" s="4"/>
      <c r="C114" s="4"/>
      <c r="D114" s="4"/>
      <c r="E114" s="2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</row>
    <row r="115" spans="1:100" ht="16.5" customHeight="1" x14ac:dyDescent="0.2">
      <c r="A115" s="3"/>
      <c r="B115" s="4"/>
      <c r="C115" s="4"/>
      <c r="D115" s="4"/>
      <c r="E115" s="2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</row>
    <row r="116" spans="1:100" ht="16.5" customHeight="1" x14ac:dyDescent="0.2">
      <c r="A116" s="3"/>
      <c r="B116" s="4"/>
      <c r="C116" s="4"/>
      <c r="D116" s="4"/>
      <c r="E116" s="2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</row>
    <row r="117" spans="1:100" ht="16.5" customHeight="1" x14ac:dyDescent="0.2">
      <c r="A117" s="3"/>
      <c r="B117" s="4"/>
      <c r="C117" s="4"/>
      <c r="D117" s="4"/>
      <c r="E117" s="2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</row>
    <row r="118" spans="1:100" ht="16.5" customHeight="1" x14ac:dyDescent="0.2">
      <c r="A118" s="3"/>
      <c r="B118" s="4"/>
      <c r="C118" s="4"/>
      <c r="D118" s="4"/>
      <c r="E118" s="2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</row>
    <row r="119" spans="1:100" ht="16.5" customHeight="1" x14ac:dyDescent="0.2">
      <c r="A119" s="3"/>
      <c r="B119" s="4"/>
      <c r="C119" s="4"/>
      <c r="D119" s="4"/>
      <c r="E119" s="2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</row>
    <row r="120" spans="1:100" ht="16.5" customHeight="1" x14ac:dyDescent="0.2">
      <c r="A120" s="3"/>
      <c r="B120" s="4"/>
      <c r="C120" s="4"/>
      <c r="D120" s="4"/>
      <c r="E120" s="2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</row>
    <row r="121" spans="1:100" ht="16.5" customHeight="1" x14ac:dyDescent="0.2">
      <c r="A121" s="3"/>
      <c r="B121" s="4"/>
      <c r="C121" s="4"/>
      <c r="D121" s="4"/>
      <c r="E121" s="2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</row>
    <row r="122" spans="1:100" ht="16.5" customHeight="1" x14ac:dyDescent="0.2">
      <c r="A122" s="3"/>
      <c r="B122" s="4"/>
      <c r="C122" s="4"/>
      <c r="D122" s="4"/>
      <c r="E122" s="2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</row>
    <row r="123" spans="1:100" ht="16.5" customHeight="1" x14ac:dyDescent="0.2">
      <c r="A123" s="3"/>
      <c r="B123" s="4"/>
      <c r="C123" s="4"/>
      <c r="D123" s="4"/>
      <c r="E123" s="2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</row>
    <row r="124" spans="1:100" ht="16.5" customHeight="1" x14ac:dyDescent="0.2">
      <c r="A124" s="3"/>
      <c r="B124" s="4"/>
      <c r="C124" s="4"/>
      <c r="D124" s="4"/>
      <c r="E124" s="2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</row>
    <row r="125" spans="1:100" ht="16.5" customHeight="1" x14ac:dyDescent="0.2">
      <c r="A125" s="3"/>
      <c r="B125" s="4"/>
      <c r="C125" s="4"/>
      <c r="D125" s="4"/>
      <c r="E125" s="2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</row>
    <row r="126" spans="1:100" ht="16.5" customHeight="1" x14ac:dyDescent="0.2">
      <c r="A126" s="3"/>
      <c r="B126" s="4"/>
      <c r="C126" s="4"/>
      <c r="D126" s="4"/>
      <c r="E126" s="2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</row>
    <row r="127" spans="1:100" ht="16.5" customHeight="1" x14ac:dyDescent="0.2">
      <c r="A127" s="3"/>
      <c r="B127" s="4"/>
      <c r="C127" s="4"/>
      <c r="D127" s="4"/>
      <c r="E127" s="2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</row>
    <row r="128" spans="1:100" ht="16.5" customHeight="1" x14ac:dyDescent="0.2">
      <c r="A128" s="3"/>
      <c r="B128" s="4"/>
      <c r="C128" s="4"/>
      <c r="D128" s="4"/>
      <c r="E128" s="2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</row>
    <row r="129" spans="1:100" ht="16.5" customHeight="1" x14ac:dyDescent="0.2">
      <c r="A129" s="3"/>
      <c r="B129" s="4"/>
      <c r="C129" s="4"/>
      <c r="D129" s="4"/>
      <c r="E129" s="2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</row>
    <row r="130" spans="1:100" ht="16.5" customHeight="1" x14ac:dyDescent="0.2">
      <c r="A130" s="3"/>
      <c r="B130" s="4"/>
      <c r="C130" s="4"/>
      <c r="D130" s="4"/>
      <c r="E130" s="2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</row>
    <row r="131" spans="1:100" ht="16.5" customHeight="1" x14ac:dyDescent="0.2">
      <c r="A131" s="3"/>
      <c r="B131" s="4"/>
      <c r="C131" s="4"/>
      <c r="D131" s="4"/>
      <c r="E131" s="2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</row>
    <row r="132" spans="1:100" ht="16.5" customHeight="1" x14ac:dyDescent="0.2">
      <c r="A132" s="3"/>
      <c r="B132" s="4"/>
      <c r="C132" s="4"/>
      <c r="D132" s="4"/>
      <c r="E132" s="2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</row>
    <row r="133" spans="1:100" ht="16.5" customHeight="1" x14ac:dyDescent="0.2">
      <c r="A133" s="3"/>
      <c r="B133" s="4"/>
      <c r="C133" s="4"/>
      <c r="D133" s="4"/>
      <c r="E133" s="2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</row>
    <row r="134" spans="1:100" ht="16.5" customHeight="1" x14ac:dyDescent="0.2">
      <c r="A134" s="3"/>
      <c r="B134" s="4"/>
      <c r="C134" s="4"/>
      <c r="D134" s="4"/>
      <c r="E134" s="2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</row>
    <row r="135" spans="1:100" ht="16.5" customHeight="1" x14ac:dyDescent="0.2">
      <c r="A135" s="3"/>
      <c r="B135" s="4"/>
      <c r="C135" s="4"/>
      <c r="D135" s="4"/>
      <c r="E135" s="2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</row>
    <row r="136" spans="1:100" ht="16.5" customHeight="1" x14ac:dyDescent="0.2">
      <c r="A136" s="3"/>
      <c r="B136" s="4"/>
      <c r="C136" s="4"/>
      <c r="D136" s="4"/>
      <c r="E136" s="2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</row>
    <row r="137" spans="1:100" ht="16.5" customHeight="1" x14ac:dyDescent="0.2">
      <c r="A137" s="3"/>
      <c r="B137" s="4"/>
      <c r="C137" s="4"/>
      <c r="D137" s="4"/>
      <c r="E137" s="2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</row>
    <row r="138" spans="1:100" ht="16.5" customHeight="1" x14ac:dyDescent="0.2">
      <c r="A138" s="3"/>
      <c r="B138" s="4"/>
      <c r="C138" s="4"/>
      <c r="D138" s="4"/>
      <c r="E138" s="2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</row>
    <row r="139" spans="1:100" ht="16.5" customHeight="1" x14ac:dyDescent="0.2">
      <c r="A139" s="3"/>
      <c r="B139" s="4"/>
      <c r="C139" s="4"/>
      <c r="D139" s="4"/>
      <c r="E139" s="2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</row>
    <row r="140" spans="1:100" ht="16.5" customHeight="1" x14ac:dyDescent="0.2">
      <c r="A140" s="3"/>
      <c r="B140" s="4"/>
      <c r="C140" s="4"/>
      <c r="D140" s="4"/>
      <c r="E140" s="2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</row>
    <row r="141" spans="1:100" ht="16.5" customHeight="1" x14ac:dyDescent="0.2">
      <c r="A141" s="3"/>
      <c r="B141" s="4"/>
      <c r="C141" s="4"/>
      <c r="D141" s="4"/>
      <c r="E141" s="2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</row>
    <row r="142" spans="1:100" ht="16.5" customHeight="1" x14ac:dyDescent="0.2">
      <c r="A142" s="3"/>
      <c r="B142" s="4"/>
      <c r="C142" s="4"/>
      <c r="D142" s="4"/>
      <c r="E142" s="2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</row>
    <row r="143" spans="1:100" ht="16.5" customHeight="1" x14ac:dyDescent="0.2">
      <c r="A143" s="3"/>
      <c r="B143" s="4"/>
      <c r="C143" s="4"/>
      <c r="D143" s="4"/>
      <c r="E143" s="2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</row>
    <row r="144" spans="1:100" ht="16.5" customHeight="1" x14ac:dyDescent="0.2">
      <c r="A144" s="3"/>
      <c r="B144" s="4"/>
      <c r="C144" s="4"/>
      <c r="D144" s="4"/>
      <c r="E144" s="2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</row>
    <row r="145" spans="1:100" ht="16.5" customHeight="1" x14ac:dyDescent="0.2">
      <c r="A145" s="3"/>
      <c r="B145" s="4"/>
      <c r="C145" s="4"/>
      <c r="D145" s="4"/>
      <c r="E145" s="2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</row>
    <row r="146" spans="1:100" ht="16.5" customHeight="1" x14ac:dyDescent="0.2">
      <c r="A146" s="3"/>
      <c r="B146" s="4"/>
      <c r="C146" s="4"/>
      <c r="D146" s="4"/>
      <c r="E146" s="2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</row>
    <row r="147" spans="1:100" ht="16.5" customHeight="1" x14ac:dyDescent="0.2">
      <c r="A147" s="3"/>
      <c r="B147" s="4"/>
      <c r="C147" s="4"/>
      <c r="D147" s="4"/>
      <c r="E147" s="2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</row>
    <row r="148" spans="1:100" ht="16.5" customHeight="1" x14ac:dyDescent="0.2">
      <c r="A148" s="3"/>
      <c r="B148" s="4"/>
      <c r="C148" s="4"/>
      <c r="D148" s="4"/>
      <c r="E148" s="2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</row>
    <row r="149" spans="1:100" ht="16.5" customHeight="1" x14ac:dyDescent="0.2">
      <c r="A149" s="3"/>
      <c r="B149" s="4"/>
      <c r="C149" s="4"/>
      <c r="D149" s="4"/>
      <c r="E149" s="2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</row>
    <row r="150" spans="1:100" ht="16.5" customHeight="1" x14ac:dyDescent="0.2">
      <c r="A150" s="3"/>
      <c r="B150" s="4"/>
      <c r="C150" s="4"/>
      <c r="D150" s="4"/>
      <c r="E150" s="2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</row>
    <row r="151" spans="1:100" ht="16.5" customHeight="1" x14ac:dyDescent="0.2">
      <c r="A151" s="3"/>
      <c r="B151" s="4"/>
      <c r="C151" s="4"/>
      <c r="D151" s="4"/>
      <c r="E151" s="2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</row>
    <row r="152" spans="1:100" ht="16.5" customHeight="1" x14ac:dyDescent="0.2">
      <c r="A152" s="3"/>
      <c r="B152" s="4"/>
      <c r="C152" s="4"/>
      <c r="D152" s="4"/>
      <c r="E152" s="2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</row>
    <row r="153" spans="1:100" ht="16.5" customHeight="1" x14ac:dyDescent="0.2">
      <c r="A153" s="3"/>
      <c r="B153" s="4"/>
      <c r="C153" s="4"/>
      <c r="D153" s="4"/>
      <c r="E153" s="2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</row>
    <row r="154" spans="1:100" ht="16.5" customHeight="1" x14ac:dyDescent="0.2">
      <c r="A154" s="3"/>
      <c r="B154" s="4"/>
      <c r="C154" s="4"/>
      <c r="D154" s="4"/>
      <c r="E154" s="2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</row>
    <row r="155" spans="1:100" ht="16.5" customHeight="1" x14ac:dyDescent="0.2">
      <c r="A155" s="3"/>
      <c r="B155" s="4"/>
      <c r="C155" s="4"/>
      <c r="D155" s="4"/>
      <c r="E155" s="2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</row>
    <row r="156" spans="1:100" ht="16.5" customHeight="1" x14ac:dyDescent="0.2">
      <c r="A156" s="3"/>
      <c r="B156" s="4"/>
      <c r="C156" s="4"/>
      <c r="D156" s="4"/>
      <c r="E156" s="2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</row>
    <row r="157" spans="1:100" ht="16.5" customHeight="1" x14ac:dyDescent="0.2">
      <c r="A157" s="3"/>
      <c r="B157" s="4"/>
      <c r="C157" s="4"/>
      <c r="D157" s="4"/>
      <c r="E157" s="2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</row>
    <row r="158" spans="1:100" ht="16.5" customHeight="1" x14ac:dyDescent="0.2">
      <c r="A158" s="3"/>
      <c r="B158" s="4"/>
      <c r="C158" s="4"/>
      <c r="D158" s="4"/>
      <c r="E158" s="2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</row>
    <row r="159" spans="1:100" ht="16.5" customHeight="1" x14ac:dyDescent="0.2">
      <c r="A159" s="3"/>
      <c r="B159" s="4"/>
      <c r="C159" s="4"/>
      <c r="D159" s="4"/>
      <c r="E159" s="2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</row>
    <row r="160" spans="1:100" ht="16.5" customHeight="1" x14ac:dyDescent="0.2">
      <c r="A160" s="3"/>
      <c r="B160" s="4"/>
      <c r="C160" s="4"/>
      <c r="D160" s="4"/>
      <c r="E160" s="2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</row>
    <row r="161" spans="1:100" ht="16.5" customHeight="1" x14ac:dyDescent="0.2">
      <c r="A161" s="3"/>
      <c r="B161" s="4"/>
      <c r="C161" s="4"/>
      <c r="D161" s="4"/>
      <c r="E161" s="2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</row>
    <row r="162" spans="1:100" ht="16.5" customHeight="1" x14ac:dyDescent="0.2">
      <c r="A162" s="3"/>
      <c r="B162" s="4"/>
      <c r="C162" s="4"/>
      <c r="D162" s="4"/>
      <c r="E162" s="2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</row>
    <row r="163" spans="1:100" ht="16.5" customHeight="1" x14ac:dyDescent="0.2">
      <c r="A163" s="3"/>
      <c r="B163" s="4"/>
      <c r="C163" s="4"/>
      <c r="D163" s="4"/>
      <c r="E163" s="2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</row>
    <row r="164" spans="1:100" ht="16.5" customHeight="1" x14ac:dyDescent="0.2">
      <c r="A164" s="3"/>
      <c r="B164" s="4"/>
      <c r="C164" s="4"/>
      <c r="D164" s="4"/>
      <c r="E164" s="2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</row>
    <row r="165" spans="1:100" ht="16.5" customHeight="1" x14ac:dyDescent="0.2">
      <c r="A165" s="3"/>
      <c r="B165" s="4"/>
      <c r="C165" s="4"/>
      <c r="D165" s="4"/>
      <c r="E165" s="2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</row>
    <row r="166" spans="1:100" ht="16.5" customHeight="1" x14ac:dyDescent="0.2">
      <c r="A166" s="3"/>
      <c r="B166" s="4"/>
      <c r="C166" s="4"/>
      <c r="D166" s="4"/>
      <c r="E166" s="2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</row>
    <row r="167" spans="1:100" ht="16.5" customHeight="1" x14ac:dyDescent="0.2">
      <c r="A167" s="3"/>
      <c r="B167" s="4"/>
      <c r="C167" s="4"/>
      <c r="D167" s="4"/>
      <c r="E167" s="2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</row>
    <row r="168" spans="1:100" ht="16.5" customHeight="1" x14ac:dyDescent="0.2">
      <c r="A168" s="3"/>
      <c r="B168" s="4"/>
      <c r="C168" s="4"/>
      <c r="D168" s="4"/>
      <c r="E168" s="2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</row>
    <row r="169" spans="1:100" ht="16.5" customHeight="1" x14ac:dyDescent="0.2">
      <c r="A169" s="3"/>
      <c r="B169" s="4"/>
      <c r="C169" s="4"/>
      <c r="D169" s="4"/>
      <c r="E169" s="2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</row>
    <row r="170" spans="1:100" ht="16.5" customHeight="1" x14ac:dyDescent="0.2">
      <c r="A170" s="3"/>
      <c r="B170" s="4"/>
      <c r="C170" s="4"/>
      <c r="D170" s="4"/>
      <c r="E170" s="2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</row>
    <row r="171" spans="1:100" ht="16.5" customHeight="1" x14ac:dyDescent="0.2">
      <c r="A171" s="3"/>
      <c r="B171" s="4"/>
      <c r="C171" s="4"/>
      <c r="D171" s="4"/>
      <c r="E171" s="2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</row>
    <row r="172" spans="1:100" ht="16.5" customHeight="1" x14ac:dyDescent="0.2">
      <c r="A172" s="3"/>
      <c r="B172" s="4"/>
      <c r="C172" s="4"/>
      <c r="D172" s="4"/>
      <c r="E172" s="2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</row>
    <row r="173" spans="1:100" ht="16.5" customHeight="1" x14ac:dyDescent="0.2">
      <c r="A173" s="3"/>
      <c r="B173" s="4"/>
      <c r="C173" s="4"/>
      <c r="D173" s="4"/>
      <c r="E173" s="2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</row>
    <row r="174" spans="1:100" ht="16.5" customHeight="1" x14ac:dyDescent="0.2">
      <c r="A174" s="3"/>
      <c r="B174" s="4"/>
      <c r="C174" s="4"/>
      <c r="D174" s="4"/>
      <c r="E174" s="2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</row>
    <row r="175" spans="1:100" ht="16.5" customHeight="1" x14ac:dyDescent="0.2">
      <c r="A175" s="3"/>
      <c r="B175" s="4"/>
      <c r="C175" s="4"/>
      <c r="D175" s="4"/>
      <c r="E175" s="2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</row>
    <row r="176" spans="1:100" ht="16.5" customHeight="1" x14ac:dyDescent="0.2">
      <c r="A176" s="3"/>
      <c r="B176" s="4"/>
      <c r="C176" s="4"/>
      <c r="D176" s="4"/>
      <c r="E176" s="2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</row>
    <row r="177" spans="1:100" ht="16.5" customHeight="1" x14ac:dyDescent="0.2">
      <c r="A177" s="3"/>
      <c r="B177" s="4"/>
      <c r="C177" s="4"/>
      <c r="D177" s="4"/>
      <c r="E177" s="2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</row>
    <row r="178" spans="1:100" ht="16.5" customHeight="1" x14ac:dyDescent="0.2">
      <c r="A178" s="3"/>
      <c r="B178" s="4"/>
      <c r="C178" s="4"/>
      <c r="D178" s="4"/>
      <c r="E178" s="2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</row>
    <row r="179" spans="1:100" ht="16.5" customHeight="1" x14ac:dyDescent="0.2">
      <c r="A179" s="3"/>
      <c r="B179" s="4"/>
      <c r="C179" s="4"/>
      <c r="D179" s="4"/>
      <c r="E179" s="2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</row>
    <row r="180" spans="1:100" ht="16.5" customHeight="1" x14ac:dyDescent="0.2">
      <c r="A180" s="3"/>
      <c r="B180" s="4"/>
      <c r="C180" s="4"/>
      <c r="D180" s="4"/>
      <c r="E180" s="2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</row>
    <row r="181" spans="1:100" ht="16.5" customHeight="1" x14ac:dyDescent="0.2">
      <c r="A181" s="3"/>
      <c r="B181" s="4"/>
      <c r="C181" s="4"/>
      <c r="D181" s="4"/>
      <c r="E181" s="2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</row>
    <row r="182" spans="1:100" ht="16.5" customHeight="1" x14ac:dyDescent="0.2">
      <c r="A182" s="3"/>
      <c r="B182" s="4"/>
      <c r="C182" s="4"/>
      <c r="D182" s="4"/>
      <c r="E182" s="2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</row>
    <row r="183" spans="1:100" ht="16.5" customHeight="1" x14ac:dyDescent="0.2">
      <c r="A183" s="3"/>
      <c r="B183" s="4"/>
      <c r="C183" s="4"/>
      <c r="D183" s="4"/>
      <c r="E183" s="2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</row>
    <row r="184" spans="1:100" ht="16.5" customHeight="1" x14ac:dyDescent="0.2">
      <c r="A184" s="3"/>
      <c r="B184" s="4"/>
      <c r="C184" s="4"/>
      <c r="D184" s="4"/>
      <c r="E184" s="2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</row>
    <row r="185" spans="1:100" ht="16.5" customHeight="1" x14ac:dyDescent="0.2">
      <c r="A185" s="3"/>
      <c r="B185" s="4"/>
      <c r="C185" s="4"/>
      <c r="D185" s="4"/>
      <c r="E185" s="2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</row>
    <row r="186" spans="1:100" ht="16.5" customHeight="1" x14ac:dyDescent="0.2">
      <c r="A186" s="3"/>
      <c r="B186" s="4"/>
      <c r="C186" s="4"/>
      <c r="D186" s="4"/>
      <c r="E186" s="2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</row>
    <row r="187" spans="1:100" ht="16.5" customHeight="1" x14ac:dyDescent="0.2">
      <c r="A187" s="3"/>
      <c r="B187" s="4"/>
      <c r="C187" s="4"/>
      <c r="D187" s="4"/>
      <c r="E187" s="2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</row>
    <row r="188" spans="1:100" ht="16.5" customHeight="1" x14ac:dyDescent="0.2">
      <c r="A188" s="3"/>
      <c r="B188" s="4"/>
      <c r="C188" s="4"/>
      <c r="D188" s="4"/>
      <c r="E188" s="2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</row>
    <row r="189" spans="1:100" ht="16.5" customHeight="1" x14ac:dyDescent="0.2">
      <c r="A189" s="3"/>
      <c r="B189" s="4"/>
      <c r="C189" s="4"/>
      <c r="D189" s="4"/>
      <c r="E189" s="2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</row>
    <row r="190" spans="1:100" ht="16.5" customHeight="1" x14ac:dyDescent="0.2">
      <c r="A190" s="3"/>
      <c r="B190" s="4"/>
      <c r="C190" s="4"/>
      <c r="D190" s="4"/>
      <c r="E190" s="2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</row>
    <row r="191" spans="1:100" ht="16.5" customHeight="1" x14ac:dyDescent="0.2">
      <c r="A191" s="3"/>
      <c r="B191" s="4"/>
      <c r="C191" s="4"/>
      <c r="D191" s="4"/>
      <c r="E191" s="2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</row>
    <row r="192" spans="1:100" ht="16.5" customHeight="1" x14ac:dyDescent="0.2">
      <c r="A192" s="3"/>
      <c r="B192" s="4"/>
      <c r="C192" s="4"/>
      <c r="D192" s="4"/>
      <c r="E192" s="2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</row>
    <row r="193" spans="1:100" ht="16.5" customHeight="1" x14ac:dyDescent="0.2">
      <c r="A193" s="3"/>
      <c r="B193" s="4"/>
      <c r="C193" s="4"/>
      <c r="D193" s="4"/>
      <c r="E193" s="2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</row>
    <row r="194" spans="1:100" ht="16.5" customHeight="1" x14ac:dyDescent="0.2">
      <c r="A194" s="3"/>
      <c r="B194" s="4"/>
      <c r="C194" s="4"/>
      <c r="D194" s="4"/>
      <c r="E194" s="2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</row>
    <row r="195" spans="1:100" ht="16.5" customHeight="1" x14ac:dyDescent="0.2">
      <c r="A195" s="3"/>
      <c r="B195" s="4"/>
      <c r="C195" s="4"/>
      <c r="D195" s="4"/>
      <c r="E195" s="2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</row>
    <row r="196" spans="1:100" ht="16.5" customHeight="1" x14ac:dyDescent="0.2">
      <c r="A196" s="3"/>
      <c r="B196" s="4"/>
      <c r="C196" s="4"/>
      <c r="D196" s="4"/>
      <c r="E196" s="2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</row>
    <row r="197" spans="1:100" ht="16.5" customHeight="1" x14ac:dyDescent="0.2">
      <c r="A197" s="3"/>
      <c r="B197" s="4"/>
      <c r="C197" s="4"/>
      <c r="D197" s="4"/>
      <c r="E197" s="2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</row>
    <row r="198" spans="1:100" ht="16.5" customHeight="1" x14ac:dyDescent="0.2">
      <c r="A198" s="3"/>
      <c r="B198" s="4"/>
      <c r="C198" s="4"/>
      <c r="D198" s="4"/>
      <c r="E198" s="2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</row>
    <row r="199" spans="1:100" ht="16.5" customHeight="1" x14ac:dyDescent="0.2">
      <c r="A199" s="3"/>
      <c r="B199" s="4"/>
      <c r="C199" s="4"/>
      <c r="D199" s="4"/>
      <c r="E199" s="2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</row>
    <row r="200" spans="1:100" ht="16.5" customHeight="1" x14ac:dyDescent="0.2">
      <c r="A200" s="3"/>
      <c r="B200" s="4"/>
      <c r="C200" s="4"/>
      <c r="D200" s="4"/>
      <c r="E200" s="2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</row>
    <row r="201" spans="1:100" ht="16.5" customHeight="1" x14ac:dyDescent="0.2">
      <c r="A201" s="3"/>
      <c r="B201" s="4"/>
      <c r="C201" s="4"/>
      <c r="D201" s="4"/>
      <c r="E201" s="2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</row>
    <row r="202" spans="1:100" ht="16.5" customHeight="1" x14ac:dyDescent="0.2">
      <c r="A202" s="3"/>
      <c r="B202" s="4"/>
      <c r="C202" s="4"/>
      <c r="D202" s="4"/>
      <c r="E202" s="2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</row>
    <row r="203" spans="1:100" ht="16.5" customHeight="1" x14ac:dyDescent="0.2">
      <c r="A203" s="3"/>
      <c r="B203" s="4"/>
      <c r="C203" s="4"/>
      <c r="D203" s="4"/>
      <c r="E203" s="2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</row>
    <row r="204" spans="1:100" ht="16.5" customHeight="1" x14ac:dyDescent="0.2">
      <c r="A204" s="3"/>
      <c r="B204" s="4"/>
      <c r="C204" s="4"/>
      <c r="D204" s="4"/>
      <c r="E204" s="2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</row>
    <row r="205" spans="1:100" ht="16.5" customHeight="1" x14ac:dyDescent="0.2">
      <c r="A205" s="3"/>
      <c r="B205" s="4"/>
      <c r="C205" s="4"/>
      <c r="D205" s="4"/>
      <c r="E205" s="2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</row>
    <row r="206" spans="1:100" ht="16.5" customHeight="1" x14ac:dyDescent="0.2">
      <c r="A206" s="3"/>
      <c r="B206" s="4"/>
      <c r="C206" s="4"/>
      <c r="D206" s="4"/>
      <c r="E206" s="2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</row>
    <row r="207" spans="1:100" ht="16.5" customHeight="1" x14ac:dyDescent="0.2">
      <c r="A207" s="3"/>
      <c r="B207" s="4"/>
      <c r="C207" s="4"/>
      <c r="D207" s="4"/>
      <c r="E207" s="2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</row>
    <row r="208" spans="1:100" ht="16.5" customHeight="1" x14ac:dyDescent="0.2">
      <c r="A208" s="3"/>
      <c r="B208" s="4"/>
      <c r="C208" s="4"/>
      <c r="D208" s="4"/>
      <c r="E208" s="2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</row>
    <row r="209" spans="1:100" ht="16.5" customHeight="1" x14ac:dyDescent="0.2">
      <c r="A209" s="3"/>
      <c r="B209" s="4"/>
      <c r="C209" s="4"/>
      <c r="D209" s="4"/>
      <c r="E209" s="2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</row>
    <row r="210" spans="1:100" ht="16.5" customHeight="1" x14ac:dyDescent="0.2">
      <c r="A210" s="3"/>
      <c r="B210" s="4"/>
      <c r="C210" s="4"/>
      <c r="D210" s="4"/>
      <c r="E210" s="2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</row>
    <row r="211" spans="1:100" ht="16.5" customHeight="1" x14ac:dyDescent="0.2">
      <c r="A211" s="3"/>
      <c r="B211" s="4"/>
      <c r="C211" s="4"/>
      <c r="D211" s="4"/>
      <c r="E211" s="2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</row>
    <row r="212" spans="1:100" ht="16.5" customHeight="1" x14ac:dyDescent="0.2">
      <c r="A212" s="3"/>
      <c r="B212" s="4"/>
      <c r="C212" s="4"/>
      <c r="D212" s="4"/>
      <c r="E212" s="2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</row>
    <row r="213" spans="1:100" ht="16.5" customHeight="1" x14ac:dyDescent="0.2">
      <c r="A213" s="3"/>
      <c r="B213" s="4"/>
      <c r="C213" s="4"/>
      <c r="D213" s="4"/>
      <c r="E213" s="2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</row>
    <row r="214" spans="1:100" ht="16.5" customHeight="1" x14ac:dyDescent="0.2">
      <c r="A214" s="3"/>
      <c r="B214" s="4"/>
      <c r="C214" s="4"/>
      <c r="D214" s="4"/>
      <c r="E214" s="2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</row>
    <row r="215" spans="1:100" ht="16.5" customHeight="1" x14ac:dyDescent="0.2">
      <c r="A215" s="3"/>
      <c r="B215" s="4"/>
      <c r="C215" s="4"/>
      <c r="D215" s="4"/>
      <c r="E215" s="2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</row>
    <row r="216" spans="1:100" ht="16.5" customHeight="1" x14ac:dyDescent="0.2">
      <c r="A216" s="3"/>
      <c r="B216" s="4"/>
      <c r="C216" s="4"/>
      <c r="D216" s="4"/>
      <c r="E216" s="2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</row>
    <row r="217" spans="1:100" ht="16.5" customHeight="1" x14ac:dyDescent="0.2">
      <c r="A217" s="3"/>
      <c r="B217" s="4"/>
      <c r="C217" s="4"/>
      <c r="D217" s="4"/>
      <c r="E217" s="2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</row>
    <row r="218" spans="1:100" ht="16.5" customHeight="1" x14ac:dyDescent="0.2">
      <c r="A218" s="3"/>
      <c r="B218" s="4"/>
      <c r="C218" s="4"/>
      <c r="D218" s="4"/>
      <c r="E218" s="2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</row>
    <row r="219" spans="1:100" ht="16.5" customHeight="1" x14ac:dyDescent="0.2">
      <c r="A219" s="3"/>
      <c r="B219" s="4"/>
      <c r="C219" s="4"/>
      <c r="D219" s="4"/>
      <c r="E219" s="2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</row>
    <row r="220" spans="1:100" ht="16.5" customHeight="1" x14ac:dyDescent="0.2">
      <c r="A220" s="3"/>
      <c r="B220" s="4"/>
      <c r="C220" s="4"/>
      <c r="D220" s="4"/>
      <c r="E220" s="2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</row>
    <row r="221" spans="1:100" ht="16.5" customHeight="1" x14ac:dyDescent="0.2">
      <c r="A221" s="3"/>
      <c r="B221" s="4"/>
      <c r="C221" s="4"/>
      <c r="D221" s="4"/>
      <c r="E221" s="2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</row>
    <row r="222" spans="1:100" ht="16.5" customHeight="1" x14ac:dyDescent="0.2">
      <c r="A222" s="3"/>
      <c r="B222" s="4"/>
      <c r="C222" s="4"/>
      <c r="D222" s="4"/>
      <c r="E222" s="2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</row>
    <row r="223" spans="1:100" ht="16.5" customHeight="1" x14ac:dyDescent="0.2">
      <c r="A223" s="3"/>
      <c r="B223" s="4"/>
      <c r="C223" s="4"/>
      <c r="D223" s="4"/>
      <c r="E223" s="2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</row>
    <row r="224" spans="1:100" ht="16.5" customHeight="1" x14ac:dyDescent="0.2">
      <c r="A224" s="3"/>
      <c r="B224" s="4"/>
      <c r="C224" s="4"/>
      <c r="D224" s="4"/>
      <c r="E224" s="2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</row>
    <row r="225" spans="1:100" ht="16.5" customHeight="1" x14ac:dyDescent="0.2">
      <c r="A225" s="3"/>
      <c r="B225" s="4"/>
      <c r="C225" s="4"/>
      <c r="D225" s="4"/>
      <c r="E225" s="2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</row>
    <row r="226" spans="1:100" ht="16.5" customHeight="1" x14ac:dyDescent="0.2">
      <c r="A226" s="3"/>
      <c r="B226" s="4"/>
      <c r="C226" s="4"/>
      <c r="D226" s="4"/>
      <c r="E226" s="2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</row>
    <row r="227" spans="1:100" ht="16.5" customHeight="1" x14ac:dyDescent="0.2">
      <c r="A227" s="3"/>
      <c r="B227" s="4"/>
      <c r="C227" s="4"/>
      <c r="D227" s="4"/>
      <c r="E227" s="2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</row>
    <row r="228" spans="1:100" ht="16.5" customHeight="1" x14ac:dyDescent="0.2">
      <c r="A228" s="3"/>
      <c r="B228" s="4"/>
      <c r="C228" s="4"/>
      <c r="D228" s="4"/>
      <c r="E228" s="2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</row>
    <row r="229" spans="1:100" ht="16.5" customHeight="1" x14ac:dyDescent="0.2">
      <c r="A229" s="3"/>
      <c r="B229" s="4"/>
      <c r="C229" s="4"/>
      <c r="D229" s="4"/>
      <c r="E229" s="2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</row>
    <row r="230" spans="1:100" ht="16.5" customHeight="1" x14ac:dyDescent="0.2">
      <c r="A230" s="3"/>
      <c r="B230" s="4"/>
      <c r="C230" s="4"/>
      <c r="D230" s="4"/>
      <c r="E230" s="2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</row>
    <row r="231" spans="1:100" ht="16.5" customHeight="1" x14ac:dyDescent="0.2">
      <c r="A231" s="3"/>
      <c r="B231" s="4"/>
      <c r="C231" s="4"/>
      <c r="D231" s="4"/>
      <c r="E231" s="2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</row>
    <row r="232" spans="1:100" ht="16.5" customHeight="1" x14ac:dyDescent="0.2">
      <c r="A232" s="3"/>
      <c r="B232" s="4"/>
      <c r="C232" s="4"/>
      <c r="D232" s="4"/>
      <c r="E232" s="2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</row>
    <row r="233" spans="1:100" ht="16.5" customHeight="1" x14ac:dyDescent="0.2">
      <c r="A233" s="3"/>
      <c r="B233" s="4"/>
      <c r="C233" s="4"/>
      <c r="D233" s="4"/>
      <c r="E233" s="2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</row>
    <row r="234" spans="1:100" ht="16.5" customHeight="1" x14ac:dyDescent="0.2">
      <c r="A234" s="3"/>
      <c r="B234" s="4"/>
      <c r="C234" s="4"/>
      <c r="D234" s="4"/>
      <c r="E234" s="2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</row>
    <row r="235" spans="1:100" ht="16.5" customHeight="1" x14ac:dyDescent="0.2">
      <c r="A235" s="3"/>
      <c r="B235" s="4"/>
      <c r="C235" s="4"/>
      <c r="D235" s="4"/>
      <c r="E235" s="2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</row>
    <row r="236" spans="1:100" ht="16.5" customHeight="1" x14ac:dyDescent="0.2">
      <c r="A236" s="3"/>
      <c r="B236" s="4"/>
      <c r="C236" s="4"/>
      <c r="D236" s="4"/>
      <c r="E236" s="2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</row>
    <row r="237" spans="1:100" ht="16.5" customHeight="1" x14ac:dyDescent="0.2">
      <c r="A237" s="3"/>
      <c r="B237" s="4"/>
      <c r="C237" s="4"/>
      <c r="D237" s="4"/>
      <c r="E237" s="2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</row>
    <row r="238" spans="1:100" ht="16.5" customHeight="1" x14ac:dyDescent="0.2">
      <c r="A238" s="3"/>
      <c r="B238" s="4"/>
      <c r="C238" s="4"/>
      <c r="D238" s="4"/>
      <c r="E238" s="2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</row>
    <row r="239" spans="1:100" ht="16.5" customHeight="1" x14ac:dyDescent="0.2">
      <c r="A239" s="3"/>
      <c r="B239" s="4"/>
      <c r="C239" s="4"/>
      <c r="D239" s="4"/>
      <c r="E239" s="2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</row>
    <row r="240" spans="1:100" ht="16.5" customHeight="1" x14ac:dyDescent="0.2">
      <c r="A240" s="3"/>
      <c r="B240" s="4"/>
      <c r="C240" s="4"/>
      <c r="D240" s="4"/>
      <c r="E240" s="2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</row>
    <row r="241" spans="1:100" ht="16.5" customHeight="1" x14ac:dyDescent="0.2">
      <c r="A241" s="3"/>
      <c r="B241" s="4"/>
      <c r="C241" s="4"/>
      <c r="D241" s="4"/>
      <c r="E241" s="2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</row>
    <row r="242" spans="1:100" ht="16.5" customHeight="1" x14ac:dyDescent="0.2">
      <c r="A242" s="3"/>
      <c r="B242" s="4"/>
      <c r="C242" s="4"/>
      <c r="D242" s="4"/>
      <c r="E242" s="2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</row>
    <row r="243" spans="1:100" ht="16.5" customHeight="1" x14ac:dyDescent="0.2">
      <c r="A243" s="3"/>
      <c r="B243" s="4"/>
      <c r="C243" s="4"/>
      <c r="D243" s="4"/>
      <c r="E243" s="2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</row>
    <row r="244" spans="1:100" ht="16.5" customHeight="1" x14ac:dyDescent="0.2">
      <c r="A244" s="3"/>
      <c r="B244" s="4"/>
      <c r="C244" s="4"/>
      <c r="D244" s="4"/>
      <c r="E244" s="2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</row>
    <row r="245" spans="1:100" ht="16.5" customHeight="1" x14ac:dyDescent="0.2">
      <c r="A245" s="3"/>
      <c r="B245" s="4"/>
      <c r="C245" s="4"/>
      <c r="D245" s="4"/>
      <c r="E245" s="2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</row>
    <row r="246" spans="1:100" ht="16.5" customHeight="1" x14ac:dyDescent="0.2">
      <c r="A246" s="3"/>
      <c r="B246" s="4"/>
      <c r="C246" s="4"/>
      <c r="D246" s="4"/>
      <c r="E246" s="2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</row>
    <row r="247" spans="1:100" ht="16.5" customHeight="1" x14ac:dyDescent="0.2">
      <c r="A247" s="3"/>
      <c r="B247" s="4"/>
      <c r="C247" s="4"/>
      <c r="D247" s="4"/>
      <c r="E247" s="2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</row>
    <row r="248" spans="1:100" ht="16.5" customHeight="1" x14ac:dyDescent="0.2">
      <c r="A248" s="3"/>
      <c r="B248" s="4"/>
      <c r="C248" s="4"/>
      <c r="D248" s="4"/>
      <c r="E248" s="2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</row>
    <row r="249" spans="1:100" ht="16.5" customHeight="1" x14ac:dyDescent="0.2">
      <c r="A249" s="3"/>
      <c r="B249" s="4"/>
      <c r="C249" s="4"/>
      <c r="D249" s="4"/>
      <c r="E249" s="2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</row>
    <row r="250" spans="1:100" ht="16.5" customHeight="1" x14ac:dyDescent="0.2">
      <c r="A250" s="3"/>
      <c r="B250" s="4"/>
      <c r="C250" s="4"/>
      <c r="D250" s="4"/>
      <c r="E250" s="2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</row>
    <row r="251" spans="1:100" ht="16.5" customHeight="1" x14ac:dyDescent="0.2">
      <c r="A251" s="3"/>
      <c r="B251" s="4"/>
      <c r="C251" s="4"/>
      <c r="D251" s="4"/>
      <c r="E251" s="2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</row>
    <row r="252" spans="1:100" ht="16.5" customHeight="1" x14ac:dyDescent="0.2">
      <c r="A252" s="3"/>
      <c r="B252" s="4"/>
      <c r="C252" s="4"/>
      <c r="D252" s="4"/>
      <c r="E252" s="2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</row>
    <row r="253" spans="1:100" ht="16.5" customHeight="1" x14ac:dyDescent="0.2">
      <c r="A253" s="3"/>
      <c r="B253" s="4"/>
      <c r="C253" s="4"/>
      <c r="D253" s="4"/>
      <c r="E253" s="2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</row>
    <row r="254" spans="1:100" ht="16.5" customHeight="1" x14ac:dyDescent="0.2">
      <c r="A254" s="3"/>
      <c r="B254" s="4"/>
      <c r="C254" s="4"/>
      <c r="D254" s="4"/>
      <c r="E254" s="2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</row>
    <row r="255" spans="1:100" ht="16.5" customHeight="1" x14ac:dyDescent="0.2">
      <c r="A255" s="3"/>
      <c r="B255" s="4"/>
      <c r="C255" s="4"/>
      <c r="D255" s="4"/>
      <c r="E255" s="2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</row>
    <row r="256" spans="1:100" ht="16.5" customHeight="1" x14ac:dyDescent="0.2">
      <c r="A256" s="3"/>
      <c r="B256" s="4"/>
      <c r="C256" s="4"/>
      <c r="D256" s="4"/>
      <c r="E256" s="2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</row>
    <row r="257" spans="1:100" ht="16.5" customHeight="1" x14ac:dyDescent="0.2">
      <c r="A257" s="3"/>
      <c r="B257" s="4"/>
      <c r="C257" s="4"/>
      <c r="D257" s="4"/>
      <c r="E257" s="2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</row>
    <row r="258" spans="1:100" ht="16.5" customHeight="1" x14ac:dyDescent="0.2">
      <c r="A258" s="3"/>
      <c r="B258" s="4"/>
      <c r="C258" s="4"/>
      <c r="D258" s="4"/>
      <c r="E258" s="2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</row>
    <row r="259" spans="1:100" ht="16.5" customHeight="1" x14ac:dyDescent="0.2">
      <c r="A259" s="3"/>
      <c r="B259" s="4"/>
      <c r="C259" s="4"/>
      <c r="D259" s="4"/>
      <c r="E259" s="2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</row>
    <row r="260" spans="1:100" ht="16.5" customHeight="1" x14ac:dyDescent="0.2">
      <c r="A260" s="3"/>
      <c r="B260" s="4"/>
      <c r="C260" s="4"/>
      <c r="D260" s="4"/>
      <c r="E260" s="2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</row>
    <row r="261" spans="1:100" ht="16.5" customHeight="1" x14ac:dyDescent="0.2">
      <c r="A261" s="3"/>
      <c r="B261" s="4"/>
      <c r="C261" s="4"/>
      <c r="D261" s="4"/>
      <c r="E261" s="2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</row>
    <row r="262" spans="1:100" ht="16.5" customHeight="1" x14ac:dyDescent="0.2">
      <c r="A262" s="3"/>
      <c r="B262" s="4"/>
      <c r="C262" s="4"/>
      <c r="D262" s="4"/>
      <c r="E262" s="2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</row>
    <row r="263" spans="1:100" ht="16.5" customHeight="1" x14ac:dyDescent="0.2">
      <c r="A263" s="3"/>
      <c r="B263" s="4"/>
      <c r="C263" s="4"/>
      <c r="D263" s="4"/>
      <c r="E263" s="2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</row>
    <row r="264" spans="1:100" ht="16.5" customHeight="1" x14ac:dyDescent="0.2">
      <c r="A264" s="3"/>
      <c r="B264" s="4"/>
      <c r="C264" s="4"/>
      <c r="D264" s="4"/>
      <c r="E264" s="2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</row>
    <row r="265" spans="1:100" ht="16.5" customHeight="1" x14ac:dyDescent="0.2">
      <c r="A265" s="3"/>
      <c r="B265" s="4"/>
      <c r="C265" s="4"/>
      <c r="D265" s="4"/>
      <c r="E265" s="2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</row>
    <row r="266" spans="1:100" ht="16.5" customHeight="1" x14ac:dyDescent="0.2">
      <c r="A266" s="3"/>
      <c r="B266" s="4"/>
      <c r="C266" s="4"/>
      <c r="D266" s="4"/>
      <c r="E266" s="2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</row>
    <row r="267" spans="1:100" ht="16.5" customHeight="1" x14ac:dyDescent="0.2">
      <c r="A267" s="3"/>
      <c r="B267" s="4"/>
      <c r="C267" s="4"/>
      <c r="D267" s="4"/>
      <c r="E267" s="2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</row>
    <row r="268" spans="1:100" ht="16.5" customHeight="1" x14ac:dyDescent="0.2">
      <c r="A268" s="3"/>
      <c r="B268" s="4"/>
      <c r="C268" s="4"/>
      <c r="D268" s="4"/>
      <c r="E268" s="2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</row>
    <row r="269" spans="1:100" ht="16.5" customHeight="1" x14ac:dyDescent="0.2">
      <c r="A269" s="3"/>
      <c r="B269" s="4"/>
      <c r="C269" s="4"/>
      <c r="D269" s="4"/>
      <c r="E269" s="2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</row>
    <row r="270" spans="1:100" ht="16.5" customHeight="1" x14ac:dyDescent="0.2">
      <c r="A270" s="3"/>
      <c r="B270" s="4"/>
      <c r="C270" s="4"/>
      <c r="D270" s="4"/>
      <c r="E270" s="2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</row>
    <row r="271" spans="1:100" ht="16.5" customHeight="1" x14ac:dyDescent="0.2">
      <c r="A271" s="3"/>
      <c r="B271" s="4"/>
      <c r="C271" s="4"/>
      <c r="D271" s="4"/>
      <c r="E271" s="2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</row>
    <row r="272" spans="1:100" ht="16.5" customHeight="1" x14ac:dyDescent="0.2">
      <c r="A272" s="3"/>
      <c r="B272" s="4"/>
      <c r="C272" s="4"/>
      <c r="D272" s="4"/>
      <c r="E272" s="2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</row>
    <row r="273" spans="1:100" ht="16.5" customHeight="1" x14ac:dyDescent="0.2">
      <c r="A273" s="3"/>
      <c r="B273" s="4"/>
      <c r="C273" s="4"/>
      <c r="D273" s="4"/>
      <c r="E273" s="2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</row>
    <row r="274" spans="1:100" ht="16.5" customHeight="1" x14ac:dyDescent="0.2">
      <c r="A274" s="3"/>
      <c r="B274" s="4"/>
      <c r="C274" s="4"/>
      <c r="D274" s="4"/>
      <c r="E274" s="2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</row>
    <row r="275" spans="1:100" ht="16.5" customHeight="1" x14ac:dyDescent="0.2">
      <c r="A275" s="3"/>
      <c r="B275" s="4"/>
      <c r="C275" s="4"/>
      <c r="D275" s="4"/>
      <c r="E275" s="2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</row>
    <row r="276" spans="1:100" ht="16.5" customHeight="1" x14ac:dyDescent="0.2">
      <c r="A276" s="3"/>
      <c r="B276" s="4"/>
      <c r="C276" s="4"/>
      <c r="D276" s="4"/>
      <c r="E276" s="2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</row>
    <row r="277" spans="1:100" ht="16.5" customHeight="1" x14ac:dyDescent="0.2">
      <c r="A277" s="3"/>
      <c r="B277" s="4"/>
      <c r="C277" s="4"/>
      <c r="D277" s="4"/>
      <c r="E277" s="2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</row>
    <row r="278" spans="1:100" ht="16.5" customHeight="1" x14ac:dyDescent="0.2">
      <c r="A278" s="3"/>
      <c r="B278" s="4"/>
      <c r="C278" s="4"/>
      <c r="D278" s="4"/>
      <c r="E278" s="2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</row>
    <row r="279" spans="1:100" ht="16.5" customHeight="1" x14ac:dyDescent="0.2">
      <c r="A279" s="3"/>
      <c r="B279" s="4"/>
      <c r="C279" s="4"/>
      <c r="D279" s="4"/>
      <c r="E279" s="2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</row>
    <row r="280" spans="1:100" ht="16.5" customHeight="1" x14ac:dyDescent="0.2">
      <c r="A280" s="3"/>
      <c r="B280" s="4"/>
      <c r="C280" s="4"/>
      <c r="D280" s="4"/>
      <c r="E280" s="2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</row>
    <row r="281" spans="1:100" ht="16.5" customHeight="1" x14ac:dyDescent="0.2">
      <c r="A281" s="3"/>
      <c r="B281" s="4"/>
      <c r="C281" s="4"/>
      <c r="D281" s="4"/>
      <c r="E281" s="2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</row>
    <row r="282" spans="1:100" ht="16.5" customHeight="1" x14ac:dyDescent="0.2">
      <c r="A282" s="3"/>
      <c r="B282" s="4"/>
      <c r="C282" s="4"/>
      <c r="D282" s="4"/>
      <c r="E282" s="2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</row>
    <row r="283" spans="1:100" ht="16.5" customHeight="1" x14ac:dyDescent="0.2">
      <c r="A283" s="3"/>
      <c r="B283" s="4"/>
      <c r="C283" s="4"/>
      <c r="D283" s="4"/>
      <c r="E283" s="2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</row>
    <row r="284" spans="1:100" ht="16.5" customHeight="1" x14ac:dyDescent="0.2">
      <c r="A284" s="3"/>
      <c r="B284" s="4"/>
      <c r="C284" s="4"/>
      <c r="D284" s="4"/>
      <c r="E284" s="2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</row>
    <row r="285" spans="1:100" ht="16.5" customHeight="1" x14ac:dyDescent="0.2">
      <c r="A285" s="3"/>
      <c r="B285" s="4"/>
      <c r="C285" s="4"/>
      <c r="D285" s="4"/>
      <c r="E285" s="2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</row>
    <row r="286" spans="1:100" ht="16.5" customHeight="1" x14ac:dyDescent="0.2">
      <c r="A286" s="3"/>
      <c r="B286" s="4"/>
      <c r="C286" s="4"/>
      <c r="D286" s="4"/>
      <c r="E286" s="2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</row>
    <row r="287" spans="1:100" ht="16.5" customHeight="1" x14ac:dyDescent="0.2">
      <c r="A287" s="3"/>
      <c r="B287" s="4"/>
      <c r="C287" s="4"/>
      <c r="D287" s="4"/>
      <c r="E287" s="2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</row>
    <row r="288" spans="1:100" ht="16.5" customHeight="1" x14ac:dyDescent="0.2">
      <c r="A288" s="3"/>
      <c r="B288" s="4"/>
      <c r="C288" s="4"/>
      <c r="D288" s="4"/>
      <c r="E288" s="2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</row>
    <row r="289" spans="1:100" ht="16.5" customHeight="1" x14ac:dyDescent="0.2">
      <c r="A289" s="3"/>
      <c r="B289" s="4"/>
      <c r="C289" s="4"/>
      <c r="D289" s="4"/>
      <c r="E289" s="2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</row>
    <row r="290" spans="1:100" ht="16.5" customHeight="1" x14ac:dyDescent="0.2">
      <c r="A290" s="3"/>
      <c r="B290" s="4"/>
      <c r="C290" s="4"/>
      <c r="D290" s="4"/>
      <c r="E290" s="2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</row>
    <row r="291" spans="1:100" ht="16.5" customHeight="1" x14ac:dyDescent="0.2">
      <c r="A291" s="3"/>
      <c r="B291" s="4"/>
      <c r="C291" s="4"/>
      <c r="D291" s="4"/>
      <c r="E291" s="2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</row>
    <row r="292" spans="1:100" ht="16.5" customHeight="1" x14ac:dyDescent="0.2">
      <c r="A292" s="3"/>
      <c r="B292" s="4"/>
      <c r="C292" s="4"/>
      <c r="D292" s="4"/>
      <c r="E292" s="2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</row>
    <row r="293" spans="1:100" ht="16.5" customHeight="1" x14ac:dyDescent="0.2">
      <c r="A293" s="3"/>
      <c r="B293" s="4"/>
      <c r="C293" s="4"/>
      <c r="D293" s="4"/>
      <c r="E293" s="2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</row>
    <row r="294" spans="1:100" ht="16.5" customHeight="1" x14ac:dyDescent="0.2">
      <c r="A294" s="3"/>
      <c r="B294" s="4"/>
      <c r="C294" s="4"/>
      <c r="D294" s="4"/>
      <c r="E294" s="2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</row>
    <row r="295" spans="1:100" ht="16.5" customHeight="1" x14ac:dyDescent="0.2">
      <c r="A295" s="3"/>
      <c r="B295" s="4"/>
      <c r="C295" s="4"/>
      <c r="D295" s="4"/>
      <c r="E295" s="2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</row>
    <row r="296" spans="1:100" ht="16.5" customHeight="1" x14ac:dyDescent="0.2">
      <c r="A296" s="3"/>
      <c r="B296" s="4"/>
      <c r="C296" s="4"/>
      <c r="D296" s="4"/>
      <c r="E296" s="2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</row>
    <row r="297" spans="1:100" ht="16.5" customHeight="1" x14ac:dyDescent="0.2">
      <c r="A297" s="3"/>
      <c r="B297" s="4"/>
      <c r="C297" s="4"/>
      <c r="D297" s="4"/>
      <c r="E297" s="2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</row>
    <row r="298" spans="1:100" ht="16.5" customHeight="1" x14ac:dyDescent="0.2">
      <c r="A298" s="3"/>
      <c r="B298" s="4"/>
      <c r="C298" s="4"/>
      <c r="D298" s="4"/>
      <c r="E298" s="2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</row>
    <row r="299" spans="1:100" ht="16.5" customHeight="1" x14ac:dyDescent="0.2">
      <c r="A299" s="3"/>
      <c r="B299" s="4"/>
      <c r="C299" s="4"/>
      <c r="D299" s="4"/>
      <c r="E299" s="2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</row>
    <row r="300" spans="1:100" ht="16.5" customHeight="1" x14ac:dyDescent="0.2">
      <c r="A300" s="3"/>
      <c r="B300" s="4"/>
      <c r="C300" s="4"/>
      <c r="D300" s="4"/>
      <c r="E300" s="2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</row>
    <row r="301" spans="1:100" ht="16.5" customHeight="1" x14ac:dyDescent="0.2">
      <c r="A301" s="3"/>
      <c r="B301" s="4"/>
      <c r="C301" s="4"/>
      <c r="D301" s="4"/>
      <c r="E301" s="2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</row>
    <row r="302" spans="1:100" ht="16.5" customHeight="1" x14ac:dyDescent="0.2">
      <c r="A302" s="3"/>
      <c r="B302" s="4"/>
      <c r="C302" s="4"/>
      <c r="D302" s="4"/>
      <c r="E302" s="2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</row>
    <row r="303" spans="1:100" ht="16.5" customHeight="1" x14ac:dyDescent="0.2">
      <c r="A303" s="3"/>
      <c r="B303" s="4"/>
      <c r="C303" s="4"/>
      <c r="D303" s="4"/>
      <c r="E303" s="2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</row>
    <row r="304" spans="1:100" ht="16.5" customHeight="1" x14ac:dyDescent="0.2">
      <c r="A304" s="3"/>
      <c r="B304" s="4"/>
      <c r="C304" s="4"/>
      <c r="D304" s="4"/>
      <c r="E304" s="2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</row>
    <row r="305" spans="1:100" ht="16.5" customHeight="1" x14ac:dyDescent="0.2">
      <c r="A305" s="3"/>
      <c r="B305" s="4"/>
      <c r="C305" s="4"/>
      <c r="D305" s="4"/>
      <c r="E305" s="2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</row>
    <row r="306" spans="1:100" ht="16.5" customHeight="1" x14ac:dyDescent="0.2">
      <c r="A306" s="3"/>
      <c r="B306" s="4"/>
      <c r="C306" s="4"/>
      <c r="D306" s="4"/>
      <c r="E306" s="2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</row>
    <row r="307" spans="1:100" ht="16.5" customHeight="1" x14ac:dyDescent="0.2">
      <c r="A307" s="3"/>
      <c r="B307" s="4"/>
      <c r="C307" s="4"/>
      <c r="D307" s="4"/>
      <c r="E307" s="2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</row>
    <row r="308" spans="1:100" ht="16.5" customHeight="1" x14ac:dyDescent="0.2">
      <c r="A308" s="3"/>
      <c r="B308" s="4"/>
      <c r="C308" s="4"/>
      <c r="D308" s="4"/>
      <c r="E308" s="2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</row>
    <row r="309" spans="1:100" ht="16.5" customHeight="1" x14ac:dyDescent="0.2">
      <c r="A309" s="3"/>
      <c r="B309" s="4"/>
      <c r="C309" s="4"/>
      <c r="D309" s="4"/>
      <c r="E309" s="2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</row>
    <row r="310" spans="1:100" ht="16.5" customHeight="1" x14ac:dyDescent="0.2">
      <c r="A310" s="3"/>
      <c r="B310" s="4"/>
      <c r="C310" s="4"/>
      <c r="D310" s="4"/>
      <c r="E310" s="2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</row>
    <row r="311" spans="1:100" ht="16.5" customHeight="1" x14ac:dyDescent="0.2">
      <c r="A311" s="3"/>
      <c r="B311" s="4"/>
      <c r="C311" s="4"/>
      <c r="D311" s="4"/>
      <c r="E311" s="2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</row>
    <row r="312" spans="1:100" ht="16.5" customHeight="1" x14ac:dyDescent="0.2">
      <c r="A312" s="3"/>
      <c r="B312" s="4"/>
      <c r="C312" s="4"/>
      <c r="D312" s="4"/>
      <c r="E312" s="2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</row>
    <row r="313" spans="1:100" ht="16.5" customHeight="1" x14ac:dyDescent="0.2">
      <c r="A313" s="3"/>
      <c r="B313" s="4"/>
      <c r="C313" s="4"/>
      <c r="D313" s="4"/>
      <c r="E313" s="2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</row>
    <row r="314" spans="1:100" ht="16.5" customHeight="1" x14ac:dyDescent="0.2">
      <c r="A314" s="3"/>
      <c r="B314" s="4"/>
      <c r="C314" s="4"/>
      <c r="D314" s="4"/>
      <c r="E314" s="2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</row>
    <row r="315" spans="1:100" ht="16.5" customHeight="1" x14ac:dyDescent="0.2">
      <c r="A315" s="3"/>
      <c r="B315" s="4"/>
      <c r="C315" s="4"/>
      <c r="D315" s="4"/>
      <c r="E315" s="2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</row>
    <row r="316" spans="1:100" ht="16.5" customHeight="1" x14ac:dyDescent="0.2">
      <c r="A316" s="3"/>
      <c r="B316" s="4"/>
      <c r="C316" s="4"/>
      <c r="D316" s="4"/>
      <c r="E316" s="2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</row>
    <row r="317" spans="1:100" ht="16.5" customHeight="1" x14ac:dyDescent="0.2">
      <c r="A317" s="3"/>
      <c r="B317" s="4"/>
      <c r="C317" s="4"/>
      <c r="D317" s="4"/>
      <c r="E317" s="2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</row>
    <row r="318" spans="1:100" ht="16.5" customHeight="1" x14ac:dyDescent="0.2">
      <c r="A318" s="3"/>
      <c r="B318" s="4"/>
      <c r="C318" s="4"/>
      <c r="D318" s="4"/>
      <c r="E318" s="2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</row>
    <row r="319" spans="1:100" ht="16.5" customHeight="1" x14ac:dyDescent="0.2">
      <c r="A319" s="3"/>
      <c r="B319" s="4"/>
      <c r="C319" s="4"/>
      <c r="D319" s="4"/>
      <c r="E319" s="2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</row>
    <row r="320" spans="1:100" ht="16.5" customHeight="1" x14ac:dyDescent="0.2">
      <c r="A320" s="3"/>
      <c r="B320" s="4"/>
      <c r="C320" s="4"/>
      <c r="D320" s="4"/>
      <c r="E320" s="2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</row>
    <row r="321" spans="1:100" ht="16.5" customHeight="1" x14ac:dyDescent="0.2">
      <c r="A321" s="3"/>
      <c r="B321" s="4"/>
      <c r="C321" s="4"/>
      <c r="D321" s="4"/>
      <c r="E321" s="2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</row>
    <row r="322" spans="1:100" ht="16.5" customHeight="1" x14ac:dyDescent="0.2">
      <c r="A322" s="3"/>
      <c r="B322" s="4"/>
      <c r="C322" s="4"/>
      <c r="D322" s="4"/>
      <c r="E322" s="2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</row>
    <row r="323" spans="1:100" ht="16.5" customHeight="1" x14ac:dyDescent="0.2">
      <c r="A323" s="3"/>
      <c r="B323" s="4"/>
      <c r="C323" s="4"/>
      <c r="D323" s="4"/>
      <c r="E323" s="2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</row>
    <row r="324" spans="1:100" ht="16.5" customHeight="1" x14ac:dyDescent="0.2">
      <c r="A324" s="3"/>
      <c r="B324" s="4"/>
      <c r="C324" s="4"/>
      <c r="D324" s="4"/>
      <c r="E324" s="2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</row>
    <row r="325" spans="1:100" ht="16.5" customHeight="1" x14ac:dyDescent="0.2">
      <c r="A325" s="3"/>
      <c r="B325" s="4"/>
      <c r="C325" s="4"/>
      <c r="D325" s="4"/>
      <c r="E325" s="2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</row>
    <row r="326" spans="1:100" ht="16.5" customHeight="1" x14ac:dyDescent="0.2">
      <c r="A326" s="3"/>
      <c r="B326" s="4"/>
      <c r="C326" s="4"/>
      <c r="D326" s="4"/>
      <c r="E326" s="2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</row>
    <row r="327" spans="1:100" ht="16.5" customHeight="1" x14ac:dyDescent="0.2">
      <c r="A327" s="3"/>
      <c r="B327" s="4"/>
      <c r="C327" s="4"/>
      <c r="D327" s="4"/>
      <c r="E327" s="2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</row>
    <row r="328" spans="1:100" ht="16.5" customHeight="1" x14ac:dyDescent="0.2">
      <c r="A328" s="3"/>
      <c r="B328" s="4"/>
      <c r="C328" s="4"/>
      <c r="D328" s="4"/>
      <c r="E328" s="2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</row>
    <row r="329" spans="1:100" ht="16.5" customHeight="1" x14ac:dyDescent="0.2">
      <c r="A329" s="3"/>
      <c r="B329" s="4"/>
      <c r="C329" s="4"/>
      <c r="D329" s="4"/>
      <c r="E329" s="2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</row>
    <row r="330" spans="1:100" ht="16.5" customHeight="1" x14ac:dyDescent="0.2">
      <c r="A330" s="3"/>
      <c r="B330" s="4"/>
      <c r="C330" s="4"/>
      <c r="D330" s="4"/>
      <c r="E330" s="2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</row>
    <row r="331" spans="1:100" ht="16.5" customHeight="1" x14ac:dyDescent="0.2">
      <c r="A331" s="3"/>
      <c r="B331" s="4"/>
      <c r="C331" s="4"/>
      <c r="D331" s="4"/>
      <c r="E331" s="2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</row>
    <row r="332" spans="1:100" ht="16.5" customHeight="1" x14ac:dyDescent="0.2">
      <c r="A332" s="3"/>
      <c r="B332" s="4"/>
      <c r="C332" s="4"/>
      <c r="D332" s="4"/>
      <c r="E332" s="2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</row>
    <row r="333" spans="1:100" ht="16.5" customHeight="1" x14ac:dyDescent="0.2">
      <c r="A333" s="3"/>
      <c r="B333" s="4"/>
      <c r="C333" s="4"/>
      <c r="D333" s="4"/>
      <c r="E333" s="2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</row>
    <row r="334" spans="1:100" ht="16.5" customHeight="1" x14ac:dyDescent="0.2">
      <c r="A334" s="3"/>
      <c r="B334" s="4"/>
      <c r="C334" s="4"/>
      <c r="D334" s="4"/>
      <c r="E334" s="2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</row>
    <row r="335" spans="1:100" ht="16.5" customHeight="1" x14ac:dyDescent="0.2">
      <c r="A335" s="3"/>
      <c r="B335" s="4"/>
      <c r="C335" s="4"/>
      <c r="D335" s="4"/>
      <c r="E335" s="2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</row>
    <row r="336" spans="1:100" ht="16.5" customHeight="1" x14ac:dyDescent="0.2">
      <c r="A336" s="3"/>
      <c r="B336" s="4"/>
      <c r="C336" s="4"/>
      <c r="D336" s="4"/>
      <c r="E336" s="2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</row>
    <row r="337" spans="1:67" ht="16.5" customHeight="1" x14ac:dyDescent="0.2">
      <c r="A337" s="3"/>
      <c r="B337" s="3"/>
      <c r="C337" s="3"/>
      <c r="D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</row>
    <row r="338" spans="1:67" ht="16.5" customHeight="1" x14ac:dyDescent="0.2">
      <c r="A338" s="3"/>
      <c r="B338" s="3"/>
      <c r="C338" s="3"/>
      <c r="D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</row>
    <row r="339" spans="1:67" ht="16.5" customHeight="1" x14ac:dyDescent="0.2">
      <c r="A339" s="3"/>
      <c r="B339" s="3"/>
      <c r="C339" s="3"/>
      <c r="D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</row>
    <row r="340" spans="1:67" ht="16.5" customHeight="1" x14ac:dyDescent="0.2">
      <c r="A340" s="3"/>
      <c r="B340" s="3"/>
      <c r="C340" s="3"/>
      <c r="D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</row>
    <row r="341" spans="1:67" ht="16.5" customHeight="1" x14ac:dyDescent="0.2">
      <c r="A341" s="3"/>
      <c r="B341" s="3"/>
      <c r="C341" s="3"/>
      <c r="D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</row>
    <row r="342" spans="1:67" ht="16.5" customHeight="1" x14ac:dyDescent="0.2">
      <c r="A342" s="3"/>
      <c r="B342" s="3"/>
      <c r="C342" s="3"/>
      <c r="D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</row>
    <row r="343" spans="1:67" ht="16.5" customHeight="1" x14ac:dyDescent="0.2">
      <c r="A343" s="3"/>
      <c r="B343" s="3"/>
      <c r="C343" s="3"/>
      <c r="D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</row>
    <row r="344" spans="1:67" ht="16.5" customHeight="1" x14ac:dyDescent="0.2">
      <c r="A344" s="3"/>
      <c r="B344" s="3"/>
      <c r="C344" s="3"/>
      <c r="D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</row>
    <row r="345" spans="1:67" ht="16.5" customHeight="1" x14ac:dyDescent="0.2">
      <c r="A345" s="3"/>
      <c r="B345" s="3"/>
      <c r="C345" s="3"/>
      <c r="D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</row>
    <row r="346" spans="1:67" ht="16.5" customHeight="1" x14ac:dyDescent="0.2">
      <c r="A346" s="3"/>
      <c r="B346" s="3"/>
      <c r="C346" s="3"/>
      <c r="D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</row>
    <row r="347" spans="1:67" ht="16.5" customHeight="1" x14ac:dyDescent="0.2">
      <c r="A347" s="3"/>
      <c r="B347" s="3"/>
      <c r="C347" s="3"/>
      <c r="D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</row>
    <row r="348" spans="1:67" ht="16.5" customHeight="1" x14ac:dyDescent="0.2">
      <c r="A348" s="3"/>
      <c r="B348" s="3"/>
      <c r="C348" s="3"/>
      <c r="D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</row>
    <row r="349" spans="1:67" ht="16.5" customHeight="1" x14ac:dyDescent="0.2">
      <c r="A349" s="3"/>
      <c r="B349" s="3"/>
      <c r="C349" s="3"/>
      <c r="D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</row>
    <row r="350" spans="1:67" ht="16.5" customHeight="1" x14ac:dyDescent="0.2">
      <c r="A350" s="3"/>
      <c r="B350" s="3"/>
      <c r="C350" s="3"/>
      <c r="D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</row>
    <row r="351" spans="1:67" ht="16.5" customHeight="1" x14ac:dyDescent="0.2">
      <c r="A351" s="3"/>
      <c r="B351" s="3"/>
      <c r="C351" s="3"/>
      <c r="D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</row>
    <row r="352" spans="1:67" ht="16.5" customHeight="1" x14ac:dyDescent="0.2">
      <c r="A352" s="3"/>
      <c r="B352" s="3"/>
      <c r="C352" s="3"/>
      <c r="D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</row>
    <row r="353" spans="1:67" ht="16.5" customHeight="1" x14ac:dyDescent="0.2">
      <c r="A353" s="3"/>
      <c r="B353" s="3"/>
      <c r="C353" s="3"/>
      <c r="D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</row>
    <row r="354" spans="1:67" ht="16.5" customHeight="1" x14ac:dyDescent="0.2">
      <c r="A354" s="3"/>
      <c r="B354" s="3"/>
      <c r="C354" s="3"/>
      <c r="D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</row>
    <row r="355" spans="1:67" ht="16.5" customHeight="1" x14ac:dyDescent="0.2">
      <c r="A355" s="3"/>
      <c r="B355" s="3"/>
      <c r="C355" s="3"/>
      <c r="D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</row>
    <row r="356" spans="1:67" ht="16.5" customHeight="1" x14ac:dyDescent="0.2">
      <c r="A356" s="3"/>
      <c r="B356" s="3"/>
      <c r="C356" s="3"/>
      <c r="D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</row>
    <row r="357" spans="1:67" ht="16.5" customHeight="1" x14ac:dyDescent="0.2">
      <c r="A357" s="3"/>
      <c r="B357" s="3"/>
      <c r="C357" s="3"/>
      <c r="D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</row>
    <row r="358" spans="1:67" ht="16.5" customHeight="1" x14ac:dyDescent="0.2">
      <c r="A358" s="3"/>
      <c r="B358" s="3"/>
      <c r="C358" s="3"/>
      <c r="D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</row>
    <row r="359" spans="1:67" ht="16.5" customHeight="1" x14ac:dyDescent="0.2">
      <c r="A359" s="3"/>
      <c r="B359" s="3"/>
      <c r="C359" s="3"/>
      <c r="D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</row>
    <row r="360" spans="1:67" ht="16.5" customHeight="1" x14ac:dyDescent="0.2">
      <c r="A360" s="3"/>
      <c r="B360" s="3"/>
      <c r="C360" s="3"/>
      <c r="D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</row>
    <row r="361" spans="1:67" ht="16.5" customHeight="1" x14ac:dyDescent="0.2">
      <c r="A361" s="3"/>
      <c r="B361" s="3"/>
      <c r="C361" s="3"/>
      <c r="D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</row>
    <row r="362" spans="1:67" ht="16.5" customHeight="1" x14ac:dyDescent="0.2">
      <c r="A362" s="3"/>
      <c r="B362" s="3"/>
      <c r="C362" s="3"/>
      <c r="D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</row>
    <row r="363" spans="1:67" ht="16.5" customHeight="1" x14ac:dyDescent="0.2">
      <c r="A363" s="3"/>
      <c r="B363" s="3"/>
      <c r="C363" s="3"/>
      <c r="D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</row>
    <row r="364" spans="1:67" ht="16.5" customHeight="1" x14ac:dyDescent="0.2">
      <c r="A364" s="3"/>
      <c r="B364" s="3"/>
      <c r="C364" s="3"/>
      <c r="D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</row>
    <row r="365" spans="1:67" ht="16.5" customHeight="1" x14ac:dyDescent="0.2">
      <c r="A365" s="3"/>
      <c r="B365" s="3"/>
      <c r="C365" s="3"/>
      <c r="D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</row>
    <row r="366" spans="1:67" ht="16.5" customHeight="1" x14ac:dyDescent="0.2">
      <c r="A366" s="3"/>
      <c r="B366" s="3"/>
      <c r="C366" s="3"/>
      <c r="D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</row>
    <row r="367" spans="1:67" ht="16.5" customHeight="1" x14ac:dyDescent="0.2">
      <c r="A367" s="3"/>
      <c r="B367" s="3"/>
      <c r="C367" s="3"/>
      <c r="D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</row>
    <row r="368" spans="1:67" ht="16.5" customHeight="1" x14ac:dyDescent="0.2">
      <c r="A368" s="3"/>
      <c r="B368" s="3"/>
      <c r="C368" s="3"/>
      <c r="D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</row>
    <row r="369" spans="1:67" ht="16.5" customHeight="1" x14ac:dyDescent="0.2">
      <c r="A369" s="3"/>
      <c r="B369" s="3"/>
      <c r="C369" s="3"/>
      <c r="D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</row>
    <row r="370" spans="1:67" ht="16.5" customHeight="1" x14ac:dyDescent="0.2">
      <c r="A370" s="3"/>
      <c r="B370" s="3"/>
      <c r="C370" s="3"/>
      <c r="D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</row>
    <row r="371" spans="1:67" ht="16.5" customHeight="1" x14ac:dyDescent="0.2">
      <c r="A371" s="3"/>
      <c r="B371" s="3"/>
      <c r="C371" s="3"/>
      <c r="D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</row>
    <row r="372" spans="1:67" ht="16.5" customHeight="1" x14ac:dyDescent="0.2">
      <c r="A372" s="3"/>
      <c r="B372" s="3"/>
      <c r="C372" s="3"/>
      <c r="D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</row>
    <row r="373" spans="1:67" ht="16.5" customHeight="1" x14ac:dyDescent="0.2">
      <c r="A373" s="3"/>
      <c r="B373" s="3"/>
      <c r="C373" s="3"/>
      <c r="D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</row>
    <row r="374" spans="1:67" ht="16.5" customHeight="1" x14ac:dyDescent="0.2">
      <c r="A374" s="3"/>
      <c r="B374" s="3"/>
      <c r="C374" s="3"/>
      <c r="D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</row>
    <row r="375" spans="1:67" ht="16.5" customHeight="1" x14ac:dyDescent="0.2">
      <c r="A375" s="3"/>
      <c r="B375" s="3"/>
      <c r="C375" s="3"/>
      <c r="D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</row>
    <row r="376" spans="1:67" ht="16.5" customHeight="1" x14ac:dyDescent="0.2">
      <c r="A376" s="3"/>
      <c r="B376" s="3"/>
      <c r="C376" s="3"/>
      <c r="D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</row>
    <row r="377" spans="1:67" ht="16.5" customHeight="1" x14ac:dyDescent="0.2">
      <c r="A377" s="3"/>
      <c r="B377" s="3"/>
      <c r="C377" s="3"/>
      <c r="D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</row>
    <row r="378" spans="1:67" ht="16.5" customHeight="1" x14ac:dyDescent="0.2">
      <c r="A378" s="3"/>
      <c r="B378" s="3"/>
      <c r="C378" s="3"/>
      <c r="D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</row>
    <row r="379" spans="1:67" ht="16.5" customHeight="1" x14ac:dyDescent="0.2">
      <c r="A379" s="3"/>
      <c r="B379" s="3"/>
      <c r="C379" s="3"/>
      <c r="D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</row>
    <row r="380" spans="1:67" ht="16.5" customHeight="1" x14ac:dyDescent="0.2">
      <c r="A380" s="3"/>
      <c r="B380" s="3"/>
      <c r="C380" s="3"/>
      <c r="D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</row>
    <row r="381" spans="1:67" ht="16.5" customHeight="1" x14ac:dyDescent="0.2">
      <c r="A381" s="3"/>
      <c r="B381" s="3"/>
      <c r="C381" s="3"/>
      <c r="D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</row>
    <row r="382" spans="1:67" ht="16.5" customHeight="1" x14ac:dyDescent="0.2">
      <c r="A382" s="3"/>
      <c r="B382" s="3"/>
      <c r="C382" s="3"/>
      <c r="D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</row>
    <row r="383" spans="1:67" ht="16.5" customHeight="1" x14ac:dyDescent="0.2">
      <c r="A383" s="3"/>
      <c r="B383" s="3"/>
      <c r="C383" s="3"/>
      <c r="D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</row>
    <row r="384" spans="1:67" ht="16.5" customHeight="1" x14ac:dyDescent="0.2">
      <c r="A384" s="3"/>
      <c r="B384" s="3"/>
      <c r="C384" s="3"/>
      <c r="D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</row>
    <row r="385" spans="1:67" ht="16.5" customHeight="1" x14ac:dyDescent="0.2">
      <c r="A385" s="3"/>
      <c r="B385" s="3"/>
      <c r="C385" s="3"/>
      <c r="D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</row>
    <row r="386" spans="1:67" ht="16.5" customHeight="1" x14ac:dyDescent="0.2">
      <c r="A386" s="3"/>
      <c r="B386" s="3"/>
      <c r="C386" s="3"/>
      <c r="D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</row>
    <row r="387" spans="1:67" ht="16.5" customHeight="1" x14ac:dyDescent="0.2">
      <c r="A387" s="3"/>
      <c r="B387" s="3"/>
      <c r="C387" s="3"/>
      <c r="D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</row>
    <row r="388" spans="1:67" ht="16.5" customHeight="1" x14ac:dyDescent="0.2">
      <c r="A388" s="3"/>
      <c r="B388" s="3"/>
      <c r="C388" s="3"/>
      <c r="D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</row>
    <row r="389" spans="1:67" ht="16.5" customHeight="1" x14ac:dyDescent="0.2">
      <c r="A389" s="3"/>
      <c r="B389" s="3"/>
      <c r="C389" s="3"/>
      <c r="D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</row>
    <row r="390" spans="1:67" ht="16.5" customHeight="1" x14ac:dyDescent="0.2">
      <c r="A390" s="3"/>
      <c r="B390" s="3"/>
      <c r="C390" s="3"/>
      <c r="D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</row>
    <row r="391" spans="1:67" ht="16.5" customHeight="1" x14ac:dyDescent="0.2">
      <c r="A391" s="3"/>
      <c r="B391" s="3"/>
      <c r="C391" s="3"/>
      <c r="D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</row>
    <row r="392" spans="1:67" ht="16.5" customHeight="1" x14ac:dyDescent="0.2">
      <c r="A392" s="3"/>
      <c r="B392" s="3"/>
      <c r="C392" s="3"/>
      <c r="D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</row>
    <row r="393" spans="1:67" ht="16.5" customHeight="1" x14ac:dyDescent="0.2">
      <c r="A393" s="3"/>
      <c r="B393" s="3"/>
      <c r="C393" s="3"/>
      <c r="D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</row>
    <row r="394" spans="1:67" ht="16.5" customHeight="1" x14ac:dyDescent="0.2">
      <c r="A394" s="3"/>
      <c r="B394" s="3"/>
      <c r="C394" s="3"/>
      <c r="D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</row>
    <row r="395" spans="1:67" ht="16.5" customHeight="1" x14ac:dyDescent="0.2">
      <c r="A395" s="3"/>
      <c r="B395" s="3"/>
      <c r="C395" s="3"/>
      <c r="D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</row>
    <row r="396" spans="1:67" ht="16.5" customHeight="1" x14ac:dyDescent="0.2">
      <c r="A396" s="3"/>
      <c r="B396" s="3"/>
      <c r="C396" s="3"/>
      <c r="D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</row>
    <row r="397" spans="1:67" ht="16.5" customHeight="1" x14ac:dyDescent="0.2">
      <c r="A397" s="3"/>
      <c r="B397" s="3"/>
      <c r="C397" s="3"/>
      <c r="D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</row>
    <row r="398" spans="1:67" ht="16.5" customHeight="1" x14ac:dyDescent="0.2">
      <c r="A398" s="3"/>
      <c r="B398" s="3"/>
      <c r="C398" s="3"/>
      <c r="D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</row>
    <row r="399" spans="1:67" ht="16.5" customHeight="1" x14ac:dyDescent="0.2">
      <c r="A399" s="3"/>
      <c r="B399" s="3"/>
      <c r="C399" s="3"/>
      <c r="D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</row>
    <row r="400" spans="1:67" ht="16.5" customHeight="1" x14ac:dyDescent="0.2">
      <c r="A400" s="3"/>
      <c r="B400" s="3"/>
      <c r="C400" s="3"/>
      <c r="D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</row>
    <row r="401" spans="1:67" ht="16.5" customHeight="1" x14ac:dyDescent="0.2">
      <c r="A401" s="3"/>
      <c r="B401" s="3"/>
      <c r="C401" s="3"/>
      <c r="D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</row>
    <row r="402" spans="1:67" ht="16.5" customHeight="1" x14ac:dyDescent="0.2">
      <c r="A402" s="3"/>
      <c r="B402" s="3"/>
      <c r="C402" s="3"/>
      <c r="D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</row>
    <row r="403" spans="1:67" ht="16.5" customHeight="1" x14ac:dyDescent="0.2">
      <c r="A403" s="3"/>
      <c r="B403" s="3"/>
      <c r="C403" s="3"/>
      <c r="D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</row>
    <row r="404" spans="1:67" ht="16.5" customHeight="1" x14ac:dyDescent="0.2">
      <c r="A404" s="3"/>
      <c r="B404" s="3"/>
      <c r="C404" s="3"/>
      <c r="D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</row>
    <row r="405" spans="1:67" ht="16.5" customHeight="1" x14ac:dyDescent="0.2">
      <c r="A405" s="3"/>
      <c r="B405" s="3"/>
      <c r="C405" s="3"/>
      <c r="D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</row>
    <row r="406" spans="1:67" ht="16.5" customHeight="1" x14ac:dyDescent="0.2">
      <c r="A406" s="3"/>
      <c r="B406" s="3"/>
      <c r="C406" s="3"/>
      <c r="D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</row>
    <row r="407" spans="1:67" ht="16.5" customHeight="1" x14ac:dyDescent="0.2">
      <c r="A407" s="3"/>
      <c r="B407" s="3"/>
      <c r="C407" s="3"/>
      <c r="D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</row>
    <row r="408" spans="1:67" ht="16.5" customHeight="1" x14ac:dyDescent="0.2">
      <c r="A408" s="3"/>
      <c r="B408" s="3"/>
      <c r="C408" s="3"/>
      <c r="D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</row>
    <row r="409" spans="1:67" ht="16.5" customHeight="1" x14ac:dyDescent="0.2">
      <c r="A409" s="3"/>
      <c r="B409" s="3"/>
      <c r="C409" s="3"/>
      <c r="D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</row>
    <row r="410" spans="1:67" ht="16.5" customHeight="1" x14ac:dyDescent="0.2">
      <c r="A410" s="3"/>
      <c r="B410" s="3"/>
      <c r="C410" s="3"/>
      <c r="D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</row>
    <row r="411" spans="1:67" ht="16.5" customHeight="1" x14ac:dyDescent="0.2">
      <c r="A411" s="3"/>
      <c r="B411" s="3"/>
      <c r="C411" s="3"/>
      <c r="D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</row>
    <row r="412" spans="1:67" ht="16.5" customHeight="1" x14ac:dyDescent="0.2">
      <c r="A412" s="3"/>
      <c r="B412" s="3"/>
      <c r="C412" s="3"/>
      <c r="D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</row>
    <row r="413" spans="1:67" ht="16.5" customHeight="1" x14ac:dyDescent="0.2">
      <c r="A413" s="3"/>
      <c r="B413" s="3"/>
      <c r="C413" s="3"/>
      <c r="D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</row>
    <row r="414" spans="1:67" ht="16.5" customHeight="1" x14ac:dyDescent="0.2">
      <c r="A414" s="3"/>
      <c r="B414" s="3"/>
      <c r="C414" s="3"/>
      <c r="D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</row>
    <row r="415" spans="1:67" ht="16.5" customHeight="1" x14ac:dyDescent="0.2">
      <c r="A415" s="3"/>
      <c r="B415" s="3"/>
      <c r="C415" s="3"/>
      <c r="D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</row>
    <row r="416" spans="1:67" ht="16.5" customHeight="1" x14ac:dyDescent="0.2">
      <c r="A416" s="3"/>
      <c r="B416" s="3"/>
      <c r="C416" s="3"/>
      <c r="D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</row>
    <row r="417" spans="1:67" ht="16.5" customHeight="1" x14ac:dyDescent="0.2">
      <c r="A417" s="3"/>
      <c r="B417" s="3"/>
      <c r="C417" s="3"/>
      <c r="D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</row>
    <row r="418" spans="1:67" ht="16.5" customHeight="1" x14ac:dyDescent="0.2">
      <c r="A418" s="3"/>
      <c r="B418" s="3"/>
      <c r="C418" s="3"/>
      <c r="D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</row>
    <row r="419" spans="1:67" ht="16.5" customHeight="1" x14ac:dyDescent="0.2">
      <c r="A419" s="3"/>
      <c r="B419" s="3"/>
      <c r="C419" s="3"/>
      <c r="D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</row>
    <row r="420" spans="1:67" ht="16.5" customHeight="1" x14ac:dyDescent="0.2">
      <c r="A420" s="3"/>
      <c r="B420" s="3"/>
      <c r="C420" s="3"/>
      <c r="D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</row>
    <row r="421" spans="1:67" ht="16.5" customHeight="1" x14ac:dyDescent="0.2">
      <c r="A421" s="3"/>
      <c r="B421" s="3"/>
      <c r="C421" s="3"/>
      <c r="D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</row>
    <row r="422" spans="1:67" ht="16.5" customHeight="1" x14ac:dyDescent="0.2">
      <c r="A422" s="3"/>
      <c r="B422" s="3"/>
      <c r="C422" s="3"/>
      <c r="D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</row>
    <row r="423" spans="1:67" ht="16.5" customHeight="1" x14ac:dyDescent="0.2">
      <c r="A423" s="3"/>
      <c r="B423" s="3"/>
      <c r="C423" s="3"/>
      <c r="D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</row>
    <row r="424" spans="1:67" ht="16.5" customHeight="1" x14ac:dyDescent="0.2">
      <c r="A424" s="3"/>
      <c r="B424" s="3"/>
      <c r="C424" s="3"/>
      <c r="D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</row>
    <row r="425" spans="1:67" ht="16.5" customHeight="1" x14ac:dyDescent="0.2">
      <c r="A425" s="3"/>
      <c r="B425" s="3"/>
      <c r="C425" s="3"/>
      <c r="D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</row>
    <row r="426" spans="1:67" ht="16.5" customHeight="1" x14ac:dyDescent="0.2">
      <c r="A426" s="3"/>
      <c r="B426" s="3"/>
      <c r="C426" s="3"/>
      <c r="D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</row>
    <row r="427" spans="1:67" ht="16.5" customHeight="1" x14ac:dyDescent="0.2">
      <c r="A427" s="3"/>
      <c r="B427" s="3"/>
      <c r="C427" s="3"/>
      <c r="D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</row>
    <row r="428" spans="1:67" ht="16.5" customHeight="1" x14ac:dyDescent="0.2">
      <c r="A428" s="3"/>
      <c r="B428" s="3"/>
      <c r="C428" s="3"/>
      <c r="D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</row>
    <row r="429" spans="1:67" ht="16.5" customHeight="1" x14ac:dyDescent="0.2">
      <c r="A429" s="3"/>
      <c r="B429" s="3"/>
      <c r="C429" s="3"/>
      <c r="D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</row>
    <row r="430" spans="1:67" ht="16.5" customHeight="1" x14ac:dyDescent="0.2">
      <c r="A430" s="3"/>
      <c r="B430" s="3"/>
      <c r="C430" s="3"/>
      <c r="D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</row>
    <row r="431" spans="1:67" ht="16.5" customHeight="1" x14ac:dyDescent="0.2">
      <c r="A431" s="3"/>
      <c r="B431" s="3"/>
      <c r="C431" s="3"/>
      <c r="D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</row>
    <row r="432" spans="1:67" ht="16.5" customHeight="1" x14ac:dyDescent="0.2">
      <c r="A432" s="3"/>
      <c r="B432" s="3"/>
      <c r="C432" s="3"/>
      <c r="D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</row>
    <row r="433" spans="1:67" ht="16.5" customHeight="1" x14ac:dyDescent="0.2">
      <c r="A433" s="3"/>
      <c r="B433" s="3"/>
      <c r="C433" s="3"/>
      <c r="D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</row>
    <row r="434" spans="1:67" ht="16.5" customHeight="1" x14ac:dyDescent="0.2">
      <c r="A434" s="3"/>
      <c r="B434" s="3"/>
      <c r="C434" s="3"/>
      <c r="D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</row>
    <row r="435" spans="1:67" ht="16.5" customHeight="1" x14ac:dyDescent="0.2">
      <c r="A435" s="3"/>
      <c r="B435" s="3"/>
      <c r="C435" s="3"/>
      <c r="D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</row>
    <row r="436" spans="1:67" ht="16.5" customHeight="1" x14ac:dyDescent="0.2">
      <c r="A436" s="3"/>
      <c r="B436" s="3"/>
      <c r="C436" s="3"/>
      <c r="D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</row>
    <row r="437" spans="1:67" ht="16.5" customHeight="1" x14ac:dyDescent="0.2">
      <c r="A437" s="3"/>
      <c r="B437" s="3"/>
      <c r="C437" s="3"/>
      <c r="D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</row>
    <row r="438" spans="1:67" ht="16.5" customHeight="1" x14ac:dyDescent="0.2">
      <c r="A438" s="3"/>
      <c r="B438" s="3"/>
      <c r="C438" s="3"/>
      <c r="D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</row>
    <row r="439" spans="1:67" ht="16.5" customHeight="1" x14ac:dyDescent="0.2">
      <c r="A439" s="3"/>
      <c r="B439" s="3"/>
      <c r="C439" s="3"/>
      <c r="D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</row>
    <row r="440" spans="1:67" ht="16.5" customHeight="1" x14ac:dyDescent="0.2">
      <c r="A440" s="3"/>
      <c r="B440" s="3"/>
      <c r="C440" s="3"/>
      <c r="D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</row>
    <row r="441" spans="1:67" ht="16.5" customHeight="1" x14ac:dyDescent="0.2">
      <c r="A441" s="3"/>
      <c r="B441" s="3"/>
      <c r="C441" s="3"/>
      <c r="D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</row>
    <row r="442" spans="1:67" ht="16.5" customHeight="1" x14ac:dyDescent="0.2">
      <c r="A442" s="3"/>
      <c r="B442" s="3"/>
      <c r="C442" s="3"/>
      <c r="D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</row>
    <row r="443" spans="1:67" ht="16.5" customHeight="1" x14ac:dyDescent="0.2">
      <c r="A443" s="3"/>
      <c r="B443" s="3"/>
      <c r="C443" s="3"/>
      <c r="D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</row>
    <row r="444" spans="1:67" ht="16.5" customHeight="1" x14ac:dyDescent="0.2">
      <c r="A444" s="3"/>
      <c r="B444" s="3"/>
      <c r="C444" s="3"/>
      <c r="D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</row>
    <row r="445" spans="1:67" ht="16.5" customHeight="1" x14ac:dyDescent="0.2">
      <c r="A445" s="3"/>
      <c r="B445" s="3"/>
      <c r="C445" s="3"/>
      <c r="D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</row>
    <row r="446" spans="1:67" ht="16.5" customHeight="1" x14ac:dyDescent="0.2">
      <c r="A446" s="3"/>
      <c r="B446" s="3"/>
      <c r="C446" s="3"/>
      <c r="D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</row>
    <row r="447" spans="1:67" ht="16.5" customHeight="1" x14ac:dyDescent="0.2">
      <c r="A447" s="3"/>
      <c r="B447" s="3"/>
      <c r="C447" s="3"/>
      <c r="D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</row>
    <row r="448" spans="1:67" ht="16.5" customHeight="1" x14ac:dyDescent="0.2">
      <c r="A448" s="3"/>
      <c r="B448" s="3"/>
      <c r="C448" s="3"/>
      <c r="D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</row>
    <row r="449" spans="1:67" ht="16.5" customHeight="1" x14ac:dyDescent="0.2">
      <c r="A449" s="3"/>
      <c r="B449" s="3"/>
      <c r="C449" s="3"/>
      <c r="D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</row>
    <row r="450" spans="1:67" ht="16.5" customHeight="1" x14ac:dyDescent="0.2">
      <c r="A450" s="3"/>
      <c r="B450" s="3"/>
      <c r="C450" s="3"/>
      <c r="D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</row>
    <row r="451" spans="1:67" ht="16.5" customHeight="1" x14ac:dyDescent="0.2">
      <c r="A451" s="3"/>
      <c r="B451" s="3"/>
      <c r="C451" s="3"/>
      <c r="D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</row>
    <row r="452" spans="1:67" ht="16.5" customHeight="1" x14ac:dyDescent="0.2">
      <c r="A452" s="3"/>
      <c r="B452" s="3"/>
      <c r="C452" s="3"/>
      <c r="D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</row>
    <row r="453" spans="1:67" ht="16.5" customHeight="1" x14ac:dyDescent="0.2">
      <c r="A453" s="3"/>
      <c r="B453" s="3"/>
      <c r="C453" s="3"/>
      <c r="D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</row>
    <row r="454" spans="1:67" ht="16.5" customHeight="1" x14ac:dyDescent="0.2">
      <c r="A454" s="3"/>
      <c r="B454" s="3"/>
      <c r="C454" s="3"/>
      <c r="D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</row>
    <row r="455" spans="1:67" ht="16.5" customHeight="1" x14ac:dyDescent="0.2">
      <c r="A455" s="3"/>
      <c r="B455" s="3"/>
      <c r="C455" s="3"/>
      <c r="D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</row>
    <row r="456" spans="1:67" ht="16.5" customHeight="1" x14ac:dyDescent="0.2">
      <c r="A456" s="3"/>
      <c r="B456" s="3"/>
      <c r="C456" s="3"/>
      <c r="D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</row>
    <row r="457" spans="1:67" ht="16.5" customHeight="1" x14ac:dyDescent="0.2">
      <c r="A457" s="3"/>
      <c r="B457" s="3"/>
      <c r="C457" s="3"/>
      <c r="D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</row>
    <row r="458" spans="1:67" ht="16.5" customHeight="1" x14ac:dyDescent="0.2">
      <c r="A458" s="3"/>
      <c r="B458" s="3"/>
      <c r="C458" s="3"/>
      <c r="D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</row>
    <row r="459" spans="1:67" ht="16.5" customHeight="1" x14ac:dyDescent="0.2">
      <c r="A459" s="3"/>
      <c r="B459" s="3"/>
      <c r="C459" s="3"/>
      <c r="D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</row>
    <row r="460" spans="1:67" ht="16.5" customHeight="1" x14ac:dyDescent="0.2">
      <c r="A460" s="3"/>
      <c r="B460" s="3"/>
      <c r="C460" s="3"/>
      <c r="D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</row>
    <row r="461" spans="1:67" ht="16.5" customHeight="1" x14ac:dyDescent="0.2">
      <c r="A461" s="3"/>
      <c r="B461" s="3"/>
      <c r="C461" s="3"/>
      <c r="D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</row>
    <row r="462" spans="1:67" ht="16.5" customHeight="1" x14ac:dyDescent="0.2">
      <c r="A462" s="3"/>
      <c r="B462" s="3"/>
      <c r="C462" s="3"/>
      <c r="D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</row>
    <row r="463" spans="1:67" ht="16.5" customHeight="1" x14ac:dyDescent="0.2">
      <c r="A463" s="3"/>
      <c r="B463" s="3"/>
      <c r="C463" s="3"/>
      <c r="D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</row>
    <row r="464" spans="1:67" ht="16.5" customHeight="1" x14ac:dyDescent="0.2">
      <c r="A464" s="3"/>
      <c r="B464" s="3"/>
      <c r="C464" s="3"/>
      <c r="D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</row>
    <row r="465" spans="1:67" ht="16.5" customHeight="1" x14ac:dyDescent="0.2">
      <c r="A465" s="3"/>
      <c r="B465" s="3"/>
      <c r="C465" s="3"/>
      <c r="D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</row>
    <row r="466" spans="1:67" ht="16.5" customHeight="1" x14ac:dyDescent="0.2">
      <c r="A466" s="3"/>
      <c r="B466" s="3"/>
      <c r="C466" s="3"/>
      <c r="D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</row>
    <row r="467" spans="1:67" ht="16.5" customHeight="1" x14ac:dyDescent="0.2">
      <c r="A467" s="3"/>
      <c r="B467" s="3"/>
      <c r="C467" s="3"/>
      <c r="D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</row>
    <row r="468" spans="1:67" ht="16.5" customHeight="1" x14ac:dyDescent="0.2">
      <c r="A468" s="3"/>
      <c r="B468" s="3"/>
      <c r="C468" s="3"/>
      <c r="D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</row>
    <row r="469" spans="1:67" ht="16.5" customHeight="1" x14ac:dyDescent="0.2">
      <c r="A469" s="3"/>
      <c r="B469" s="3"/>
      <c r="C469" s="3"/>
      <c r="D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</row>
    <row r="470" spans="1:67" ht="16.5" customHeight="1" x14ac:dyDescent="0.2">
      <c r="A470" s="3"/>
      <c r="B470" s="3"/>
      <c r="C470" s="3"/>
      <c r="D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</row>
    <row r="471" spans="1:67" ht="16.5" customHeight="1" x14ac:dyDescent="0.2">
      <c r="A471" s="3"/>
      <c r="B471" s="3"/>
      <c r="C471" s="3"/>
      <c r="D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</row>
    <row r="472" spans="1:67" ht="16.5" customHeight="1" x14ac:dyDescent="0.2">
      <c r="A472" s="3"/>
      <c r="B472" s="3"/>
      <c r="C472" s="3"/>
      <c r="D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</row>
    <row r="473" spans="1:67" ht="16.5" customHeight="1" x14ac:dyDescent="0.2">
      <c r="A473" s="3"/>
      <c r="B473" s="3"/>
      <c r="C473" s="3"/>
      <c r="D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</row>
    <row r="474" spans="1:67" ht="16.5" customHeight="1" x14ac:dyDescent="0.2">
      <c r="A474" s="3"/>
      <c r="B474" s="3"/>
      <c r="C474" s="3"/>
      <c r="D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</row>
    <row r="475" spans="1:67" ht="16.5" customHeight="1" x14ac:dyDescent="0.2">
      <c r="A475" s="3"/>
      <c r="B475" s="3"/>
      <c r="C475" s="3"/>
      <c r="D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</row>
    <row r="476" spans="1:67" ht="16.5" customHeight="1" x14ac:dyDescent="0.2">
      <c r="A476" s="3"/>
      <c r="B476" s="3"/>
      <c r="C476" s="3"/>
      <c r="D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</row>
    <row r="477" spans="1:67" ht="16.5" customHeight="1" x14ac:dyDescent="0.2">
      <c r="A477" s="3"/>
      <c r="B477" s="3"/>
      <c r="C477" s="3"/>
      <c r="D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</row>
    <row r="478" spans="1:67" ht="16.5" customHeight="1" x14ac:dyDescent="0.2">
      <c r="A478" s="3"/>
      <c r="B478" s="3"/>
      <c r="C478" s="3"/>
      <c r="D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</row>
    <row r="479" spans="1:67" ht="16.5" customHeight="1" x14ac:dyDescent="0.2">
      <c r="A479" s="3"/>
      <c r="B479" s="3"/>
      <c r="C479" s="3"/>
      <c r="D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</row>
    <row r="480" spans="1:67" ht="16.5" customHeight="1" x14ac:dyDescent="0.2">
      <c r="A480" s="3"/>
      <c r="B480" s="3"/>
      <c r="C480" s="3"/>
      <c r="D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</row>
    <row r="481" spans="1:67" ht="16.5" customHeight="1" x14ac:dyDescent="0.2">
      <c r="A481" s="3"/>
      <c r="B481" s="3"/>
      <c r="C481" s="3"/>
      <c r="D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</row>
    <row r="482" spans="1:67" ht="16.5" customHeight="1" x14ac:dyDescent="0.2">
      <c r="A482" s="3"/>
      <c r="B482" s="3"/>
      <c r="C482" s="3"/>
      <c r="D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</row>
    <row r="483" spans="1:67" ht="16.5" customHeight="1" x14ac:dyDescent="0.2">
      <c r="A483" s="3"/>
      <c r="B483" s="3"/>
      <c r="C483" s="3"/>
      <c r="D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</row>
    <row r="484" spans="1:67" ht="16.5" customHeight="1" x14ac:dyDescent="0.2">
      <c r="A484" s="3"/>
      <c r="B484" s="3"/>
      <c r="C484" s="3"/>
      <c r="D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</row>
    <row r="485" spans="1:67" ht="16.5" customHeight="1" x14ac:dyDescent="0.2">
      <c r="A485" s="3"/>
      <c r="B485" s="3"/>
      <c r="C485" s="3"/>
      <c r="D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</row>
    <row r="486" spans="1:67" ht="16.5" customHeight="1" x14ac:dyDescent="0.2">
      <c r="A486" s="3"/>
      <c r="B486" s="3"/>
      <c r="C486" s="3"/>
      <c r="D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</row>
    <row r="487" spans="1:67" ht="16.5" customHeight="1" x14ac:dyDescent="0.2">
      <c r="A487" s="3"/>
      <c r="B487" s="3"/>
      <c r="C487" s="3"/>
      <c r="D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</row>
    <row r="488" spans="1:67" ht="16.5" customHeight="1" x14ac:dyDescent="0.2">
      <c r="A488" s="3"/>
      <c r="B488" s="3"/>
      <c r="C488" s="3"/>
      <c r="D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</row>
    <row r="489" spans="1:67" ht="16.5" customHeight="1" x14ac:dyDescent="0.2">
      <c r="A489" s="3"/>
      <c r="B489" s="3"/>
      <c r="C489" s="3"/>
      <c r="D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</row>
    <row r="490" spans="1:67" ht="16.5" customHeight="1" x14ac:dyDescent="0.2">
      <c r="A490" s="3"/>
      <c r="B490" s="3"/>
      <c r="C490" s="3"/>
      <c r="D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</row>
    <row r="491" spans="1:67" ht="16.5" customHeight="1" x14ac:dyDescent="0.2">
      <c r="A491" s="3"/>
      <c r="B491" s="3"/>
      <c r="C491" s="3"/>
      <c r="D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</row>
    <row r="492" spans="1:67" ht="16.5" customHeight="1" x14ac:dyDescent="0.2">
      <c r="A492" s="3"/>
      <c r="B492" s="3"/>
      <c r="C492" s="3"/>
      <c r="D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</row>
    <row r="493" spans="1:67" ht="16.5" customHeight="1" x14ac:dyDescent="0.2">
      <c r="A493" s="3"/>
      <c r="B493" s="3"/>
      <c r="C493" s="3"/>
      <c r="D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</row>
    <row r="494" spans="1:67" ht="16.5" customHeight="1" x14ac:dyDescent="0.2">
      <c r="A494" s="3"/>
      <c r="B494" s="3"/>
      <c r="C494" s="3"/>
      <c r="D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</row>
    <row r="495" spans="1:67" ht="16.5" customHeight="1" x14ac:dyDescent="0.2">
      <c r="A495" s="3"/>
      <c r="B495" s="3"/>
      <c r="C495" s="3"/>
      <c r="D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</row>
    <row r="496" spans="1:67" ht="16.5" customHeight="1" x14ac:dyDescent="0.2">
      <c r="A496" s="3"/>
      <c r="B496" s="3"/>
      <c r="C496" s="3"/>
      <c r="D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</row>
    <row r="497" spans="1:67" ht="16.5" customHeight="1" x14ac:dyDescent="0.2">
      <c r="A497" s="3"/>
      <c r="B497" s="3"/>
      <c r="C497" s="3"/>
      <c r="D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</row>
    <row r="498" spans="1:67" ht="16.5" customHeight="1" x14ac:dyDescent="0.2">
      <c r="A498" s="3"/>
      <c r="B498" s="3"/>
      <c r="C498" s="3"/>
      <c r="D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</row>
    <row r="499" spans="1:67" ht="16.5" customHeight="1" x14ac:dyDescent="0.2">
      <c r="A499" s="3"/>
      <c r="B499" s="3"/>
      <c r="C499" s="3"/>
      <c r="D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</row>
    <row r="500" spans="1:67" ht="16.5" customHeight="1" x14ac:dyDescent="0.2">
      <c r="A500" s="3"/>
      <c r="B500" s="3"/>
      <c r="C500" s="3"/>
      <c r="D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</row>
    <row r="501" spans="1:67" ht="16.5" customHeight="1" x14ac:dyDescent="0.2">
      <c r="A501" s="3"/>
      <c r="B501" s="3"/>
      <c r="C501" s="3"/>
      <c r="D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</row>
    <row r="502" spans="1:67" ht="16.5" customHeight="1" x14ac:dyDescent="0.2">
      <c r="A502" s="3"/>
      <c r="B502" s="3"/>
      <c r="C502" s="3"/>
      <c r="D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</row>
    <row r="503" spans="1:67" ht="16.5" customHeight="1" x14ac:dyDescent="0.2">
      <c r="A503" s="3"/>
      <c r="B503" s="3"/>
      <c r="C503" s="3"/>
      <c r="D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</row>
    <row r="504" spans="1:67" ht="16.5" customHeight="1" x14ac:dyDescent="0.2">
      <c r="A504" s="3"/>
      <c r="B504" s="3"/>
      <c r="C504" s="3"/>
      <c r="D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</row>
    <row r="505" spans="1:67" ht="16.5" customHeight="1" x14ac:dyDescent="0.2">
      <c r="A505" s="3"/>
      <c r="B505" s="3"/>
      <c r="C505" s="3"/>
      <c r="D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</row>
    <row r="506" spans="1:67" ht="16.5" customHeight="1" x14ac:dyDescent="0.2">
      <c r="A506" s="3"/>
      <c r="B506" s="3"/>
      <c r="C506" s="3"/>
      <c r="D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</row>
    <row r="507" spans="1:67" ht="16.5" customHeight="1" x14ac:dyDescent="0.2">
      <c r="A507" s="3"/>
      <c r="B507" s="3"/>
      <c r="C507" s="3"/>
      <c r="D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</row>
    <row r="508" spans="1:67" ht="16.5" customHeight="1" x14ac:dyDescent="0.2">
      <c r="A508" s="3"/>
      <c r="B508" s="3"/>
      <c r="C508" s="3"/>
      <c r="D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</row>
    <row r="509" spans="1:67" ht="16.5" customHeight="1" x14ac:dyDescent="0.2">
      <c r="A509" s="3"/>
      <c r="B509" s="3"/>
      <c r="C509" s="3"/>
      <c r="D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</row>
    <row r="510" spans="1:67" ht="16.5" customHeight="1" x14ac:dyDescent="0.2">
      <c r="A510" s="3"/>
      <c r="B510" s="3"/>
      <c r="C510" s="3"/>
      <c r="D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</row>
    <row r="511" spans="1:67" ht="16.5" customHeight="1" x14ac:dyDescent="0.2">
      <c r="A511" s="3"/>
      <c r="B511" s="3"/>
      <c r="C511" s="3"/>
      <c r="D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</row>
    <row r="512" spans="1:67" ht="16.5" customHeight="1" x14ac:dyDescent="0.2">
      <c r="A512" s="3"/>
      <c r="B512" s="3"/>
      <c r="C512" s="3"/>
      <c r="D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</row>
    <row r="513" spans="1:67" ht="16.5" customHeight="1" x14ac:dyDescent="0.2">
      <c r="A513" s="3"/>
      <c r="B513" s="3"/>
      <c r="C513" s="3"/>
      <c r="D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</row>
    <row r="514" spans="1:67" ht="16.5" customHeight="1" x14ac:dyDescent="0.2">
      <c r="A514" s="3"/>
      <c r="B514" s="3"/>
      <c r="C514" s="3"/>
      <c r="D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</row>
    <row r="515" spans="1:67" ht="16.5" customHeight="1" x14ac:dyDescent="0.2">
      <c r="A515" s="3"/>
      <c r="B515" s="3"/>
      <c r="C515" s="3"/>
      <c r="D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</row>
    <row r="516" spans="1:67" ht="16.5" customHeight="1" x14ac:dyDescent="0.2">
      <c r="A516" s="3"/>
      <c r="B516" s="3"/>
      <c r="C516" s="3"/>
      <c r="D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</row>
    <row r="517" spans="1:67" ht="16.5" customHeight="1" x14ac:dyDescent="0.2">
      <c r="A517" s="3"/>
      <c r="B517" s="3"/>
      <c r="C517" s="3"/>
      <c r="D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</row>
    <row r="518" spans="1:67" ht="16.5" customHeight="1" x14ac:dyDescent="0.2">
      <c r="A518" s="3"/>
      <c r="B518" s="3"/>
      <c r="C518" s="3"/>
      <c r="D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</row>
    <row r="519" spans="1:67" ht="16.5" customHeight="1" x14ac:dyDescent="0.2">
      <c r="A519" s="3"/>
      <c r="B519" s="3"/>
      <c r="C519" s="3"/>
      <c r="D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</row>
    <row r="520" spans="1:67" ht="16.5" customHeight="1" x14ac:dyDescent="0.2">
      <c r="A520" s="3"/>
      <c r="B520" s="3"/>
      <c r="C520" s="3"/>
      <c r="D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</row>
    <row r="521" spans="1:67" ht="16.5" customHeight="1" x14ac:dyDescent="0.2">
      <c r="A521" s="3"/>
      <c r="B521" s="3"/>
      <c r="C521" s="3"/>
      <c r="D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</row>
    <row r="522" spans="1:67" ht="16.5" customHeight="1" x14ac:dyDescent="0.2">
      <c r="A522" s="3"/>
      <c r="B522" s="3"/>
      <c r="C522" s="3"/>
      <c r="D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</row>
    <row r="523" spans="1:67" ht="16.5" customHeight="1" x14ac:dyDescent="0.2">
      <c r="A523" s="3"/>
      <c r="B523" s="3"/>
      <c r="C523" s="3"/>
      <c r="D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</row>
    <row r="524" spans="1:67" ht="16.5" customHeight="1" x14ac:dyDescent="0.2">
      <c r="A524" s="3"/>
      <c r="B524" s="3"/>
      <c r="C524" s="3"/>
      <c r="D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</row>
    <row r="525" spans="1:67" ht="16.5" customHeight="1" x14ac:dyDescent="0.2">
      <c r="A525" s="3"/>
      <c r="B525" s="3"/>
      <c r="C525" s="3"/>
      <c r="D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</row>
    <row r="526" spans="1:67" ht="16.5" customHeight="1" x14ac:dyDescent="0.2">
      <c r="A526" s="3"/>
      <c r="B526" s="3"/>
      <c r="C526" s="3"/>
      <c r="D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</row>
    <row r="527" spans="1:67" ht="16.5" customHeight="1" x14ac:dyDescent="0.2">
      <c r="A527" s="3"/>
      <c r="B527" s="3"/>
      <c r="C527" s="3"/>
      <c r="D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</row>
    <row r="528" spans="1:67" ht="16.5" customHeight="1" x14ac:dyDescent="0.2">
      <c r="A528" s="3"/>
      <c r="B528" s="3"/>
      <c r="C528" s="3"/>
      <c r="D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</row>
    <row r="529" spans="1:67" ht="16.5" customHeight="1" x14ac:dyDescent="0.2">
      <c r="A529" s="3"/>
      <c r="B529" s="3"/>
      <c r="C529" s="3"/>
      <c r="D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</row>
    <row r="530" spans="1:67" ht="16.5" customHeight="1" x14ac:dyDescent="0.2">
      <c r="A530" s="3"/>
      <c r="B530" s="3"/>
      <c r="C530" s="3"/>
      <c r="D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</row>
    <row r="531" spans="1:67" ht="16.5" customHeight="1" x14ac:dyDescent="0.2">
      <c r="A531" s="3"/>
      <c r="B531" s="3"/>
      <c r="C531" s="3"/>
      <c r="D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</row>
    <row r="532" spans="1:67" ht="16.5" customHeight="1" x14ac:dyDescent="0.2">
      <c r="A532" s="3"/>
      <c r="B532" s="3"/>
      <c r="C532" s="3"/>
      <c r="D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</row>
    <row r="533" spans="1:67" ht="16.5" customHeight="1" x14ac:dyDescent="0.2">
      <c r="A533" s="3"/>
      <c r="B533" s="3"/>
      <c r="C533" s="3"/>
      <c r="D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</row>
    <row r="534" spans="1:67" ht="16.5" customHeight="1" x14ac:dyDescent="0.2">
      <c r="A534" s="3"/>
      <c r="B534" s="3"/>
      <c r="C534" s="3"/>
      <c r="D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</row>
    <row r="535" spans="1:67" ht="16.5" customHeight="1" x14ac:dyDescent="0.2">
      <c r="A535" s="3"/>
      <c r="B535" s="3"/>
      <c r="C535" s="3"/>
      <c r="D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</row>
    <row r="536" spans="1:67" ht="16.5" customHeight="1" x14ac:dyDescent="0.2">
      <c r="A536" s="3"/>
      <c r="B536" s="3"/>
      <c r="C536" s="3"/>
      <c r="D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</row>
    <row r="537" spans="1:67" ht="16.5" customHeight="1" x14ac:dyDescent="0.2">
      <c r="A537" s="3"/>
      <c r="B537" s="3"/>
      <c r="C537" s="3"/>
      <c r="D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</row>
    <row r="538" spans="1:67" ht="16.5" customHeight="1" x14ac:dyDescent="0.2">
      <c r="A538" s="3"/>
      <c r="B538" s="3"/>
      <c r="C538" s="3"/>
      <c r="D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</row>
    <row r="539" spans="1:67" ht="16.5" customHeight="1" x14ac:dyDescent="0.2">
      <c r="A539" s="3"/>
      <c r="B539" s="3"/>
      <c r="C539" s="3"/>
      <c r="D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</row>
    <row r="540" spans="1:67" ht="16.5" customHeight="1" x14ac:dyDescent="0.2">
      <c r="A540" s="3"/>
      <c r="B540" s="3"/>
      <c r="C540" s="3"/>
      <c r="D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</row>
    <row r="541" spans="1:67" ht="16.5" customHeight="1" x14ac:dyDescent="0.2">
      <c r="A541" s="3"/>
      <c r="B541" s="3"/>
      <c r="C541" s="3"/>
      <c r="D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</row>
    <row r="542" spans="1:67" ht="16.5" customHeight="1" x14ac:dyDescent="0.2">
      <c r="A542" s="3"/>
      <c r="B542" s="3"/>
      <c r="C542" s="3"/>
      <c r="D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</row>
    <row r="543" spans="1:67" ht="16.5" customHeight="1" x14ac:dyDescent="0.2">
      <c r="A543" s="3"/>
      <c r="B543" s="3"/>
      <c r="C543" s="3"/>
      <c r="D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</row>
    <row r="544" spans="1:67" ht="16.5" customHeight="1" x14ac:dyDescent="0.2">
      <c r="A544" s="3"/>
      <c r="B544" s="3"/>
      <c r="C544" s="3"/>
      <c r="D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</row>
    <row r="545" spans="1:67" ht="16.5" customHeight="1" x14ac:dyDescent="0.2">
      <c r="A545" s="3"/>
      <c r="B545" s="3"/>
      <c r="C545" s="3"/>
      <c r="D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</row>
    <row r="546" spans="1:67" ht="16.5" customHeight="1" x14ac:dyDescent="0.2">
      <c r="A546" s="3"/>
      <c r="B546" s="3"/>
      <c r="C546" s="3"/>
      <c r="D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</row>
    <row r="547" spans="1:67" ht="16.5" customHeight="1" x14ac:dyDescent="0.2">
      <c r="A547" s="3"/>
      <c r="B547" s="3"/>
      <c r="C547" s="3"/>
      <c r="D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</row>
    <row r="548" spans="1:67" ht="16.5" customHeight="1" x14ac:dyDescent="0.2">
      <c r="A548" s="3"/>
      <c r="B548" s="3"/>
      <c r="C548" s="3"/>
      <c r="D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</row>
    <row r="549" spans="1:67" ht="16.5" customHeight="1" x14ac:dyDescent="0.2">
      <c r="A549" s="3"/>
      <c r="B549" s="3"/>
      <c r="C549" s="3"/>
      <c r="D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</row>
    <row r="550" spans="1:67" ht="16.5" customHeight="1" x14ac:dyDescent="0.2">
      <c r="A550" s="3"/>
      <c r="B550" s="3"/>
      <c r="C550" s="3"/>
      <c r="D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</row>
    <row r="551" spans="1:67" ht="16.5" customHeight="1" x14ac:dyDescent="0.2">
      <c r="A551" s="3"/>
      <c r="B551" s="3"/>
      <c r="C551" s="3"/>
      <c r="D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</row>
    <row r="552" spans="1:67" ht="16.5" customHeight="1" x14ac:dyDescent="0.2">
      <c r="A552" s="3"/>
      <c r="B552" s="3"/>
      <c r="C552" s="3"/>
      <c r="D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</row>
    <row r="553" spans="1:67" ht="16.5" customHeight="1" x14ac:dyDescent="0.2">
      <c r="A553" s="3"/>
      <c r="B553" s="3"/>
      <c r="C553" s="3"/>
      <c r="D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</row>
    <row r="554" spans="1:67" ht="16.5" customHeight="1" x14ac:dyDescent="0.2">
      <c r="A554" s="3"/>
      <c r="B554" s="3"/>
      <c r="C554" s="3"/>
      <c r="D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</row>
    <row r="555" spans="1:67" ht="16.5" customHeight="1" x14ac:dyDescent="0.2">
      <c r="A555" s="3"/>
      <c r="B555" s="3"/>
      <c r="C555" s="3"/>
      <c r="D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</row>
    <row r="556" spans="1:67" ht="16.5" customHeight="1" x14ac:dyDescent="0.2">
      <c r="A556" s="3"/>
      <c r="B556" s="3"/>
      <c r="C556" s="3"/>
      <c r="D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</row>
    <row r="557" spans="1:67" ht="16.5" customHeight="1" x14ac:dyDescent="0.2">
      <c r="A557" s="3"/>
      <c r="B557" s="3"/>
      <c r="C557" s="3"/>
      <c r="D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</row>
    <row r="558" spans="1:67" ht="16.5" customHeight="1" x14ac:dyDescent="0.2">
      <c r="A558" s="3"/>
      <c r="B558" s="3"/>
      <c r="C558" s="3"/>
      <c r="D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</row>
    <row r="559" spans="1:67" ht="16.5" customHeight="1" x14ac:dyDescent="0.2">
      <c r="A559" s="3"/>
      <c r="B559" s="3"/>
      <c r="C559" s="3"/>
      <c r="D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</row>
    <row r="560" spans="1:67" ht="16.5" customHeight="1" x14ac:dyDescent="0.2">
      <c r="A560" s="3"/>
      <c r="B560" s="3"/>
      <c r="C560" s="3"/>
      <c r="D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</row>
    <row r="561" spans="1:67" ht="16.5" customHeight="1" x14ac:dyDescent="0.2">
      <c r="A561" s="3"/>
      <c r="B561" s="3"/>
      <c r="C561" s="3"/>
      <c r="D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</row>
    <row r="562" spans="1:67" ht="16.5" customHeight="1" x14ac:dyDescent="0.2">
      <c r="A562" s="3"/>
      <c r="B562" s="3"/>
      <c r="C562" s="3"/>
      <c r="D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</row>
    <row r="563" spans="1:67" ht="16.5" customHeight="1" x14ac:dyDescent="0.2">
      <c r="A563" s="3"/>
      <c r="B563" s="3"/>
      <c r="C563" s="3"/>
      <c r="D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</row>
    <row r="564" spans="1:67" ht="16.5" customHeight="1" x14ac:dyDescent="0.2">
      <c r="A564" s="3"/>
      <c r="B564" s="3"/>
      <c r="C564" s="3"/>
      <c r="D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</row>
    <row r="565" spans="1:67" ht="16.5" customHeight="1" x14ac:dyDescent="0.2">
      <c r="A565" s="3"/>
      <c r="B565" s="3"/>
      <c r="C565" s="3"/>
      <c r="D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</row>
    <row r="566" spans="1:67" ht="16.5" customHeight="1" x14ac:dyDescent="0.2">
      <c r="A566" s="3"/>
      <c r="B566" s="3"/>
      <c r="C566" s="3"/>
      <c r="D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</row>
    <row r="567" spans="1:67" ht="16.5" customHeight="1" x14ac:dyDescent="0.2">
      <c r="A567" s="3"/>
      <c r="B567" s="3"/>
      <c r="C567" s="3"/>
      <c r="D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</row>
    <row r="568" spans="1:67" ht="16.5" customHeight="1" x14ac:dyDescent="0.2">
      <c r="A568" s="3"/>
      <c r="B568" s="3"/>
      <c r="C568" s="3"/>
      <c r="D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</row>
    <row r="569" spans="1:67" ht="16.5" customHeight="1" x14ac:dyDescent="0.2">
      <c r="A569" s="3"/>
      <c r="B569" s="3"/>
      <c r="C569" s="3"/>
      <c r="D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</row>
    <row r="570" spans="1:67" ht="16.5" customHeight="1" x14ac:dyDescent="0.2">
      <c r="A570" s="3"/>
      <c r="B570" s="3"/>
      <c r="C570" s="3"/>
      <c r="D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</row>
    <row r="571" spans="1:67" ht="16.5" customHeight="1" x14ac:dyDescent="0.2">
      <c r="A571" s="3"/>
      <c r="B571" s="3"/>
      <c r="C571" s="3"/>
      <c r="D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</row>
    <row r="572" spans="1:67" ht="16.5" customHeight="1" x14ac:dyDescent="0.2">
      <c r="A572" s="3"/>
      <c r="B572" s="3"/>
      <c r="C572" s="3"/>
      <c r="D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</row>
    <row r="573" spans="1:67" ht="16.5" customHeight="1" x14ac:dyDescent="0.2">
      <c r="A573" s="3"/>
      <c r="B573" s="3"/>
      <c r="C573" s="3"/>
      <c r="D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</row>
    <row r="574" spans="1:67" ht="16.5" customHeight="1" x14ac:dyDescent="0.2">
      <c r="A574" s="3"/>
      <c r="B574" s="3"/>
      <c r="C574" s="3"/>
      <c r="D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</row>
    <row r="575" spans="1:67" ht="16.5" customHeight="1" x14ac:dyDescent="0.2">
      <c r="A575" s="3"/>
      <c r="B575" s="3"/>
      <c r="C575" s="3"/>
      <c r="D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</row>
    <row r="576" spans="1:67" ht="16.5" customHeight="1" x14ac:dyDescent="0.2">
      <c r="A576" s="3"/>
      <c r="B576" s="3"/>
      <c r="C576" s="3"/>
      <c r="D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</row>
    <row r="577" spans="1:67" ht="16.5" customHeight="1" x14ac:dyDescent="0.2">
      <c r="A577" s="3"/>
      <c r="B577" s="3"/>
      <c r="C577" s="3"/>
      <c r="D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</row>
    <row r="578" spans="1:67" ht="16.5" customHeight="1" x14ac:dyDescent="0.2">
      <c r="A578" s="3"/>
      <c r="B578" s="3"/>
      <c r="C578" s="3"/>
      <c r="D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</row>
    <row r="579" spans="1:67" ht="16.5" customHeight="1" x14ac:dyDescent="0.2">
      <c r="A579" s="3"/>
      <c r="B579" s="3"/>
      <c r="C579" s="3"/>
      <c r="D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</row>
    <row r="580" spans="1:67" ht="16.5" customHeight="1" x14ac:dyDescent="0.2">
      <c r="A580" s="3"/>
      <c r="B580" s="3"/>
      <c r="C580" s="3"/>
      <c r="D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</row>
    <row r="581" spans="1:67" ht="16.5" customHeight="1" x14ac:dyDescent="0.2">
      <c r="A581" s="3"/>
      <c r="B581" s="3"/>
      <c r="C581" s="3"/>
      <c r="D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</row>
    <row r="582" spans="1:67" ht="16.5" customHeight="1" x14ac:dyDescent="0.2">
      <c r="A582" s="3"/>
      <c r="B582" s="3"/>
      <c r="C582" s="3"/>
      <c r="D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</row>
    <row r="583" spans="1:67" ht="16.5" customHeight="1" x14ac:dyDescent="0.2">
      <c r="A583" s="3"/>
      <c r="B583" s="3"/>
      <c r="C583" s="3"/>
      <c r="D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</row>
    <row r="584" spans="1:67" ht="16.5" customHeight="1" x14ac:dyDescent="0.2">
      <c r="A584" s="3"/>
      <c r="B584" s="3"/>
      <c r="C584" s="3"/>
      <c r="D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</row>
    <row r="585" spans="1:67" ht="16.5" customHeight="1" x14ac:dyDescent="0.2">
      <c r="A585" s="3"/>
      <c r="B585" s="3"/>
      <c r="C585" s="3"/>
      <c r="D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</row>
    <row r="586" spans="1:67" ht="16.5" customHeight="1" x14ac:dyDescent="0.2">
      <c r="A586" s="3"/>
      <c r="B586" s="3"/>
      <c r="C586" s="3"/>
      <c r="D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</row>
    <row r="587" spans="1:67" ht="16.5" customHeight="1" x14ac:dyDescent="0.2">
      <c r="A587" s="3"/>
      <c r="B587" s="3"/>
      <c r="C587" s="3"/>
      <c r="D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</row>
    <row r="588" spans="1:67" ht="16.5" customHeight="1" x14ac:dyDescent="0.2">
      <c r="A588" s="3"/>
      <c r="B588" s="3"/>
      <c r="C588" s="3"/>
      <c r="D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</row>
    <row r="589" spans="1:67" ht="16.5" customHeight="1" x14ac:dyDescent="0.2">
      <c r="A589" s="3"/>
      <c r="B589" s="3"/>
      <c r="C589" s="3"/>
      <c r="D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</row>
    <row r="590" spans="1:67" ht="16.5" customHeight="1" x14ac:dyDescent="0.2">
      <c r="A590" s="3"/>
      <c r="B590" s="3"/>
      <c r="C590" s="3"/>
      <c r="D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</row>
    <row r="591" spans="1:67" ht="16.5" customHeight="1" x14ac:dyDescent="0.2">
      <c r="A591" s="3"/>
      <c r="B591" s="3"/>
      <c r="C591" s="3"/>
      <c r="D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</row>
    <row r="592" spans="1:67" ht="16.5" customHeight="1" x14ac:dyDescent="0.2">
      <c r="A592" s="3"/>
      <c r="B592" s="3"/>
      <c r="C592" s="3"/>
      <c r="D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</row>
    <row r="593" spans="1:67" ht="16.5" customHeight="1" x14ac:dyDescent="0.2">
      <c r="A593" s="3"/>
      <c r="B593" s="3"/>
      <c r="C593" s="3"/>
      <c r="D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</row>
    <row r="594" spans="1:67" ht="16.5" customHeight="1" x14ac:dyDescent="0.2">
      <c r="A594" s="3"/>
      <c r="B594" s="3"/>
      <c r="C594" s="3"/>
      <c r="D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</row>
    <row r="595" spans="1:67" ht="16.5" customHeight="1" x14ac:dyDescent="0.2">
      <c r="A595" s="3"/>
      <c r="B595" s="3"/>
      <c r="C595" s="3"/>
      <c r="D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</row>
    <row r="596" spans="1:67" ht="16.5" customHeight="1" x14ac:dyDescent="0.2">
      <c r="A596" s="3"/>
      <c r="B596" s="3"/>
      <c r="C596" s="3"/>
      <c r="D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</row>
    <row r="597" spans="1:67" ht="16.5" customHeight="1" x14ac:dyDescent="0.2">
      <c r="A597" s="3"/>
      <c r="B597" s="3"/>
      <c r="C597" s="3"/>
      <c r="D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</row>
    <row r="598" spans="1:67" ht="16.5" customHeight="1" x14ac:dyDescent="0.2">
      <c r="A598" s="3"/>
      <c r="B598" s="3"/>
      <c r="C598" s="3"/>
      <c r="D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</row>
    <row r="599" spans="1:67" ht="16.5" customHeight="1" x14ac:dyDescent="0.2">
      <c r="A599" s="3"/>
      <c r="B599" s="3"/>
      <c r="C599" s="3"/>
      <c r="D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</row>
    <row r="600" spans="1:67" ht="16.5" customHeight="1" x14ac:dyDescent="0.2">
      <c r="A600" s="3"/>
      <c r="B600" s="3"/>
      <c r="C600" s="3"/>
      <c r="D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</row>
    <row r="601" spans="1:67" ht="16.5" customHeight="1" x14ac:dyDescent="0.2">
      <c r="A601" s="3"/>
      <c r="B601" s="3"/>
      <c r="C601" s="3"/>
      <c r="D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</row>
    <row r="602" spans="1:67" ht="16.5" customHeight="1" x14ac:dyDescent="0.2">
      <c r="A602" s="3"/>
      <c r="B602" s="3"/>
      <c r="C602" s="3"/>
      <c r="D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</row>
    <row r="603" spans="1:67" ht="16.5" customHeight="1" x14ac:dyDescent="0.2">
      <c r="A603" s="3"/>
      <c r="B603" s="3"/>
      <c r="C603" s="3"/>
      <c r="D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</row>
    <row r="604" spans="1:67" ht="16.5" customHeight="1" x14ac:dyDescent="0.2">
      <c r="A604" s="3"/>
      <c r="B604" s="3"/>
      <c r="C604" s="3"/>
      <c r="D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</row>
    <row r="605" spans="1:67" ht="16.5" customHeight="1" x14ac:dyDescent="0.2">
      <c r="A605" s="3"/>
      <c r="B605" s="3"/>
      <c r="C605" s="3"/>
      <c r="D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</row>
    <row r="606" spans="1:67" ht="16.5" customHeight="1" x14ac:dyDescent="0.2">
      <c r="A606" s="3"/>
      <c r="B606" s="3"/>
      <c r="C606" s="3"/>
      <c r="D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</row>
    <row r="607" spans="1:67" ht="16.5" customHeight="1" x14ac:dyDescent="0.2">
      <c r="A607" s="3"/>
      <c r="B607" s="3"/>
      <c r="C607" s="3"/>
      <c r="D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</row>
    <row r="608" spans="1:67" ht="16.5" customHeight="1" x14ac:dyDescent="0.2">
      <c r="A608" s="3"/>
      <c r="B608" s="3"/>
      <c r="C608" s="3"/>
      <c r="D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</row>
    <row r="609" spans="1:67" ht="16.5" customHeight="1" x14ac:dyDescent="0.2">
      <c r="A609" s="3"/>
      <c r="B609" s="3"/>
      <c r="C609" s="3"/>
      <c r="D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</row>
    <row r="610" spans="1:67" ht="16.5" customHeight="1" x14ac:dyDescent="0.2">
      <c r="A610" s="3"/>
      <c r="B610" s="3"/>
      <c r="C610" s="3"/>
      <c r="D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</row>
    <row r="611" spans="1:67" ht="16.5" customHeight="1" x14ac:dyDescent="0.2">
      <c r="A611" s="3"/>
      <c r="B611" s="3"/>
      <c r="C611" s="3"/>
      <c r="D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</row>
    <row r="612" spans="1:67" ht="16.5" customHeight="1" x14ac:dyDescent="0.2">
      <c r="A612" s="3"/>
      <c r="B612" s="3"/>
      <c r="C612" s="3"/>
      <c r="D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</row>
    <row r="613" spans="1:67" ht="16.5" customHeight="1" x14ac:dyDescent="0.2">
      <c r="A613" s="3"/>
      <c r="B613" s="3"/>
      <c r="C613" s="3"/>
      <c r="D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</row>
    <row r="614" spans="1:67" ht="16.5" customHeight="1" x14ac:dyDescent="0.2">
      <c r="A614" s="3"/>
      <c r="B614" s="3"/>
      <c r="C614" s="3"/>
      <c r="D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</row>
    <row r="615" spans="1:67" ht="16.5" customHeight="1" x14ac:dyDescent="0.2">
      <c r="A615" s="3"/>
      <c r="B615" s="3"/>
      <c r="C615" s="3"/>
      <c r="D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</row>
    <row r="616" spans="1:67" ht="16.5" customHeight="1" x14ac:dyDescent="0.2">
      <c r="A616" s="3"/>
      <c r="B616" s="3"/>
      <c r="C616" s="3"/>
      <c r="D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</row>
    <row r="617" spans="1:67" ht="16.5" customHeight="1" x14ac:dyDescent="0.2">
      <c r="A617" s="3"/>
      <c r="B617" s="3"/>
      <c r="C617" s="3"/>
      <c r="D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</row>
    <row r="618" spans="1:67" ht="16.5" customHeight="1" x14ac:dyDescent="0.2">
      <c r="A618" s="3"/>
      <c r="B618" s="3"/>
      <c r="C618" s="3"/>
      <c r="D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</row>
    <row r="619" spans="1:67" ht="16.5" customHeight="1" x14ac:dyDescent="0.2">
      <c r="A619" s="3"/>
      <c r="B619" s="3"/>
      <c r="C619" s="3"/>
      <c r="D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</row>
    <row r="620" spans="1:67" ht="16.5" customHeight="1" x14ac:dyDescent="0.2">
      <c r="A620" s="3"/>
      <c r="B620" s="3"/>
      <c r="C620" s="3"/>
      <c r="D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</row>
    <row r="621" spans="1:67" ht="16.5" customHeight="1" x14ac:dyDescent="0.2">
      <c r="A621" s="3"/>
      <c r="B621" s="3"/>
      <c r="C621" s="3"/>
      <c r="D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</row>
    <row r="622" spans="1:67" ht="16.5" customHeight="1" x14ac:dyDescent="0.2">
      <c r="A622" s="3"/>
      <c r="B622" s="3"/>
      <c r="C622" s="3"/>
      <c r="D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</row>
    <row r="623" spans="1:67" ht="16.5" customHeight="1" x14ac:dyDescent="0.2">
      <c r="A623" s="3"/>
      <c r="B623" s="3"/>
      <c r="C623" s="3"/>
      <c r="D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</row>
    <row r="624" spans="1:67" ht="16.5" customHeight="1" x14ac:dyDescent="0.2">
      <c r="A624" s="3"/>
      <c r="B624" s="3"/>
      <c r="C624" s="3"/>
      <c r="D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</row>
    <row r="625" spans="1:67" ht="16.5" customHeight="1" x14ac:dyDescent="0.2">
      <c r="A625" s="3"/>
      <c r="B625" s="3"/>
      <c r="C625" s="3"/>
      <c r="D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</row>
    <row r="626" spans="1:67" ht="16.5" customHeight="1" x14ac:dyDescent="0.2">
      <c r="A626" s="3"/>
      <c r="B626" s="3"/>
      <c r="C626" s="3"/>
      <c r="D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</row>
    <row r="627" spans="1:67" ht="16.5" customHeight="1" x14ac:dyDescent="0.2">
      <c r="A627" s="3"/>
      <c r="B627" s="3"/>
      <c r="C627" s="3"/>
      <c r="D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</row>
    <row r="628" spans="1:67" ht="16.5" customHeight="1" x14ac:dyDescent="0.2">
      <c r="A628" s="3"/>
      <c r="B628" s="3"/>
      <c r="C628" s="3"/>
      <c r="D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</row>
    <row r="629" spans="1:67" ht="16.5" customHeight="1" x14ac:dyDescent="0.2">
      <c r="A629" s="3"/>
      <c r="B629" s="3"/>
      <c r="C629" s="3"/>
      <c r="D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</row>
    <row r="630" spans="1:67" ht="16.5" customHeight="1" x14ac:dyDescent="0.2">
      <c r="A630" s="3"/>
      <c r="B630" s="3"/>
      <c r="C630" s="3"/>
      <c r="D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</row>
    <row r="631" spans="1:67" ht="16.5" customHeight="1" x14ac:dyDescent="0.2">
      <c r="A631" s="3"/>
      <c r="B631" s="3"/>
      <c r="C631" s="3"/>
      <c r="D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</row>
    <row r="632" spans="1:67" ht="16.5" customHeight="1" x14ac:dyDescent="0.2">
      <c r="A632" s="3"/>
      <c r="B632" s="3"/>
      <c r="C632" s="3"/>
      <c r="D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</row>
    <row r="633" spans="1:67" ht="16.5" customHeight="1" x14ac:dyDescent="0.2">
      <c r="A633" s="3"/>
      <c r="B633" s="3"/>
      <c r="C633" s="3"/>
      <c r="D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</row>
    <row r="634" spans="1:67" ht="16.5" customHeight="1" x14ac:dyDescent="0.2">
      <c r="A634" s="3"/>
      <c r="B634" s="3"/>
      <c r="C634" s="3"/>
      <c r="D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</row>
    <row r="635" spans="1:67" ht="16.5" customHeight="1" x14ac:dyDescent="0.2">
      <c r="A635" s="3"/>
      <c r="B635" s="3"/>
      <c r="C635" s="3"/>
      <c r="D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</row>
    <row r="636" spans="1:67" ht="16.5" customHeight="1" x14ac:dyDescent="0.2">
      <c r="A636" s="3"/>
      <c r="B636" s="3"/>
      <c r="C636" s="3"/>
      <c r="D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</row>
    <row r="637" spans="1:67" ht="16.5" customHeight="1" x14ac:dyDescent="0.2">
      <c r="A637" s="3"/>
      <c r="B637" s="3"/>
      <c r="C637" s="3"/>
      <c r="D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</row>
    <row r="638" spans="1:67" ht="16.5" customHeight="1" x14ac:dyDescent="0.2">
      <c r="A638" s="3"/>
      <c r="B638" s="3"/>
      <c r="C638" s="3"/>
      <c r="D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</row>
    <row r="639" spans="1:67" ht="16.5" customHeight="1" x14ac:dyDescent="0.2">
      <c r="A639" s="3"/>
      <c r="B639" s="3"/>
      <c r="C639" s="3"/>
      <c r="D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</row>
    <row r="640" spans="1:67" ht="16.5" customHeight="1" x14ac:dyDescent="0.2">
      <c r="A640" s="3"/>
      <c r="B640" s="3"/>
      <c r="C640" s="3"/>
      <c r="D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</row>
    <row r="641" spans="1:67" ht="16.5" customHeight="1" x14ac:dyDescent="0.2">
      <c r="A641" s="3"/>
      <c r="B641" s="3"/>
      <c r="C641" s="3"/>
      <c r="D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</row>
    <row r="642" spans="1:67" ht="16.5" customHeight="1" x14ac:dyDescent="0.2">
      <c r="A642" s="3"/>
      <c r="B642" s="3"/>
      <c r="C642" s="3"/>
      <c r="D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</row>
    <row r="643" spans="1:67" ht="16.5" customHeight="1" x14ac:dyDescent="0.2">
      <c r="A643" s="3"/>
      <c r="B643" s="3"/>
      <c r="C643" s="3"/>
      <c r="D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</row>
    <row r="644" spans="1:67" ht="16.5" customHeight="1" x14ac:dyDescent="0.2">
      <c r="A644" s="3"/>
      <c r="B644" s="3"/>
      <c r="C644" s="3"/>
      <c r="D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</row>
    <row r="645" spans="1:67" ht="16.5" customHeight="1" x14ac:dyDescent="0.2">
      <c r="A645" s="3"/>
      <c r="B645" s="3"/>
      <c r="C645" s="3"/>
      <c r="D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</row>
    <row r="646" spans="1:67" ht="16.5" customHeight="1" x14ac:dyDescent="0.2">
      <c r="A646" s="3"/>
      <c r="B646" s="3"/>
      <c r="C646" s="3"/>
      <c r="D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</row>
    <row r="647" spans="1:67" ht="16.5" customHeight="1" x14ac:dyDescent="0.2">
      <c r="A647" s="3"/>
      <c r="B647" s="3"/>
      <c r="C647" s="3"/>
      <c r="D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</row>
    <row r="648" spans="1:67" ht="16.5" customHeight="1" x14ac:dyDescent="0.2">
      <c r="A648" s="3"/>
      <c r="B648" s="3"/>
      <c r="C648" s="3"/>
      <c r="D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</row>
    <row r="649" spans="1:67" ht="16.5" customHeight="1" x14ac:dyDescent="0.2">
      <c r="A649" s="3"/>
      <c r="B649" s="3"/>
      <c r="C649" s="3"/>
      <c r="D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</row>
    <row r="650" spans="1:67" ht="16.5" customHeight="1" x14ac:dyDescent="0.2">
      <c r="A650" s="3"/>
      <c r="B650" s="3"/>
      <c r="C650" s="3"/>
      <c r="D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</row>
    <row r="651" spans="1:67" ht="16.5" customHeight="1" x14ac:dyDescent="0.2">
      <c r="A651" s="3"/>
      <c r="B651" s="3"/>
      <c r="C651" s="3"/>
      <c r="D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</row>
    <row r="652" spans="1:67" ht="16.5" customHeight="1" x14ac:dyDescent="0.2">
      <c r="A652" s="3"/>
      <c r="B652" s="3"/>
      <c r="C652" s="3"/>
      <c r="D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</row>
    <row r="653" spans="1:67" ht="16.5" customHeight="1" x14ac:dyDescent="0.2">
      <c r="A653" s="3"/>
      <c r="B653" s="3"/>
      <c r="C653" s="3"/>
      <c r="D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</row>
    <row r="654" spans="1:67" ht="16.5" customHeight="1" x14ac:dyDescent="0.2">
      <c r="A654" s="3"/>
      <c r="B654" s="3"/>
      <c r="C654" s="3"/>
      <c r="D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</row>
    <row r="655" spans="1:67" ht="16.5" customHeight="1" x14ac:dyDescent="0.2">
      <c r="A655" s="3"/>
      <c r="B655" s="3"/>
      <c r="C655" s="3"/>
      <c r="D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</row>
    <row r="656" spans="1:67" ht="16.5" customHeight="1" x14ac:dyDescent="0.2">
      <c r="A656" s="3"/>
      <c r="B656" s="3"/>
      <c r="C656" s="3"/>
      <c r="D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</row>
    <row r="657" spans="1:67" ht="16.5" customHeight="1" x14ac:dyDescent="0.2">
      <c r="A657" s="3"/>
      <c r="B657" s="3"/>
      <c r="C657" s="3"/>
      <c r="D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</row>
    <row r="658" spans="1:67" ht="16.5" customHeight="1" x14ac:dyDescent="0.2">
      <c r="A658" s="3"/>
      <c r="B658" s="3"/>
      <c r="C658" s="3"/>
      <c r="D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</row>
    <row r="659" spans="1:67" ht="16.5" customHeight="1" x14ac:dyDescent="0.2">
      <c r="A659" s="3"/>
      <c r="B659" s="3"/>
      <c r="C659" s="3"/>
      <c r="D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</row>
    <row r="660" spans="1:67" ht="16.5" customHeight="1" x14ac:dyDescent="0.2">
      <c r="A660" s="3"/>
      <c r="B660" s="3"/>
      <c r="C660" s="3"/>
      <c r="D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</row>
    <row r="661" spans="1:67" ht="16.5" customHeight="1" x14ac:dyDescent="0.2">
      <c r="A661" s="3"/>
      <c r="B661" s="3"/>
      <c r="C661" s="3"/>
      <c r="D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</row>
    <row r="662" spans="1:67" ht="16.5" customHeight="1" x14ac:dyDescent="0.2">
      <c r="A662" s="3"/>
      <c r="B662" s="3"/>
      <c r="C662" s="3"/>
      <c r="D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</row>
    <row r="663" spans="1:67" ht="16.5" customHeight="1" x14ac:dyDescent="0.2">
      <c r="A663" s="3"/>
      <c r="B663" s="3"/>
      <c r="C663" s="3"/>
      <c r="D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</row>
    <row r="664" spans="1:67" ht="16.5" customHeight="1" x14ac:dyDescent="0.2">
      <c r="A664" s="3"/>
      <c r="B664" s="3"/>
      <c r="C664" s="3"/>
      <c r="D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</row>
    <row r="665" spans="1:67" ht="16.5" customHeight="1" x14ac:dyDescent="0.2">
      <c r="A665" s="3"/>
      <c r="B665" s="3"/>
      <c r="C665" s="3"/>
      <c r="D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</row>
    <row r="666" spans="1:67" ht="16.5" customHeight="1" x14ac:dyDescent="0.2">
      <c r="A666" s="3"/>
      <c r="B666" s="3"/>
      <c r="C666" s="3"/>
      <c r="D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</row>
    <row r="667" spans="1:67" ht="16.5" customHeight="1" x14ac:dyDescent="0.2">
      <c r="A667" s="3"/>
      <c r="B667" s="3"/>
      <c r="C667" s="3"/>
      <c r="D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</row>
    <row r="668" spans="1:67" ht="16.5" customHeight="1" x14ac:dyDescent="0.2">
      <c r="A668" s="3"/>
      <c r="B668" s="3"/>
      <c r="C668" s="3"/>
      <c r="D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</row>
    <row r="669" spans="1:67" ht="16.5" customHeight="1" x14ac:dyDescent="0.2">
      <c r="A669" s="3"/>
      <c r="B669" s="3"/>
      <c r="C669" s="3"/>
      <c r="D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</row>
    <row r="670" spans="1:67" ht="16.5" customHeight="1" x14ac:dyDescent="0.2">
      <c r="A670" s="3"/>
      <c r="B670" s="3"/>
      <c r="C670" s="3"/>
      <c r="D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</row>
    <row r="671" spans="1:67" ht="16.5" customHeight="1" x14ac:dyDescent="0.2">
      <c r="A671" s="3"/>
      <c r="B671" s="3"/>
      <c r="C671" s="3"/>
      <c r="D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</row>
    <row r="672" spans="1:67" ht="16.5" customHeight="1" x14ac:dyDescent="0.2">
      <c r="A672" s="3"/>
      <c r="B672" s="3"/>
      <c r="C672" s="3"/>
      <c r="D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</row>
    <row r="673" spans="1:67" ht="16.5" customHeight="1" x14ac:dyDescent="0.2">
      <c r="A673" s="3"/>
      <c r="B673" s="3"/>
      <c r="C673" s="3"/>
      <c r="D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</row>
    <row r="674" spans="1:67" ht="16.5" customHeight="1" x14ac:dyDescent="0.2">
      <c r="A674" s="3"/>
      <c r="B674" s="3"/>
      <c r="C674" s="3"/>
      <c r="D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</row>
    <row r="675" spans="1:67" ht="16.5" customHeight="1" x14ac:dyDescent="0.2">
      <c r="A675" s="3"/>
      <c r="B675" s="3"/>
      <c r="C675" s="3"/>
      <c r="D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</row>
    <row r="676" spans="1:67" ht="16.5" customHeight="1" x14ac:dyDescent="0.2">
      <c r="A676" s="3"/>
      <c r="B676" s="3"/>
      <c r="C676" s="3"/>
      <c r="D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</row>
    <row r="677" spans="1:67" ht="16.5" customHeight="1" x14ac:dyDescent="0.2">
      <c r="A677" s="3"/>
      <c r="B677" s="3"/>
      <c r="C677" s="3"/>
      <c r="D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</row>
    <row r="678" spans="1:67" ht="16.5" customHeight="1" x14ac:dyDescent="0.2">
      <c r="A678" s="3"/>
      <c r="B678" s="3"/>
      <c r="C678" s="3"/>
      <c r="D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</row>
    <row r="679" spans="1:67" ht="16.5" customHeight="1" x14ac:dyDescent="0.2">
      <c r="A679" s="3"/>
      <c r="B679" s="3"/>
      <c r="C679" s="3"/>
      <c r="D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</row>
    <row r="680" spans="1:67" ht="16.5" customHeight="1" x14ac:dyDescent="0.2">
      <c r="A680" s="3"/>
      <c r="B680" s="3"/>
      <c r="C680" s="3"/>
      <c r="D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</row>
    <row r="681" spans="1:67" ht="16.5" customHeight="1" x14ac:dyDescent="0.2">
      <c r="A681" s="3"/>
      <c r="B681" s="3"/>
      <c r="C681" s="3"/>
      <c r="D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</row>
    <row r="682" spans="1:67" ht="16.5" customHeight="1" x14ac:dyDescent="0.2">
      <c r="A682" s="3"/>
      <c r="B682" s="3"/>
      <c r="C682" s="3"/>
      <c r="D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</row>
    <row r="683" spans="1:67" ht="16.5" customHeight="1" x14ac:dyDescent="0.2">
      <c r="A683" s="3"/>
      <c r="B683" s="3"/>
      <c r="C683" s="3"/>
      <c r="D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</row>
    <row r="684" spans="1:67" ht="16.5" customHeight="1" x14ac:dyDescent="0.2">
      <c r="A684" s="3"/>
      <c r="B684" s="3"/>
      <c r="C684" s="3"/>
      <c r="D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</row>
    <row r="685" spans="1:67" ht="16.5" customHeight="1" x14ac:dyDescent="0.2">
      <c r="A685" s="3"/>
      <c r="B685" s="3"/>
      <c r="C685" s="3"/>
      <c r="D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</row>
    <row r="686" spans="1:67" ht="16.5" customHeight="1" x14ac:dyDescent="0.2">
      <c r="A686" s="3"/>
      <c r="B686" s="3"/>
      <c r="C686" s="3"/>
      <c r="D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</row>
    <row r="687" spans="1:67" ht="16.5" customHeight="1" x14ac:dyDescent="0.2">
      <c r="A687" s="3"/>
      <c r="B687" s="3"/>
      <c r="C687" s="3"/>
      <c r="D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</row>
    <row r="688" spans="1:67" ht="16.5" customHeight="1" x14ac:dyDescent="0.2">
      <c r="A688" s="3"/>
      <c r="B688" s="3"/>
      <c r="C688" s="3"/>
      <c r="D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</row>
    <row r="689" spans="1:67" ht="16.5" customHeight="1" x14ac:dyDescent="0.2">
      <c r="A689" s="3"/>
      <c r="B689" s="3"/>
      <c r="C689" s="3"/>
      <c r="D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</row>
    <row r="690" spans="1:67" ht="16.5" customHeight="1" x14ac:dyDescent="0.2">
      <c r="A690" s="3"/>
      <c r="B690" s="3"/>
      <c r="C690" s="3"/>
      <c r="D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</row>
    <row r="691" spans="1:67" ht="16.5" customHeight="1" x14ac:dyDescent="0.2">
      <c r="A691" s="3"/>
      <c r="B691" s="3"/>
      <c r="C691" s="3"/>
      <c r="D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</row>
    <row r="692" spans="1:67" ht="16.5" customHeight="1" x14ac:dyDescent="0.2">
      <c r="A692" s="3"/>
      <c r="B692" s="3"/>
      <c r="C692" s="3"/>
      <c r="D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</row>
    <row r="693" spans="1:67" ht="16.5" customHeight="1" x14ac:dyDescent="0.2">
      <c r="A693" s="3"/>
      <c r="B693" s="3"/>
      <c r="C693" s="3"/>
      <c r="D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</row>
    <row r="694" spans="1:67" ht="16.5" customHeight="1" x14ac:dyDescent="0.2">
      <c r="A694" s="3"/>
      <c r="B694" s="3"/>
      <c r="C694" s="3"/>
      <c r="D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</row>
    <row r="695" spans="1:67" ht="16.5" customHeight="1" x14ac:dyDescent="0.2">
      <c r="A695" s="3"/>
      <c r="B695" s="3"/>
      <c r="C695" s="3"/>
      <c r="D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</row>
    <row r="696" spans="1:67" ht="16.5" customHeight="1" x14ac:dyDescent="0.2">
      <c r="A696" s="3"/>
      <c r="B696" s="3"/>
      <c r="C696" s="3"/>
      <c r="D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</row>
    <row r="697" spans="1:67" ht="16.5" customHeight="1" x14ac:dyDescent="0.2">
      <c r="A697" s="3"/>
      <c r="B697" s="3"/>
      <c r="C697" s="3"/>
      <c r="D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</row>
    <row r="698" spans="1:67" ht="16.5" customHeight="1" x14ac:dyDescent="0.2">
      <c r="A698" s="3"/>
      <c r="B698" s="3"/>
      <c r="C698" s="3"/>
      <c r="D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</row>
    <row r="699" spans="1:67" ht="16.5" customHeight="1" x14ac:dyDescent="0.2">
      <c r="A699" s="3"/>
      <c r="B699" s="3"/>
      <c r="C699" s="3"/>
      <c r="D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</row>
    <row r="700" spans="1:67" ht="16.5" customHeight="1" x14ac:dyDescent="0.2">
      <c r="A700" s="3"/>
      <c r="B700" s="3"/>
      <c r="C700" s="3"/>
      <c r="D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</row>
    <row r="701" spans="1:67" ht="16.5" customHeight="1" x14ac:dyDescent="0.2">
      <c r="A701" s="3"/>
      <c r="B701" s="3"/>
      <c r="C701" s="3"/>
      <c r="D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</row>
    <row r="702" spans="1:67" ht="16.5" customHeight="1" x14ac:dyDescent="0.2">
      <c r="A702" s="3"/>
      <c r="B702" s="3"/>
      <c r="C702" s="3"/>
      <c r="D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</row>
    <row r="703" spans="1:67" ht="16.5" customHeight="1" x14ac:dyDescent="0.2">
      <c r="A703" s="3"/>
      <c r="B703" s="3"/>
      <c r="C703" s="3"/>
      <c r="D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</row>
    <row r="704" spans="1:67" ht="16.5" customHeight="1" x14ac:dyDescent="0.2">
      <c r="A704" s="3"/>
      <c r="B704" s="3"/>
      <c r="C704" s="3"/>
      <c r="D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</row>
    <row r="705" spans="1:67" ht="16.5" customHeight="1" x14ac:dyDescent="0.2">
      <c r="A705" s="3"/>
      <c r="B705" s="3"/>
      <c r="C705" s="3"/>
      <c r="D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</row>
    <row r="706" spans="1:67" ht="16.5" customHeight="1" x14ac:dyDescent="0.2">
      <c r="A706" s="3"/>
      <c r="B706" s="3"/>
      <c r="C706" s="3"/>
      <c r="D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</row>
    <row r="707" spans="1:67" ht="16.5" customHeight="1" x14ac:dyDescent="0.2">
      <c r="A707" s="3"/>
      <c r="B707" s="3"/>
      <c r="C707" s="3"/>
      <c r="D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</row>
    <row r="708" spans="1:67" ht="16.5" customHeight="1" x14ac:dyDescent="0.2">
      <c r="A708" s="3"/>
      <c r="B708" s="3"/>
      <c r="C708" s="3"/>
      <c r="D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</row>
    <row r="709" spans="1:67" ht="16.5" customHeight="1" x14ac:dyDescent="0.2">
      <c r="A709" s="3"/>
      <c r="B709" s="3"/>
      <c r="C709" s="3"/>
      <c r="D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</row>
    <row r="710" spans="1:67" ht="16.5" customHeight="1" x14ac:dyDescent="0.2">
      <c r="A710" s="3"/>
      <c r="B710" s="3"/>
      <c r="C710" s="3"/>
      <c r="D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</row>
    <row r="711" spans="1:67" ht="16.5" customHeight="1" x14ac:dyDescent="0.2">
      <c r="A711" s="3"/>
      <c r="B711" s="3"/>
      <c r="C711" s="3"/>
      <c r="D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</row>
    <row r="712" spans="1:67" ht="16.5" customHeight="1" x14ac:dyDescent="0.2">
      <c r="A712" s="3"/>
      <c r="B712" s="3"/>
      <c r="C712" s="3"/>
      <c r="D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</row>
    <row r="713" spans="1:67" ht="16.5" customHeight="1" x14ac:dyDescent="0.2">
      <c r="A713" s="3"/>
      <c r="B713" s="3"/>
      <c r="C713" s="3"/>
      <c r="D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</row>
    <row r="714" spans="1:67" ht="16.5" customHeight="1" x14ac:dyDescent="0.2">
      <c r="A714" s="3"/>
      <c r="B714" s="3"/>
      <c r="C714" s="3"/>
      <c r="D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</row>
    <row r="715" spans="1:67" ht="16.5" customHeight="1" x14ac:dyDescent="0.2">
      <c r="A715" s="3"/>
      <c r="B715" s="3"/>
      <c r="C715" s="3"/>
      <c r="D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</row>
    <row r="716" spans="1:67" ht="16.5" customHeight="1" x14ac:dyDescent="0.2">
      <c r="A716" s="3"/>
      <c r="B716" s="3"/>
      <c r="C716" s="3"/>
      <c r="D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</row>
    <row r="717" spans="1:67" ht="16.5" customHeight="1" x14ac:dyDescent="0.2">
      <c r="A717" s="3"/>
      <c r="B717" s="3"/>
      <c r="C717" s="3"/>
      <c r="D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</row>
    <row r="718" spans="1:67" ht="16.5" customHeight="1" x14ac:dyDescent="0.2">
      <c r="A718" s="3"/>
      <c r="B718" s="3"/>
      <c r="C718" s="3"/>
      <c r="D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</row>
    <row r="719" spans="1:67" ht="16.5" customHeight="1" x14ac:dyDescent="0.2">
      <c r="A719" s="3"/>
      <c r="B719" s="3"/>
      <c r="C719" s="3"/>
      <c r="D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</row>
    <row r="720" spans="1:67" ht="16.5" customHeight="1" x14ac:dyDescent="0.2">
      <c r="A720" s="3"/>
      <c r="B720" s="3"/>
      <c r="C720" s="3"/>
      <c r="D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</row>
    <row r="721" spans="1:67" ht="16.5" customHeight="1" x14ac:dyDescent="0.2">
      <c r="A721" s="3"/>
      <c r="B721" s="3"/>
      <c r="C721" s="3"/>
      <c r="D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</row>
    <row r="722" spans="1:67" ht="16.5" customHeight="1" x14ac:dyDescent="0.2">
      <c r="A722" s="3"/>
      <c r="B722" s="3"/>
      <c r="C722" s="3"/>
      <c r="D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</row>
    <row r="723" spans="1:67" ht="16.5" customHeight="1" x14ac:dyDescent="0.2">
      <c r="A723" s="3"/>
      <c r="B723" s="3"/>
      <c r="C723" s="3"/>
      <c r="D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</row>
    <row r="724" spans="1:67" ht="16.5" customHeight="1" x14ac:dyDescent="0.2">
      <c r="A724" s="3"/>
      <c r="B724" s="3"/>
      <c r="C724" s="3"/>
      <c r="D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</row>
    <row r="725" spans="1:67" ht="16.5" customHeight="1" x14ac:dyDescent="0.2">
      <c r="A725" s="3"/>
      <c r="B725" s="3"/>
      <c r="C725" s="3"/>
      <c r="D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</row>
    <row r="726" spans="1:67" ht="16.5" customHeight="1" x14ac:dyDescent="0.2">
      <c r="A726" s="3"/>
      <c r="B726" s="3"/>
      <c r="C726" s="3"/>
      <c r="D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</row>
    <row r="727" spans="1:67" ht="16.5" customHeight="1" x14ac:dyDescent="0.2">
      <c r="A727" s="3"/>
      <c r="B727" s="3"/>
      <c r="C727" s="3"/>
      <c r="D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</row>
    <row r="728" spans="1:67" ht="16.5" customHeight="1" x14ac:dyDescent="0.2">
      <c r="A728" s="3"/>
      <c r="B728" s="3"/>
      <c r="C728" s="3"/>
      <c r="D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</row>
    <row r="729" spans="1:67" ht="16.5" customHeight="1" x14ac:dyDescent="0.2">
      <c r="A729" s="3"/>
      <c r="B729" s="3"/>
      <c r="C729" s="3"/>
      <c r="D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</row>
    <row r="730" spans="1:67" ht="16.5" customHeight="1" x14ac:dyDescent="0.2">
      <c r="A730" s="3"/>
      <c r="B730" s="3"/>
      <c r="C730" s="3"/>
      <c r="D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</row>
    <row r="731" spans="1:67" ht="16.5" customHeight="1" x14ac:dyDescent="0.2">
      <c r="A731" s="3"/>
      <c r="B731" s="3"/>
      <c r="C731" s="3"/>
      <c r="D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</row>
    <row r="732" spans="1:67" ht="16.5" customHeight="1" x14ac:dyDescent="0.2">
      <c r="A732" s="3"/>
      <c r="B732" s="3"/>
      <c r="C732" s="3"/>
      <c r="D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</row>
    <row r="733" spans="1:67" ht="16.5" customHeight="1" x14ac:dyDescent="0.2">
      <c r="A733" s="3"/>
      <c r="B733" s="3"/>
      <c r="C733" s="3"/>
      <c r="D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</row>
    <row r="734" spans="1:67" ht="16.5" customHeight="1" x14ac:dyDescent="0.2">
      <c r="A734" s="3"/>
      <c r="B734" s="3"/>
      <c r="C734" s="3"/>
      <c r="D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</row>
    <row r="735" spans="1:67" ht="16.5" customHeight="1" x14ac:dyDescent="0.2">
      <c r="A735" s="3"/>
      <c r="B735" s="3"/>
      <c r="C735" s="3"/>
      <c r="D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</row>
    <row r="736" spans="1:67" ht="16.5" customHeight="1" x14ac:dyDescent="0.2">
      <c r="A736" s="3"/>
      <c r="B736" s="3"/>
      <c r="C736" s="3"/>
      <c r="D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</row>
    <row r="737" spans="1:67" ht="16.5" customHeight="1" x14ac:dyDescent="0.2">
      <c r="A737" s="3"/>
      <c r="B737" s="3"/>
      <c r="C737" s="3"/>
      <c r="D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</row>
    <row r="738" spans="1:67" ht="16.5" customHeight="1" x14ac:dyDescent="0.2">
      <c r="A738" s="3"/>
      <c r="B738" s="3"/>
      <c r="C738" s="3"/>
      <c r="D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</row>
    <row r="739" spans="1:67" ht="16.5" customHeight="1" x14ac:dyDescent="0.2">
      <c r="A739" s="3"/>
      <c r="B739" s="3"/>
      <c r="C739" s="3"/>
      <c r="D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</row>
    <row r="740" spans="1:67" ht="16.5" customHeight="1" x14ac:dyDescent="0.2">
      <c r="A740" s="3"/>
      <c r="B740" s="3"/>
      <c r="C740" s="3"/>
      <c r="D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</row>
    <row r="741" spans="1:67" ht="16.5" customHeight="1" x14ac:dyDescent="0.2">
      <c r="A741" s="3"/>
      <c r="B741" s="3"/>
      <c r="C741" s="3"/>
      <c r="D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</row>
    <row r="742" spans="1:67" ht="16.5" customHeight="1" x14ac:dyDescent="0.2">
      <c r="A742" s="3"/>
      <c r="B742" s="3"/>
      <c r="C742" s="3"/>
      <c r="D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</row>
    <row r="743" spans="1:67" ht="16.5" customHeight="1" x14ac:dyDescent="0.2">
      <c r="A743" s="3"/>
      <c r="B743" s="3"/>
      <c r="C743" s="3"/>
      <c r="D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</row>
    <row r="744" spans="1:67" ht="16.5" customHeight="1" x14ac:dyDescent="0.2">
      <c r="A744" s="3"/>
      <c r="B744" s="3"/>
      <c r="C744" s="3"/>
      <c r="D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</row>
    <row r="745" spans="1:67" ht="16.5" customHeight="1" x14ac:dyDescent="0.2">
      <c r="A745" s="3"/>
      <c r="B745" s="3"/>
      <c r="C745" s="3"/>
      <c r="D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</row>
    <row r="746" spans="1:67" ht="16.5" customHeight="1" x14ac:dyDescent="0.2">
      <c r="A746" s="3"/>
      <c r="B746" s="3"/>
      <c r="C746" s="3"/>
      <c r="D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</row>
    <row r="747" spans="1:67" ht="16.5" customHeight="1" x14ac:dyDescent="0.2">
      <c r="A747" s="3"/>
      <c r="B747" s="3"/>
      <c r="C747" s="3"/>
      <c r="D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</row>
    <row r="748" spans="1:67" ht="16.5" customHeight="1" x14ac:dyDescent="0.2">
      <c r="A748" s="3"/>
      <c r="B748" s="3"/>
      <c r="C748" s="3"/>
      <c r="D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</row>
    <row r="749" spans="1:67" ht="16.5" customHeight="1" x14ac:dyDescent="0.2">
      <c r="A749" s="3"/>
      <c r="B749" s="3"/>
      <c r="C749" s="3"/>
      <c r="D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</row>
    <row r="750" spans="1:67" ht="16.5" customHeight="1" x14ac:dyDescent="0.2">
      <c r="A750" s="3"/>
      <c r="B750" s="3"/>
      <c r="C750" s="3"/>
      <c r="D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</row>
    <row r="751" spans="1:67" ht="16.5" customHeight="1" x14ac:dyDescent="0.2">
      <c r="A751" s="3"/>
      <c r="B751" s="3"/>
      <c r="C751" s="3"/>
      <c r="D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</row>
    <row r="752" spans="1:67" ht="16.5" customHeight="1" x14ac:dyDescent="0.2">
      <c r="A752" s="3"/>
      <c r="B752" s="3"/>
      <c r="C752" s="3"/>
      <c r="D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</row>
    <row r="753" spans="1:67" ht="16.5" customHeight="1" x14ac:dyDescent="0.2">
      <c r="A753" s="3"/>
      <c r="B753" s="3"/>
      <c r="C753" s="3"/>
      <c r="D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</row>
    <row r="754" spans="1:67" ht="16.5" customHeight="1" x14ac:dyDescent="0.2">
      <c r="A754" s="3"/>
      <c r="B754" s="3"/>
      <c r="C754" s="3"/>
      <c r="D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</row>
    <row r="755" spans="1:67" ht="16.5" customHeight="1" x14ac:dyDescent="0.2">
      <c r="A755" s="3"/>
      <c r="B755" s="3"/>
      <c r="C755" s="3"/>
      <c r="D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</row>
    <row r="756" spans="1:67" ht="16.5" customHeight="1" x14ac:dyDescent="0.2">
      <c r="A756" s="3"/>
      <c r="B756" s="3"/>
      <c r="C756" s="3"/>
      <c r="D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</row>
    <row r="757" spans="1:67" ht="16.5" customHeight="1" x14ac:dyDescent="0.2">
      <c r="A757" s="3"/>
      <c r="B757" s="3"/>
      <c r="C757" s="3"/>
      <c r="D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</row>
    <row r="758" spans="1:67" ht="16.5" customHeight="1" x14ac:dyDescent="0.2">
      <c r="A758" s="3"/>
      <c r="B758" s="3"/>
      <c r="C758" s="3"/>
      <c r="D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</row>
    <row r="759" spans="1:67" ht="16.5" customHeight="1" x14ac:dyDescent="0.2">
      <c r="A759" s="3"/>
      <c r="B759" s="3"/>
      <c r="C759" s="3"/>
      <c r="D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</row>
    <row r="760" spans="1:67" ht="16.5" customHeight="1" x14ac:dyDescent="0.2">
      <c r="A760" s="3"/>
      <c r="B760" s="3"/>
      <c r="C760" s="3"/>
      <c r="D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</row>
    <row r="761" spans="1:67" ht="16.5" customHeight="1" x14ac:dyDescent="0.2">
      <c r="A761" s="3"/>
      <c r="B761" s="3"/>
      <c r="C761" s="3"/>
      <c r="D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</row>
    <row r="762" spans="1:67" ht="16.5" customHeight="1" x14ac:dyDescent="0.2">
      <c r="A762" s="3"/>
      <c r="B762" s="3"/>
      <c r="C762" s="3"/>
      <c r="D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</row>
    <row r="763" spans="1:67" ht="16.5" customHeight="1" x14ac:dyDescent="0.2">
      <c r="A763" s="3"/>
      <c r="B763" s="3"/>
      <c r="C763" s="3"/>
      <c r="D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</row>
    <row r="764" spans="1:67" ht="16.5" customHeight="1" x14ac:dyDescent="0.2">
      <c r="A764" s="3"/>
      <c r="B764" s="3"/>
      <c r="C764" s="3"/>
      <c r="D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</row>
    <row r="765" spans="1:67" ht="16.5" customHeight="1" x14ac:dyDescent="0.2">
      <c r="A765" s="3"/>
      <c r="B765" s="3"/>
      <c r="C765" s="3"/>
      <c r="D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</row>
    <row r="766" spans="1:67" ht="16.5" customHeight="1" x14ac:dyDescent="0.2">
      <c r="A766" s="3"/>
      <c r="B766" s="3"/>
      <c r="C766" s="3"/>
      <c r="D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</row>
    <row r="767" spans="1:67" ht="16.5" customHeight="1" x14ac:dyDescent="0.2">
      <c r="A767" s="3"/>
      <c r="B767" s="3"/>
      <c r="C767" s="3"/>
      <c r="D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</row>
    <row r="768" spans="1:67" ht="16.5" customHeight="1" x14ac:dyDescent="0.2">
      <c r="A768" s="3"/>
      <c r="B768" s="3"/>
      <c r="C768" s="3"/>
      <c r="D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</row>
    <row r="769" spans="1:67" ht="16.5" customHeight="1" x14ac:dyDescent="0.2">
      <c r="A769" s="3"/>
      <c r="B769" s="3"/>
      <c r="C769" s="3"/>
      <c r="D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</row>
    <row r="770" spans="1:67" ht="16.5" customHeight="1" x14ac:dyDescent="0.2">
      <c r="A770" s="3"/>
      <c r="B770" s="3"/>
      <c r="C770" s="3"/>
      <c r="D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</row>
    <row r="771" spans="1:67" ht="16.5" customHeight="1" x14ac:dyDescent="0.2">
      <c r="A771" s="3"/>
      <c r="B771" s="3"/>
      <c r="C771" s="3"/>
      <c r="D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</row>
    <row r="772" spans="1:67" ht="16.5" customHeight="1" x14ac:dyDescent="0.2">
      <c r="A772" s="3"/>
      <c r="B772" s="3"/>
      <c r="C772" s="3"/>
      <c r="D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</row>
    <row r="773" spans="1:67" ht="16.5" customHeight="1" x14ac:dyDescent="0.2">
      <c r="A773" s="3"/>
      <c r="B773" s="3"/>
      <c r="C773" s="3"/>
      <c r="D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</row>
    <row r="774" spans="1:67" ht="16.5" customHeight="1" x14ac:dyDescent="0.2">
      <c r="A774" s="3"/>
      <c r="B774" s="3"/>
      <c r="C774" s="3"/>
      <c r="D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</row>
    <row r="775" spans="1:67" ht="16.5" customHeight="1" x14ac:dyDescent="0.2">
      <c r="A775" s="3"/>
      <c r="B775" s="3"/>
      <c r="C775" s="3"/>
      <c r="D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</row>
    <row r="776" spans="1:67" ht="16.5" customHeight="1" x14ac:dyDescent="0.2">
      <c r="A776" s="3"/>
      <c r="B776" s="3"/>
      <c r="C776" s="3"/>
      <c r="D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</row>
    <row r="777" spans="1:67" ht="16.5" customHeight="1" x14ac:dyDescent="0.2">
      <c r="A777" s="3"/>
      <c r="B777" s="3"/>
      <c r="C777" s="3"/>
      <c r="D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</row>
    <row r="778" spans="1:67" ht="16.5" customHeight="1" x14ac:dyDescent="0.2">
      <c r="A778" s="3"/>
      <c r="B778" s="3"/>
      <c r="C778" s="3"/>
      <c r="D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</row>
    <row r="779" spans="1:67" ht="16.5" customHeight="1" x14ac:dyDescent="0.2">
      <c r="A779" s="3"/>
      <c r="B779" s="3"/>
      <c r="C779" s="3"/>
      <c r="D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</row>
    <row r="780" spans="1:67" ht="16.5" customHeight="1" x14ac:dyDescent="0.2">
      <c r="A780" s="3"/>
      <c r="B780" s="3"/>
      <c r="C780" s="3"/>
      <c r="D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</row>
    <row r="781" spans="1:67" ht="16.5" customHeight="1" x14ac:dyDescent="0.2">
      <c r="A781" s="3"/>
      <c r="B781" s="3"/>
      <c r="C781" s="3"/>
      <c r="D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</row>
    <row r="782" spans="1:67" ht="16.5" customHeight="1" x14ac:dyDescent="0.2">
      <c r="A782" s="3"/>
      <c r="B782" s="3"/>
      <c r="C782" s="3"/>
      <c r="D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</row>
    <row r="783" spans="1:67" ht="16.5" customHeight="1" x14ac:dyDescent="0.2">
      <c r="A783" s="3"/>
      <c r="B783" s="3"/>
      <c r="C783" s="3"/>
      <c r="D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</row>
    <row r="784" spans="1:67" ht="16.5" customHeight="1" x14ac:dyDescent="0.2">
      <c r="A784" s="3"/>
      <c r="B784" s="3"/>
      <c r="C784" s="3"/>
      <c r="D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</row>
    <row r="785" spans="1:67" ht="16.5" customHeight="1" x14ac:dyDescent="0.2">
      <c r="A785" s="3"/>
      <c r="B785" s="3"/>
      <c r="C785" s="3"/>
      <c r="D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</row>
    <row r="786" spans="1:67" ht="16.5" customHeight="1" x14ac:dyDescent="0.2">
      <c r="A786" s="3"/>
      <c r="B786" s="3"/>
      <c r="C786" s="3"/>
      <c r="D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</row>
    <row r="787" spans="1:67" ht="16.5" customHeight="1" x14ac:dyDescent="0.2">
      <c r="A787" s="3"/>
      <c r="B787" s="3"/>
      <c r="C787" s="3"/>
      <c r="D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</row>
    <row r="788" spans="1:67" ht="16.5" customHeight="1" x14ac:dyDescent="0.2">
      <c r="A788" s="3"/>
      <c r="B788" s="3"/>
      <c r="C788" s="3"/>
      <c r="D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</row>
    <row r="789" spans="1:67" ht="16.5" customHeight="1" x14ac:dyDescent="0.2">
      <c r="A789" s="3"/>
      <c r="B789" s="3"/>
      <c r="C789" s="3"/>
      <c r="D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</row>
    <row r="790" spans="1:67" ht="16.5" customHeight="1" x14ac:dyDescent="0.2">
      <c r="A790" s="3"/>
      <c r="B790" s="3"/>
      <c r="C790" s="3"/>
      <c r="D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</row>
    <row r="791" spans="1:67" ht="16.5" customHeight="1" x14ac:dyDescent="0.2">
      <c r="A791" s="3"/>
      <c r="B791" s="3"/>
      <c r="C791" s="3"/>
      <c r="D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</row>
    <row r="792" spans="1:67" ht="16.5" customHeight="1" x14ac:dyDescent="0.2">
      <c r="A792" s="3"/>
      <c r="B792" s="3"/>
      <c r="C792" s="3"/>
      <c r="D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</row>
    <row r="793" spans="1:67" ht="16.5" customHeight="1" x14ac:dyDescent="0.2">
      <c r="A793" s="3"/>
      <c r="B793" s="3"/>
      <c r="C793" s="3"/>
      <c r="D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</row>
    <row r="794" spans="1:67" ht="16.5" customHeight="1" x14ac:dyDescent="0.2">
      <c r="A794" s="3"/>
      <c r="B794" s="3"/>
      <c r="C794" s="3"/>
      <c r="D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</row>
    <row r="795" spans="1:67" ht="16.5" customHeight="1" x14ac:dyDescent="0.2">
      <c r="A795" s="3"/>
      <c r="B795" s="3"/>
      <c r="C795" s="3"/>
      <c r="D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</row>
    <row r="796" spans="1:67" ht="16.5" customHeight="1" x14ac:dyDescent="0.2">
      <c r="A796" s="3"/>
      <c r="B796" s="3"/>
      <c r="C796" s="3"/>
      <c r="D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</row>
    <row r="797" spans="1:67" ht="16.5" customHeight="1" x14ac:dyDescent="0.2">
      <c r="A797" s="3"/>
      <c r="B797" s="3"/>
      <c r="C797" s="3"/>
      <c r="D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</row>
    <row r="798" spans="1:67" ht="16.5" customHeight="1" x14ac:dyDescent="0.2">
      <c r="A798" s="3"/>
      <c r="B798" s="3"/>
      <c r="C798" s="3"/>
      <c r="D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</row>
    <row r="799" spans="1:67" ht="16.5" customHeight="1" x14ac:dyDescent="0.2">
      <c r="A799" s="3"/>
      <c r="B799" s="3"/>
      <c r="C799" s="3"/>
      <c r="D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</row>
    <row r="800" spans="1:67" ht="16.5" customHeight="1" x14ac:dyDescent="0.2">
      <c r="A800" s="3"/>
      <c r="B800" s="3"/>
      <c r="C800" s="3"/>
      <c r="D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</row>
    <row r="801" spans="1:67" ht="16.5" customHeight="1" x14ac:dyDescent="0.2">
      <c r="A801" s="3"/>
      <c r="B801" s="3"/>
      <c r="C801" s="3"/>
      <c r="D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</row>
    <row r="802" spans="1:67" ht="16.5" customHeight="1" x14ac:dyDescent="0.2">
      <c r="A802" s="3"/>
      <c r="B802" s="3"/>
      <c r="C802" s="3"/>
      <c r="D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</row>
    <row r="803" spans="1:67" ht="16.5" customHeight="1" x14ac:dyDescent="0.2">
      <c r="A803" s="3"/>
      <c r="B803" s="3"/>
      <c r="C803" s="3"/>
      <c r="D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</row>
    <row r="804" spans="1:67" ht="16.5" customHeight="1" x14ac:dyDescent="0.2">
      <c r="A804" s="3"/>
      <c r="B804" s="3"/>
      <c r="C804" s="3"/>
      <c r="D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</row>
    <row r="805" spans="1:67" ht="16.5" customHeight="1" x14ac:dyDescent="0.2">
      <c r="A805" s="3"/>
      <c r="B805" s="3"/>
      <c r="C805" s="3"/>
      <c r="D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</row>
    <row r="806" spans="1:67" ht="16.5" customHeight="1" x14ac:dyDescent="0.2">
      <c r="A806" s="3"/>
      <c r="B806" s="3"/>
      <c r="C806" s="3"/>
      <c r="D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</row>
    <row r="807" spans="1:67" ht="16.5" customHeight="1" x14ac:dyDescent="0.2">
      <c r="A807" s="3"/>
      <c r="B807" s="3"/>
      <c r="C807" s="3"/>
      <c r="D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</row>
    <row r="808" spans="1:67" ht="16.5" customHeight="1" x14ac:dyDescent="0.2">
      <c r="A808" s="3"/>
      <c r="B808" s="3"/>
      <c r="C808" s="3"/>
      <c r="D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</row>
    <row r="809" spans="1:67" ht="16.5" customHeight="1" x14ac:dyDescent="0.2">
      <c r="A809" s="3"/>
      <c r="B809" s="3"/>
      <c r="C809" s="3"/>
      <c r="D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</row>
    <row r="810" spans="1:67" ht="16.5" customHeight="1" x14ac:dyDescent="0.2">
      <c r="A810" s="3"/>
      <c r="B810" s="3"/>
      <c r="C810" s="3"/>
      <c r="D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</row>
    <row r="811" spans="1:67" ht="16.5" customHeight="1" x14ac:dyDescent="0.2">
      <c r="A811" s="3"/>
      <c r="B811" s="3"/>
      <c r="C811" s="3"/>
      <c r="D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</row>
    <row r="812" spans="1:67" ht="16.5" customHeight="1" x14ac:dyDescent="0.2">
      <c r="A812" s="3"/>
      <c r="B812" s="3"/>
      <c r="C812" s="3"/>
      <c r="D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</row>
    <row r="813" spans="1:67" ht="16.5" customHeight="1" x14ac:dyDescent="0.2">
      <c r="A813" s="3"/>
      <c r="B813" s="3"/>
      <c r="C813" s="3"/>
      <c r="D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</row>
    <row r="814" spans="1:67" ht="16.5" customHeight="1" x14ac:dyDescent="0.2">
      <c r="A814" s="3"/>
      <c r="B814" s="3"/>
      <c r="C814" s="3"/>
      <c r="D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</row>
    <row r="815" spans="1:67" ht="16.5" customHeight="1" x14ac:dyDescent="0.2">
      <c r="A815" s="3"/>
      <c r="B815" s="3"/>
      <c r="C815" s="3"/>
      <c r="D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</row>
    <row r="816" spans="1:67" ht="16.5" customHeight="1" x14ac:dyDescent="0.2">
      <c r="A816" s="3"/>
      <c r="B816" s="3"/>
      <c r="C816" s="3"/>
      <c r="D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</row>
    <row r="817" spans="1:67" ht="16.5" customHeight="1" x14ac:dyDescent="0.2">
      <c r="A817" s="3"/>
      <c r="B817" s="3"/>
      <c r="C817" s="3"/>
      <c r="D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</row>
    <row r="818" spans="1:67" ht="16.5" customHeight="1" x14ac:dyDescent="0.2">
      <c r="A818" s="3"/>
      <c r="B818" s="3"/>
      <c r="C818" s="3"/>
      <c r="D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</row>
    <row r="819" spans="1:67" ht="16.5" customHeight="1" x14ac:dyDescent="0.2">
      <c r="A819" s="3"/>
      <c r="B819" s="3"/>
      <c r="C819" s="3"/>
      <c r="D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</row>
    <row r="820" spans="1:67" ht="16.5" customHeight="1" x14ac:dyDescent="0.2">
      <c r="A820" s="3"/>
      <c r="B820" s="3"/>
      <c r="C820" s="3"/>
      <c r="D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</row>
    <row r="821" spans="1:67" ht="16.5" customHeight="1" x14ac:dyDescent="0.2">
      <c r="A821" s="3"/>
      <c r="B821" s="3"/>
      <c r="C821" s="3"/>
      <c r="D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</row>
    <row r="822" spans="1:67" ht="16.5" customHeight="1" x14ac:dyDescent="0.2">
      <c r="A822" s="3"/>
      <c r="B822" s="3"/>
      <c r="C822" s="3"/>
      <c r="D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</row>
    <row r="823" spans="1:67" ht="16.5" customHeight="1" x14ac:dyDescent="0.2">
      <c r="A823" s="3"/>
      <c r="B823" s="3"/>
      <c r="C823" s="3"/>
      <c r="D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</row>
    <row r="824" spans="1:67" ht="16.5" customHeight="1" x14ac:dyDescent="0.2">
      <c r="A824" s="3"/>
      <c r="B824" s="3"/>
      <c r="C824" s="3"/>
      <c r="D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</row>
    <row r="825" spans="1:67" ht="16.5" customHeight="1" x14ac:dyDescent="0.2">
      <c r="A825" s="3"/>
      <c r="B825" s="3"/>
      <c r="C825" s="3"/>
      <c r="D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</row>
    <row r="826" spans="1:67" ht="16.5" customHeight="1" x14ac:dyDescent="0.2">
      <c r="A826" s="3"/>
      <c r="B826" s="3"/>
      <c r="C826" s="3"/>
      <c r="D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</row>
    <row r="827" spans="1:67" ht="16.5" customHeight="1" x14ac:dyDescent="0.2">
      <c r="A827" s="3"/>
      <c r="B827" s="3"/>
      <c r="C827" s="3"/>
      <c r="D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</row>
    <row r="828" spans="1:67" ht="16.5" customHeight="1" x14ac:dyDescent="0.2">
      <c r="A828" s="3"/>
      <c r="B828" s="3"/>
      <c r="C828" s="3"/>
      <c r="D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</row>
    <row r="829" spans="1:67" ht="16.5" customHeight="1" x14ac:dyDescent="0.2">
      <c r="A829" s="3"/>
      <c r="B829" s="3"/>
      <c r="C829" s="3"/>
      <c r="D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</row>
    <row r="830" spans="1:67" ht="16.5" customHeight="1" x14ac:dyDescent="0.2">
      <c r="A830" s="3"/>
      <c r="B830" s="3"/>
      <c r="C830" s="3"/>
      <c r="D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</row>
    <row r="831" spans="1:67" ht="16.5" customHeight="1" x14ac:dyDescent="0.2">
      <c r="A831" s="3"/>
      <c r="B831" s="3"/>
      <c r="C831" s="3"/>
      <c r="D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</row>
    <row r="832" spans="1:67" ht="16.5" customHeight="1" x14ac:dyDescent="0.2">
      <c r="A832" s="3"/>
      <c r="B832" s="3"/>
      <c r="C832" s="3"/>
      <c r="D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</row>
    <row r="833" spans="1:67" ht="16.5" customHeight="1" x14ac:dyDescent="0.2">
      <c r="A833" s="3"/>
      <c r="B833" s="3"/>
      <c r="C833" s="3"/>
      <c r="D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</row>
    <row r="834" spans="1:67" ht="16.5" customHeight="1" x14ac:dyDescent="0.2">
      <c r="A834" s="3"/>
      <c r="B834" s="3"/>
      <c r="C834" s="3"/>
      <c r="D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</row>
    <row r="835" spans="1:67" ht="16.5" customHeight="1" x14ac:dyDescent="0.2">
      <c r="A835" s="3"/>
      <c r="B835" s="3"/>
      <c r="C835" s="3"/>
      <c r="D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</row>
    <row r="836" spans="1:67" ht="16.5" customHeight="1" x14ac:dyDescent="0.2">
      <c r="A836" s="3"/>
      <c r="B836" s="3"/>
      <c r="C836" s="3"/>
      <c r="D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</row>
    <row r="837" spans="1:67" ht="16.5" customHeight="1" x14ac:dyDescent="0.2">
      <c r="A837" s="3"/>
      <c r="B837" s="3"/>
      <c r="C837" s="3"/>
      <c r="D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</row>
    <row r="838" spans="1:67" ht="16.5" customHeight="1" x14ac:dyDescent="0.2">
      <c r="A838" s="3"/>
      <c r="B838" s="3"/>
      <c r="C838" s="3"/>
      <c r="D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</row>
    <row r="839" spans="1:67" ht="16.5" customHeight="1" x14ac:dyDescent="0.2">
      <c r="A839" s="3"/>
      <c r="B839" s="3"/>
      <c r="C839" s="3"/>
      <c r="D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</row>
    <row r="840" spans="1:67" ht="16.5" customHeight="1" x14ac:dyDescent="0.2">
      <c r="A840" s="3"/>
      <c r="B840" s="3"/>
      <c r="C840" s="3"/>
      <c r="D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</row>
    <row r="841" spans="1:67" ht="16.5" customHeight="1" x14ac:dyDescent="0.2">
      <c r="A841" s="3"/>
      <c r="B841" s="3"/>
      <c r="C841" s="3"/>
      <c r="D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</row>
    <row r="842" spans="1:67" ht="16.5" customHeight="1" x14ac:dyDescent="0.2">
      <c r="A842" s="3"/>
      <c r="B842" s="3"/>
      <c r="C842" s="3"/>
      <c r="D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</row>
    <row r="843" spans="1:67" ht="16.5" customHeight="1" x14ac:dyDescent="0.2">
      <c r="A843" s="3"/>
      <c r="B843" s="3"/>
      <c r="C843" s="3"/>
      <c r="D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</row>
    <row r="844" spans="1:67" ht="16.5" customHeight="1" x14ac:dyDescent="0.2">
      <c r="A844" s="3"/>
      <c r="B844" s="3"/>
      <c r="C844" s="3"/>
      <c r="D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</row>
    <row r="845" spans="1:67" ht="16.5" customHeight="1" x14ac:dyDescent="0.2">
      <c r="A845" s="3"/>
      <c r="B845" s="3"/>
      <c r="C845" s="3"/>
      <c r="D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</row>
    <row r="846" spans="1:67" ht="16.5" customHeight="1" x14ac:dyDescent="0.2">
      <c r="A846" s="3"/>
      <c r="B846" s="3"/>
      <c r="C846" s="3"/>
      <c r="D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</row>
    <row r="847" spans="1:67" ht="16.5" customHeight="1" x14ac:dyDescent="0.2">
      <c r="A847" s="3"/>
      <c r="B847" s="3"/>
      <c r="C847" s="3"/>
      <c r="D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</row>
    <row r="848" spans="1:67" ht="16.5" customHeight="1" x14ac:dyDescent="0.2">
      <c r="A848" s="3"/>
      <c r="B848" s="3"/>
      <c r="C848" s="3"/>
      <c r="D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</row>
    <row r="849" spans="1:67" ht="16.5" customHeight="1" x14ac:dyDescent="0.2">
      <c r="A849" s="3"/>
      <c r="B849" s="3"/>
      <c r="C849" s="3"/>
      <c r="D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</row>
    <row r="850" spans="1:67" ht="16.5" customHeight="1" x14ac:dyDescent="0.2">
      <c r="A850" s="3"/>
      <c r="B850" s="3"/>
      <c r="C850" s="3"/>
      <c r="D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</row>
    <row r="851" spans="1:67" ht="16.5" customHeight="1" x14ac:dyDescent="0.2">
      <c r="A851" s="3"/>
      <c r="B851" s="3"/>
      <c r="C851" s="3"/>
      <c r="D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</row>
    <row r="852" spans="1:67" ht="16.5" customHeight="1" x14ac:dyDescent="0.2">
      <c r="A852" s="3"/>
      <c r="B852" s="3"/>
      <c r="C852" s="3"/>
      <c r="D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</row>
    <row r="853" spans="1:67" ht="16.5" customHeight="1" x14ac:dyDescent="0.2">
      <c r="A853" s="3"/>
      <c r="B853" s="3"/>
      <c r="C853" s="3"/>
      <c r="D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</row>
    <row r="854" spans="1:67" ht="16.5" customHeight="1" x14ac:dyDescent="0.2">
      <c r="A854" s="3"/>
      <c r="B854" s="3"/>
      <c r="C854" s="3"/>
      <c r="D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</row>
    <row r="855" spans="1:67" ht="16.5" customHeight="1" x14ac:dyDescent="0.2">
      <c r="A855" s="3"/>
      <c r="B855" s="3"/>
      <c r="C855" s="3"/>
      <c r="D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</row>
    <row r="856" spans="1:67" ht="16.5" customHeight="1" x14ac:dyDescent="0.2">
      <c r="A856" s="3"/>
      <c r="B856" s="3"/>
      <c r="C856" s="3"/>
      <c r="D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</row>
    <row r="857" spans="1:67" ht="16.5" customHeight="1" x14ac:dyDescent="0.2">
      <c r="A857" s="3"/>
      <c r="B857" s="3"/>
      <c r="C857" s="3"/>
      <c r="D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</row>
    <row r="858" spans="1:67" ht="16.5" customHeight="1" x14ac:dyDescent="0.2">
      <c r="A858" s="3"/>
      <c r="B858" s="3"/>
      <c r="C858" s="3"/>
      <c r="D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</row>
    <row r="859" spans="1:67" ht="16.5" customHeight="1" x14ac:dyDescent="0.2">
      <c r="A859" s="3"/>
      <c r="B859" s="3"/>
      <c r="C859" s="3"/>
      <c r="D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</row>
    <row r="860" spans="1:67" ht="16.5" customHeight="1" x14ac:dyDescent="0.2">
      <c r="A860" s="3"/>
      <c r="B860" s="3"/>
      <c r="C860" s="3"/>
      <c r="D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</row>
    <row r="861" spans="1:67" ht="16.5" customHeight="1" x14ac:dyDescent="0.2">
      <c r="A861" s="3"/>
      <c r="B861" s="3"/>
      <c r="C861" s="3"/>
      <c r="D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</row>
    <row r="862" spans="1:67" ht="16.5" customHeight="1" x14ac:dyDescent="0.2">
      <c r="A862" s="3"/>
      <c r="B862" s="3"/>
      <c r="C862" s="3"/>
      <c r="D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</row>
    <row r="863" spans="1:67" ht="16.5" customHeight="1" x14ac:dyDescent="0.2">
      <c r="A863" s="3"/>
      <c r="B863" s="3"/>
      <c r="C863" s="3"/>
      <c r="D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</row>
    <row r="864" spans="1:67" ht="16.5" customHeight="1" x14ac:dyDescent="0.2">
      <c r="A864" s="3"/>
      <c r="B864" s="3"/>
      <c r="C864" s="3"/>
      <c r="D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</row>
    <row r="865" spans="1:67" ht="16.5" customHeight="1" x14ac:dyDescent="0.2">
      <c r="A865" s="3"/>
      <c r="B865" s="3"/>
      <c r="C865" s="3"/>
      <c r="D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</row>
    <row r="866" spans="1:67" ht="16.5" customHeight="1" x14ac:dyDescent="0.2">
      <c r="A866" s="3"/>
      <c r="B866" s="3"/>
      <c r="C866" s="3"/>
      <c r="D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</row>
    <row r="867" spans="1:67" ht="16.5" customHeight="1" x14ac:dyDescent="0.2">
      <c r="A867" s="3"/>
      <c r="B867" s="3"/>
      <c r="C867" s="3"/>
      <c r="D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</row>
    <row r="868" spans="1:67" ht="16.5" customHeight="1" x14ac:dyDescent="0.2">
      <c r="A868" s="3"/>
      <c r="B868" s="3"/>
      <c r="C868" s="3"/>
      <c r="D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</row>
    <row r="869" spans="1:67" ht="16.5" customHeight="1" x14ac:dyDescent="0.2">
      <c r="A869" s="3"/>
      <c r="B869" s="3"/>
      <c r="C869" s="3"/>
      <c r="D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</row>
    <row r="870" spans="1:67" ht="16.5" customHeight="1" x14ac:dyDescent="0.2">
      <c r="A870" s="3"/>
      <c r="B870" s="3"/>
      <c r="C870" s="3"/>
      <c r="D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</row>
    <row r="871" spans="1:67" ht="16.5" customHeight="1" x14ac:dyDescent="0.2">
      <c r="A871" s="3"/>
      <c r="B871" s="3"/>
      <c r="C871" s="3"/>
      <c r="D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</row>
    <row r="872" spans="1:67" ht="16.5" customHeight="1" x14ac:dyDescent="0.2">
      <c r="A872" s="3"/>
      <c r="B872" s="3"/>
      <c r="C872" s="3"/>
      <c r="D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</row>
    <row r="873" spans="1:67" ht="16.5" customHeight="1" x14ac:dyDescent="0.2">
      <c r="A873" s="3"/>
      <c r="B873" s="3"/>
      <c r="C873" s="3"/>
      <c r="D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</row>
    <row r="874" spans="1:67" ht="16.5" customHeight="1" x14ac:dyDescent="0.2">
      <c r="A874" s="3"/>
      <c r="B874" s="3"/>
      <c r="C874" s="3"/>
      <c r="D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</row>
    <row r="875" spans="1:67" ht="16.5" customHeight="1" x14ac:dyDescent="0.2">
      <c r="A875" s="3"/>
      <c r="B875" s="3"/>
      <c r="C875" s="3"/>
      <c r="D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</row>
    <row r="876" spans="1:67" ht="16.5" customHeight="1" x14ac:dyDescent="0.2">
      <c r="A876" s="3"/>
      <c r="B876" s="3"/>
      <c r="C876" s="3"/>
      <c r="D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</row>
    <row r="877" spans="1:67" ht="16.5" customHeight="1" x14ac:dyDescent="0.2">
      <c r="A877" s="3"/>
      <c r="B877" s="3"/>
      <c r="C877" s="3"/>
      <c r="D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</row>
    <row r="878" spans="1:67" ht="16.5" customHeight="1" x14ac:dyDescent="0.2">
      <c r="A878" s="3"/>
      <c r="B878" s="3"/>
      <c r="C878" s="3"/>
      <c r="D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</row>
    <row r="879" spans="1:67" ht="16.5" customHeight="1" x14ac:dyDescent="0.2">
      <c r="A879" s="3"/>
      <c r="B879" s="3"/>
      <c r="C879" s="3"/>
      <c r="D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</row>
    <row r="880" spans="1:67" ht="16.5" customHeight="1" x14ac:dyDescent="0.2">
      <c r="A880" s="3"/>
      <c r="B880" s="3"/>
      <c r="C880" s="3"/>
      <c r="D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</row>
    <row r="881" spans="1:67" ht="16.5" customHeight="1" x14ac:dyDescent="0.2">
      <c r="A881" s="3"/>
      <c r="B881" s="3"/>
      <c r="C881" s="3"/>
      <c r="D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</row>
    <row r="882" spans="1:67" ht="16.5" customHeight="1" x14ac:dyDescent="0.2">
      <c r="A882" s="3"/>
      <c r="B882" s="3"/>
      <c r="C882" s="3"/>
      <c r="D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</row>
    <row r="883" spans="1:67" ht="16.5" customHeight="1" x14ac:dyDescent="0.2">
      <c r="A883" s="3"/>
      <c r="B883" s="3"/>
      <c r="C883" s="3"/>
      <c r="D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</row>
    <row r="884" spans="1:67" ht="16.5" customHeight="1" x14ac:dyDescent="0.2">
      <c r="A884" s="3"/>
      <c r="B884" s="3"/>
      <c r="C884" s="3"/>
      <c r="D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</row>
    <row r="885" spans="1:67" ht="16.5" customHeight="1" x14ac:dyDescent="0.2">
      <c r="A885" s="3"/>
      <c r="B885" s="3"/>
      <c r="C885" s="3"/>
      <c r="D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</row>
    <row r="886" spans="1:67" ht="16.5" customHeight="1" x14ac:dyDescent="0.2">
      <c r="A886" s="3"/>
      <c r="B886" s="3"/>
      <c r="C886" s="3"/>
      <c r="D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</row>
    <row r="887" spans="1:67" ht="16.5" customHeight="1" x14ac:dyDescent="0.2">
      <c r="A887" s="3"/>
      <c r="B887" s="3"/>
      <c r="C887" s="3"/>
      <c r="D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</row>
    <row r="888" spans="1:67" ht="16.5" customHeight="1" x14ac:dyDescent="0.2">
      <c r="A888" s="3"/>
      <c r="B888" s="3"/>
      <c r="C888" s="3"/>
      <c r="D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</row>
    <row r="889" spans="1:67" ht="16.5" customHeight="1" x14ac:dyDescent="0.2">
      <c r="A889" s="3"/>
      <c r="B889" s="3"/>
      <c r="C889" s="3"/>
      <c r="D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</row>
    <row r="890" spans="1:67" ht="16.5" customHeight="1" x14ac:dyDescent="0.2">
      <c r="A890" s="3"/>
      <c r="B890" s="3"/>
      <c r="C890" s="3"/>
      <c r="D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</row>
    <row r="891" spans="1:67" ht="16.5" customHeight="1" x14ac:dyDescent="0.2">
      <c r="A891" s="3"/>
      <c r="B891" s="3"/>
      <c r="C891" s="3"/>
      <c r="D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</row>
    <row r="892" spans="1:67" ht="16.5" customHeight="1" x14ac:dyDescent="0.2">
      <c r="A892" s="3"/>
      <c r="B892" s="3"/>
      <c r="C892" s="3"/>
      <c r="D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</row>
    <row r="893" spans="1:67" ht="16.5" customHeight="1" x14ac:dyDescent="0.2">
      <c r="A893" s="3"/>
      <c r="B893" s="3"/>
      <c r="C893" s="3"/>
      <c r="D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</row>
    <row r="894" spans="1:67" ht="16.5" customHeight="1" x14ac:dyDescent="0.2">
      <c r="A894" s="3"/>
      <c r="B894" s="3"/>
      <c r="C894" s="3"/>
      <c r="D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</row>
    <row r="895" spans="1:67" ht="16.5" customHeight="1" x14ac:dyDescent="0.2">
      <c r="A895" s="3"/>
      <c r="B895" s="3"/>
      <c r="C895" s="3"/>
      <c r="D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</row>
    <row r="896" spans="1:67" ht="16.5" customHeight="1" x14ac:dyDescent="0.2">
      <c r="A896" s="3"/>
      <c r="B896" s="3"/>
      <c r="C896" s="3"/>
      <c r="D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</row>
    <row r="897" spans="1:67" ht="16.5" customHeight="1" x14ac:dyDescent="0.2">
      <c r="A897" s="3"/>
      <c r="B897" s="3"/>
      <c r="C897" s="3"/>
      <c r="D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</row>
    <row r="898" spans="1:67" ht="16.5" customHeight="1" x14ac:dyDescent="0.2">
      <c r="A898" s="3"/>
      <c r="B898" s="3"/>
      <c r="C898" s="3"/>
      <c r="D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</row>
    <row r="899" spans="1:67" ht="16.5" customHeight="1" x14ac:dyDescent="0.2">
      <c r="A899" s="3"/>
      <c r="B899" s="3"/>
      <c r="C899" s="3"/>
      <c r="D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</row>
    <row r="900" spans="1:67" ht="16.5" customHeight="1" x14ac:dyDescent="0.2">
      <c r="A900" s="3"/>
      <c r="B900" s="3"/>
      <c r="C900" s="3"/>
      <c r="D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</row>
    <row r="901" spans="1:67" ht="16.5" customHeight="1" x14ac:dyDescent="0.2">
      <c r="A901" s="3"/>
      <c r="B901" s="3"/>
      <c r="C901" s="3"/>
      <c r="D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</row>
    <row r="902" spans="1:67" ht="16.5" customHeight="1" x14ac:dyDescent="0.2">
      <c r="A902" s="3"/>
      <c r="B902" s="3"/>
      <c r="C902" s="3"/>
      <c r="D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</row>
    <row r="903" spans="1:67" ht="16.5" customHeight="1" x14ac:dyDescent="0.2">
      <c r="A903" s="3"/>
      <c r="B903" s="3"/>
      <c r="C903" s="3"/>
      <c r="D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</row>
    <row r="904" spans="1:67" ht="16.5" customHeight="1" x14ac:dyDescent="0.2">
      <c r="A904" s="3"/>
      <c r="B904" s="3"/>
      <c r="C904" s="3"/>
      <c r="D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</row>
    <row r="905" spans="1:67" ht="16.5" customHeight="1" x14ac:dyDescent="0.2">
      <c r="A905" s="3"/>
      <c r="B905" s="3"/>
      <c r="C905" s="3"/>
      <c r="D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</row>
    <row r="906" spans="1:67" ht="16.5" customHeight="1" x14ac:dyDescent="0.2">
      <c r="A906" s="3"/>
      <c r="B906" s="3"/>
      <c r="C906" s="3"/>
      <c r="D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</row>
    <row r="907" spans="1:67" ht="16.5" customHeight="1" x14ac:dyDescent="0.2">
      <c r="A907" s="3"/>
      <c r="B907" s="3"/>
      <c r="C907" s="3"/>
      <c r="D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</row>
    <row r="908" spans="1:67" ht="16.5" customHeight="1" x14ac:dyDescent="0.2">
      <c r="A908" s="3"/>
      <c r="B908" s="3"/>
      <c r="C908" s="3"/>
      <c r="D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</row>
    <row r="909" spans="1:67" ht="16.5" customHeight="1" x14ac:dyDescent="0.2">
      <c r="A909" s="3"/>
      <c r="B909" s="3"/>
      <c r="C909" s="3"/>
      <c r="D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</row>
    <row r="910" spans="1:67" ht="16.5" customHeight="1" x14ac:dyDescent="0.2">
      <c r="A910" s="3"/>
      <c r="B910" s="3"/>
      <c r="C910" s="3"/>
      <c r="D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</row>
    <row r="911" spans="1:67" ht="16.5" customHeight="1" x14ac:dyDescent="0.2">
      <c r="A911" s="3"/>
      <c r="B911" s="3"/>
      <c r="C911" s="3"/>
      <c r="D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</row>
    <row r="912" spans="1:67" ht="16.5" customHeight="1" x14ac:dyDescent="0.2">
      <c r="A912" s="3"/>
      <c r="B912" s="3"/>
      <c r="C912" s="3"/>
      <c r="D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</row>
    <row r="913" spans="1:67" ht="16.5" customHeight="1" x14ac:dyDescent="0.2">
      <c r="A913" s="3"/>
      <c r="B913" s="3"/>
      <c r="C913" s="3"/>
      <c r="D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</row>
    <row r="914" spans="1:67" ht="16.5" customHeight="1" x14ac:dyDescent="0.2">
      <c r="A914" s="3"/>
      <c r="B914" s="3"/>
      <c r="C914" s="3"/>
      <c r="D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</row>
    <row r="915" spans="1:67" ht="16.5" customHeight="1" x14ac:dyDescent="0.2">
      <c r="A915" s="3"/>
      <c r="B915" s="3"/>
      <c r="C915" s="3"/>
      <c r="D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</row>
    <row r="916" spans="1:67" ht="16.5" customHeight="1" x14ac:dyDescent="0.2">
      <c r="A916" s="3"/>
      <c r="B916" s="3"/>
      <c r="C916" s="3"/>
      <c r="D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</row>
    <row r="917" spans="1:67" ht="16.5" customHeight="1" x14ac:dyDescent="0.2">
      <c r="A917" s="3"/>
      <c r="B917" s="3"/>
      <c r="C917" s="3"/>
      <c r="D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</row>
    <row r="918" spans="1:67" ht="16.5" customHeight="1" x14ac:dyDescent="0.2">
      <c r="A918" s="3"/>
      <c r="B918" s="3"/>
      <c r="C918" s="3"/>
      <c r="D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</row>
    <row r="919" spans="1:67" ht="16.5" customHeight="1" x14ac:dyDescent="0.2">
      <c r="A919" s="3"/>
      <c r="B919" s="3"/>
      <c r="C919" s="3"/>
      <c r="D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</row>
    <row r="920" spans="1:67" ht="16.5" customHeight="1" x14ac:dyDescent="0.2">
      <c r="A920" s="3"/>
      <c r="B920" s="3"/>
      <c r="C920" s="3"/>
      <c r="D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</row>
    <row r="921" spans="1:67" ht="16.5" customHeight="1" x14ac:dyDescent="0.2">
      <c r="A921" s="3"/>
      <c r="B921" s="3"/>
      <c r="C921" s="3"/>
      <c r="D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</row>
    <row r="922" spans="1:67" ht="16.5" customHeight="1" x14ac:dyDescent="0.2">
      <c r="A922" s="3"/>
      <c r="B922" s="3"/>
      <c r="C922" s="3"/>
      <c r="D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</row>
    <row r="923" spans="1:67" ht="16.5" customHeight="1" x14ac:dyDescent="0.2">
      <c r="A923" s="3"/>
      <c r="B923" s="3"/>
      <c r="C923" s="3"/>
      <c r="D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</row>
    <row r="924" spans="1:67" ht="16.5" customHeight="1" x14ac:dyDescent="0.2">
      <c r="A924" s="3"/>
      <c r="B924" s="3"/>
      <c r="C924" s="3"/>
      <c r="D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</row>
    <row r="925" spans="1:67" ht="16.5" customHeight="1" x14ac:dyDescent="0.2">
      <c r="A925" s="3"/>
      <c r="B925" s="3"/>
      <c r="C925" s="3"/>
      <c r="D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</row>
    <row r="926" spans="1:67" ht="16.5" customHeight="1" x14ac:dyDescent="0.2">
      <c r="A926" s="3"/>
      <c r="B926" s="3"/>
      <c r="C926" s="3"/>
      <c r="D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</row>
    <row r="927" spans="1:67" ht="16.5" customHeight="1" x14ac:dyDescent="0.2">
      <c r="A927" s="3"/>
      <c r="B927" s="3"/>
      <c r="C927" s="3"/>
      <c r="D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</row>
    <row r="928" spans="1:67" ht="16.5" customHeight="1" x14ac:dyDescent="0.2">
      <c r="A928" s="3"/>
      <c r="B928" s="3"/>
      <c r="C928" s="3"/>
      <c r="D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</row>
    <row r="929" spans="1:67" ht="16.5" customHeight="1" x14ac:dyDescent="0.2">
      <c r="A929" s="3"/>
      <c r="B929" s="3"/>
      <c r="C929" s="3"/>
      <c r="D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</row>
    <row r="930" spans="1:67" ht="16.5" customHeight="1" x14ac:dyDescent="0.2">
      <c r="A930" s="3"/>
      <c r="B930" s="3"/>
      <c r="C930" s="3"/>
      <c r="D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</row>
    <row r="931" spans="1:67" ht="16.5" customHeight="1" x14ac:dyDescent="0.2">
      <c r="A931" s="3"/>
      <c r="B931" s="3"/>
      <c r="C931" s="3"/>
      <c r="D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</row>
    <row r="932" spans="1:67" ht="16.5" customHeight="1" x14ac:dyDescent="0.2">
      <c r="A932" s="3"/>
      <c r="B932" s="3"/>
      <c r="C932" s="3"/>
      <c r="D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</row>
    <row r="933" spans="1:67" ht="16.5" customHeight="1" x14ac:dyDescent="0.2">
      <c r="A933" s="3"/>
      <c r="B933" s="3"/>
      <c r="C933" s="3"/>
      <c r="D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</row>
    <row r="934" spans="1:67" ht="16.5" customHeight="1" x14ac:dyDescent="0.2">
      <c r="A934" s="3"/>
      <c r="B934" s="3"/>
      <c r="C934" s="3"/>
      <c r="D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</row>
    <row r="935" spans="1:67" ht="16.5" customHeight="1" x14ac:dyDescent="0.2">
      <c r="A935" s="3"/>
      <c r="B935" s="3"/>
      <c r="C935" s="3"/>
      <c r="D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</row>
    <row r="936" spans="1:67" ht="16.5" customHeight="1" x14ac:dyDescent="0.2">
      <c r="A936" s="3"/>
      <c r="B936" s="3"/>
      <c r="C936" s="3"/>
      <c r="D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</row>
    <row r="937" spans="1:67" ht="16.5" customHeight="1" x14ac:dyDescent="0.2">
      <c r="A937" s="3"/>
      <c r="B937" s="3"/>
      <c r="C937" s="3"/>
      <c r="D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</row>
    <row r="938" spans="1:67" ht="16.5" customHeight="1" x14ac:dyDescent="0.2">
      <c r="A938" s="3"/>
      <c r="B938" s="3"/>
      <c r="C938" s="3"/>
      <c r="D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</row>
    <row r="939" spans="1:67" ht="16.5" customHeight="1" x14ac:dyDescent="0.2">
      <c r="A939" s="3"/>
      <c r="B939" s="3"/>
      <c r="C939" s="3"/>
      <c r="D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</row>
    <row r="940" spans="1:67" ht="16.5" customHeight="1" x14ac:dyDescent="0.2">
      <c r="A940" s="3"/>
      <c r="B940" s="3"/>
      <c r="C940" s="3"/>
      <c r="D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</row>
    <row r="941" spans="1:67" ht="16.5" customHeight="1" x14ac:dyDescent="0.2">
      <c r="A941" s="3"/>
      <c r="B941" s="3"/>
      <c r="C941" s="3"/>
      <c r="D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</row>
    <row r="942" spans="1:67" ht="16.5" customHeight="1" x14ac:dyDescent="0.2">
      <c r="A942" s="3"/>
      <c r="B942" s="3"/>
      <c r="C942" s="3"/>
      <c r="D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</row>
    <row r="943" spans="1:67" ht="16.5" customHeight="1" x14ac:dyDescent="0.2">
      <c r="A943" s="3"/>
      <c r="B943" s="3"/>
      <c r="C943" s="3"/>
      <c r="D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</row>
    <row r="944" spans="1:67" ht="16.5" customHeight="1" x14ac:dyDescent="0.2">
      <c r="A944" s="3"/>
      <c r="B944" s="3"/>
      <c r="C944" s="3"/>
      <c r="D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</row>
    <row r="945" spans="1:67" ht="16.5" customHeight="1" x14ac:dyDescent="0.2">
      <c r="A945" s="3"/>
      <c r="B945" s="3"/>
      <c r="C945" s="3"/>
      <c r="D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</row>
    <row r="946" spans="1:67" ht="16.5" customHeight="1" x14ac:dyDescent="0.2">
      <c r="A946" s="3"/>
      <c r="B946" s="3"/>
      <c r="C946" s="3"/>
      <c r="D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</row>
    <row r="947" spans="1:67" ht="16.5" customHeight="1" x14ac:dyDescent="0.2">
      <c r="A947" s="3"/>
      <c r="B947" s="3"/>
      <c r="C947" s="3"/>
      <c r="D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</row>
    <row r="948" spans="1:67" ht="16.5" customHeight="1" x14ac:dyDescent="0.2">
      <c r="A948" s="3"/>
      <c r="B948" s="3"/>
      <c r="C948" s="3"/>
      <c r="D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</row>
    <row r="949" spans="1:67" ht="16.5" customHeight="1" x14ac:dyDescent="0.2">
      <c r="A949" s="3"/>
      <c r="B949" s="3"/>
      <c r="C949" s="3"/>
      <c r="D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</row>
    <row r="950" spans="1:67" ht="16.5" customHeight="1" x14ac:dyDescent="0.2">
      <c r="A950" s="3"/>
      <c r="B950" s="3"/>
      <c r="C950" s="3"/>
      <c r="D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</row>
    <row r="951" spans="1:67" ht="16.5" customHeight="1" x14ac:dyDescent="0.2">
      <c r="A951" s="3"/>
      <c r="B951" s="3"/>
      <c r="C951" s="3"/>
      <c r="D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</row>
    <row r="952" spans="1:67" ht="16.5" customHeight="1" x14ac:dyDescent="0.2">
      <c r="A952" s="3"/>
      <c r="B952" s="3"/>
      <c r="C952" s="3"/>
      <c r="D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</row>
    <row r="953" spans="1:67" ht="16.5" customHeight="1" x14ac:dyDescent="0.2">
      <c r="A953" s="3"/>
      <c r="B953" s="3"/>
      <c r="C953" s="3"/>
      <c r="D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</row>
    <row r="954" spans="1:67" ht="16.5" customHeight="1" x14ac:dyDescent="0.2">
      <c r="A954" s="3"/>
      <c r="B954" s="3"/>
      <c r="C954" s="3"/>
      <c r="D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</row>
    <row r="955" spans="1:67" ht="16.5" customHeight="1" x14ac:dyDescent="0.2">
      <c r="A955" s="3"/>
      <c r="B955" s="3"/>
      <c r="C955" s="3"/>
      <c r="D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</row>
    <row r="956" spans="1:67" ht="16.5" customHeight="1" x14ac:dyDescent="0.2">
      <c r="A956" s="3"/>
      <c r="B956" s="3"/>
      <c r="C956" s="3"/>
      <c r="D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</row>
    <row r="957" spans="1:67" ht="16.5" customHeight="1" x14ac:dyDescent="0.2">
      <c r="A957" s="3"/>
      <c r="B957" s="3"/>
      <c r="C957" s="3"/>
      <c r="D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</row>
    <row r="958" spans="1:67" ht="16.5" customHeight="1" x14ac:dyDescent="0.2">
      <c r="A958" s="3"/>
      <c r="B958" s="3"/>
      <c r="C958" s="3"/>
      <c r="D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</row>
    <row r="959" spans="1:67" ht="16.5" customHeight="1" x14ac:dyDescent="0.2">
      <c r="A959" s="3"/>
      <c r="B959" s="3"/>
      <c r="C959" s="3"/>
      <c r="D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</row>
    <row r="960" spans="1:67" ht="16.5" customHeight="1" x14ac:dyDescent="0.2">
      <c r="A960" s="3"/>
      <c r="B960" s="3"/>
      <c r="C960" s="3"/>
      <c r="D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</row>
    <row r="961" spans="1:67" ht="16.5" customHeight="1" x14ac:dyDescent="0.2">
      <c r="A961" s="3"/>
      <c r="B961" s="3"/>
      <c r="C961" s="3"/>
      <c r="D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</row>
    <row r="962" spans="1:67" ht="16.5" customHeight="1" x14ac:dyDescent="0.2">
      <c r="A962" s="3"/>
      <c r="B962" s="3"/>
      <c r="C962" s="3"/>
      <c r="D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</row>
    <row r="963" spans="1:67" ht="16.5" customHeight="1" x14ac:dyDescent="0.2">
      <c r="A963" s="3"/>
      <c r="B963" s="3"/>
      <c r="C963" s="3"/>
      <c r="D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</row>
    <row r="964" spans="1:67" ht="16.5" customHeight="1" x14ac:dyDescent="0.2">
      <c r="A964" s="3"/>
      <c r="B964" s="3"/>
      <c r="C964" s="3"/>
      <c r="D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</row>
    <row r="965" spans="1:67" ht="16.5" customHeight="1" x14ac:dyDescent="0.2">
      <c r="A965" s="3"/>
      <c r="B965" s="3"/>
      <c r="C965" s="3"/>
      <c r="D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</row>
    <row r="966" spans="1:67" ht="16.5" customHeight="1" x14ac:dyDescent="0.2">
      <c r="A966" s="3"/>
      <c r="B966" s="3"/>
      <c r="C966" s="3"/>
      <c r="D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</row>
    <row r="967" spans="1:67" ht="16.5" customHeight="1" x14ac:dyDescent="0.2">
      <c r="A967" s="3"/>
      <c r="B967" s="3"/>
      <c r="C967" s="3"/>
      <c r="D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</row>
    <row r="968" spans="1:67" ht="16.5" customHeight="1" x14ac:dyDescent="0.2">
      <c r="A968" s="3"/>
      <c r="B968" s="3"/>
      <c r="C968" s="3"/>
      <c r="D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</row>
    <row r="969" spans="1:67" ht="16.5" customHeight="1" x14ac:dyDescent="0.2">
      <c r="A969" s="3"/>
      <c r="B969" s="3"/>
      <c r="C969" s="3"/>
      <c r="D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</row>
    <row r="970" spans="1:67" ht="16.5" customHeight="1" x14ac:dyDescent="0.2">
      <c r="A970" s="3"/>
      <c r="B970" s="3"/>
      <c r="C970" s="3"/>
      <c r="D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</row>
    <row r="971" spans="1:67" ht="16.5" customHeight="1" x14ac:dyDescent="0.2">
      <c r="A971" s="3"/>
      <c r="B971" s="3"/>
      <c r="C971" s="3"/>
      <c r="D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</row>
    <row r="972" spans="1:67" ht="16.5" customHeight="1" x14ac:dyDescent="0.2">
      <c r="A972" s="3"/>
      <c r="B972" s="3"/>
      <c r="C972" s="3"/>
      <c r="D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</row>
    <row r="973" spans="1:67" ht="16.5" customHeight="1" x14ac:dyDescent="0.2">
      <c r="A973" s="3"/>
      <c r="B973" s="3"/>
      <c r="C973" s="3"/>
      <c r="D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</row>
    <row r="974" spans="1:67" ht="16.5" customHeight="1" x14ac:dyDescent="0.2">
      <c r="A974" s="3"/>
      <c r="B974" s="3"/>
      <c r="C974" s="3"/>
      <c r="D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</row>
    <row r="975" spans="1:67" ht="16.5" customHeight="1" x14ac:dyDescent="0.2">
      <c r="A975" s="3"/>
      <c r="B975" s="3"/>
      <c r="C975" s="3"/>
      <c r="D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</row>
    <row r="976" spans="1:67" ht="16.5" customHeight="1" x14ac:dyDescent="0.2">
      <c r="A976" s="3"/>
      <c r="B976" s="3"/>
      <c r="C976" s="3"/>
      <c r="D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</row>
    <row r="977" spans="1:67" ht="16.5" customHeight="1" x14ac:dyDescent="0.2">
      <c r="A977" s="3"/>
      <c r="B977" s="3"/>
      <c r="C977" s="3"/>
      <c r="D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</row>
    <row r="978" spans="1:67" ht="16.5" customHeight="1" x14ac:dyDescent="0.2">
      <c r="A978" s="3"/>
      <c r="B978" s="3"/>
      <c r="C978" s="3"/>
      <c r="D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</row>
    <row r="979" spans="1:67" ht="16.5" customHeight="1" x14ac:dyDescent="0.2">
      <c r="A979" s="3"/>
      <c r="B979" s="3"/>
      <c r="C979" s="3"/>
      <c r="D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</row>
    <row r="980" spans="1:67" ht="16.5" customHeight="1" x14ac:dyDescent="0.2">
      <c r="A980" s="3"/>
      <c r="B980" s="3"/>
      <c r="C980" s="3"/>
      <c r="D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</row>
    <row r="981" spans="1:67" ht="16.5" customHeight="1" x14ac:dyDescent="0.2">
      <c r="A981" s="3"/>
      <c r="B981" s="3"/>
      <c r="C981" s="3"/>
      <c r="D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</row>
    <row r="982" spans="1:67" ht="16.5" customHeight="1" x14ac:dyDescent="0.2">
      <c r="A982" s="3"/>
      <c r="B982" s="3"/>
      <c r="C982" s="3"/>
      <c r="D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</row>
    <row r="983" spans="1:67" ht="16.5" customHeight="1" x14ac:dyDescent="0.2">
      <c r="A983" s="3"/>
      <c r="B983" s="3"/>
      <c r="C983" s="3"/>
      <c r="D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</row>
    <row r="984" spans="1:67" ht="16.5" customHeight="1" x14ac:dyDescent="0.2">
      <c r="A984" s="3"/>
      <c r="B984" s="3"/>
      <c r="C984" s="3"/>
      <c r="D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</row>
    <row r="985" spans="1:67" ht="16.5" customHeight="1" x14ac:dyDescent="0.2">
      <c r="A985" s="3"/>
      <c r="B985" s="3"/>
      <c r="C985" s="3"/>
      <c r="D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</row>
    <row r="986" spans="1:67" ht="16.5" customHeight="1" x14ac:dyDescent="0.2">
      <c r="A986" s="3"/>
      <c r="B986" s="3"/>
      <c r="C986" s="3"/>
      <c r="D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</row>
    <row r="987" spans="1:67" ht="16.5" customHeight="1" x14ac:dyDescent="0.2">
      <c r="A987" s="3"/>
      <c r="B987" s="3"/>
      <c r="C987" s="3"/>
      <c r="D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</row>
    <row r="988" spans="1:67" ht="16.5" customHeight="1" x14ac:dyDescent="0.2">
      <c r="A988" s="3"/>
      <c r="B988" s="3"/>
      <c r="C988" s="3"/>
      <c r="D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</row>
    <row r="989" spans="1:67" ht="16.5" customHeight="1" x14ac:dyDescent="0.2">
      <c r="A989" s="3"/>
      <c r="B989" s="3"/>
      <c r="C989" s="3"/>
      <c r="D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</row>
    <row r="990" spans="1:67" ht="16.5" customHeight="1" x14ac:dyDescent="0.2">
      <c r="A990" s="3"/>
      <c r="B990" s="3"/>
      <c r="C990" s="3"/>
      <c r="D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</row>
    <row r="991" spans="1:67" ht="16.5" customHeight="1" x14ac:dyDescent="0.2">
      <c r="A991" s="3"/>
      <c r="B991" s="3"/>
      <c r="C991" s="3"/>
      <c r="D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</row>
    <row r="992" spans="1:67" ht="16.5" customHeight="1" x14ac:dyDescent="0.2">
      <c r="A992" s="3"/>
      <c r="B992" s="3"/>
      <c r="C992" s="3"/>
      <c r="D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</row>
    <row r="993" spans="1:67" ht="16.5" customHeight="1" x14ac:dyDescent="0.2">
      <c r="A993" s="3"/>
      <c r="B993" s="3"/>
      <c r="C993" s="3"/>
      <c r="D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</row>
    <row r="994" spans="1:67" ht="16.5" customHeight="1" x14ac:dyDescent="0.2">
      <c r="A994" s="3"/>
      <c r="B994" s="3"/>
      <c r="C994" s="3"/>
      <c r="D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</row>
    <row r="995" spans="1:67" ht="16.5" customHeight="1" x14ac:dyDescent="0.2">
      <c r="A995" s="3"/>
      <c r="B995" s="3"/>
      <c r="C995" s="3"/>
      <c r="D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</row>
    <row r="996" spans="1:67" ht="16.5" customHeight="1" x14ac:dyDescent="0.2">
      <c r="A996" s="3"/>
      <c r="B996" s="3"/>
      <c r="C996" s="3"/>
      <c r="D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</row>
    <row r="997" spans="1:67" ht="16.5" customHeight="1" x14ac:dyDescent="0.2">
      <c r="A997" s="3"/>
      <c r="B997" s="3"/>
      <c r="C997" s="3"/>
      <c r="D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</row>
    <row r="998" spans="1:67" ht="16.5" customHeight="1" x14ac:dyDescent="0.2">
      <c r="A998" s="3"/>
      <c r="B998" s="3"/>
      <c r="C998" s="3"/>
      <c r="D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</row>
    <row r="999" spans="1:67" ht="16.5" customHeight="1" x14ac:dyDescent="0.2">
      <c r="A999" s="3"/>
      <c r="B999" s="3"/>
      <c r="C999" s="3"/>
      <c r="D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</row>
    <row r="1000" spans="1:67" ht="16.5" customHeight="1" x14ac:dyDescent="0.2">
      <c r="A1000" s="3"/>
      <c r="B1000" s="3"/>
      <c r="C1000" s="3"/>
      <c r="D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</row>
  </sheetData>
  <pageMargins left="0.7" right="0.7" top="2.3250000000000002" bottom="2.3250000000000002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048576"/>
  <sheetViews>
    <sheetView zoomScale="60" zoomScaleNormal="60" workbookViewId="0">
      <selection activeCell="J198" sqref="J198"/>
    </sheetView>
  </sheetViews>
  <sheetFormatPr defaultColWidth="11.5703125" defaultRowHeight="15" customHeight="1" x14ac:dyDescent="0.25"/>
  <cols>
    <col min="1" max="1" width="10" customWidth="1"/>
    <col min="2" max="1024" width="10.85546875" customWidth="1"/>
  </cols>
  <sheetData>
    <row r="1" spans="1:67" ht="12.75" customHeight="1" x14ac:dyDescent="0.25">
      <c r="A1" s="26"/>
      <c r="B1" s="3" t="str">
        <f>rebio23_80ml!B2</f>
        <v>Alo.dadayi</v>
      </c>
      <c r="C1" s="3" t="str">
        <f>rebio23_80ml!C2</f>
        <v>Alo.hamulata</v>
      </c>
      <c r="D1" s="3" t="str">
        <f>rebio23_80ml!D2</f>
        <v>Alonella.sp</v>
      </c>
      <c r="E1" s="3" t="str">
        <f>rebio23_80ml!E2</f>
        <v>Bdelloidea</v>
      </c>
      <c r="F1" s="3" t="str">
        <f>rebio23_80ml!F2</f>
        <v>Bra.patulus</v>
      </c>
      <c r="G1" s="3" t="str">
        <f>rebio23_80ml!G2</f>
        <v>Cephalodella.sp</v>
      </c>
      <c r="H1" s="3" t="str">
        <f>rebio23_80ml!H2</f>
        <v>Colurella.sp</v>
      </c>
      <c r="I1" s="3" t="str">
        <f>rebio23_80ml!I2</f>
        <v>Copepodite</v>
      </c>
      <c r="J1" s="3" t="str">
        <f>rebio23_80ml!J2</f>
        <v>Chydorus.sp</v>
      </c>
      <c r="K1" s="3" t="str">
        <f>rebio23_80ml!K2</f>
        <v>Dicranophoroides.sp</v>
      </c>
      <c r="L1" s="3" t="str">
        <f>rebio23_80ml!L2</f>
        <v>Dia.birgei</v>
      </c>
      <c r="M1" s="3" t="str">
        <f>rebio23_80ml!M2</f>
        <v>Dia.spinulosum</v>
      </c>
      <c r="N1" s="3" t="str">
        <f>rebio23_80ml!N2</f>
        <v>Dis.aculeata</v>
      </c>
      <c r="O1" s="3" t="str">
        <f>rebio23_80ml!O2</f>
        <v>Euc.dilatata</v>
      </c>
      <c r="P1" s="3" t="str">
        <f>rebio23_80ml!P2</f>
        <v>Fil.longiseta</v>
      </c>
      <c r="Q1" s="3" t="str">
        <f>rebio23_80ml!Q2</f>
        <v>Ily.spinifer</v>
      </c>
      <c r="R1" s="3" t="str">
        <f>rebio23_80ml!R2</f>
        <v>Lec.aculeata</v>
      </c>
      <c r="S1" s="3" t="str">
        <f>rebio23_80ml!S2</f>
        <v>Lec.bulla</v>
      </c>
      <c r="T1" s="3" t="str">
        <f>rebio23_80ml!T2</f>
        <v>Lec.cornuta</v>
      </c>
      <c r="U1" s="3" t="str">
        <f>rebio23_80ml!U2</f>
        <v>Lec.crepida</v>
      </c>
      <c r="V1" s="3" t="str">
        <f>rebio23_80ml!V2</f>
        <v>Lec.curvicornis</v>
      </c>
      <c r="W1" s="3" t="str">
        <f>rebio23_80ml!W2</f>
        <v>Lec.furcata</v>
      </c>
      <c r="X1" s="3" t="str">
        <f>rebio23_80ml!X2</f>
        <v>Lecane.sp1</v>
      </c>
      <c r="Y1" s="3" t="str">
        <f>rebio23_80ml!Y2</f>
        <v>Lec.leontina</v>
      </c>
      <c r="Z1" s="3" t="str">
        <f>rebio23_80ml!Z2</f>
        <v>Lec.lunaris</v>
      </c>
      <c r="AA1" s="3" t="str">
        <f>rebio23_80ml!AA2</f>
        <v>Lec.luna</v>
      </c>
      <c r="AB1" s="3" t="str">
        <f>rebio23_80ml!AB2</f>
        <v>Lec.monostyla</v>
      </c>
      <c r="AC1" s="3" t="str">
        <f>rebio23_80ml!AC2</f>
        <v>Lecane.sp2</v>
      </c>
      <c r="AD1" s="3" t="str">
        <f>rebio23_80ml!AD2</f>
        <v>Lec.papuana</v>
      </c>
      <c r="AE1" s="3" t="str">
        <f>rebio23_80ml!AE2</f>
        <v>Lec.quadridentata</v>
      </c>
      <c r="AF1" s="3" t="str">
        <f>rebio23_80ml!AF2</f>
        <v>Lecane.sp3</v>
      </c>
      <c r="AG1" s="3" t="str">
        <f>rebio23_80ml!AG2</f>
        <v>Leydigia.sp</v>
      </c>
      <c r="AH1" s="3" t="str">
        <f>rebio23_80ml!AH2</f>
        <v>Lepadella.sp1</v>
      </c>
      <c r="AI1" s="3" t="str">
        <f>rebio23_80ml!AI2</f>
        <v>Lepadella.sp2</v>
      </c>
      <c r="AJ1" s="3" t="str">
        <f>rebio23_80ml!AJ2</f>
        <v>Lep.ovalis</v>
      </c>
      <c r="AK1" s="3" t="str">
        <f>rebio23_80ml!AK2</f>
        <v>Lep.patella</v>
      </c>
      <c r="AL1" s="3" t="str">
        <f>rebio23_80ml!AL2</f>
        <v>Mesocyclops.sp</v>
      </c>
      <c r="AM1" s="3" t="str">
        <f>rebio23_80ml!AM2</f>
        <v>Macrocyclops.sp</v>
      </c>
      <c r="AN1" s="3" t="str">
        <f>rebio23_80ml!AN2</f>
        <v>Macrochaetus.sp</v>
      </c>
      <c r="AO1" s="3" t="str">
        <f>rebio23_80ml!AO2</f>
        <v>Macrothrix.sp</v>
      </c>
      <c r="AP1" s="3" t="str">
        <f>rebio23_80ml!AP2</f>
        <v>Mac.mira</v>
      </c>
      <c r="AQ1" s="3" t="str">
        <f>rebio23_80ml!AQ2</f>
        <v>Mac.laticornis</v>
      </c>
      <c r="AR1" s="3" t="str">
        <f>rebio23_80ml!AR2</f>
        <v>Moi.minuta</v>
      </c>
      <c r="AS1" s="3" t="str">
        <f>rebio23_80ml!AS2</f>
        <v>Myt.crassipes</v>
      </c>
      <c r="AT1" s="3" t="str">
        <f>rebio23_80ml!AT2</f>
        <v>Mytilina.sp</v>
      </c>
      <c r="AU1" s="3" t="str">
        <f>rebio23_80ml!AU2</f>
        <v>Myt.bisulcata</v>
      </c>
      <c r="AV1" s="3" t="str">
        <f>rebio23_80ml!AV2</f>
        <v>Nauplii</v>
      </c>
      <c r="AW1" s="3" t="str">
        <f>rebio23_80ml!AW2</f>
        <v>Notodiaptomus.sp</v>
      </c>
      <c r="AX1" s="3" t="str">
        <f>rebio23_80ml!AX2</f>
        <v>Paracyclops.sp</v>
      </c>
      <c r="AY1" s="3" t="str">
        <f>rebio23_80ml!AY2</f>
        <v>Pla.quadricornis</v>
      </c>
      <c r="AZ1" s="3" t="str">
        <f>rebio23_80ml!AZ2</f>
        <v>Polyarthra.sp</v>
      </c>
      <c r="BA1" s="3" t="str">
        <f>rebio23_80ml!BA2</f>
        <v>Pol.bicerca</v>
      </c>
      <c r="BB1" s="3" t="str">
        <f>rebio23_80ml!BB2</f>
        <v>Pol.dolichoptera</v>
      </c>
      <c r="BC1" s="3" t="str">
        <f>rebio23_80ml!BC2</f>
        <v>Pol.vulgaris</v>
      </c>
      <c r="BD1" s="3" t="str">
        <f>rebio23_80ml!BD2</f>
        <v>Tes.patina</v>
      </c>
      <c r="BE1" s="3" t="str">
        <f>rebio23_80ml!BE2</f>
        <v>Tes.mucronata</v>
      </c>
      <c r="BF1" s="3" t="str">
        <f>rebio23_80ml!BF2</f>
        <v>Trichocerca.sp</v>
      </c>
      <c r="BG1" s="3" t="str">
        <f>rebio23_80ml!BG2</f>
        <v>Tri.tetractis</v>
      </c>
      <c r="BI1" s="3"/>
      <c r="BJ1" s="3"/>
      <c r="BK1" s="3"/>
      <c r="BL1" s="3"/>
      <c r="BM1" s="3"/>
      <c r="BN1" s="3"/>
      <c r="BO1" s="3"/>
    </row>
    <row r="2" spans="1:67" ht="12.75" customHeight="1" x14ac:dyDescent="0.25">
      <c r="A2" s="15" t="str">
        <f>rebio23_80ml!A3</f>
        <v>S-B-P05-H1</v>
      </c>
      <c r="B2" s="27">
        <f>rebio23_80ml!B3/50</f>
        <v>0</v>
      </c>
      <c r="C2" s="27">
        <f>rebio23_80ml!C3/50</f>
        <v>0</v>
      </c>
      <c r="D2" s="27">
        <f>rebio23_80ml!D3/50</f>
        <v>0</v>
      </c>
      <c r="E2" s="27">
        <f>rebio23_80ml!E3/50</f>
        <v>0.74</v>
      </c>
      <c r="F2" s="27">
        <f>rebio23_80ml!F3/50</f>
        <v>0</v>
      </c>
      <c r="G2" s="27">
        <f>rebio23_80ml!G3/50</f>
        <v>0</v>
      </c>
      <c r="H2" s="27">
        <f>rebio23_80ml!H3/50</f>
        <v>0</v>
      </c>
      <c r="I2" s="27">
        <f>rebio23_80ml!I3/50</f>
        <v>0</v>
      </c>
      <c r="J2" s="27">
        <f>rebio23_80ml!J3/50</f>
        <v>0</v>
      </c>
      <c r="K2" s="27">
        <f>rebio23_80ml!K3/50</f>
        <v>0</v>
      </c>
      <c r="L2" s="27">
        <f>rebio23_80ml!L3/50</f>
        <v>0</v>
      </c>
      <c r="M2" s="27">
        <f>rebio23_80ml!M3/50</f>
        <v>0</v>
      </c>
      <c r="N2" s="27">
        <f>rebio23_80ml!N3/50</f>
        <v>0</v>
      </c>
      <c r="O2" s="27">
        <f>rebio23_80ml!O3/50</f>
        <v>0</v>
      </c>
      <c r="P2" s="27">
        <f>rebio23_80ml!P3/50</f>
        <v>0</v>
      </c>
      <c r="Q2" s="27">
        <f>rebio23_80ml!Q3/50</f>
        <v>0</v>
      </c>
      <c r="R2" s="27">
        <f>rebio23_80ml!R3/50</f>
        <v>0</v>
      </c>
      <c r="S2" s="27">
        <f>rebio23_80ml!S3/50</f>
        <v>0.02</v>
      </c>
      <c r="T2" s="27">
        <f>rebio23_80ml!T3/50</f>
        <v>0</v>
      </c>
      <c r="U2" s="27">
        <f>rebio23_80ml!U3/50</f>
        <v>0</v>
      </c>
      <c r="V2" s="27">
        <f>rebio23_80ml!V3/50</f>
        <v>0</v>
      </c>
      <c r="W2" s="27">
        <f>rebio23_80ml!W3/50</f>
        <v>0</v>
      </c>
      <c r="X2" s="27">
        <f>rebio23_80ml!X3/50</f>
        <v>0</v>
      </c>
      <c r="Y2" s="27">
        <f>rebio23_80ml!Y3/50</f>
        <v>0</v>
      </c>
      <c r="Z2" s="27">
        <f>rebio23_80ml!Z3/50</f>
        <v>0</v>
      </c>
      <c r="AA2" s="27">
        <f>rebio23_80ml!AA3/50</f>
        <v>0</v>
      </c>
      <c r="AB2" s="27">
        <f>rebio23_80ml!AB3/50</f>
        <v>0</v>
      </c>
      <c r="AC2" s="27">
        <f>rebio23_80ml!AC3/50</f>
        <v>0</v>
      </c>
      <c r="AD2" s="27">
        <f>rebio23_80ml!AD3/50</f>
        <v>0</v>
      </c>
      <c r="AE2" s="27">
        <f>rebio23_80ml!AE3/50</f>
        <v>0</v>
      </c>
      <c r="AF2" s="27">
        <f>rebio23_80ml!AF3/50</f>
        <v>0</v>
      </c>
      <c r="AG2" s="27">
        <f>rebio23_80ml!AG3/50</f>
        <v>0</v>
      </c>
      <c r="AH2" s="27">
        <f>rebio23_80ml!AH3/50</f>
        <v>0</v>
      </c>
      <c r="AI2" s="27">
        <f>rebio23_80ml!AI3/50</f>
        <v>0</v>
      </c>
      <c r="AJ2" s="27">
        <f>rebio23_80ml!AJ3/50</f>
        <v>0</v>
      </c>
      <c r="AK2" s="27">
        <f>rebio23_80ml!AK3/50</f>
        <v>0</v>
      </c>
      <c r="AL2" s="27">
        <f>rebio23_80ml!AL3/50</f>
        <v>0</v>
      </c>
      <c r="AM2" s="27">
        <f>rebio23_80ml!AM3/50</f>
        <v>0</v>
      </c>
      <c r="AN2" s="27">
        <f>rebio23_80ml!AN3/50</f>
        <v>0</v>
      </c>
      <c r="AO2" s="27">
        <f>rebio23_80ml!AO3/50</f>
        <v>0</v>
      </c>
      <c r="AP2" s="27">
        <f>rebio23_80ml!AP3/50</f>
        <v>0</v>
      </c>
      <c r="AQ2" s="27">
        <f>rebio23_80ml!AQ3/50</f>
        <v>0</v>
      </c>
      <c r="AR2" s="27">
        <f>rebio23_80ml!AR3/50</f>
        <v>0</v>
      </c>
      <c r="AS2" s="27">
        <f>rebio23_80ml!AS3/50</f>
        <v>0</v>
      </c>
      <c r="AT2" s="27">
        <f>rebio23_80ml!AT3/50</f>
        <v>0</v>
      </c>
      <c r="AU2" s="27">
        <f>rebio23_80ml!AU3/50</f>
        <v>0</v>
      </c>
      <c r="AV2" s="27">
        <f>rebio23_80ml!AV3/50</f>
        <v>0.06</v>
      </c>
      <c r="AW2" s="27">
        <f>rebio23_80ml!AW3/50</f>
        <v>0</v>
      </c>
      <c r="AX2" s="27">
        <f>rebio23_80ml!AX3/50</f>
        <v>0.02</v>
      </c>
      <c r="AY2" s="27">
        <f>rebio23_80ml!AY3/50</f>
        <v>0</v>
      </c>
      <c r="AZ2" s="27">
        <f>rebio23_80ml!AZ3/50</f>
        <v>0.02</v>
      </c>
      <c r="BA2" s="27">
        <f>rebio23_80ml!BA3/50</f>
        <v>0</v>
      </c>
      <c r="BB2" s="27">
        <f>rebio23_80ml!BB3/50</f>
        <v>0.02</v>
      </c>
      <c r="BC2" s="27">
        <f>rebio23_80ml!BC3/50</f>
        <v>0</v>
      </c>
      <c r="BD2" s="27">
        <f>rebio23_80ml!BD3/50</f>
        <v>0</v>
      </c>
      <c r="BE2" s="27">
        <f>rebio23_80ml!BE3/50</f>
        <v>0</v>
      </c>
      <c r="BF2" s="27">
        <f>rebio23_80ml!BF3/50</f>
        <v>0</v>
      </c>
      <c r="BG2" s="27">
        <f>rebio23_80ml!BG3/50</f>
        <v>0</v>
      </c>
    </row>
    <row r="3" spans="1:67" ht="12.75" customHeight="1" x14ac:dyDescent="0.25">
      <c r="A3" s="15" t="str">
        <f>rebio23_80ml!A4</f>
        <v>S-B-P05-H2</v>
      </c>
      <c r="B3" s="27">
        <f>rebio23_80ml!B4/50</f>
        <v>0</v>
      </c>
      <c r="C3" s="27">
        <f>rebio23_80ml!C4/50</f>
        <v>0</v>
      </c>
      <c r="D3" s="27">
        <f>rebio23_80ml!D4/50</f>
        <v>0</v>
      </c>
      <c r="E3" s="27">
        <f>rebio23_80ml!E4/50</f>
        <v>0.46</v>
      </c>
      <c r="F3" s="27">
        <f>rebio23_80ml!F4/50</f>
        <v>0</v>
      </c>
      <c r="G3" s="27">
        <f>rebio23_80ml!G4/50</f>
        <v>0</v>
      </c>
      <c r="H3" s="27">
        <f>rebio23_80ml!H4/50</f>
        <v>0</v>
      </c>
      <c r="I3" s="27">
        <f>rebio23_80ml!I4/50</f>
        <v>0.08</v>
      </c>
      <c r="J3" s="27">
        <f>rebio23_80ml!J4/50</f>
        <v>0</v>
      </c>
      <c r="K3" s="27">
        <f>rebio23_80ml!K4/50</f>
        <v>0</v>
      </c>
      <c r="L3" s="27">
        <f>rebio23_80ml!L4/50</f>
        <v>0</v>
      </c>
      <c r="M3" s="27">
        <f>rebio23_80ml!M4/50</f>
        <v>0</v>
      </c>
      <c r="N3" s="27">
        <f>rebio23_80ml!N4/50</f>
        <v>0</v>
      </c>
      <c r="O3" s="27">
        <f>rebio23_80ml!O4/50</f>
        <v>0</v>
      </c>
      <c r="P3" s="27">
        <f>rebio23_80ml!P4/50</f>
        <v>0</v>
      </c>
      <c r="Q3" s="27">
        <f>rebio23_80ml!Q4/50</f>
        <v>0</v>
      </c>
      <c r="R3" s="27">
        <f>rebio23_80ml!R4/50</f>
        <v>0</v>
      </c>
      <c r="S3" s="27">
        <f>rebio23_80ml!S4/50</f>
        <v>0</v>
      </c>
      <c r="T3" s="27">
        <f>rebio23_80ml!T4/50</f>
        <v>0</v>
      </c>
      <c r="U3" s="27">
        <f>rebio23_80ml!U4/50</f>
        <v>0</v>
      </c>
      <c r="V3" s="27">
        <f>rebio23_80ml!V4/50</f>
        <v>0</v>
      </c>
      <c r="W3" s="27">
        <f>rebio23_80ml!W4/50</f>
        <v>0</v>
      </c>
      <c r="X3" s="27">
        <f>rebio23_80ml!X4/50</f>
        <v>0</v>
      </c>
      <c r="Y3" s="27">
        <f>rebio23_80ml!Y4/50</f>
        <v>0</v>
      </c>
      <c r="Z3" s="27">
        <f>rebio23_80ml!Z4/50</f>
        <v>0</v>
      </c>
      <c r="AA3" s="27">
        <f>rebio23_80ml!AA4/50</f>
        <v>0</v>
      </c>
      <c r="AB3" s="27">
        <f>rebio23_80ml!AB4/50</f>
        <v>0</v>
      </c>
      <c r="AC3" s="27">
        <f>rebio23_80ml!AC4/50</f>
        <v>0</v>
      </c>
      <c r="AD3" s="27">
        <f>rebio23_80ml!AD4/50</f>
        <v>0</v>
      </c>
      <c r="AE3" s="27">
        <f>rebio23_80ml!AE4/50</f>
        <v>0</v>
      </c>
      <c r="AF3" s="27">
        <f>rebio23_80ml!AF4/50</f>
        <v>0</v>
      </c>
      <c r="AG3" s="27">
        <f>rebio23_80ml!AG4/50</f>
        <v>0</v>
      </c>
      <c r="AH3" s="27">
        <f>rebio23_80ml!AH4/50</f>
        <v>0</v>
      </c>
      <c r="AI3" s="27">
        <f>rebio23_80ml!AI4/50</f>
        <v>0</v>
      </c>
      <c r="AJ3" s="27">
        <f>rebio23_80ml!AJ4/50</f>
        <v>0</v>
      </c>
      <c r="AK3" s="27">
        <f>rebio23_80ml!AK4/50</f>
        <v>0</v>
      </c>
      <c r="AL3" s="27">
        <f>rebio23_80ml!AL4/50</f>
        <v>0</v>
      </c>
      <c r="AM3" s="27">
        <f>rebio23_80ml!AM4/50</f>
        <v>0</v>
      </c>
      <c r="AN3" s="27">
        <f>rebio23_80ml!AN4/50</f>
        <v>0</v>
      </c>
      <c r="AO3" s="27">
        <f>rebio23_80ml!AO4/50</f>
        <v>0.02</v>
      </c>
      <c r="AP3" s="27">
        <f>rebio23_80ml!AP4/50</f>
        <v>0</v>
      </c>
      <c r="AQ3" s="27">
        <f>rebio23_80ml!AQ4/50</f>
        <v>0</v>
      </c>
      <c r="AR3" s="27">
        <f>rebio23_80ml!AR4/50</f>
        <v>0</v>
      </c>
      <c r="AS3" s="27">
        <f>rebio23_80ml!AS4/50</f>
        <v>0</v>
      </c>
      <c r="AT3" s="27">
        <f>rebio23_80ml!AT4/50</f>
        <v>0</v>
      </c>
      <c r="AU3" s="27">
        <f>rebio23_80ml!AU4/50</f>
        <v>0</v>
      </c>
      <c r="AV3" s="27">
        <f>rebio23_80ml!AV4/50</f>
        <v>0</v>
      </c>
      <c r="AW3" s="27">
        <f>rebio23_80ml!AW4/50</f>
        <v>0</v>
      </c>
      <c r="AX3" s="27">
        <f>rebio23_80ml!AX4/50</f>
        <v>0.02</v>
      </c>
      <c r="AY3" s="27">
        <f>rebio23_80ml!AY4/50</f>
        <v>0</v>
      </c>
      <c r="AZ3" s="27">
        <f>rebio23_80ml!AZ4/50</f>
        <v>0</v>
      </c>
      <c r="BA3" s="27">
        <f>rebio23_80ml!BA4/50</f>
        <v>0</v>
      </c>
      <c r="BB3" s="27">
        <f>rebio23_80ml!BB4/50</f>
        <v>0</v>
      </c>
      <c r="BC3" s="27">
        <f>rebio23_80ml!BC4/50</f>
        <v>0</v>
      </c>
      <c r="BD3" s="27">
        <f>rebio23_80ml!BD4/50</f>
        <v>0</v>
      </c>
      <c r="BE3" s="27">
        <f>rebio23_80ml!BE4/50</f>
        <v>0</v>
      </c>
      <c r="BF3" s="27">
        <f>rebio23_80ml!BF4/50</f>
        <v>0</v>
      </c>
      <c r="BG3" s="27">
        <f>rebio23_80ml!BG4/50</f>
        <v>0</v>
      </c>
    </row>
    <row r="4" spans="1:67" ht="12.75" customHeight="1" x14ac:dyDescent="0.25">
      <c r="A4" s="15" t="str">
        <f>rebio23_80ml!A5</f>
        <v>S-B-P05-H3</v>
      </c>
      <c r="B4" s="27">
        <f>rebio23_80ml!B5/50</f>
        <v>0</v>
      </c>
      <c r="C4" s="27">
        <f>rebio23_80ml!C5/50</f>
        <v>0</v>
      </c>
      <c r="D4" s="27">
        <f>rebio23_80ml!D5/50</f>
        <v>0</v>
      </c>
      <c r="E4" s="27">
        <f>rebio23_80ml!E5/50</f>
        <v>0.64</v>
      </c>
      <c r="F4" s="27">
        <f>rebio23_80ml!F5/50</f>
        <v>0</v>
      </c>
      <c r="G4" s="27">
        <f>rebio23_80ml!G5/50</f>
        <v>0</v>
      </c>
      <c r="H4" s="27">
        <f>rebio23_80ml!H5/50</f>
        <v>0</v>
      </c>
      <c r="I4" s="27">
        <f>rebio23_80ml!I5/50</f>
        <v>0.04</v>
      </c>
      <c r="J4" s="27">
        <f>rebio23_80ml!J5/50</f>
        <v>0</v>
      </c>
      <c r="K4" s="27">
        <f>rebio23_80ml!K5/50</f>
        <v>0</v>
      </c>
      <c r="L4" s="27">
        <f>rebio23_80ml!L5/50</f>
        <v>0</v>
      </c>
      <c r="M4" s="27">
        <f>rebio23_80ml!M5/50</f>
        <v>0</v>
      </c>
      <c r="N4" s="27">
        <f>rebio23_80ml!N5/50</f>
        <v>0</v>
      </c>
      <c r="O4" s="27">
        <f>rebio23_80ml!O5/50</f>
        <v>0</v>
      </c>
      <c r="P4" s="27">
        <f>rebio23_80ml!P5/50</f>
        <v>0</v>
      </c>
      <c r="Q4" s="27">
        <f>rebio23_80ml!Q5/50</f>
        <v>0</v>
      </c>
      <c r="R4" s="27">
        <f>rebio23_80ml!R5/50</f>
        <v>0</v>
      </c>
      <c r="S4" s="27">
        <f>rebio23_80ml!S5/50</f>
        <v>0.04</v>
      </c>
      <c r="T4" s="27">
        <f>rebio23_80ml!T5/50</f>
        <v>0</v>
      </c>
      <c r="U4" s="27">
        <f>rebio23_80ml!U5/50</f>
        <v>0</v>
      </c>
      <c r="V4" s="27">
        <f>rebio23_80ml!V5/50</f>
        <v>0</v>
      </c>
      <c r="W4" s="27">
        <f>rebio23_80ml!W5/50</f>
        <v>0</v>
      </c>
      <c r="X4" s="27">
        <f>rebio23_80ml!X5/50</f>
        <v>0</v>
      </c>
      <c r="Y4" s="27">
        <f>rebio23_80ml!Y5/50</f>
        <v>0</v>
      </c>
      <c r="Z4" s="27">
        <f>rebio23_80ml!Z5/50</f>
        <v>0</v>
      </c>
      <c r="AA4" s="27">
        <f>rebio23_80ml!AA5/50</f>
        <v>0</v>
      </c>
      <c r="AB4" s="27">
        <f>rebio23_80ml!AB5/50</f>
        <v>0</v>
      </c>
      <c r="AC4" s="27">
        <f>rebio23_80ml!AC5/50</f>
        <v>0</v>
      </c>
      <c r="AD4" s="27">
        <f>rebio23_80ml!AD5/50</f>
        <v>0</v>
      </c>
      <c r="AE4" s="27">
        <f>rebio23_80ml!AE5/50</f>
        <v>0</v>
      </c>
      <c r="AF4" s="27">
        <f>rebio23_80ml!AF5/50</f>
        <v>0</v>
      </c>
      <c r="AG4" s="27">
        <f>rebio23_80ml!AG5/50</f>
        <v>0</v>
      </c>
      <c r="AH4" s="27">
        <f>rebio23_80ml!AH5/50</f>
        <v>0</v>
      </c>
      <c r="AI4" s="27">
        <f>rebio23_80ml!AI5/50</f>
        <v>0</v>
      </c>
      <c r="AJ4" s="27">
        <f>rebio23_80ml!AJ5/50</f>
        <v>0</v>
      </c>
      <c r="AK4" s="27">
        <f>rebio23_80ml!AK5/50</f>
        <v>0</v>
      </c>
      <c r="AL4" s="27">
        <f>rebio23_80ml!AL5/50</f>
        <v>0</v>
      </c>
      <c r="AM4" s="27">
        <f>rebio23_80ml!AM5/50</f>
        <v>0</v>
      </c>
      <c r="AN4" s="27">
        <f>rebio23_80ml!AN5/50</f>
        <v>0</v>
      </c>
      <c r="AO4" s="27">
        <f>rebio23_80ml!AO5/50</f>
        <v>0</v>
      </c>
      <c r="AP4" s="27">
        <f>rebio23_80ml!AP5/50</f>
        <v>0</v>
      </c>
      <c r="AQ4" s="27">
        <f>rebio23_80ml!AQ5/50</f>
        <v>0</v>
      </c>
      <c r="AR4" s="27">
        <f>rebio23_80ml!AR5/50</f>
        <v>0</v>
      </c>
      <c r="AS4" s="27">
        <f>rebio23_80ml!AS5/50</f>
        <v>0</v>
      </c>
      <c r="AT4" s="27">
        <f>rebio23_80ml!AT5/50</f>
        <v>0</v>
      </c>
      <c r="AU4" s="27">
        <f>rebio23_80ml!AU5/50</f>
        <v>0</v>
      </c>
      <c r="AV4" s="27">
        <f>rebio23_80ml!AV5/50</f>
        <v>0.12</v>
      </c>
      <c r="AW4" s="27">
        <f>rebio23_80ml!AW5/50</f>
        <v>0</v>
      </c>
      <c r="AX4" s="27">
        <f>rebio23_80ml!AX5/50</f>
        <v>0</v>
      </c>
      <c r="AY4" s="27">
        <f>rebio23_80ml!AY5/50</f>
        <v>0</v>
      </c>
      <c r="AZ4" s="27">
        <f>rebio23_80ml!AZ5/50</f>
        <v>0</v>
      </c>
      <c r="BA4" s="27">
        <f>rebio23_80ml!BA5/50</f>
        <v>0</v>
      </c>
      <c r="BB4" s="27">
        <f>rebio23_80ml!BB5/50</f>
        <v>0</v>
      </c>
      <c r="BC4" s="27">
        <f>rebio23_80ml!BC5/50</f>
        <v>0</v>
      </c>
      <c r="BD4" s="27">
        <f>rebio23_80ml!BD5/50</f>
        <v>0</v>
      </c>
      <c r="BE4" s="27">
        <f>rebio23_80ml!BE5/50</f>
        <v>0</v>
      </c>
      <c r="BF4" s="27">
        <f>rebio23_80ml!BF5/50</f>
        <v>0</v>
      </c>
      <c r="BG4" s="27">
        <f>rebio23_80ml!BG5/50</f>
        <v>0</v>
      </c>
    </row>
    <row r="5" spans="1:67" ht="12.75" customHeight="1" x14ac:dyDescent="0.25">
      <c r="A5" s="15" t="str">
        <f>rebio23_80ml!A6</f>
        <v>S-B-P06-H1</v>
      </c>
      <c r="B5" s="27">
        <f>rebio23_80ml!B6/50</f>
        <v>0</v>
      </c>
      <c r="C5" s="27">
        <f>rebio23_80ml!C6/50</f>
        <v>0</v>
      </c>
      <c r="D5" s="27">
        <f>rebio23_80ml!D6/50</f>
        <v>0</v>
      </c>
      <c r="E5" s="27">
        <f>rebio23_80ml!E6/50</f>
        <v>0.64</v>
      </c>
      <c r="F5" s="27">
        <f>rebio23_80ml!F6/50</f>
        <v>0</v>
      </c>
      <c r="G5" s="27">
        <f>rebio23_80ml!G6/50</f>
        <v>0</v>
      </c>
      <c r="H5" s="27">
        <f>rebio23_80ml!H6/50</f>
        <v>0</v>
      </c>
      <c r="I5" s="27">
        <f>rebio23_80ml!I6/50</f>
        <v>0</v>
      </c>
      <c r="J5" s="27">
        <f>rebio23_80ml!J6/50</f>
        <v>0</v>
      </c>
      <c r="K5" s="27">
        <f>rebio23_80ml!K6/50</f>
        <v>0</v>
      </c>
      <c r="L5" s="27">
        <f>rebio23_80ml!L6/50</f>
        <v>0</v>
      </c>
      <c r="M5" s="27">
        <f>rebio23_80ml!M6/50</f>
        <v>0</v>
      </c>
      <c r="N5" s="27">
        <f>rebio23_80ml!N6/50</f>
        <v>0</v>
      </c>
      <c r="O5" s="27">
        <f>rebio23_80ml!O6/50</f>
        <v>0</v>
      </c>
      <c r="P5" s="27">
        <f>rebio23_80ml!P6/50</f>
        <v>0</v>
      </c>
      <c r="Q5" s="27">
        <f>rebio23_80ml!Q6/50</f>
        <v>0</v>
      </c>
      <c r="R5" s="27">
        <f>rebio23_80ml!R6/50</f>
        <v>0</v>
      </c>
      <c r="S5" s="27">
        <f>rebio23_80ml!S6/50</f>
        <v>0</v>
      </c>
      <c r="T5" s="27">
        <f>rebio23_80ml!T6/50</f>
        <v>0</v>
      </c>
      <c r="U5" s="27">
        <f>rebio23_80ml!U6/50</f>
        <v>0</v>
      </c>
      <c r="V5" s="27">
        <f>rebio23_80ml!V6/50</f>
        <v>0</v>
      </c>
      <c r="W5" s="27">
        <f>rebio23_80ml!W6/50</f>
        <v>0</v>
      </c>
      <c r="X5" s="27">
        <f>rebio23_80ml!X6/50</f>
        <v>0</v>
      </c>
      <c r="Y5" s="27">
        <f>rebio23_80ml!Y6/50</f>
        <v>0</v>
      </c>
      <c r="Z5" s="27">
        <f>rebio23_80ml!Z6/50</f>
        <v>0</v>
      </c>
      <c r="AA5" s="27">
        <f>rebio23_80ml!AA6/50</f>
        <v>0</v>
      </c>
      <c r="AB5" s="27">
        <f>rebio23_80ml!AB6/50</f>
        <v>0</v>
      </c>
      <c r="AC5" s="27">
        <f>rebio23_80ml!AC6/50</f>
        <v>0</v>
      </c>
      <c r="AD5" s="27">
        <f>rebio23_80ml!AD6/50</f>
        <v>0</v>
      </c>
      <c r="AE5" s="27">
        <f>rebio23_80ml!AE6/50</f>
        <v>0</v>
      </c>
      <c r="AF5" s="27">
        <f>rebio23_80ml!AF6/50</f>
        <v>0</v>
      </c>
      <c r="AG5" s="27">
        <f>rebio23_80ml!AG6/50</f>
        <v>0</v>
      </c>
      <c r="AH5" s="27">
        <f>rebio23_80ml!AH6/50</f>
        <v>0</v>
      </c>
      <c r="AI5" s="27">
        <f>rebio23_80ml!AI6/50</f>
        <v>0</v>
      </c>
      <c r="AJ5" s="27">
        <f>rebio23_80ml!AJ6/50</f>
        <v>0</v>
      </c>
      <c r="AK5" s="27">
        <f>rebio23_80ml!AK6/50</f>
        <v>0</v>
      </c>
      <c r="AL5" s="27">
        <f>rebio23_80ml!AL6/50</f>
        <v>0</v>
      </c>
      <c r="AM5" s="27">
        <f>rebio23_80ml!AM6/50</f>
        <v>0</v>
      </c>
      <c r="AN5" s="27">
        <f>rebio23_80ml!AN6/50</f>
        <v>0</v>
      </c>
      <c r="AO5" s="27">
        <f>rebio23_80ml!AO6/50</f>
        <v>0</v>
      </c>
      <c r="AP5" s="27">
        <f>rebio23_80ml!AP6/50</f>
        <v>0</v>
      </c>
      <c r="AQ5" s="27">
        <f>rebio23_80ml!AQ6/50</f>
        <v>0</v>
      </c>
      <c r="AR5" s="27">
        <f>rebio23_80ml!AR6/50</f>
        <v>0</v>
      </c>
      <c r="AS5" s="27">
        <f>rebio23_80ml!AS6/50</f>
        <v>0</v>
      </c>
      <c r="AT5" s="27">
        <f>rebio23_80ml!AT6/50</f>
        <v>0</v>
      </c>
      <c r="AU5" s="27">
        <f>rebio23_80ml!AU6/50</f>
        <v>0</v>
      </c>
      <c r="AV5" s="27">
        <f>rebio23_80ml!AV6/50</f>
        <v>0</v>
      </c>
      <c r="AW5" s="27">
        <f>rebio23_80ml!AW6/50</f>
        <v>0</v>
      </c>
      <c r="AX5" s="27">
        <f>rebio23_80ml!AX6/50</f>
        <v>0</v>
      </c>
      <c r="AY5" s="27">
        <f>rebio23_80ml!AY6/50</f>
        <v>0</v>
      </c>
      <c r="AZ5" s="27">
        <f>rebio23_80ml!AZ6/50</f>
        <v>0</v>
      </c>
      <c r="BA5" s="27">
        <f>rebio23_80ml!BA6/50</f>
        <v>0</v>
      </c>
      <c r="BB5" s="27">
        <f>rebio23_80ml!BB6/50</f>
        <v>0</v>
      </c>
      <c r="BC5" s="27">
        <f>rebio23_80ml!BC6/50</f>
        <v>0</v>
      </c>
      <c r="BD5" s="27">
        <f>rebio23_80ml!BD6/50</f>
        <v>0</v>
      </c>
      <c r="BE5" s="27">
        <f>rebio23_80ml!BE6/50</f>
        <v>0</v>
      </c>
      <c r="BF5" s="27">
        <f>rebio23_80ml!BF6/50</f>
        <v>0</v>
      </c>
      <c r="BG5" s="27">
        <f>rebio23_80ml!BG6/50</f>
        <v>0</v>
      </c>
    </row>
    <row r="6" spans="1:67" ht="12.75" customHeight="1" x14ac:dyDescent="0.25">
      <c r="A6" s="15" t="str">
        <f>rebio23_80ml!A7</f>
        <v>S-B-P06-H2</v>
      </c>
      <c r="B6" s="27">
        <f>rebio23_80ml!B7/50</f>
        <v>0.02</v>
      </c>
      <c r="C6" s="27">
        <f>rebio23_80ml!C7/50</f>
        <v>0</v>
      </c>
      <c r="D6" s="27">
        <f>rebio23_80ml!D7/50</f>
        <v>0</v>
      </c>
      <c r="E6" s="27">
        <f>rebio23_80ml!E7/50</f>
        <v>1.28</v>
      </c>
      <c r="F6" s="27">
        <f>rebio23_80ml!F7/50</f>
        <v>0</v>
      </c>
      <c r="G6" s="27">
        <f>rebio23_80ml!G7/50</f>
        <v>0</v>
      </c>
      <c r="H6" s="27">
        <f>rebio23_80ml!H7/50</f>
        <v>0</v>
      </c>
      <c r="I6" s="27">
        <f>rebio23_80ml!I7/50</f>
        <v>0.02</v>
      </c>
      <c r="J6" s="27">
        <f>rebio23_80ml!J7/50</f>
        <v>0</v>
      </c>
      <c r="K6" s="27">
        <f>rebio23_80ml!K7/50</f>
        <v>0</v>
      </c>
      <c r="L6" s="27">
        <f>rebio23_80ml!L7/50</f>
        <v>0</v>
      </c>
      <c r="M6" s="27">
        <f>rebio23_80ml!M7/50</f>
        <v>0</v>
      </c>
      <c r="N6" s="27">
        <f>rebio23_80ml!N7/50</f>
        <v>0</v>
      </c>
      <c r="O6" s="27">
        <f>rebio23_80ml!O7/50</f>
        <v>0</v>
      </c>
      <c r="P6" s="27">
        <f>rebio23_80ml!P7/50</f>
        <v>0</v>
      </c>
      <c r="Q6" s="27">
        <f>rebio23_80ml!Q7/50</f>
        <v>0</v>
      </c>
      <c r="R6" s="27">
        <f>rebio23_80ml!R7/50</f>
        <v>0</v>
      </c>
      <c r="S6" s="27">
        <f>rebio23_80ml!S7/50</f>
        <v>0</v>
      </c>
      <c r="T6" s="27">
        <f>rebio23_80ml!T7/50</f>
        <v>0</v>
      </c>
      <c r="U6" s="27">
        <f>rebio23_80ml!U7/50</f>
        <v>0</v>
      </c>
      <c r="V6" s="27">
        <f>rebio23_80ml!V7/50</f>
        <v>0</v>
      </c>
      <c r="W6" s="27">
        <f>rebio23_80ml!W7/50</f>
        <v>0</v>
      </c>
      <c r="X6" s="27">
        <f>rebio23_80ml!X7/50</f>
        <v>0</v>
      </c>
      <c r="Y6" s="27">
        <f>rebio23_80ml!Y7/50</f>
        <v>0</v>
      </c>
      <c r="Z6" s="27">
        <f>rebio23_80ml!Z7/50</f>
        <v>0</v>
      </c>
      <c r="AA6" s="27">
        <f>rebio23_80ml!AA7/50</f>
        <v>0</v>
      </c>
      <c r="AB6" s="27">
        <f>rebio23_80ml!AB7/50</f>
        <v>0</v>
      </c>
      <c r="AC6" s="27">
        <f>rebio23_80ml!AC7/50</f>
        <v>0</v>
      </c>
      <c r="AD6" s="27">
        <f>rebio23_80ml!AD7/50</f>
        <v>0</v>
      </c>
      <c r="AE6" s="27">
        <f>rebio23_80ml!AE7/50</f>
        <v>0</v>
      </c>
      <c r="AF6" s="27">
        <f>rebio23_80ml!AF7/50</f>
        <v>0</v>
      </c>
      <c r="AG6" s="27">
        <f>rebio23_80ml!AG7/50</f>
        <v>0</v>
      </c>
      <c r="AH6" s="27">
        <f>rebio23_80ml!AH7/50</f>
        <v>0</v>
      </c>
      <c r="AI6" s="27">
        <f>rebio23_80ml!AI7/50</f>
        <v>0</v>
      </c>
      <c r="AJ6" s="27">
        <f>rebio23_80ml!AJ7/50</f>
        <v>0</v>
      </c>
      <c r="AK6" s="27">
        <f>rebio23_80ml!AK7/50</f>
        <v>0</v>
      </c>
      <c r="AL6" s="27">
        <f>rebio23_80ml!AL7/50</f>
        <v>0</v>
      </c>
      <c r="AM6" s="27">
        <f>rebio23_80ml!AM7/50</f>
        <v>0</v>
      </c>
      <c r="AN6" s="27">
        <f>rebio23_80ml!AN7/50</f>
        <v>0</v>
      </c>
      <c r="AO6" s="27">
        <f>rebio23_80ml!AO7/50</f>
        <v>0</v>
      </c>
      <c r="AP6" s="27">
        <f>rebio23_80ml!AP7/50</f>
        <v>0</v>
      </c>
      <c r="AQ6" s="27">
        <f>rebio23_80ml!AQ7/50</f>
        <v>0</v>
      </c>
      <c r="AR6" s="27">
        <f>rebio23_80ml!AR7/50</f>
        <v>0</v>
      </c>
      <c r="AS6" s="27">
        <f>rebio23_80ml!AS7/50</f>
        <v>0</v>
      </c>
      <c r="AT6" s="27">
        <f>rebio23_80ml!AT7/50</f>
        <v>0</v>
      </c>
      <c r="AU6" s="27">
        <f>rebio23_80ml!AU7/50</f>
        <v>0</v>
      </c>
      <c r="AV6" s="27">
        <f>rebio23_80ml!AV7/50</f>
        <v>0.02</v>
      </c>
      <c r="AW6" s="27">
        <f>rebio23_80ml!AW7/50</f>
        <v>0</v>
      </c>
      <c r="AX6" s="27">
        <f>rebio23_80ml!AX7/50</f>
        <v>0</v>
      </c>
      <c r="AY6" s="27">
        <f>rebio23_80ml!AY7/50</f>
        <v>0</v>
      </c>
      <c r="AZ6" s="27">
        <f>rebio23_80ml!AZ7/50</f>
        <v>0</v>
      </c>
      <c r="BA6" s="27">
        <f>rebio23_80ml!BA7/50</f>
        <v>0</v>
      </c>
      <c r="BB6" s="27">
        <f>rebio23_80ml!BB7/50</f>
        <v>0</v>
      </c>
      <c r="BC6" s="27">
        <f>rebio23_80ml!BC7/50</f>
        <v>0</v>
      </c>
      <c r="BD6" s="27">
        <f>rebio23_80ml!BD7/50</f>
        <v>0</v>
      </c>
      <c r="BE6" s="27">
        <f>rebio23_80ml!BE7/50</f>
        <v>0</v>
      </c>
      <c r="BF6" s="27">
        <f>rebio23_80ml!BF7/50</f>
        <v>0</v>
      </c>
      <c r="BG6" s="27">
        <f>rebio23_80ml!BG7/50</f>
        <v>0</v>
      </c>
    </row>
    <row r="7" spans="1:67" ht="12.75" customHeight="1" x14ac:dyDescent="0.25">
      <c r="A7" s="15" t="str">
        <f>rebio23_80ml!A8</f>
        <v>S-B-P06-H3</v>
      </c>
      <c r="B7" s="27">
        <f>rebio23_80ml!B8/50</f>
        <v>0</v>
      </c>
      <c r="C7" s="27">
        <f>rebio23_80ml!C8/50</f>
        <v>0</v>
      </c>
      <c r="D7" s="27">
        <f>rebio23_80ml!D8/50</f>
        <v>0</v>
      </c>
      <c r="E7" s="27">
        <f>rebio23_80ml!E8/50</f>
        <v>1.54</v>
      </c>
      <c r="F7" s="27">
        <f>rebio23_80ml!F8/50</f>
        <v>0</v>
      </c>
      <c r="G7" s="27">
        <f>rebio23_80ml!G8/50</f>
        <v>0</v>
      </c>
      <c r="H7" s="27">
        <f>rebio23_80ml!H8/50</f>
        <v>0</v>
      </c>
      <c r="I7" s="27">
        <f>rebio23_80ml!I8/50</f>
        <v>0</v>
      </c>
      <c r="J7" s="27">
        <f>rebio23_80ml!J8/50</f>
        <v>0</v>
      </c>
      <c r="K7" s="27">
        <f>rebio23_80ml!K8/50</f>
        <v>0</v>
      </c>
      <c r="L7" s="27">
        <f>rebio23_80ml!L8/50</f>
        <v>0</v>
      </c>
      <c r="M7" s="27">
        <f>rebio23_80ml!M8/50</f>
        <v>0</v>
      </c>
      <c r="N7" s="27">
        <f>rebio23_80ml!N8/50</f>
        <v>0</v>
      </c>
      <c r="O7" s="27">
        <f>rebio23_80ml!O8/50</f>
        <v>0</v>
      </c>
      <c r="P7" s="27">
        <f>rebio23_80ml!P8/50</f>
        <v>0</v>
      </c>
      <c r="Q7" s="27">
        <f>rebio23_80ml!Q8/50</f>
        <v>0</v>
      </c>
      <c r="R7" s="27">
        <f>rebio23_80ml!R8/50</f>
        <v>0</v>
      </c>
      <c r="S7" s="27">
        <f>rebio23_80ml!S8/50</f>
        <v>0</v>
      </c>
      <c r="T7" s="27">
        <f>rebio23_80ml!T8/50</f>
        <v>0</v>
      </c>
      <c r="U7" s="27">
        <f>rebio23_80ml!U8/50</f>
        <v>0</v>
      </c>
      <c r="V7" s="27">
        <f>rebio23_80ml!V8/50</f>
        <v>0</v>
      </c>
      <c r="W7" s="27">
        <f>rebio23_80ml!W8/50</f>
        <v>0</v>
      </c>
      <c r="X7" s="27">
        <f>rebio23_80ml!X8/50</f>
        <v>0</v>
      </c>
      <c r="Y7" s="27">
        <f>rebio23_80ml!Y8/50</f>
        <v>0</v>
      </c>
      <c r="Z7" s="27">
        <f>rebio23_80ml!Z8/50</f>
        <v>0</v>
      </c>
      <c r="AA7" s="27">
        <f>rebio23_80ml!AA8/50</f>
        <v>0</v>
      </c>
      <c r="AB7" s="27">
        <f>rebio23_80ml!AB8/50</f>
        <v>0</v>
      </c>
      <c r="AC7" s="27">
        <f>rebio23_80ml!AC8/50</f>
        <v>0</v>
      </c>
      <c r="AD7" s="27">
        <f>rebio23_80ml!AD8/50</f>
        <v>0</v>
      </c>
      <c r="AE7" s="27">
        <f>rebio23_80ml!AE8/50</f>
        <v>0</v>
      </c>
      <c r="AF7" s="27">
        <f>rebio23_80ml!AF8/50</f>
        <v>0</v>
      </c>
      <c r="AG7" s="27">
        <f>rebio23_80ml!AG8/50</f>
        <v>0</v>
      </c>
      <c r="AH7" s="27">
        <f>rebio23_80ml!AH8/50</f>
        <v>0</v>
      </c>
      <c r="AI7" s="27">
        <f>rebio23_80ml!AI8/50</f>
        <v>0</v>
      </c>
      <c r="AJ7" s="27">
        <f>rebio23_80ml!AJ8/50</f>
        <v>0</v>
      </c>
      <c r="AK7" s="27">
        <f>rebio23_80ml!AK8/50</f>
        <v>0</v>
      </c>
      <c r="AL7" s="27">
        <f>rebio23_80ml!AL8/50</f>
        <v>0</v>
      </c>
      <c r="AM7" s="27">
        <f>rebio23_80ml!AM8/50</f>
        <v>0</v>
      </c>
      <c r="AN7" s="27">
        <f>rebio23_80ml!AN8/50</f>
        <v>0</v>
      </c>
      <c r="AO7" s="27">
        <f>rebio23_80ml!AO8/50</f>
        <v>0</v>
      </c>
      <c r="AP7" s="27">
        <f>rebio23_80ml!AP8/50</f>
        <v>0</v>
      </c>
      <c r="AQ7" s="27">
        <f>rebio23_80ml!AQ8/50</f>
        <v>0</v>
      </c>
      <c r="AR7" s="27">
        <f>rebio23_80ml!AR8/50</f>
        <v>0</v>
      </c>
      <c r="AS7" s="27">
        <f>rebio23_80ml!AS8/50</f>
        <v>0</v>
      </c>
      <c r="AT7" s="27">
        <f>rebio23_80ml!AT8/50</f>
        <v>0</v>
      </c>
      <c r="AU7" s="27">
        <f>rebio23_80ml!AU8/50</f>
        <v>0</v>
      </c>
      <c r="AV7" s="27">
        <f>rebio23_80ml!AV8/50</f>
        <v>0.06</v>
      </c>
      <c r="AW7" s="27">
        <f>rebio23_80ml!AW8/50</f>
        <v>0</v>
      </c>
      <c r="AX7" s="27">
        <f>rebio23_80ml!AX8/50</f>
        <v>0</v>
      </c>
      <c r="AY7" s="27">
        <f>rebio23_80ml!AY8/50</f>
        <v>0</v>
      </c>
      <c r="AZ7" s="27">
        <f>rebio23_80ml!AZ8/50</f>
        <v>0</v>
      </c>
      <c r="BA7" s="27">
        <f>rebio23_80ml!BA8/50</f>
        <v>0</v>
      </c>
      <c r="BB7" s="27">
        <f>rebio23_80ml!BB8/50</f>
        <v>0</v>
      </c>
      <c r="BC7" s="27">
        <f>rebio23_80ml!BC8/50</f>
        <v>0</v>
      </c>
      <c r="BD7" s="27">
        <f>rebio23_80ml!BD8/50</f>
        <v>0</v>
      </c>
      <c r="BE7" s="27">
        <f>rebio23_80ml!BE8/50</f>
        <v>0</v>
      </c>
      <c r="BF7" s="27">
        <f>rebio23_80ml!BF8/50</f>
        <v>0</v>
      </c>
      <c r="BG7" s="27">
        <f>rebio23_80ml!BG8/50</f>
        <v>0</v>
      </c>
    </row>
    <row r="8" spans="1:67" ht="12.75" customHeight="1" x14ac:dyDescent="0.25">
      <c r="A8" s="15" t="str">
        <f>rebio23_80ml!A9</f>
        <v>S-B-P07-H1</v>
      </c>
      <c r="B8" s="27">
        <f>rebio23_80ml!B9/50</f>
        <v>0</v>
      </c>
      <c r="C8" s="27">
        <f>rebio23_80ml!C9/50</f>
        <v>0</v>
      </c>
      <c r="D8" s="27">
        <f>rebio23_80ml!D9/50</f>
        <v>0</v>
      </c>
      <c r="E8" s="27">
        <f>rebio23_80ml!E9/50</f>
        <v>1.18</v>
      </c>
      <c r="F8" s="27">
        <f>rebio23_80ml!F9/50</f>
        <v>0</v>
      </c>
      <c r="G8" s="27">
        <f>rebio23_80ml!G9/50</f>
        <v>0</v>
      </c>
      <c r="H8" s="27">
        <f>rebio23_80ml!H9/50</f>
        <v>0</v>
      </c>
      <c r="I8" s="27">
        <f>rebio23_80ml!I9/50</f>
        <v>0.04</v>
      </c>
      <c r="J8" s="27">
        <f>rebio23_80ml!J9/50</f>
        <v>0</v>
      </c>
      <c r="K8" s="27">
        <f>rebio23_80ml!K9/50</f>
        <v>0</v>
      </c>
      <c r="L8" s="27">
        <f>rebio23_80ml!L9/50</f>
        <v>0</v>
      </c>
      <c r="M8" s="27">
        <f>rebio23_80ml!M9/50</f>
        <v>0</v>
      </c>
      <c r="N8" s="27">
        <f>rebio23_80ml!N9/50</f>
        <v>0</v>
      </c>
      <c r="O8" s="27">
        <f>rebio23_80ml!O9/50</f>
        <v>0</v>
      </c>
      <c r="P8" s="27">
        <f>rebio23_80ml!P9/50</f>
        <v>0</v>
      </c>
      <c r="Q8" s="27">
        <f>rebio23_80ml!Q9/50</f>
        <v>0</v>
      </c>
      <c r="R8" s="27">
        <f>rebio23_80ml!R9/50</f>
        <v>0</v>
      </c>
      <c r="S8" s="27">
        <f>rebio23_80ml!S9/50</f>
        <v>0</v>
      </c>
      <c r="T8" s="27">
        <f>rebio23_80ml!T9/50</f>
        <v>0</v>
      </c>
      <c r="U8" s="27">
        <f>rebio23_80ml!U9/50</f>
        <v>0</v>
      </c>
      <c r="V8" s="27">
        <f>rebio23_80ml!V9/50</f>
        <v>0</v>
      </c>
      <c r="W8" s="27">
        <f>rebio23_80ml!W9/50</f>
        <v>0</v>
      </c>
      <c r="X8" s="27">
        <f>rebio23_80ml!X9/50</f>
        <v>0</v>
      </c>
      <c r="Y8" s="27">
        <f>rebio23_80ml!Y9/50</f>
        <v>0</v>
      </c>
      <c r="Z8" s="27">
        <f>rebio23_80ml!Z9/50</f>
        <v>0</v>
      </c>
      <c r="AA8" s="27">
        <f>rebio23_80ml!AA9/50</f>
        <v>0</v>
      </c>
      <c r="AB8" s="27">
        <f>rebio23_80ml!AB9/50</f>
        <v>0</v>
      </c>
      <c r="AC8" s="27">
        <f>rebio23_80ml!AC9/50</f>
        <v>0</v>
      </c>
      <c r="AD8" s="27">
        <f>rebio23_80ml!AD9/50</f>
        <v>0</v>
      </c>
      <c r="AE8" s="27">
        <f>rebio23_80ml!AE9/50</f>
        <v>0</v>
      </c>
      <c r="AF8" s="27">
        <f>rebio23_80ml!AF9/50</f>
        <v>0</v>
      </c>
      <c r="AG8" s="27">
        <f>rebio23_80ml!AG9/50</f>
        <v>0</v>
      </c>
      <c r="AH8" s="27">
        <f>rebio23_80ml!AH9/50</f>
        <v>0</v>
      </c>
      <c r="AI8" s="27">
        <f>rebio23_80ml!AI9/50</f>
        <v>0</v>
      </c>
      <c r="AJ8" s="27">
        <f>rebio23_80ml!AJ9/50</f>
        <v>0</v>
      </c>
      <c r="AK8" s="27">
        <f>rebio23_80ml!AK9/50</f>
        <v>0</v>
      </c>
      <c r="AL8" s="27">
        <f>rebio23_80ml!AL9/50</f>
        <v>0</v>
      </c>
      <c r="AM8" s="27">
        <f>rebio23_80ml!AM9/50</f>
        <v>0</v>
      </c>
      <c r="AN8" s="27">
        <f>rebio23_80ml!AN9/50</f>
        <v>0</v>
      </c>
      <c r="AO8" s="27">
        <f>rebio23_80ml!AO9/50</f>
        <v>0</v>
      </c>
      <c r="AP8" s="27">
        <f>rebio23_80ml!AP9/50</f>
        <v>0</v>
      </c>
      <c r="AQ8" s="27">
        <f>rebio23_80ml!AQ9/50</f>
        <v>0</v>
      </c>
      <c r="AR8" s="27">
        <f>rebio23_80ml!AR9/50</f>
        <v>0</v>
      </c>
      <c r="AS8" s="27">
        <f>rebio23_80ml!AS9/50</f>
        <v>0</v>
      </c>
      <c r="AT8" s="27">
        <f>rebio23_80ml!AT9/50</f>
        <v>0</v>
      </c>
      <c r="AU8" s="27">
        <f>rebio23_80ml!AU9/50</f>
        <v>0</v>
      </c>
      <c r="AV8" s="27">
        <f>rebio23_80ml!AV9/50</f>
        <v>0.02</v>
      </c>
      <c r="AW8" s="27">
        <f>rebio23_80ml!AW9/50</f>
        <v>0</v>
      </c>
      <c r="AX8" s="27">
        <f>rebio23_80ml!AX9/50</f>
        <v>0</v>
      </c>
      <c r="AY8" s="27">
        <f>rebio23_80ml!AY9/50</f>
        <v>0</v>
      </c>
      <c r="AZ8" s="27">
        <f>rebio23_80ml!AZ9/50</f>
        <v>0</v>
      </c>
      <c r="BA8" s="27">
        <f>rebio23_80ml!BA9/50</f>
        <v>0</v>
      </c>
      <c r="BB8" s="27">
        <f>rebio23_80ml!BB9/50</f>
        <v>0</v>
      </c>
      <c r="BC8" s="27">
        <f>rebio23_80ml!BC9/50</f>
        <v>0</v>
      </c>
      <c r="BD8" s="27">
        <f>rebio23_80ml!BD9/50</f>
        <v>0</v>
      </c>
      <c r="BE8" s="27">
        <f>rebio23_80ml!BE9/50</f>
        <v>0</v>
      </c>
      <c r="BF8" s="27">
        <f>rebio23_80ml!BF9/50</f>
        <v>0</v>
      </c>
      <c r="BG8" s="27">
        <f>rebio23_80ml!BG9/50</f>
        <v>0</v>
      </c>
    </row>
    <row r="9" spans="1:67" ht="12.75" customHeight="1" x14ac:dyDescent="0.25">
      <c r="A9" s="15" t="str">
        <f>rebio23_80ml!A10</f>
        <v>S-B-P07-H2</v>
      </c>
      <c r="B9" s="27">
        <f>rebio23_80ml!B10/50</f>
        <v>0</v>
      </c>
      <c r="C9" s="27">
        <f>rebio23_80ml!C10/50</f>
        <v>0</v>
      </c>
      <c r="D9" s="27">
        <f>rebio23_80ml!D10/50</f>
        <v>0</v>
      </c>
      <c r="E9" s="27">
        <f>rebio23_80ml!E10/50</f>
        <v>0.88</v>
      </c>
      <c r="F9" s="27">
        <f>rebio23_80ml!F10/50</f>
        <v>0</v>
      </c>
      <c r="G9" s="27">
        <f>rebio23_80ml!G10/50</f>
        <v>0</v>
      </c>
      <c r="H9" s="27">
        <f>rebio23_80ml!H10/50</f>
        <v>0</v>
      </c>
      <c r="I9" s="27">
        <f>rebio23_80ml!I10/50</f>
        <v>0</v>
      </c>
      <c r="J9" s="27">
        <f>rebio23_80ml!J10/50</f>
        <v>0</v>
      </c>
      <c r="K9" s="27">
        <f>rebio23_80ml!K10/50</f>
        <v>0</v>
      </c>
      <c r="L9" s="27">
        <f>rebio23_80ml!L10/50</f>
        <v>0</v>
      </c>
      <c r="M9" s="27">
        <f>rebio23_80ml!M10/50</f>
        <v>0</v>
      </c>
      <c r="N9" s="27">
        <f>rebio23_80ml!N10/50</f>
        <v>0</v>
      </c>
      <c r="O9" s="27">
        <f>rebio23_80ml!O10/50</f>
        <v>0</v>
      </c>
      <c r="P9" s="27">
        <f>rebio23_80ml!P10/50</f>
        <v>0</v>
      </c>
      <c r="Q9" s="27">
        <f>rebio23_80ml!Q10/50</f>
        <v>0</v>
      </c>
      <c r="R9" s="27">
        <f>rebio23_80ml!R10/50</f>
        <v>0</v>
      </c>
      <c r="S9" s="27">
        <f>rebio23_80ml!S10/50</f>
        <v>0</v>
      </c>
      <c r="T9" s="27">
        <f>rebio23_80ml!T10/50</f>
        <v>0</v>
      </c>
      <c r="U9" s="27">
        <f>rebio23_80ml!U10/50</f>
        <v>0</v>
      </c>
      <c r="V9" s="27">
        <f>rebio23_80ml!V10/50</f>
        <v>0</v>
      </c>
      <c r="W9" s="27">
        <f>rebio23_80ml!W10/50</f>
        <v>0</v>
      </c>
      <c r="X9" s="27">
        <f>rebio23_80ml!X10/50</f>
        <v>0</v>
      </c>
      <c r="Y9" s="27">
        <f>rebio23_80ml!Y10/50</f>
        <v>0</v>
      </c>
      <c r="Z9" s="27">
        <f>rebio23_80ml!Z10/50</f>
        <v>0</v>
      </c>
      <c r="AA9" s="27">
        <f>rebio23_80ml!AA10/50</f>
        <v>0</v>
      </c>
      <c r="AB9" s="27">
        <f>rebio23_80ml!AB10/50</f>
        <v>0</v>
      </c>
      <c r="AC9" s="27">
        <f>rebio23_80ml!AC10/50</f>
        <v>0</v>
      </c>
      <c r="AD9" s="27">
        <f>rebio23_80ml!AD10/50</f>
        <v>0</v>
      </c>
      <c r="AE9" s="27">
        <f>rebio23_80ml!AE10/50</f>
        <v>0</v>
      </c>
      <c r="AF9" s="27">
        <f>rebio23_80ml!AF10/50</f>
        <v>0</v>
      </c>
      <c r="AG9" s="27">
        <f>rebio23_80ml!AG10/50</f>
        <v>0</v>
      </c>
      <c r="AH9" s="27">
        <f>rebio23_80ml!AH10/50</f>
        <v>0</v>
      </c>
      <c r="AI9" s="27">
        <f>rebio23_80ml!AI10/50</f>
        <v>0</v>
      </c>
      <c r="AJ9" s="27">
        <f>rebio23_80ml!AJ10/50</f>
        <v>0</v>
      </c>
      <c r="AK9" s="27">
        <f>rebio23_80ml!AK10/50</f>
        <v>0</v>
      </c>
      <c r="AL9" s="27">
        <f>rebio23_80ml!AL10/50</f>
        <v>0</v>
      </c>
      <c r="AM9" s="27">
        <f>rebio23_80ml!AM10/50</f>
        <v>0</v>
      </c>
      <c r="AN9" s="27">
        <f>rebio23_80ml!AN10/50</f>
        <v>0</v>
      </c>
      <c r="AO9" s="27">
        <f>rebio23_80ml!AO10/50</f>
        <v>0</v>
      </c>
      <c r="AP9" s="27">
        <f>rebio23_80ml!AP10/50</f>
        <v>0</v>
      </c>
      <c r="AQ9" s="27">
        <f>rebio23_80ml!AQ10/50</f>
        <v>0</v>
      </c>
      <c r="AR9" s="27">
        <f>rebio23_80ml!AR10/50</f>
        <v>0</v>
      </c>
      <c r="AS9" s="27">
        <f>rebio23_80ml!AS10/50</f>
        <v>0</v>
      </c>
      <c r="AT9" s="27">
        <f>rebio23_80ml!AT10/50</f>
        <v>0</v>
      </c>
      <c r="AU9" s="27">
        <f>rebio23_80ml!AU10/50</f>
        <v>0</v>
      </c>
      <c r="AV9" s="27">
        <f>rebio23_80ml!AV10/50</f>
        <v>0.04</v>
      </c>
      <c r="AW9" s="27">
        <f>rebio23_80ml!AW10/50</f>
        <v>0</v>
      </c>
      <c r="AX9" s="27">
        <f>rebio23_80ml!AX10/50</f>
        <v>0.02</v>
      </c>
      <c r="AY9" s="27">
        <f>rebio23_80ml!AY10/50</f>
        <v>0</v>
      </c>
      <c r="AZ9" s="27">
        <f>rebio23_80ml!AZ10/50</f>
        <v>0.02</v>
      </c>
      <c r="BA9" s="27">
        <f>rebio23_80ml!BA10/50</f>
        <v>0</v>
      </c>
      <c r="BB9" s="27">
        <f>rebio23_80ml!BB10/50</f>
        <v>0</v>
      </c>
      <c r="BC9" s="27">
        <f>rebio23_80ml!BC10/50</f>
        <v>0</v>
      </c>
      <c r="BD9" s="27">
        <f>rebio23_80ml!BD10/50</f>
        <v>0</v>
      </c>
      <c r="BE9" s="27">
        <f>rebio23_80ml!BE10/50</f>
        <v>0</v>
      </c>
      <c r="BF9" s="27">
        <f>rebio23_80ml!BF10/50</f>
        <v>0</v>
      </c>
      <c r="BG9" s="27">
        <f>rebio23_80ml!BG10/50</f>
        <v>0</v>
      </c>
    </row>
    <row r="10" spans="1:67" ht="12.75" customHeight="1" x14ac:dyDescent="0.25">
      <c r="A10" s="15" t="str">
        <f>rebio23_80ml!A11</f>
        <v>S-B-P07-H3</v>
      </c>
      <c r="B10" s="27">
        <f>rebio23_80ml!B11/50</f>
        <v>0</v>
      </c>
      <c r="C10" s="27">
        <f>rebio23_80ml!C11/50</f>
        <v>0</v>
      </c>
      <c r="D10" s="27">
        <f>rebio23_80ml!D11/50</f>
        <v>0</v>
      </c>
      <c r="E10" s="27">
        <f>rebio23_80ml!E11/50</f>
        <v>0.86</v>
      </c>
      <c r="F10" s="27">
        <f>rebio23_80ml!F11/50</f>
        <v>0</v>
      </c>
      <c r="G10" s="27">
        <f>rebio23_80ml!G11/50</f>
        <v>0</v>
      </c>
      <c r="H10" s="27">
        <f>rebio23_80ml!H11/50</f>
        <v>0</v>
      </c>
      <c r="I10" s="27">
        <f>rebio23_80ml!I11/50</f>
        <v>0</v>
      </c>
      <c r="J10" s="27">
        <f>rebio23_80ml!J11/50</f>
        <v>0</v>
      </c>
      <c r="K10" s="27">
        <f>rebio23_80ml!K11/50</f>
        <v>0</v>
      </c>
      <c r="L10" s="27">
        <f>rebio23_80ml!L11/50</f>
        <v>0</v>
      </c>
      <c r="M10" s="27">
        <f>rebio23_80ml!M11/50</f>
        <v>0</v>
      </c>
      <c r="N10" s="27">
        <f>rebio23_80ml!N11/50</f>
        <v>0</v>
      </c>
      <c r="O10" s="27">
        <f>rebio23_80ml!O11/50</f>
        <v>0</v>
      </c>
      <c r="P10" s="27">
        <f>rebio23_80ml!P11/50</f>
        <v>0</v>
      </c>
      <c r="Q10" s="27">
        <f>rebio23_80ml!Q11/50</f>
        <v>0</v>
      </c>
      <c r="R10" s="27">
        <f>rebio23_80ml!R11/50</f>
        <v>0</v>
      </c>
      <c r="S10" s="27">
        <f>rebio23_80ml!S11/50</f>
        <v>0.02</v>
      </c>
      <c r="T10" s="27">
        <f>rebio23_80ml!T11/50</f>
        <v>0</v>
      </c>
      <c r="U10" s="27">
        <f>rebio23_80ml!U11/50</f>
        <v>0</v>
      </c>
      <c r="V10" s="27">
        <f>rebio23_80ml!V11/50</f>
        <v>0</v>
      </c>
      <c r="W10" s="27">
        <f>rebio23_80ml!W11/50</f>
        <v>0</v>
      </c>
      <c r="X10" s="27">
        <f>rebio23_80ml!X11/50</f>
        <v>0</v>
      </c>
      <c r="Y10" s="27">
        <f>rebio23_80ml!Y11/50</f>
        <v>0</v>
      </c>
      <c r="Z10" s="27">
        <f>rebio23_80ml!Z11/50</f>
        <v>0</v>
      </c>
      <c r="AA10" s="27">
        <f>rebio23_80ml!AA11/50</f>
        <v>0</v>
      </c>
      <c r="AB10" s="27">
        <f>rebio23_80ml!AB11/50</f>
        <v>0</v>
      </c>
      <c r="AC10" s="27">
        <f>rebio23_80ml!AC11/50</f>
        <v>0</v>
      </c>
      <c r="AD10" s="27">
        <f>rebio23_80ml!AD11/50</f>
        <v>0</v>
      </c>
      <c r="AE10" s="27">
        <f>rebio23_80ml!AE11/50</f>
        <v>0</v>
      </c>
      <c r="AF10" s="27">
        <f>rebio23_80ml!AF11/50</f>
        <v>0.02</v>
      </c>
      <c r="AG10" s="27">
        <f>rebio23_80ml!AG11/50</f>
        <v>0</v>
      </c>
      <c r="AH10" s="27">
        <f>rebio23_80ml!AH11/50</f>
        <v>0</v>
      </c>
      <c r="AI10" s="27">
        <f>rebio23_80ml!AI11/50</f>
        <v>0</v>
      </c>
      <c r="AJ10" s="27">
        <f>rebio23_80ml!AJ11/50</f>
        <v>0</v>
      </c>
      <c r="AK10" s="27">
        <f>rebio23_80ml!AK11/50</f>
        <v>0</v>
      </c>
      <c r="AL10" s="27">
        <f>rebio23_80ml!AL11/50</f>
        <v>0</v>
      </c>
      <c r="AM10" s="27">
        <f>rebio23_80ml!AM11/50</f>
        <v>0</v>
      </c>
      <c r="AN10" s="27">
        <f>rebio23_80ml!AN11/50</f>
        <v>0</v>
      </c>
      <c r="AO10" s="27">
        <f>rebio23_80ml!AO11/50</f>
        <v>0</v>
      </c>
      <c r="AP10" s="27">
        <f>rebio23_80ml!AP11/50</f>
        <v>0</v>
      </c>
      <c r="AQ10" s="27">
        <f>rebio23_80ml!AQ11/50</f>
        <v>0</v>
      </c>
      <c r="AR10" s="27">
        <f>rebio23_80ml!AR11/50</f>
        <v>0</v>
      </c>
      <c r="AS10" s="27">
        <f>rebio23_80ml!AS11/50</f>
        <v>0</v>
      </c>
      <c r="AT10" s="27">
        <f>rebio23_80ml!AT11/50</f>
        <v>0</v>
      </c>
      <c r="AU10" s="27">
        <f>rebio23_80ml!AU11/50</f>
        <v>0</v>
      </c>
      <c r="AV10" s="27">
        <f>rebio23_80ml!AV11/50</f>
        <v>0.08</v>
      </c>
      <c r="AW10" s="27">
        <f>rebio23_80ml!AW11/50</f>
        <v>0</v>
      </c>
      <c r="AX10" s="27">
        <f>rebio23_80ml!AX11/50</f>
        <v>0</v>
      </c>
      <c r="AY10" s="27">
        <f>rebio23_80ml!AY11/50</f>
        <v>0</v>
      </c>
      <c r="AZ10" s="27">
        <f>rebio23_80ml!AZ11/50</f>
        <v>0.02</v>
      </c>
      <c r="BA10" s="27">
        <f>rebio23_80ml!BA11/50</f>
        <v>0</v>
      </c>
      <c r="BB10" s="27">
        <f>rebio23_80ml!BB11/50</f>
        <v>0</v>
      </c>
      <c r="BC10" s="27">
        <f>rebio23_80ml!BC11/50</f>
        <v>0</v>
      </c>
      <c r="BD10" s="27">
        <f>rebio23_80ml!BD11/50</f>
        <v>0</v>
      </c>
      <c r="BE10" s="27">
        <f>rebio23_80ml!BE11/50</f>
        <v>0</v>
      </c>
      <c r="BF10" s="27">
        <f>rebio23_80ml!BF11/50</f>
        <v>0</v>
      </c>
      <c r="BG10" s="27">
        <f>rebio23_80ml!BG11/50</f>
        <v>0</v>
      </c>
    </row>
    <row r="11" spans="1:67" ht="12.75" customHeight="1" x14ac:dyDescent="0.25">
      <c r="A11" s="15" t="str">
        <f>rebio23_80ml!A12</f>
        <v>S-B-P08-H1</v>
      </c>
      <c r="B11" s="27">
        <f>rebio23_80ml!B12/50</f>
        <v>0.02</v>
      </c>
      <c r="C11" s="27">
        <f>rebio23_80ml!C12/50</f>
        <v>0</v>
      </c>
      <c r="D11" s="27">
        <f>rebio23_80ml!D12/50</f>
        <v>0</v>
      </c>
      <c r="E11" s="27">
        <f>rebio23_80ml!E12/50</f>
        <v>1.38</v>
      </c>
      <c r="F11" s="27">
        <f>rebio23_80ml!F12/50</f>
        <v>0</v>
      </c>
      <c r="G11" s="27">
        <f>rebio23_80ml!G12/50</f>
        <v>0</v>
      </c>
      <c r="H11" s="27">
        <f>rebio23_80ml!H12/50</f>
        <v>0.02</v>
      </c>
      <c r="I11" s="27">
        <f>rebio23_80ml!I12/50</f>
        <v>1.52</v>
      </c>
      <c r="J11" s="27">
        <f>rebio23_80ml!J12/50</f>
        <v>0</v>
      </c>
      <c r="K11" s="27">
        <f>rebio23_80ml!K12/50</f>
        <v>0</v>
      </c>
      <c r="L11" s="27">
        <f>rebio23_80ml!L12/50</f>
        <v>0</v>
      </c>
      <c r="M11" s="27">
        <f>rebio23_80ml!M12/50</f>
        <v>0</v>
      </c>
      <c r="N11" s="27">
        <f>rebio23_80ml!N12/50</f>
        <v>0</v>
      </c>
      <c r="O11" s="27">
        <f>rebio23_80ml!O12/50</f>
        <v>0</v>
      </c>
      <c r="P11" s="27">
        <f>rebio23_80ml!P12/50</f>
        <v>0.02</v>
      </c>
      <c r="Q11" s="27">
        <f>rebio23_80ml!Q12/50</f>
        <v>0.02</v>
      </c>
      <c r="R11" s="27">
        <f>rebio23_80ml!R12/50</f>
        <v>0</v>
      </c>
      <c r="S11" s="27">
        <f>rebio23_80ml!S12/50</f>
        <v>0</v>
      </c>
      <c r="T11" s="27">
        <f>rebio23_80ml!T12/50</f>
        <v>0</v>
      </c>
      <c r="U11" s="27">
        <f>rebio23_80ml!U12/50</f>
        <v>0</v>
      </c>
      <c r="V11" s="27">
        <f>rebio23_80ml!V12/50</f>
        <v>0</v>
      </c>
      <c r="W11" s="27">
        <f>rebio23_80ml!W12/50</f>
        <v>0</v>
      </c>
      <c r="X11" s="27">
        <f>rebio23_80ml!X12/50</f>
        <v>0.02</v>
      </c>
      <c r="Y11" s="27">
        <f>rebio23_80ml!Y12/50</f>
        <v>0.02</v>
      </c>
      <c r="Z11" s="27">
        <f>rebio23_80ml!Z12/50</f>
        <v>0</v>
      </c>
      <c r="AA11" s="27">
        <f>rebio23_80ml!AA12/50</f>
        <v>0.08</v>
      </c>
      <c r="AB11" s="27">
        <f>rebio23_80ml!AB12/50</f>
        <v>0</v>
      </c>
      <c r="AC11" s="27">
        <f>rebio23_80ml!AC12/50</f>
        <v>0</v>
      </c>
      <c r="AD11" s="27">
        <f>rebio23_80ml!AD12/50</f>
        <v>0</v>
      </c>
      <c r="AE11" s="27">
        <f>rebio23_80ml!AE12/50</f>
        <v>0</v>
      </c>
      <c r="AF11" s="27">
        <f>rebio23_80ml!AF12/50</f>
        <v>0</v>
      </c>
      <c r="AG11" s="27">
        <f>rebio23_80ml!AG12/50</f>
        <v>0</v>
      </c>
      <c r="AH11" s="27">
        <f>rebio23_80ml!AH12/50</f>
        <v>0</v>
      </c>
      <c r="AI11" s="27">
        <f>rebio23_80ml!AI12/50</f>
        <v>0</v>
      </c>
      <c r="AJ11" s="27">
        <f>rebio23_80ml!AJ12/50</f>
        <v>0</v>
      </c>
      <c r="AK11" s="27">
        <f>rebio23_80ml!AK12/50</f>
        <v>0</v>
      </c>
      <c r="AL11" s="27">
        <f>rebio23_80ml!AL12/50</f>
        <v>0.06</v>
      </c>
      <c r="AM11" s="27">
        <f>rebio23_80ml!AM12/50</f>
        <v>0.04</v>
      </c>
      <c r="AN11" s="27">
        <f>rebio23_80ml!AN12/50</f>
        <v>0</v>
      </c>
      <c r="AO11" s="27">
        <f>rebio23_80ml!AO12/50</f>
        <v>0</v>
      </c>
      <c r="AP11" s="27">
        <f>rebio23_80ml!AP12/50</f>
        <v>0</v>
      </c>
      <c r="AQ11" s="27">
        <f>rebio23_80ml!AQ12/50</f>
        <v>0</v>
      </c>
      <c r="AR11" s="27">
        <f>rebio23_80ml!AR12/50</f>
        <v>0</v>
      </c>
      <c r="AS11" s="27">
        <f>rebio23_80ml!AS12/50</f>
        <v>0</v>
      </c>
      <c r="AT11" s="27">
        <f>rebio23_80ml!AT12/50</f>
        <v>0</v>
      </c>
      <c r="AU11" s="27">
        <f>rebio23_80ml!AU12/50</f>
        <v>0.02</v>
      </c>
      <c r="AV11" s="27">
        <f>rebio23_80ml!AV12/50</f>
        <v>0.3</v>
      </c>
      <c r="AW11" s="27">
        <f>rebio23_80ml!AW12/50</f>
        <v>0</v>
      </c>
      <c r="AX11" s="27">
        <f>rebio23_80ml!AX12/50</f>
        <v>0.18</v>
      </c>
      <c r="AY11" s="27">
        <f>rebio23_80ml!AY12/50</f>
        <v>0</v>
      </c>
      <c r="AZ11" s="27">
        <f>rebio23_80ml!AZ12/50</f>
        <v>0</v>
      </c>
      <c r="BA11" s="27">
        <f>rebio23_80ml!BA12/50</f>
        <v>0</v>
      </c>
      <c r="BB11" s="27">
        <f>rebio23_80ml!BB12/50</f>
        <v>0.02</v>
      </c>
      <c r="BC11" s="27">
        <f>rebio23_80ml!BC12/50</f>
        <v>0</v>
      </c>
      <c r="BD11" s="27">
        <f>rebio23_80ml!BD12/50</f>
        <v>0</v>
      </c>
      <c r="BE11" s="27">
        <f>rebio23_80ml!BE12/50</f>
        <v>0</v>
      </c>
      <c r="BF11" s="27">
        <f>rebio23_80ml!BF12/50</f>
        <v>0</v>
      </c>
      <c r="BG11" s="27">
        <f>rebio23_80ml!BG12/50</f>
        <v>0</v>
      </c>
    </row>
    <row r="12" spans="1:67" ht="12.75" customHeight="1" x14ac:dyDescent="0.25">
      <c r="A12" s="15" t="str">
        <f>rebio23_80ml!A13</f>
        <v>S-B-P08-H2</v>
      </c>
      <c r="B12" s="27">
        <f>rebio23_80ml!B13/50</f>
        <v>0.12</v>
      </c>
      <c r="C12" s="27">
        <f>rebio23_80ml!C13/50</f>
        <v>0</v>
      </c>
      <c r="D12" s="27">
        <f>rebio23_80ml!D13/50</f>
        <v>0</v>
      </c>
      <c r="E12" s="27">
        <f>rebio23_80ml!E13/50</f>
        <v>1</v>
      </c>
      <c r="F12" s="27">
        <f>rebio23_80ml!F13/50</f>
        <v>0</v>
      </c>
      <c r="G12" s="27">
        <f>rebio23_80ml!G13/50</f>
        <v>0</v>
      </c>
      <c r="H12" s="27">
        <f>rebio23_80ml!H13/50</f>
        <v>0</v>
      </c>
      <c r="I12" s="27">
        <f>rebio23_80ml!I13/50</f>
        <v>1.54</v>
      </c>
      <c r="J12" s="27">
        <f>rebio23_80ml!J13/50</f>
        <v>0</v>
      </c>
      <c r="K12" s="27">
        <f>rebio23_80ml!K13/50</f>
        <v>0</v>
      </c>
      <c r="L12" s="27">
        <f>rebio23_80ml!L13/50</f>
        <v>0</v>
      </c>
      <c r="M12" s="27">
        <f>rebio23_80ml!M13/50</f>
        <v>0</v>
      </c>
      <c r="N12" s="27">
        <f>rebio23_80ml!N13/50</f>
        <v>0</v>
      </c>
      <c r="O12" s="27">
        <f>rebio23_80ml!O13/50</f>
        <v>0</v>
      </c>
      <c r="P12" s="27">
        <f>rebio23_80ml!P13/50</f>
        <v>0</v>
      </c>
      <c r="Q12" s="27">
        <f>rebio23_80ml!Q13/50</f>
        <v>0</v>
      </c>
      <c r="R12" s="27">
        <f>rebio23_80ml!R13/50</f>
        <v>0</v>
      </c>
      <c r="S12" s="27">
        <f>rebio23_80ml!S13/50</f>
        <v>0.16</v>
      </c>
      <c r="T12" s="27">
        <f>rebio23_80ml!T13/50</f>
        <v>0</v>
      </c>
      <c r="U12" s="27">
        <f>rebio23_80ml!U13/50</f>
        <v>0.08</v>
      </c>
      <c r="V12" s="27">
        <f>rebio23_80ml!V13/50</f>
        <v>0</v>
      </c>
      <c r="W12" s="27">
        <f>rebio23_80ml!W13/50</f>
        <v>0</v>
      </c>
      <c r="X12" s="27">
        <f>rebio23_80ml!X13/50</f>
        <v>0</v>
      </c>
      <c r="Y12" s="27">
        <f>rebio23_80ml!Y13/50</f>
        <v>0</v>
      </c>
      <c r="Z12" s="27">
        <f>rebio23_80ml!Z13/50</f>
        <v>0.04</v>
      </c>
      <c r="AA12" s="27">
        <f>rebio23_80ml!AA13/50</f>
        <v>0.04</v>
      </c>
      <c r="AB12" s="27">
        <f>rebio23_80ml!AB13/50</f>
        <v>0</v>
      </c>
      <c r="AC12" s="27">
        <f>rebio23_80ml!AC13/50</f>
        <v>0</v>
      </c>
      <c r="AD12" s="27">
        <f>rebio23_80ml!AD13/50</f>
        <v>0</v>
      </c>
      <c r="AE12" s="27">
        <f>rebio23_80ml!AE13/50</f>
        <v>0.02</v>
      </c>
      <c r="AF12" s="27">
        <f>rebio23_80ml!AF13/50</f>
        <v>0</v>
      </c>
      <c r="AG12" s="27">
        <f>rebio23_80ml!AG13/50</f>
        <v>0</v>
      </c>
      <c r="AH12" s="27">
        <f>rebio23_80ml!AH13/50</f>
        <v>0</v>
      </c>
      <c r="AI12" s="27">
        <f>rebio23_80ml!AI13/50</f>
        <v>0</v>
      </c>
      <c r="AJ12" s="27">
        <f>rebio23_80ml!AJ13/50</f>
        <v>0.04</v>
      </c>
      <c r="AK12" s="27">
        <f>rebio23_80ml!AK13/50</f>
        <v>0</v>
      </c>
      <c r="AL12" s="27">
        <f>rebio23_80ml!AL13/50</f>
        <v>0.02</v>
      </c>
      <c r="AM12" s="27">
        <f>rebio23_80ml!AM13/50</f>
        <v>0</v>
      </c>
      <c r="AN12" s="27">
        <f>rebio23_80ml!AN13/50</f>
        <v>0</v>
      </c>
      <c r="AO12" s="27">
        <f>rebio23_80ml!AO13/50</f>
        <v>0</v>
      </c>
      <c r="AP12" s="27">
        <f>rebio23_80ml!AP13/50</f>
        <v>0</v>
      </c>
      <c r="AQ12" s="27">
        <f>rebio23_80ml!AQ13/50</f>
        <v>0</v>
      </c>
      <c r="AR12" s="27">
        <f>rebio23_80ml!AR13/50</f>
        <v>0</v>
      </c>
      <c r="AS12" s="27">
        <f>rebio23_80ml!AS13/50</f>
        <v>0</v>
      </c>
      <c r="AT12" s="27">
        <f>rebio23_80ml!AT13/50</f>
        <v>0</v>
      </c>
      <c r="AU12" s="27">
        <f>rebio23_80ml!AU13/50</f>
        <v>0</v>
      </c>
      <c r="AV12" s="27">
        <f>rebio23_80ml!AV13/50</f>
        <v>1.2</v>
      </c>
      <c r="AW12" s="27">
        <f>rebio23_80ml!AW13/50</f>
        <v>0</v>
      </c>
      <c r="AX12" s="27">
        <f>rebio23_80ml!AX13/50</f>
        <v>0.08</v>
      </c>
      <c r="AY12" s="27">
        <f>rebio23_80ml!AY13/50</f>
        <v>0</v>
      </c>
      <c r="AZ12" s="27">
        <f>rebio23_80ml!AZ13/50</f>
        <v>0</v>
      </c>
      <c r="BA12" s="27">
        <f>rebio23_80ml!BA13/50</f>
        <v>0</v>
      </c>
      <c r="BB12" s="27">
        <f>rebio23_80ml!BB13/50</f>
        <v>0</v>
      </c>
      <c r="BC12" s="27">
        <f>rebio23_80ml!BC13/50</f>
        <v>0</v>
      </c>
      <c r="BD12" s="27">
        <f>rebio23_80ml!BD13/50</f>
        <v>0</v>
      </c>
      <c r="BE12" s="27">
        <f>rebio23_80ml!BE13/50</f>
        <v>0</v>
      </c>
      <c r="BF12" s="27">
        <f>rebio23_80ml!BF13/50</f>
        <v>0</v>
      </c>
      <c r="BG12" s="27">
        <f>rebio23_80ml!BG13/50</f>
        <v>0</v>
      </c>
    </row>
    <row r="13" spans="1:67" ht="12.75" customHeight="1" x14ac:dyDescent="0.25">
      <c r="A13" s="15" t="str">
        <f>rebio23_80ml!A14</f>
        <v>S-B-P08-H3</v>
      </c>
      <c r="B13" s="27">
        <f>rebio23_80ml!B14/50</f>
        <v>0.02</v>
      </c>
      <c r="C13" s="27">
        <f>rebio23_80ml!C14/50</f>
        <v>0</v>
      </c>
      <c r="D13" s="27">
        <f>rebio23_80ml!D14/50</f>
        <v>0</v>
      </c>
      <c r="E13" s="27">
        <f>rebio23_80ml!E14/50</f>
        <v>1.02</v>
      </c>
      <c r="F13" s="27">
        <f>rebio23_80ml!F14/50</f>
        <v>0</v>
      </c>
      <c r="G13" s="27">
        <f>rebio23_80ml!G14/50</f>
        <v>0</v>
      </c>
      <c r="H13" s="27">
        <f>rebio23_80ml!H14/50</f>
        <v>0</v>
      </c>
      <c r="I13" s="27">
        <f>rebio23_80ml!I14/50</f>
        <v>0.06</v>
      </c>
      <c r="J13" s="27">
        <f>rebio23_80ml!J14/50</f>
        <v>0</v>
      </c>
      <c r="K13" s="27">
        <f>rebio23_80ml!K14/50</f>
        <v>0</v>
      </c>
      <c r="L13" s="27">
        <f>rebio23_80ml!L14/50</f>
        <v>0</v>
      </c>
      <c r="M13" s="27">
        <f>rebio23_80ml!M14/50</f>
        <v>0</v>
      </c>
      <c r="N13" s="27">
        <f>rebio23_80ml!N14/50</f>
        <v>0</v>
      </c>
      <c r="O13" s="27">
        <f>rebio23_80ml!O14/50</f>
        <v>0</v>
      </c>
      <c r="P13" s="27">
        <f>rebio23_80ml!P14/50</f>
        <v>0</v>
      </c>
      <c r="Q13" s="27">
        <f>rebio23_80ml!Q14/50</f>
        <v>0</v>
      </c>
      <c r="R13" s="27">
        <f>rebio23_80ml!R14/50</f>
        <v>0</v>
      </c>
      <c r="S13" s="27">
        <f>rebio23_80ml!S14/50</f>
        <v>0.04</v>
      </c>
      <c r="T13" s="27">
        <f>rebio23_80ml!T14/50</f>
        <v>0</v>
      </c>
      <c r="U13" s="27">
        <f>rebio23_80ml!U14/50</f>
        <v>0.02</v>
      </c>
      <c r="V13" s="27">
        <f>rebio23_80ml!V14/50</f>
        <v>0.02</v>
      </c>
      <c r="W13" s="27">
        <f>rebio23_80ml!W14/50</f>
        <v>0</v>
      </c>
      <c r="X13" s="27">
        <f>rebio23_80ml!X14/50</f>
        <v>0</v>
      </c>
      <c r="Y13" s="27">
        <f>rebio23_80ml!Y14/50</f>
        <v>0</v>
      </c>
      <c r="Z13" s="27">
        <f>rebio23_80ml!Z14/50</f>
        <v>0</v>
      </c>
      <c r="AA13" s="27">
        <f>rebio23_80ml!AA14/50</f>
        <v>0.08</v>
      </c>
      <c r="AB13" s="27">
        <f>rebio23_80ml!AB14/50</f>
        <v>0.02</v>
      </c>
      <c r="AC13" s="27">
        <f>rebio23_80ml!AC14/50</f>
        <v>0</v>
      </c>
      <c r="AD13" s="27">
        <f>rebio23_80ml!AD14/50</f>
        <v>0.04</v>
      </c>
      <c r="AE13" s="27">
        <f>rebio23_80ml!AE14/50</f>
        <v>0.02</v>
      </c>
      <c r="AF13" s="27">
        <f>rebio23_80ml!AF14/50</f>
        <v>0</v>
      </c>
      <c r="AG13" s="27">
        <f>rebio23_80ml!AG14/50</f>
        <v>0</v>
      </c>
      <c r="AH13" s="27">
        <f>rebio23_80ml!AH14/50</f>
        <v>0</v>
      </c>
      <c r="AI13" s="27">
        <f>rebio23_80ml!AI14/50</f>
        <v>0</v>
      </c>
      <c r="AJ13" s="27">
        <f>rebio23_80ml!AJ14/50</f>
        <v>0</v>
      </c>
      <c r="AK13" s="27">
        <f>rebio23_80ml!AK14/50</f>
        <v>0</v>
      </c>
      <c r="AL13" s="27">
        <f>rebio23_80ml!AL14/50</f>
        <v>0</v>
      </c>
      <c r="AM13" s="27">
        <f>rebio23_80ml!AM14/50</f>
        <v>0</v>
      </c>
      <c r="AN13" s="27">
        <f>rebio23_80ml!AN14/50</f>
        <v>0</v>
      </c>
      <c r="AO13" s="27">
        <f>rebio23_80ml!AO14/50</f>
        <v>0</v>
      </c>
      <c r="AP13" s="27">
        <f>rebio23_80ml!AP14/50</f>
        <v>0.02</v>
      </c>
      <c r="AQ13" s="27">
        <f>rebio23_80ml!AQ14/50</f>
        <v>0</v>
      </c>
      <c r="AR13" s="27">
        <f>rebio23_80ml!AR14/50</f>
        <v>0</v>
      </c>
      <c r="AS13" s="27">
        <f>rebio23_80ml!AS14/50</f>
        <v>0</v>
      </c>
      <c r="AT13" s="27">
        <f>rebio23_80ml!AT14/50</f>
        <v>0</v>
      </c>
      <c r="AU13" s="27">
        <f>rebio23_80ml!AU14/50</f>
        <v>0</v>
      </c>
      <c r="AV13" s="27">
        <f>rebio23_80ml!AV14/50</f>
        <v>0.3</v>
      </c>
      <c r="AW13" s="27">
        <f>rebio23_80ml!AW14/50</f>
        <v>0</v>
      </c>
      <c r="AX13" s="27">
        <f>rebio23_80ml!AX14/50</f>
        <v>0.02</v>
      </c>
      <c r="AY13" s="27">
        <f>rebio23_80ml!AY14/50</f>
        <v>0</v>
      </c>
      <c r="AZ13" s="27">
        <f>rebio23_80ml!AZ14/50</f>
        <v>0</v>
      </c>
      <c r="BA13" s="27">
        <f>rebio23_80ml!BA14/50</f>
        <v>0</v>
      </c>
      <c r="BB13" s="27">
        <f>rebio23_80ml!BB14/50</f>
        <v>0</v>
      </c>
      <c r="BC13" s="27">
        <f>rebio23_80ml!BC14/50</f>
        <v>0</v>
      </c>
      <c r="BD13" s="27">
        <f>rebio23_80ml!BD14/50</f>
        <v>0</v>
      </c>
      <c r="BE13" s="27">
        <f>rebio23_80ml!BE14/50</f>
        <v>0</v>
      </c>
      <c r="BF13" s="27">
        <f>rebio23_80ml!BF14/50</f>
        <v>0</v>
      </c>
      <c r="BG13" s="27">
        <f>rebio23_80ml!BG14/50</f>
        <v>0</v>
      </c>
    </row>
    <row r="14" spans="1:67" ht="12.75" customHeight="1" x14ac:dyDescent="0.25">
      <c r="A14" s="15" t="str">
        <f>rebio23_80ml!A15</f>
        <v>S-B-P09-H1</v>
      </c>
      <c r="B14" s="27">
        <f>rebio23_80ml!B15/50</f>
        <v>0</v>
      </c>
      <c r="C14" s="27">
        <f>rebio23_80ml!C15/50</f>
        <v>0</v>
      </c>
      <c r="D14" s="27">
        <f>rebio23_80ml!D15/50</f>
        <v>0</v>
      </c>
      <c r="E14" s="27">
        <f>rebio23_80ml!E15/50</f>
        <v>0.7</v>
      </c>
      <c r="F14" s="27">
        <f>rebio23_80ml!F15/50</f>
        <v>0</v>
      </c>
      <c r="G14" s="27">
        <f>rebio23_80ml!G15/50</f>
        <v>0</v>
      </c>
      <c r="H14" s="27">
        <f>rebio23_80ml!H15/50</f>
        <v>0</v>
      </c>
      <c r="I14" s="27">
        <f>rebio23_80ml!I15/50</f>
        <v>0.02</v>
      </c>
      <c r="J14" s="27">
        <f>rebio23_80ml!J15/50</f>
        <v>0</v>
      </c>
      <c r="K14" s="27">
        <f>rebio23_80ml!K15/50</f>
        <v>0</v>
      </c>
      <c r="L14" s="27">
        <f>rebio23_80ml!L15/50</f>
        <v>0</v>
      </c>
      <c r="M14" s="27">
        <f>rebio23_80ml!M15/50</f>
        <v>0</v>
      </c>
      <c r="N14" s="27">
        <f>rebio23_80ml!N15/50</f>
        <v>0</v>
      </c>
      <c r="O14" s="27">
        <f>rebio23_80ml!O15/50</f>
        <v>0</v>
      </c>
      <c r="P14" s="27">
        <f>rebio23_80ml!P15/50</f>
        <v>0</v>
      </c>
      <c r="Q14" s="27">
        <f>rebio23_80ml!Q15/50</f>
        <v>0</v>
      </c>
      <c r="R14" s="27">
        <f>rebio23_80ml!R15/50</f>
        <v>0</v>
      </c>
      <c r="S14" s="27">
        <f>rebio23_80ml!S15/50</f>
        <v>0</v>
      </c>
      <c r="T14" s="27">
        <f>rebio23_80ml!T15/50</f>
        <v>0</v>
      </c>
      <c r="U14" s="27">
        <f>rebio23_80ml!U15/50</f>
        <v>0.02</v>
      </c>
      <c r="V14" s="27">
        <f>rebio23_80ml!V15/50</f>
        <v>0</v>
      </c>
      <c r="W14" s="27">
        <f>rebio23_80ml!W15/50</f>
        <v>0</v>
      </c>
      <c r="X14" s="27">
        <f>rebio23_80ml!X15/50</f>
        <v>0</v>
      </c>
      <c r="Y14" s="27">
        <f>rebio23_80ml!Y15/50</f>
        <v>0</v>
      </c>
      <c r="Z14" s="27">
        <f>rebio23_80ml!Z15/50</f>
        <v>0.02</v>
      </c>
      <c r="AA14" s="27">
        <f>rebio23_80ml!AA15/50</f>
        <v>0</v>
      </c>
      <c r="AB14" s="27">
        <f>rebio23_80ml!AB15/50</f>
        <v>0</v>
      </c>
      <c r="AC14" s="27">
        <f>rebio23_80ml!AC15/50</f>
        <v>0</v>
      </c>
      <c r="AD14" s="27">
        <f>rebio23_80ml!AD15/50</f>
        <v>0</v>
      </c>
      <c r="AE14" s="27">
        <f>rebio23_80ml!AE15/50</f>
        <v>0</v>
      </c>
      <c r="AF14" s="27">
        <f>rebio23_80ml!AF15/50</f>
        <v>0</v>
      </c>
      <c r="AG14" s="27">
        <f>rebio23_80ml!AG15/50</f>
        <v>0</v>
      </c>
      <c r="AH14" s="27">
        <f>rebio23_80ml!AH15/50</f>
        <v>0</v>
      </c>
      <c r="AI14" s="27">
        <f>rebio23_80ml!AI15/50</f>
        <v>0</v>
      </c>
      <c r="AJ14" s="27">
        <f>rebio23_80ml!AJ15/50</f>
        <v>0.02</v>
      </c>
      <c r="AK14" s="27">
        <f>rebio23_80ml!AK15/50</f>
        <v>0</v>
      </c>
      <c r="AL14" s="27">
        <f>rebio23_80ml!AL15/50</f>
        <v>0</v>
      </c>
      <c r="AM14" s="27">
        <f>rebio23_80ml!AM15/50</f>
        <v>0</v>
      </c>
      <c r="AN14" s="27">
        <f>rebio23_80ml!AN15/50</f>
        <v>0</v>
      </c>
      <c r="AO14" s="27">
        <f>rebio23_80ml!AO15/50</f>
        <v>0</v>
      </c>
      <c r="AP14" s="27">
        <f>rebio23_80ml!AP15/50</f>
        <v>0</v>
      </c>
      <c r="AQ14" s="27">
        <f>rebio23_80ml!AQ15/50</f>
        <v>0</v>
      </c>
      <c r="AR14" s="27">
        <f>rebio23_80ml!AR15/50</f>
        <v>0</v>
      </c>
      <c r="AS14" s="27">
        <f>rebio23_80ml!AS15/50</f>
        <v>0</v>
      </c>
      <c r="AT14" s="27">
        <f>rebio23_80ml!AT15/50</f>
        <v>0</v>
      </c>
      <c r="AU14" s="27">
        <f>rebio23_80ml!AU15/50</f>
        <v>0</v>
      </c>
      <c r="AV14" s="27">
        <f>rebio23_80ml!AV15/50</f>
        <v>0.06</v>
      </c>
      <c r="AW14" s="27">
        <f>rebio23_80ml!AW15/50</f>
        <v>0</v>
      </c>
      <c r="AX14" s="27">
        <f>rebio23_80ml!AX15/50</f>
        <v>0</v>
      </c>
      <c r="AY14" s="27">
        <f>rebio23_80ml!AY15/50</f>
        <v>0.02</v>
      </c>
      <c r="AZ14" s="27">
        <f>rebio23_80ml!AZ15/50</f>
        <v>0</v>
      </c>
      <c r="BA14" s="27">
        <f>rebio23_80ml!BA15/50</f>
        <v>0</v>
      </c>
      <c r="BB14" s="27">
        <f>rebio23_80ml!BB15/50</f>
        <v>0</v>
      </c>
      <c r="BC14" s="27">
        <f>rebio23_80ml!BC15/50</f>
        <v>0</v>
      </c>
      <c r="BD14" s="27">
        <f>rebio23_80ml!BD15/50</f>
        <v>0</v>
      </c>
      <c r="BE14" s="27">
        <f>rebio23_80ml!BE15/50</f>
        <v>0</v>
      </c>
      <c r="BF14" s="27">
        <f>rebio23_80ml!BF15/50</f>
        <v>0</v>
      </c>
      <c r="BG14" s="27">
        <f>rebio23_80ml!BG15/50</f>
        <v>0</v>
      </c>
    </row>
    <row r="15" spans="1:67" ht="12.75" customHeight="1" x14ac:dyDescent="0.25">
      <c r="A15" s="15" t="str">
        <f>rebio23_80ml!A16</f>
        <v>S-B-P09-H2</v>
      </c>
      <c r="B15" s="27">
        <f>rebio23_80ml!B16/50</f>
        <v>0</v>
      </c>
      <c r="C15" s="27">
        <f>rebio23_80ml!C16/50</f>
        <v>0</v>
      </c>
      <c r="D15" s="27">
        <f>rebio23_80ml!D16/50</f>
        <v>0</v>
      </c>
      <c r="E15" s="27">
        <f>rebio23_80ml!E16/50</f>
        <v>2.08</v>
      </c>
      <c r="F15" s="27">
        <f>rebio23_80ml!F16/50</f>
        <v>0</v>
      </c>
      <c r="G15" s="27">
        <f>rebio23_80ml!G16/50</f>
        <v>0</v>
      </c>
      <c r="H15" s="27">
        <f>rebio23_80ml!H16/50</f>
        <v>0</v>
      </c>
      <c r="I15" s="27">
        <f>rebio23_80ml!I16/50</f>
        <v>0</v>
      </c>
      <c r="J15" s="27">
        <f>rebio23_80ml!J16/50</f>
        <v>0</v>
      </c>
      <c r="K15" s="27">
        <f>rebio23_80ml!K16/50</f>
        <v>0</v>
      </c>
      <c r="L15" s="27">
        <f>rebio23_80ml!L16/50</f>
        <v>0</v>
      </c>
      <c r="M15" s="27">
        <f>rebio23_80ml!M16/50</f>
        <v>0</v>
      </c>
      <c r="N15" s="27">
        <f>rebio23_80ml!N16/50</f>
        <v>0</v>
      </c>
      <c r="O15" s="27">
        <f>rebio23_80ml!O16/50</f>
        <v>0</v>
      </c>
      <c r="P15" s="27">
        <f>rebio23_80ml!P16/50</f>
        <v>0</v>
      </c>
      <c r="Q15" s="27">
        <f>rebio23_80ml!Q16/50</f>
        <v>0</v>
      </c>
      <c r="R15" s="27">
        <f>rebio23_80ml!R16/50</f>
        <v>0</v>
      </c>
      <c r="S15" s="27">
        <f>rebio23_80ml!S16/50</f>
        <v>0.06</v>
      </c>
      <c r="T15" s="27">
        <f>rebio23_80ml!T16/50</f>
        <v>0.02</v>
      </c>
      <c r="U15" s="27">
        <f>rebio23_80ml!U16/50</f>
        <v>0</v>
      </c>
      <c r="V15" s="27">
        <f>rebio23_80ml!V16/50</f>
        <v>0</v>
      </c>
      <c r="W15" s="27">
        <f>rebio23_80ml!W16/50</f>
        <v>0</v>
      </c>
      <c r="X15" s="27">
        <f>rebio23_80ml!X16/50</f>
        <v>0</v>
      </c>
      <c r="Y15" s="27">
        <f>rebio23_80ml!Y16/50</f>
        <v>0</v>
      </c>
      <c r="Z15" s="27">
        <f>rebio23_80ml!Z16/50</f>
        <v>0.04</v>
      </c>
      <c r="AA15" s="27">
        <f>rebio23_80ml!AA16/50</f>
        <v>0</v>
      </c>
      <c r="AB15" s="27">
        <f>rebio23_80ml!AB16/50</f>
        <v>0</v>
      </c>
      <c r="AC15" s="27">
        <f>rebio23_80ml!AC16/50</f>
        <v>0</v>
      </c>
      <c r="AD15" s="27">
        <f>rebio23_80ml!AD16/50</f>
        <v>0</v>
      </c>
      <c r="AE15" s="27">
        <f>rebio23_80ml!AE16/50</f>
        <v>0</v>
      </c>
      <c r="AF15" s="27">
        <f>rebio23_80ml!AF16/50</f>
        <v>0</v>
      </c>
      <c r="AG15" s="27">
        <f>rebio23_80ml!AG16/50</f>
        <v>0</v>
      </c>
      <c r="AH15" s="27">
        <f>rebio23_80ml!AH16/50</f>
        <v>0</v>
      </c>
      <c r="AI15" s="27">
        <f>rebio23_80ml!AI16/50</f>
        <v>0</v>
      </c>
      <c r="AJ15" s="27">
        <f>rebio23_80ml!AJ16/50</f>
        <v>0.04</v>
      </c>
      <c r="AK15" s="27">
        <f>rebio23_80ml!AK16/50</f>
        <v>0</v>
      </c>
      <c r="AL15" s="27">
        <f>rebio23_80ml!AL16/50</f>
        <v>0</v>
      </c>
      <c r="AM15" s="27">
        <f>rebio23_80ml!AM16/50</f>
        <v>0</v>
      </c>
      <c r="AN15" s="27">
        <f>rebio23_80ml!AN16/50</f>
        <v>0</v>
      </c>
      <c r="AO15" s="27">
        <f>rebio23_80ml!AO16/50</f>
        <v>0</v>
      </c>
      <c r="AP15" s="27">
        <f>rebio23_80ml!AP16/50</f>
        <v>0</v>
      </c>
      <c r="AQ15" s="27">
        <f>rebio23_80ml!AQ16/50</f>
        <v>0</v>
      </c>
      <c r="AR15" s="27">
        <f>rebio23_80ml!AR16/50</f>
        <v>0</v>
      </c>
      <c r="AS15" s="27">
        <f>rebio23_80ml!AS16/50</f>
        <v>0</v>
      </c>
      <c r="AT15" s="27">
        <f>rebio23_80ml!AT16/50</f>
        <v>0</v>
      </c>
      <c r="AU15" s="27">
        <f>rebio23_80ml!AU16/50</f>
        <v>0</v>
      </c>
      <c r="AV15" s="27">
        <f>rebio23_80ml!AV16/50</f>
        <v>0.04</v>
      </c>
      <c r="AW15" s="27">
        <f>rebio23_80ml!AW16/50</f>
        <v>0</v>
      </c>
      <c r="AX15" s="27">
        <f>rebio23_80ml!AX16/50</f>
        <v>0</v>
      </c>
      <c r="AY15" s="27">
        <f>rebio23_80ml!AY16/50</f>
        <v>0</v>
      </c>
      <c r="AZ15" s="27">
        <f>rebio23_80ml!AZ16/50</f>
        <v>0.1</v>
      </c>
      <c r="BA15" s="27">
        <f>rebio23_80ml!BA16/50</f>
        <v>0</v>
      </c>
      <c r="BB15" s="27">
        <f>rebio23_80ml!BB16/50</f>
        <v>0</v>
      </c>
      <c r="BC15" s="27">
        <f>rebio23_80ml!BC16/50</f>
        <v>0</v>
      </c>
      <c r="BD15" s="27">
        <f>rebio23_80ml!BD16/50</f>
        <v>0</v>
      </c>
      <c r="BE15" s="27">
        <f>rebio23_80ml!BE16/50</f>
        <v>0</v>
      </c>
      <c r="BF15" s="27">
        <f>rebio23_80ml!BF16/50</f>
        <v>0</v>
      </c>
      <c r="BG15" s="27">
        <f>rebio23_80ml!BG16/50</f>
        <v>0</v>
      </c>
    </row>
    <row r="16" spans="1:67" ht="12.75" customHeight="1" x14ac:dyDescent="0.25">
      <c r="A16" s="15" t="str">
        <f>rebio23_80ml!A17</f>
        <v>S-B-P09-H3</v>
      </c>
      <c r="B16" s="27">
        <f>rebio23_80ml!B17/50</f>
        <v>0</v>
      </c>
      <c r="C16" s="27">
        <f>rebio23_80ml!C17/50</f>
        <v>0</v>
      </c>
      <c r="D16" s="27">
        <f>rebio23_80ml!D17/50</f>
        <v>0</v>
      </c>
      <c r="E16" s="27">
        <f>rebio23_80ml!E17/50</f>
        <v>1.68</v>
      </c>
      <c r="F16" s="27">
        <f>rebio23_80ml!F17/50</f>
        <v>0</v>
      </c>
      <c r="G16" s="27">
        <f>rebio23_80ml!G17/50</f>
        <v>0</v>
      </c>
      <c r="H16" s="27">
        <f>rebio23_80ml!H17/50</f>
        <v>0.04</v>
      </c>
      <c r="I16" s="27">
        <f>rebio23_80ml!I17/50</f>
        <v>0</v>
      </c>
      <c r="J16" s="27">
        <f>rebio23_80ml!J17/50</f>
        <v>0.02</v>
      </c>
      <c r="K16" s="27">
        <f>rebio23_80ml!K17/50</f>
        <v>0</v>
      </c>
      <c r="L16" s="27">
        <f>rebio23_80ml!L17/50</f>
        <v>0</v>
      </c>
      <c r="M16" s="27">
        <f>rebio23_80ml!M17/50</f>
        <v>0</v>
      </c>
      <c r="N16" s="27">
        <f>rebio23_80ml!N17/50</f>
        <v>0</v>
      </c>
      <c r="O16" s="27">
        <f>rebio23_80ml!O17/50</f>
        <v>0</v>
      </c>
      <c r="P16" s="27">
        <f>rebio23_80ml!P17/50</f>
        <v>0</v>
      </c>
      <c r="Q16" s="27">
        <f>rebio23_80ml!Q17/50</f>
        <v>0</v>
      </c>
      <c r="R16" s="27">
        <f>rebio23_80ml!R17/50</f>
        <v>0</v>
      </c>
      <c r="S16" s="27">
        <f>rebio23_80ml!S17/50</f>
        <v>0.08</v>
      </c>
      <c r="T16" s="27">
        <f>rebio23_80ml!T17/50</f>
        <v>0.02</v>
      </c>
      <c r="U16" s="27">
        <f>rebio23_80ml!U17/50</f>
        <v>0</v>
      </c>
      <c r="V16" s="27">
        <f>rebio23_80ml!V17/50</f>
        <v>0</v>
      </c>
      <c r="W16" s="27">
        <f>rebio23_80ml!W17/50</f>
        <v>0</v>
      </c>
      <c r="X16" s="27">
        <f>rebio23_80ml!X17/50</f>
        <v>0</v>
      </c>
      <c r="Y16" s="27">
        <f>rebio23_80ml!Y17/50</f>
        <v>0.02</v>
      </c>
      <c r="Z16" s="27">
        <f>rebio23_80ml!Z17/50</f>
        <v>0</v>
      </c>
      <c r="AA16" s="27">
        <f>rebio23_80ml!AA17/50</f>
        <v>0</v>
      </c>
      <c r="AB16" s="27">
        <f>rebio23_80ml!AB17/50</f>
        <v>0</v>
      </c>
      <c r="AC16" s="27">
        <f>rebio23_80ml!AC17/50</f>
        <v>0</v>
      </c>
      <c r="AD16" s="27">
        <f>rebio23_80ml!AD17/50</f>
        <v>0</v>
      </c>
      <c r="AE16" s="27">
        <f>rebio23_80ml!AE17/50</f>
        <v>0</v>
      </c>
      <c r="AF16" s="27">
        <f>rebio23_80ml!AF17/50</f>
        <v>0</v>
      </c>
      <c r="AG16" s="27">
        <f>rebio23_80ml!AG17/50</f>
        <v>0</v>
      </c>
      <c r="AH16" s="27">
        <f>rebio23_80ml!AH17/50</f>
        <v>0</v>
      </c>
      <c r="AI16" s="27">
        <f>rebio23_80ml!AI17/50</f>
        <v>0</v>
      </c>
      <c r="AJ16" s="27">
        <f>rebio23_80ml!AJ17/50</f>
        <v>0</v>
      </c>
      <c r="AK16" s="27">
        <f>rebio23_80ml!AK17/50</f>
        <v>0.02</v>
      </c>
      <c r="AL16" s="27">
        <f>rebio23_80ml!AL17/50</f>
        <v>0</v>
      </c>
      <c r="AM16" s="27">
        <f>rebio23_80ml!AM17/50</f>
        <v>0</v>
      </c>
      <c r="AN16" s="27">
        <f>rebio23_80ml!AN17/50</f>
        <v>0</v>
      </c>
      <c r="AO16" s="27">
        <f>rebio23_80ml!AO17/50</f>
        <v>0</v>
      </c>
      <c r="AP16" s="27">
        <f>rebio23_80ml!AP17/50</f>
        <v>0</v>
      </c>
      <c r="AQ16" s="27">
        <f>rebio23_80ml!AQ17/50</f>
        <v>0</v>
      </c>
      <c r="AR16" s="27">
        <f>rebio23_80ml!AR17/50</f>
        <v>0</v>
      </c>
      <c r="AS16" s="27">
        <f>rebio23_80ml!AS17/50</f>
        <v>0</v>
      </c>
      <c r="AT16" s="27">
        <f>rebio23_80ml!AT17/50</f>
        <v>0</v>
      </c>
      <c r="AU16" s="27">
        <f>rebio23_80ml!AU17/50</f>
        <v>0</v>
      </c>
      <c r="AV16" s="27">
        <f>rebio23_80ml!AV17/50</f>
        <v>0.08</v>
      </c>
      <c r="AW16" s="27">
        <f>rebio23_80ml!AW17/50</f>
        <v>0</v>
      </c>
      <c r="AX16" s="27">
        <f>rebio23_80ml!AX17/50</f>
        <v>0</v>
      </c>
      <c r="AY16" s="27">
        <f>rebio23_80ml!AY17/50</f>
        <v>0</v>
      </c>
      <c r="AZ16" s="27">
        <f>rebio23_80ml!AZ17/50</f>
        <v>0</v>
      </c>
      <c r="BA16" s="27">
        <f>rebio23_80ml!BA17/50</f>
        <v>0</v>
      </c>
      <c r="BB16" s="27">
        <f>rebio23_80ml!BB17/50</f>
        <v>0</v>
      </c>
      <c r="BC16" s="27">
        <f>rebio23_80ml!BC17/50</f>
        <v>0</v>
      </c>
      <c r="BD16" s="27">
        <f>rebio23_80ml!BD17/50</f>
        <v>0.02</v>
      </c>
      <c r="BE16" s="27">
        <f>rebio23_80ml!BE17/50</f>
        <v>0</v>
      </c>
      <c r="BF16" s="27">
        <f>rebio23_80ml!BF17/50</f>
        <v>0</v>
      </c>
      <c r="BG16" s="27">
        <f>rebio23_80ml!BG17/50</f>
        <v>0</v>
      </c>
    </row>
    <row r="17" spans="1:59" ht="12.75" customHeight="1" x14ac:dyDescent="0.25">
      <c r="A17" s="15" t="str">
        <f>rebio23_80ml!A18</f>
        <v>S-B-P10-H1</v>
      </c>
      <c r="B17" s="27">
        <f>rebio23_80ml!B18/50</f>
        <v>0.02</v>
      </c>
      <c r="C17" s="27">
        <f>rebio23_80ml!C18/50</f>
        <v>0</v>
      </c>
      <c r="D17" s="27">
        <f>rebio23_80ml!D18/50</f>
        <v>0</v>
      </c>
      <c r="E17" s="27">
        <f>rebio23_80ml!E18/50</f>
        <v>1.18</v>
      </c>
      <c r="F17" s="27">
        <f>rebio23_80ml!F18/50</f>
        <v>0.04</v>
      </c>
      <c r="G17" s="27">
        <f>rebio23_80ml!G18/50</f>
        <v>0</v>
      </c>
      <c r="H17" s="27">
        <f>rebio23_80ml!H18/50</f>
        <v>0.02</v>
      </c>
      <c r="I17" s="27">
        <f>rebio23_80ml!I18/50</f>
        <v>0.02</v>
      </c>
      <c r="J17" s="27">
        <f>rebio23_80ml!J18/50</f>
        <v>0</v>
      </c>
      <c r="K17" s="27">
        <f>rebio23_80ml!K18/50</f>
        <v>0</v>
      </c>
      <c r="L17" s="27">
        <f>rebio23_80ml!L18/50</f>
        <v>0</v>
      </c>
      <c r="M17" s="27">
        <f>rebio23_80ml!M18/50</f>
        <v>0</v>
      </c>
      <c r="N17" s="27">
        <f>rebio23_80ml!N18/50</f>
        <v>0</v>
      </c>
      <c r="O17" s="27">
        <f>rebio23_80ml!O18/50</f>
        <v>0</v>
      </c>
      <c r="P17" s="27">
        <f>rebio23_80ml!P18/50</f>
        <v>0</v>
      </c>
      <c r="Q17" s="27">
        <f>rebio23_80ml!Q18/50</f>
        <v>0</v>
      </c>
      <c r="R17" s="27">
        <f>rebio23_80ml!R18/50</f>
        <v>0.02</v>
      </c>
      <c r="S17" s="27">
        <f>rebio23_80ml!S18/50</f>
        <v>0.16</v>
      </c>
      <c r="T17" s="27">
        <f>rebio23_80ml!T18/50</f>
        <v>0.02</v>
      </c>
      <c r="U17" s="27">
        <f>rebio23_80ml!U18/50</f>
        <v>0</v>
      </c>
      <c r="V17" s="27">
        <f>rebio23_80ml!V18/50</f>
        <v>0</v>
      </c>
      <c r="W17" s="27">
        <f>rebio23_80ml!W18/50</f>
        <v>0</v>
      </c>
      <c r="X17" s="27">
        <f>rebio23_80ml!X18/50</f>
        <v>0</v>
      </c>
      <c r="Y17" s="27">
        <f>rebio23_80ml!Y18/50</f>
        <v>0</v>
      </c>
      <c r="Z17" s="27">
        <f>rebio23_80ml!Z18/50</f>
        <v>0.02</v>
      </c>
      <c r="AA17" s="27">
        <f>rebio23_80ml!AA18/50</f>
        <v>0.02</v>
      </c>
      <c r="AB17" s="27">
        <f>rebio23_80ml!AB18/50</f>
        <v>0</v>
      </c>
      <c r="AC17" s="27">
        <f>rebio23_80ml!AC18/50</f>
        <v>0</v>
      </c>
      <c r="AD17" s="27">
        <f>rebio23_80ml!AD18/50</f>
        <v>0</v>
      </c>
      <c r="AE17" s="27">
        <f>rebio23_80ml!AE18/50</f>
        <v>0</v>
      </c>
      <c r="AF17" s="27">
        <f>rebio23_80ml!AF18/50</f>
        <v>0</v>
      </c>
      <c r="AG17" s="27">
        <f>rebio23_80ml!AG18/50</f>
        <v>0</v>
      </c>
      <c r="AH17" s="27">
        <f>rebio23_80ml!AH18/50</f>
        <v>0</v>
      </c>
      <c r="AI17" s="27">
        <f>rebio23_80ml!AI18/50</f>
        <v>0</v>
      </c>
      <c r="AJ17" s="27">
        <f>rebio23_80ml!AJ18/50</f>
        <v>0.14000000000000001</v>
      </c>
      <c r="AK17" s="27">
        <f>rebio23_80ml!AK18/50</f>
        <v>0</v>
      </c>
      <c r="AL17" s="27">
        <f>rebio23_80ml!AL18/50</f>
        <v>0</v>
      </c>
      <c r="AM17" s="27">
        <f>rebio23_80ml!AM18/50</f>
        <v>0</v>
      </c>
      <c r="AN17" s="27">
        <f>rebio23_80ml!AN18/50</f>
        <v>0.02</v>
      </c>
      <c r="AO17" s="27">
        <f>rebio23_80ml!AO18/50</f>
        <v>0</v>
      </c>
      <c r="AP17" s="27">
        <f>rebio23_80ml!AP18/50</f>
        <v>0</v>
      </c>
      <c r="AQ17" s="27">
        <f>rebio23_80ml!AQ18/50</f>
        <v>0</v>
      </c>
      <c r="AR17" s="27">
        <f>rebio23_80ml!AR18/50</f>
        <v>0</v>
      </c>
      <c r="AS17" s="27">
        <f>rebio23_80ml!AS18/50</f>
        <v>0</v>
      </c>
      <c r="AT17" s="27">
        <f>rebio23_80ml!AT18/50</f>
        <v>0</v>
      </c>
      <c r="AU17" s="27">
        <f>rebio23_80ml!AU18/50</f>
        <v>0</v>
      </c>
      <c r="AV17" s="27">
        <f>rebio23_80ml!AV18/50</f>
        <v>0.42</v>
      </c>
      <c r="AW17" s="27">
        <f>rebio23_80ml!AW18/50</f>
        <v>0</v>
      </c>
      <c r="AX17" s="27">
        <f>rebio23_80ml!AX18/50</f>
        <v>0</v>
      </c>
      <c r="AY17" s="27">
        <f>rebio23_80ml!AY18/50</f>
        <v>0.04</v>
      </c>
      <c r="AZ17" s="27">
        <f>rebio23_80ml!AZ18/50</f>
        <v>0</v>
      </c>
      <c r="BA17" s="27">
        <f>rebio23_80ml!BA18/50</f>
        <v>0</v>
      </c>
      <c r="BB17" s="27">
        <f>rebio23_80ml!BB18/50</f>
        <v>0</v>
      </c>
      <c r="BC17" s="27">
        <f>rebio23_80ml!BC18/50</f>
        <v>0</v>
      </c>
      <c r="BD17" s="27">
        <f>rebio23_80ml!BD18/50</f>
        <v>0.04</v>
      </c>
      <c r="BE17" s="27">
        <f>rebio23_80ml!BE18/50</f>
        <v>0</v>
      </c>
      <c r="BF17" s="27">
        <f>rebio23_80ml!BF18/50</f>
        <v>0</v>
      </c>
      <c r="BG17" s="27">
        <f>rebio23_80ml!BG18/50</f>
        <v>0.02</v>
      </c>
    </row>
    <row r="18" spans="1:59" ht="12.75" customHeight="1" x14ac:dyDescent="0.25">
      <c r="A18" s="15" t="str">
        <f>rebio23_80ml!A19</f>
        <v>S-B-P10-H2</v>
      </c>
      <c r="B18" s="27">
        <f>rebio23_80ml!B19/50</f>
        <v>0.02</v>
      </c>
      <c r="C18" s="27">
        <f>rebio23_80ml!C19/50</f>
        <v>0</v>
      </c>
      <c r="D18" s="27">
        <f>rebio23_80ml!D19/50</f>
        <v>0</v>
      </c>
      <c r="E18" s="27">
        <f>rebio23_80ml!E19/50</f>
        <v>0.5</v>
      </c>
      <c r="F18" s="27">
        <f>rebio23_80ml!F19/50</f>
        <v>0</v>
      </c>
      <c r="G18" s="27">
        <f>rebio23_80ml!G19/50</f>
        <v>0.04</v>
      </c>
      <c r="H18" s="27">
        <f>rebio23_80ml!H19/50</f>
        <v>0.06</v>
      </c>
      <c r="I18" s="27">
        <f>rebio23_80ml!I19/50</f>
        <v>0</v>
      </c>
      <c r="J18" s="27">
        <f>rebio23_80ml!J19/50</f>
        <v>0</v>
      </c>
      <c r="K18" s="27">
        <f>rebio23_80ml!K19/50</f>
        <v>0</v>
      </c>
      <c r="L18" s="27">
        <f>rebio23_80ml!L19/50</f>
        <v>0</v>
      </c>
      <c r="M18" s="27">
        <f>rebio23_80ml!M19/50</f>
        <v>0</v>
      </c>
      <c r="N18" s="27">
        <f>rebio23_80ml!N19/50</f>
        <v>0</v>
      </c>
      <c r="O18" s="27">
        <f>rebio23_80ml!O19/50</f>
        <v>0</v>
      </c>
      <c r="P18" s="27">
        <f>rebio23_80ml!P19/50</f>
        <v>0</v>
      </c>
      <c r="Q18" s="27">
        <f>rebio23_80ml!Q19/50</f>
        <v>0</v>
      </c>
      <c r="R18" s="27">
        <f>rebio23_80ml!R19/50</f>
        <v>0</v>
      </c>
      <c r="S18" s="27">
        <f>rebio23_80ml!S19/50</f>
        <v>0.26</v>
      </c>
      <c r="T18" s="27">
        <f>rebio23_80ml!T19/50</f>
        <v>0</v>
      </c>
      <c r="U18" s="27">
        <f>rebio23_80ml!U19/50</f>
        <v>0.14000000000000001</v>
      </c>
      <c r="V18" s="27">
        <f>rebio23_80ml!V19/50</f>
        <v>0</v>
      </c>
      <c r="W18" s="27">
        <f>rebio23_80ml!W19/50</f>
        <v>0.02</v>
      </c>
      <c r="X18" s="27">
        <f>rebio23_80ml!X19/50</f>
        <v>0</v>
      </c>
      <c r="Y18" s="27">
        <f>rebio23_80ml!Y19/50</f>
        <v>0.02</v>
      </c>
      <c r="Z18" s="27">
        <f>rebio23_80ml!Z19/50</f>
        <v>0</v>
      </c>
      <c r="AA18" s="27">
        <f>rebio23_80ml!AA19/50</f>
        <v>0.02</v>
      </c>
      <c r="AB18" s="27">
        <f>rebio23_80ml!AB19/50</f>
        <v>0</v>
      </c>
      <c r="AC18" s="27">
        <f>rebio23_80ml!AC19/50</f>
        <v>0</v>
      </c>
      <c r="AD18" s="27">
        <f>rebio23_80ml!AD19/50</f>
        <v>0</v>
      </c>
      <c r="AE18" s="27">
        <f>rebio23_80ml!AE19/50</f>
        <v>0</v>
      </c>
      <c r="AF18" s="27">
        <f>rebio23_80ml!AF19/50</f>
        <v>0</v>
      </c>
      <c r="AG18" s="27">
        <f>rebio23_80ml!AG19/50</f>
        <v>0</v>
      </c>
      <c r="AH18" s="27">
        <f>rebio23_80ml!AH19/50</f>
        <v>0</v>
      </c>
      <c r="AI18" s="27">
        <f>rebio23_80ml!AI19/50</f>
        <v>0</v>
      </c>
      <c r="AJ18" s="27">
        <f>rebio23_80ml!AJ19/50</f>
        <v>0.04</v>
      </c>
      <c r="AK18" s="27">
        <f>rebio23_80ml!AK19/50</f>
        <v>0</v>
      </c>
      <c r="AL18" s="27">
        <f>rebio23_80ml!AL19/50</f>
        <v>0</v>
      </c>
      <c r="AM18" s="27">
        <f>rebio23_80ml!AM19/50</f>
        <v>0</v>
      </c>
      <c r="AN18" s="27">
        <f>rebio23_80ml!AN19/50</f>
        <v>0</v>
      </c>
      <c r="AO18" s="27">
        <f>rebio23_80ml!AO19/50</f>
        <v>0.02</v>
      </c>
      <c r="AP18" s="27">
        <f>rebio23_80ml!AP19/50</f>
        <v>0</v>
      </c>
      <c r="AQ18" s="27">
        <f>rebio23_80ml!AQ19/50</f>
        <v>0</v>
      </c>
      <c r="AR18" s="27">
        <f>rebio23_80ml!AR19/50</f>
        <v>0</v>
      </c>
      <c r="AS18" s="27">
        <f>rebio23_80ml!AS19/50</f>
        <v>0</v>
      </c>
      <c r="AT18" s="27">
        <f>rebio23_80ml!AT19/50</f>
        <v>0.02</v>
      </c>
      <c r="AU18" s="27">
        <f>rebio23_80ml!AU19/50</f>
        <v>0</v>
      </c>
      <c r="AV18" s="27">
        <f>rebio23_80ml!AV19/50</f>
        <v>0.02</v>
      </c>
      <c r="AW18" s="27">
        <f>rebio23_80ml!AW19/50</f>
        <v>0</v>
      </c>
      <c r="AX18" s="27">
        <f>rebio23_80ml!AX19/50</f>
        <v>0</v>
      </c>
      <c r="AY18" s="27">
        <f>rebio23_80ml!AY19/50</f>
        <v>0.06</v>
      </c>
      <c r="AZ18" s="27">
        <f>rebio23_80ml!AZ19/50</f>
        <v>0</v>
      </c>
      <c r="BA18" s="27">
        <f>rebio23_80ml!BA19/50</f>
        <v>0</v>
      </c>
      <c r="BB18" s="27">
        <f>rebio23_80ml!BB19/50</f>
        <v>0</v>
      </c>
      <c r="BC18" s="27">
        <f>rebio23_80ml!BC19/50</f>
        <v>0</v>
      </c>
      <c r="BD18" s="27">
        <f>rebio23_80ml!BD19/50</f>
        <v>0.02</v>
      </c>
      <c r="BE18" s="27">
        <f>rebio23_80ml!BE19/50</f>
        <v>0</v>
      </c>
      <c r="BF18" s="27">
        <f>rebio23_80ml!BF19/50</f>
        <v>0</v>
      </c>
      <c r="BG18" s="27">
        <f>rebio23_80ml!BG19/50</f>
        <v>0.02</v>
      </c>
    </row>
    <row r="19" spans="1:59" ht="12.75" customHeight="1" x14ac:dyDescent="0.25">
      <c r="A19" s="15" t="str">
        <f>rebio23_80ml!A20</f>
        <v>S-B-P10-H3</v>
      </c>
      <c r="B19" s="27">
        <f>rebio23_80ml!B20/50</f>
        <v>0.04</v>
      </c>
      <c r="C19" s="27">
        <f>rebio23_80ml!C20/50</f>
        <v>0</v>
      </c>
      <c r="D19" s="27">
        <f>rebio23_80ml!D20/50</f>
        <v>0</v>
      </c>
      <c r="E19" s="27">
        <f>rebio23_80ml!E20/50</f>
        <v>2.12</v>
      </c>
      <c r="F19" s="27">
        <f>rebio23_80ml!F20/50</f>
        <v>0.02</v>
      </c>
      <c r="G19" s="27">
        <f>rebio23_80ml!G20/50</f>
        <v>0</v>
      </c>
      <c r="H19" s="27">
        <f>rebio23_80ml!H20/50</f>
        <v>0.02</v>
      </c>
      <c r="I19" s="27">
        <f>rebio23_80ml!I20/50</f>
        <v>0</v>
      </c>
      <c r="J19" s="27">
        <f>rebio23_80ml!J20/50</f>
        <v>0.02</v>
      </c>
      <c r="K19" s="27">
        <f>rebio23_80ml!K20/50</f>
        <v>0</v>
      </c>
      <c r="L19" s="27">
        <f>rebio23_80ml!L20/50</f>
        <v>0</v>
      </c>
      <c r="M19" s="27">
        <f>rebio23_80ml!M20/50</f>
        <v>0</v>
      </c>
      <c r="N19" s="27">
        <f>rebio23_80ml!N20/50</f>
        <v>0</v>
      </c>
      <c r="O19" s="27">
        <f>rebio23_80ml!O20/50</f>
        <v>0</v>
      </c>
      <c r="P19" s="27">
        <f>rebio23_80ml!P20/50</f>
        <v>0</v>
      </c>
      <c r="Q19" s="27">
        <f>rebio23_80ml!Q20/50</f>
        <v>0</v>
      </c>
      <c r="R19" s="27">
        <f>rebio23_80ml!R20/50</f>
        <v>0</v>
      </c>
      <c r="S19" s="27">
        <f>rebio23_80ml!S20/50</f>
        <v>0.36</v>
      </c>
      <c r="T19" s="27">
        <f>rebio23_80ml!T20/50</f>
        <v>0.02</v>
      </c>
      <c r="U19" s="27">
        <f>rebio23_80ml!U20/50</f>
        <v>0</v>
      </c>
      <c r="V19" s="27">
        <f>rebio23_80ml!V20/50</f>
        <v>0</v>
      </c>
      <c r="W19" s="27">
        <f>rebio23_80ml!W20/50</f>
        <v>0</v>
      </c>
      <c r="X19" s="27">
        <f>rebio23_80ml!X20/50</f>
        <v>0</v>
      </c>
      <c r="Y19" s="27">
        <f>rebio23_80ml!Y20/50</f>
        <v>0</v>
      </c>
      <c r="Z19" s="27">
        <f>rebio23_80ml!Z20/50</f>
        <v>0.02</v>
      </c>
      <c r="AA19" s="27">
        <f>rebio23_80ml!AA20/50</f>
        <v>0.02</v>
      </c>
      <c r="AB19" s="27">
        <f>rebio23_80ml!AB20/50</f>
        <v>0</v>
      </c>
      <c r="AC19" s="27">
        <f>rebio23_80ml!AC20/50</f>
        <v>0</v>
      </c>
      <c r="AD19" s="27">
        <f>rebio23_80ml!AD20/50</f>
        <v>0</v>
      </c>
      <c r="AE19" s="27">
        <f>rebio23_80ml!AE20/50</f>
        <v>0</v>
      </c>
      <c r="AF19" s="27">
        <f>rebio23_80ml!AF20/50</f>
        <v>0</v>
      </c>
      <c r="AG19" s="27">
        <f>rebio23_80ml!AG20/50</f>
        <v>0</v>
      </c>
      <c r="AH19" s="27">
        <f>rebio23_80ml!AH20/50</f>
        <v>0</v>
      </c>
      <c r="AI19" s="27">
        <f>rebio23_80ml!AI20/50</f>
        <v>0</v>
      </c>
      <c r="AJ19" s="27">
        <f>rebio23_80ml!AJ20/50</f>
        <v>0.06</v>
      </c>
      <c r="AK19" s="27">
        <f>rebio23_80ml!AK20/50</f>
        <v>0.02</v>
      </c>
      <c r="AL19" s="27">
        <f>rebio23_80ml!AL20/50</f>
        <v>0</v>
      </c>
      <c r="AM19" s="27">
        <f>rebio23_80ml!AM20/50</f>
        <v>0</v>
      </c>
      <c r="AN19" s="27">
        <f>rebio23_80ml!AN20/50</f>
        <v>0.02</v>
      </c>
      <c r="AO19" s="27">
        <f>rebio23_80ml!AO20/50</f>
        <v>0.02</v>
      </c>
      <c r="AP19" s="27">
        <f>rebio23_80ml!AP20/50</f>
        <v>0</v>
      </c>
      <c r="AQ19" s="27">
        <f>rebio23_80ml!AQ20/50</f>
        <v>0</v>
      </c>
      <c r="AR19" s="27">
        <f>rebio23_80ml!AR20/50</f>
        <v>0</v>
      </c>
      <c r="AS19" s="27">
        <f>rebio23_80ml!AS20/50</f>
        <v>0</v>
      </c>
      <c r="AT19" s="27">
        <f>rebio23_80ml!AT20/50</f>
        <v>0</v>
      </c>
      <c r="AU19" s="27">
        <f>rebio23_80ml!AU20/50</f>
        <v>0</v>
      </c>
      <c r="AV19" s="27">
        <f>rebio23_80ml!AV20/50</f>
        <v>0.3</v>
      </c>
      <c r="AW19" s="27">
        <f>rebio23_80ml!AW20/50</f>
        <v>0</v>
      </c>
      <c r="AX19" s="27">
        <f>rebio23_80ml!AX20/50</f>
        <v>0</v>
      </c>
      <c r="AY19" s="27">
        <f>rebio23_80ml!AY20/50</f>
        <v>0</v>
      </c>
      <c r="AZ19" s="27">
        <f>rebio23_80ml!AZ20/50</f>
        <v>0</v>
      </c>
      <c r="BA19" s="27">
        <f>rebio23_80ml!BA20/50</f>
        <v>0</v>
      </c>
      <c r="BB19" s="27">
        <f>rebio23_80ml!BB20/50</f>
        <v>0</v>
      </c>
      <c r="BC19" s="27">
        <f>rebio23_80ml!BC20/50</f>
        <v>0</v>
      </c>
      <c r="BD19" s="27">
        <f>rebio23_80ml!BD20/50</f>
        <v>0</v>
      </c>
      <c r="BE19" s="27">
        <f>rebio23_80ml!BE20/50</f>
        <v>0</v>
      </c>
      <c r="BF19" s="27">
        <f>rebio23_80ml!BF20/50</f>
        <v>0</v>
      </c>
      <c r="BG19" s="27">
        <f>rebio23_80ml!BG20/50</f>
        <v>0</v>
      </c>
    </row>
    <row r="20" spans="1:59" ht="12.75" customHeight="1" x14ac:dyDescent="0.25">
      <c r="A20" s="50" t="str">
        <f>rebio23_80ml!A21</f>
        <v>S-C-P11-H1</v>
      </c>
      <c r="B20" s="51">
        <f>rebio23_80ml!B21/50</f>
        <v>0</v>
      </c>
      <c r="C20" s="51">
        <f>rebio23_80ml!C21/50</f>
        <v>0</v>
      </c>
      <c r="D20" s="51">
        <f>rebio23_80ml!D21/50</f>
        <v>0</v>
      </c>
      <c r="E20" s="51">
        <f>rebio23_80ml!E21/50</f>
        <v>0</v>
      </c>
      <c r="F20" s="51">
        <f>rebio23_80ml!F21/50</f>
        <v>0</v>
      </c>
      <c r="G20" s="51">
        <f>rebio23_80ml!G21/50</f>
        <v>0</v>
      </c>
      <c r="H20" s="51">
        <f>rebio23_80ml!H21/50</f>
        <v>0</v>
      </c>
      <c r="I20" s="51">
        <f>rebio23_80ml!I21/50</f>
        <v>0</v>
      </c>
      <c r="J20" s="51">
        <f>rebio23_80ml!J21/50</f>
        <v>0</v>
      </c>
      <c r="K20" s="51">
        <f>rebio23_80ml!K21/50</f>
        <v>0</v>
      </c>
      <c r="L20" s="51">
        <f>rebio23_80ml!L21/50</f>
        <v>0</v>
      </c>
      <c r="M20" s="51">
        <f>rebio23_80ml!M21/50</f>
        <v>0</v>
      </c>
      <c r="N20" s="51">
        <f>rebio23_80ml!N21/50</f>
        <v>0</v>
      </c>
      <c r="O20" s="51">
        <f>rebio23_80ml!O21/50</f>
        <v>0</v>
      </c>
      <c r="P20" s="51">
        <f>rebio23_80ml!P21/50</f>
        <v>0</v>
      </c>
      <c r="Q20" s="51">
        <f>rebio23_80ml!Q21/50</f>
        <v>0</v>
      </c>
      <c r="R20" s="51">
        <f>rebio23_80ml!R21/50</f>
        <v>0</v>
      </c>
      <c r="S20" s="51">
        <f>rebio23_80ml!S21/50</f>
        <v>0</v>
      </c>
      <c r="T20" s="51">
        <f>rebio23_80ml!T21/50</f>
        <v>0</v>
      </c>
      <c r="U20" s="51">
        <f>rebio23_80ml!U21/50</f>
        <v>0</v>
      </c>
      <c r="V20" s="51">
        <f>rebio23_80ml!V21/50</f>
        <v>0</v>
      </c>
      <c r="W20" s="51">
        <f>rebio23_80ml!W21/50</f>
        <v>0</v>
      </c>
      <c r="X20" s="51">
        <f>rebio23_80ml!X21/50</f>
        <v>0</v>
      </c>
      <c r="Y20" s="51">
        <f>rebio23_80ml!Y21/50</f>
        <v>0</v>
      </c>
      <c r="Z20" s="51">
        <f>rebio23_80ml!Z21/50</f>
        <v>0</v>
      </c>
      <c r="AA20" s="51">
        <f>rebio23_80ml!AA21/50</f>
        <v>0</v>
      </c>
      <c r="AB20" s="51">
        <f>rebio23_80ml!AB21/50</f>
        <v>0</v>
      </c>
      <c r="AC20" s="51">
        <f>rebio23_80ml!AC21/50</f>
        <v>0</v>
      </c>
      <c r="AD20" s="51">
        <f>rebio23_80ml!AD21/50</f>
        <v>0</v>
      </c>
      <c r="AE20" s="51">
        <f>rebio23_80ml!AE21/50</f>
        <v>0</v>
      </c>
      <c r="AF20" s="51">
        <f>rebio23_80ml!AF21/50</f>
        <v>0</v>
      </c>
      <c r="AG20" s="51">
        <f>rebio23_80ml!AG21/50</f>
        <v>0</v>
      </c>
      <c r="AH20" s="51">
        <f>rebio23_80ml!AH21/50</f>
        <v>0</v>
      </c>
      <c r="AI20" s="51">
        <f>rebio23_80ml!AI21/50</f>
        <v>0</v>
      </c>
      <c r="AJ20" s="51">
        <f>rebio23_80ml!AJ21/50</f>
        <v>0</v>
      </c>
      <c r="AK20" s="51">
        <f>rebio23_80ml!AK21/50</f>
        <v>0</v>
      </c>
      <c r="AL20" s="51">
        <f>rebio23_80ml!AL21/50</f>
        <v>0</v>
      </c>
      <c r="AM20" s="51">
        <f>rebio23_80ml!AM21/50</f>
        <v>0</v>
      </c>
      <c r="AN20" s="51">
        <f>rebio23_80ml!AN21/50</f>
        <v>0</v>
      </c>
      <c r="AO20" s="51">
        <f>rebio23_80ml!AO21/50</f>
        <v>0</v>
      </c>
      <c r="AP20" s="51">
        <f>rebio23_80ml!AP21/50</f>
        <v>0</v>
      </c>
      <c r="AQ20" s="51">
        <f>rebio23_80ml!AQ21/50</f>
        <v>0</v>
      </c>
      <c r="AR20" s="51">
        <f>rebio23_80ml!AR21/50</f>
        <v>0</v>
      </c>
      <c r="AS20" s="51">
        <f>rebio23_80ml!AS21/50</f>
        <v>0</v>
      </c>
      <c r="AT20" s="51">
        <f>rebio23_80ml!AT21/50</f>
        <v>0</v>
      </c>
      <c r="AU20" s="51">
        <f>rebio23_80ml!AU21/50</f>
        <v>0</v>
      </c>
      <c r="AV20" s="51">
        <f>rebio23_80ml!AV21/50</f>
        <v>0</v>
      </c>
      <c r="AW20" s="51">
        <f>rebio23_80ml!AW21/50</f>
        <v>0</v>
      </c>
      <c r="AX20" s="51">
        <f>rebio23_80ml!AX21/50</f>
        <v>0</v>
      </c>
      <c r="AY20" s="51">
        <f>rebio23_80ml!AY21/50</f>
        <v>0</v>
      </c>
      <c r="AZ20" s="51">
        <f>rebio23_80ml!AZ21/50</f>
        <v>0</v>
      </c>
      <c r="BA20" s="51">
        <f>rebio23_80ml!BA21/50</f>
        <v>0</v>
      </c>
      <c r="BB20" s="51">
        <f>rebio23_80ml!BB21/50</f>
        <v>0</v>
      </c>
      <c r="BC20" s="51">
        <f>rebio23_80ml!BC21/50</f>
        <v>0</v>
      </c>
      <c r="BD20" s="51">
        <f>rebio23_80ml!BD21/50</f>
        <v>0</v>
      </c>
      <c r="BE20" s="51">
        <f>rebio23_80ml!BE21/50</f>
        <v>0</v>
      </c>
      <c r="BF20" s="51">
        <f>rebio23_80ml!BF21/50</f>
        <v>0</v>
      </c>
      <c r="BG20" s="51">
        <f>rebio23_80ml!BG21/50</f>
        <v>0</v>
      </c>
    </row>
    <row r="21" spans="1:59" ht="12.75" customHeight="1" x14ac:dyDescent="0.25">
      <c r="A21" s="50" t="str">
        <f>rebio23_80ml!A22</f>
        <v>S-C-P11-H2</v>
      </c>
      <c r="B21" s="51">
        <f>rebio23_80ml!B22/50</f>
        <v>0</v>
      </c>
      <c r="C21" s="51">
        <f>rebio23_80ml!C22/50</f>
        <v>0</v>
      </c>
      <c r="D21" s="51">
        <f>rebio23_80ml!D22/50</f>
        <v>0</v>
      </c>
      <c r="E21" s="51">
        <f>rebio23_80ml!E22/50</f>
        <v>0</v>
      </c>
      <c r="F21" s="51">
        <f>rebio23_80ml!F22/50</f>
        <v>0</v>
      </c>
      <c r="G21" s="51">
        <f>rebio23_80ml!G22/50</f>
        <v>0</v>
      </c>
      <c r="H21" s="51">
        <f>rebio23_80ml!H22/50</f>
        <v>0</v>
      </c>
      <c r="I21" s="51">
        <f>rebio23_80ml!I22/50</f>
        <v>0</v>
      </c>
      <c r="J21" s="51">
        <f>rebio23_80ml!J22/50</f>
        <v>0</v>
      </c>
      <c r="K21" s="51">
        <f>rebio23_80ml!K22/50</f>
        <v>0</v>
      </c>
      <c r="L21" s="51">
        <f>rebio23_80ml!L22/50</f>
        <v>0</v>
      </c>
      <c r="M21" s="51">
        <f>rebio23_80ml!M22/50</f>
        <v>0</v>
      </c>
      <c r="N21" s="51">
        <f>rebio23_80ml!N22/50</f>
        <v>0</v>
      </c>
      <c r="O21" s="51">
        <f>rebio23_80ml!O22/50</f>
        <v>0</v>
      </c>
      <c r="P21" s="51">
        <f>rebio23_80ml!P22/50</f>
        <v>0</v>
      </c>
      <c r="Q21" s="51">
        <f>rebio23_80ml!Q22/50</f>
        <v>0</v>
      </c>
      <c r="R21" s="51">
        <f>rebio23_80ml!R22/50</f>
        <v>0</v>
      </c>
      <c r="S21" s="51">
        <f>rebio23_80ml!S22/50</f>
        <v>0</v>
      </c>
      <c r="T21" s="51">
        <f>rebio23_80ml!T22/50</f>
        <v>0</v>
      </c>
      <c r="U21" s="51">
        <f>rebio23_80ml!U22/50</f>
        <v>0</v>
      </c>
      <c r="V21" s="51">
        <f>rebio23_80ml!V22/50</f>
        <v>0</v>
      </c>
      <c r="W21" s="51">
        <f>rebio23_80ml!W22/50</f>
        <v>0</v>
      </c>
      <c r="X21" s="51">
        <f>rebio23_80ml!X22/50</f>
        <v>0</v>
      </c>
      <c r="Y21" s="51">
        <f>rebio23_80ml!Y22/50</f>
        <v>0</v>
      </c>
      <c r="Z21" s="51">
        <f>rebio23_80ml!Z22/50</f>
        <v>0</v>
      </c>
      <c r="AA21" s="51">
        <f>rebio23_80ml!AA22/50</f>
        <v>0</v>
      </c>
      <c r="AB21" s="51">
        <f>rebio23_80ml!AB22/50</f>
        <v>0</v>
      </c>
      <c r="AC21" s="51">
        <f>rebio23_80ml!AC22/50</f>
        <v>0</v>
      </c>
      <c r="AD21" s="51">
        <f>rebio23_80ml!AD22/50</f>
        <v>0</v>
      </c>
      <c r="AE21" s="51">
        <f>rebio23_80ml!AE22/50</f>
        <v>0</v>
      </c>
      <c r="AF21" s="51">
        <f>rebio23_80ml!AF22/50</f>
        <v>0</v>
      </c>
      <c r="AG21" s="51">
        <f>rebio23_80ml!AG22/50</f>
        <v>0</v>
      </c>
      <c r="AH21" s="51">
        <f>rebio23_80ml!AH22/50</f>
        <v>0</v>
      </c>
      <c r="AI21" s="51">
        <f>rebio23_80ml!AI22/50</f>
        <v>0</v>
      </c>
      <c r="AJ21" s="51">
        <f>rebio23_80ml!AJ22/50</f>
        <v>0</v>
      </c>
      <c r="AK21" s="51">
        <f>rebio23_80ml!AK22/50</f>
        <v>0</v>
      </c>
      <c r="AL21" s="51">
        <f>rebio23_80ml!AL22/50</f>
        <v>0</v>
      </c>
      <c r="AM21" s="51">
        <f>rebio23_80ml!AM22/50</f>
        <v>0</v>
      </c>
      <c r="AN21" s="51">
        <f>rebio23_80ml!AN22/50</f>
        <v>0</v>
      </c>
      <c r="AO21" s="51">
        <f>rebio23_80ml!AO22/50</f>
        <v>0</v>
      </c>
      <c r="AP21" s="51">
        <f>rebio23_80ml!AP22/50</f>
        <v>0</v>
      </c>
      <c r="AQ21" s="51">
        <f>rebio23_80ml!AQ22/50</f>
        <v>0</v>
      </c>
      <c r="AR21" s="51">
        <f>rebio23_80ml!AR22/50</f>
        <v>0</v>
      </c>
      <c r="AS21" s="51">
        <f>rebio23_80ml!AS22/50</f>
        <v>0</v>
      </c>
      <c r="AT21" s="51">
        <f>rebio23_80ml!AT22/50</f>
        <v>0</v>
      </c>
      <c r="AU21" s="51">
        <f>rebio23_80ml!AU22/50</f>
        <v>0</v>
      </c>
      <c r="AV21" s="51">
        <f>rebio23_80ml!AV22/50</f>
        <v>0</v>
      </c>
      <c r="AW21" s="51">
        <f>rebio23_80ml!AW22/50</f>
        <v>0</v>
      </c>
      <c r="AX21" s="51">
        <f>rebio23_80ml!AX22/50</f>
        <v>0</v>
      </c>
      <c r="AY21" s="51">
        <f>rebio23_80ml!AY22/50</f>
        <v>0</v>
      </c>
      <c r="AZ21" s="51">
        <f>rebio23_80ml!AZ22/50</f>
        <v>0</v>
      </c>
      <c r="BA21" s="51">
        <f>rebio23_80ml!BA22/50</f>
        <v>0</v>
      </c>
      <c r="BB21" s="51">
        <f>rebio23_80ml!BB22/50</f>
        <v>0</v>
      </c>
      <c r="BC21" s="51">
        <f>rebio23_80ml!BC22/50</f>
        <v>0</v>
      </c>
      <c r="BD21" s="51">
        <f>rebio23_80ml!BD22/50</f>
        <v>0</v>
      </c>
      <c r="BE21" s="51">
        <f>rebio23_80ml!BE22/50</f>
        <v>0</v>
      </c>
      <c r="BF21" s="51">
        <f>rebio23_80ml!BF22/50</f>
        <v>0</v>
      </c>
      <c r="BG21" s="51">
        <f>rebio23_80ml!BG22/50</f>
        <v>0</v>
      </c>
    </row>
    <row r="22" spans="1:59" ht="12.75" customHeight="1" x14ac:dyDescent="0.25">
      <c r="A22" s="50" t="str">
        <f>rebio23_80ml!A23</f>
        <v>S-C-P11-H3</v>
      </c>
      <c r="B22" s="51">
        <f>rebio23_80ml!B23/50</f>
        <v>0</v>
      </c>
      <c r="C22" s="51">
        <f>rebio23_80ml!C23/50</f>
        <v>0</v>
      </c>
      <c r="D22" s="51">
        <f>rebio23_80ml!D23/50</f>
        <v>0</v>
      </c>
      <c r="E22" s="51">
        <f>rebio23_80ml!E23/50</f>
        <v>0</v>
      </c>
      <c r="F22" s="51">
        <f>rebio23_80ml!F23/50</f>
        <v>0</v>
      </c>
      <c r="G22" s="51">
        <f>rebio23_80ml!G23/50</f>
        <v>0</v>
      </c>
      <c r="H22" s="51">
        <f>rebio23_80ml!H23/50</f>
        <v>0</v>
      </c>
      <c r="I22" s="51">
        <f>rebio23_80ml!I23/50</f>
        <v>0</v>
      </c>
      <c r="J22" s="51">
        <f>rebio23_80ml!J23/50</f>
        <v>0</v>
      </c>
      <c r="K22" s="51">
        <f>rebio23_80ml!K23/50</f>
        <v>0</v>
      </c>
      <c r="L22" s="51">
        <f>rebio23_80ml!L23/50</f>
        <v>0</v>
      </c>
      <c r="M22" s="51">
        <f>rebio23_80ml!M23/50</f>
        <v>0</v>
      </c>
      <c r="N22" s="51">
        <f>rebio23_80ml!N23/50</f>
        <v>0</v>
      </c>
      <c r="O22" s="51">
        <f>rebio23_80ml!O23/50</f>
        <v>0</v>
      </c>
      <c r="P22" s="51">
        <f>rebio23_80ml!P23/50</f>
        <v>0</v>
      </c>
      <c r="Q22" s="51">
        <f>rebio23_80ml!Q23/50</f>
        <v>0</v>
      </c>
      <c r="R22" s="51">
        <f>rebio23_80ml!R23/50</f>
        <v>0</v>
      </c>
      <c r="S22" s="51">
        <f>rebio23_80ml!S23/50</f>
        <v>0</v>
      </c>
      <c r="T22" s="51">
        <f>rebio23_80ml!T23/50</f>
        <v>0</v>
      </c>
      <c r="U22" s="51">
        <f>rebio23_80ml!U23/50</f>
        <v>0</v>
      </c>
      <c r="V22" s="51">
        <f>rebio23_80ml!V23/50</f>
        <v>0</v>
      </c>
      <c r="W22" s="51">
        <f>rebio23_80ml!W23/50</f>
        <v>0</v>
      </c>
      <c r="X22" s="51">
        <f>rebio23_80ml!X23/50</f>
        <v>0</v>
      </c>
      <c r="Y22" s="51">
        <f>rebio23_80ml!Y23/50</f>
        <v>0</v>
      </c>
      <c r="Z22" s="51">
        <f>rebio23_80ml!Z23/50</f>
        <v>0</v>
      </c>
      <c r="AA22" s="51">
        <f>rebio23_80ml!AA23/50</f>
        <v>0</v>
      </c>
      <c r="AB22" s="51">
        <f>rebio23_80ml!AB23/50</f>
        <v>0</v>
      </c>
      <c r="AC22" s="51">
        <f>rebio23_80ml!AC23/50</f>
        <v>0</v>
      </c>
      <c r="AD22" s="51">
        <f>rebio23_80ml!AD23/50</f>
        <v>0</v>
      </c>
      <c r="AE22" s="51">
        <f>rebio23_80ml!AE23/50</f>
        <v>0</v>
      </c>
      <c r="AF22" s="51">
        <f>rebio23_80ml!AF23/50</f>
        <v>0</v>
      </c>
      <c r="AG22" s="51">
        <f>rebio23_80ml!AG23/50</f>
        <v>0</v>
      </c>
      <c r="AH22" s="51">
        <f>rebio23_80ml!AH23/50</f>
        <v>0</v>
      </c>
      <c r="AI22" s="51">
        <f>rebio23_80ml!AI23/50</f>
        <v>0</v>
      </c>
      <c r="AJ22" s="51">
        <f>rebio23_80ml!AJ23/50</f>
        <v>0</v>
      </c>
      <c r="AK22" s="51">
        <f>rebio23_80ml!AK23/50</f>
        <v>0</v>
      </c>
      <c r="AL22" s="51">
        <f>rebio23_80ml!AL23/50</f>
        <v>0</v>
      </c>
      <c r="AM22" s="51">
        <f>rebio23_80ml!AM23/50</f>
        <v>0</v>
      </c>
      <c r="AN22" s="51">
        <f>rebio23_80ml!AN23/50</f>
        <v>0</v>
      </c>
      <c r="AO22" s="51">
        <f>rebio23_80ml!AO23/50</f>
        <v>0</v>
      </c>
      <c r="AP22" s="51">
        <f>rebio23_80ml!AP23/50</f>
        <v>0</v>
      </c>
      <c r="AQ22" s="51">
        <f>rebio23_80ml!AQ23/50</f>
        <v>0</v>
      </c>
      <c r="AR22" s="51">
        <f>rebio23_80ml!AR23/50</f>
        <v>0</v>
      </c>
      <c r="AS22" s="51">
        <f>rebio23_80ml!AS23/50</f>
        <v>0</v>
      </c>
      <c r="AT22" s="51">
        <f>rebio23_80ml!AT23/50</f>
        <v>0</v>
      </c>
      <c r="AU22" s="51">
        <f>rebio23_80ml!AU23/50</f>
        <v>0</v>
      </c>
      <c r="AV22" s="51">
        <f>rebio23_80ml!AV23/50</f>
        <v>0</v>
      </c>
      <c r="AW22" s="51">
        <f>rebio23_80ml!AW23/50</f>
        <v>0</v>
      </c>
      <c r="AX22" s="51">
        <f>rebio23_80ml!AX23/50</f>
        <v>0</v>
      </c>
      <c r="AY22" s="51">
        <f>rebio23_80ml!AY23/50</f>
        <v>0</v>
      </c>
      <c r="AZ22" s="51">
        <f>rebio23_80ml!AZ23/50</f>
        <v>0</v>
      </c>
      <c r="BA22" s="51">
        <f>rebio23_80ml!BA23/50</f>
        <v>0</v>
      </c>
      <c r="BB22" s="51">
        <f>rebio23_80ml!BB23/50</f>
        <v>0</v>
      </c>
      <c r="BC22" s="51">
        <f>rebio23_80ml!BC23/50</f>
        <v>0</v>
      </c>
      <c r="BD22" s="51">
        <f>rebio23_80ml!BD23/50</f>
        <v>0</v>
      </c>
      <c r="BE22" s="51">
        <f>rebio23_80ml!BE23/50</f>
        <v>0</v>
      </c>
      <c r="BF22" s="51">
        <f>rebio23_80ml!BF23/50</f>
        <v>0</v>
      </c>
      <c r="BG22" s="51">
        <f>rebio23_80ml!BG23/50</f>
        <v>0</v>
      </c>
    </row>
    <row r="23" spans="1:59" ht="12.75" customHeight="1" x14ac:dyDescent="0.25">
      <c r="A23" s="15" t="str">
        <f>rebio23_80ml!A24</f>
        <v>S-C-P12-H1</v>
      </c>
      <c r="B23" s="27">
        <f>rebio23_80ml!B24/50</f>
        <v>0.02</v>
      </c>
      <c r="C23" s="27">
        <f>rebio23_80ml!C24/50</f>
        <v>0</v>
      </c>
      <c r="D23" s="27">
        <f>rebio23_80ml!D24/50</f>
        <v>0</v>
      </c>
      <c r="E23" s="27">
        <f>rebio23_80ml!E24/50</f>
        <v>0.5</v>
      </c>
      <c r="F23" s="27">
        <f>rebio23_80ml!F24/50</f>
        <v>0</v>
      </c>
      <c r="G23" s="27">
        <f>rebio23_80ml!G24/50</f>
        <v>0</v>
      </c>
      <c r="H23" s="27">
        <f>rebio23_80ml!H24/50</f>
        <v>0</v>
      </c>
      <c r="I23" s="27">
        <f>rebio23_80ml!I24/50</f>
        <v>0.04</v>
      </c>
      <c r="J23" s="27">
        <f>rebio23_80ml!J24/50</f>
        <v>0</v>
      </c>
      <c r="K23" s="27">
        <f>rebio23_80ml!K24/50</f>
        <v>0</v>
      </c>
      <c r="L23" s="27">
        <f>rebio23_80ml!L24/50</f>
        <v>0</v>
      </c>
      <c r="M23" s="27">
        <f>rebio23_80ml!M24/50</f>
        <v>0</v>
      </c>
      <c r="N23" s="27">
        <f>rebio23_80ml!N24/50</f>
        <v>0</v>
      </c>
      <c r="O23" s="27">
        <f>rebio23_80ml!O24/50</f>
        <v>0</v>
      </c>
      <c r="P23" s="27">
        <f>rebio23_80ml!P24/50</f>
        <v>0</v>
      </c>
      <c r="Q23" s="27">
        <f>rebio23_80ml!Q24/50</f>
        <v>0</v>
      </c>
      <c r="R23" s="27">
        <f>rebio23_80ml!R24/50</f>
        <v>0</v>
      </c>
      <c r="S23" s="27">
        <f>rebio23_80ml!S24/50</f>
        <v>0.02</v>
      </c>
      <c r="T23" s="27">
        <f>rebio23_80ml!T24/50</f>
        <v>0</v>
      </c>
      <c r="U23" s="27">
        <f>rebio23_80ml!U24/50</f>
        <v>0.02</v>
      </c>
      <c r="V23" s="27">
        <f>rebio23_80ml!V24/50</f>
        <v>0</v>
      </c>
      <c r="W23" s="27">
        <f>rebio23_80ml!W24/50</f>
        <v>0</v>
      </c>
      <c r="X23" s="27">
        <f>rebio23_80ml!X24/50</f>
        <v>0</v>
      </c>
      <c r="Y23" s="27">
        <f>rebio23_80ml!Y24/50</f>
        <v>0</v>
      </c>
      <c r="Z23" s="27">
        <f>rebio23_80ml!Z24/50</f>
        <v>0</v>
      </c>
      <c r="AA23" s="27">
        <f>rebio23_80ml!AA24/50</f>
        <v>0</v>
      </c>
      <c r="AB23" s="27">
        <f>rebio23_80ml!AB24/50</f>
        <v>0</v>
      </c>
      <c r="AC23" s="27">
        <f>rebio23_80ml!AC24/50</f>
        <v>0.04</v>
      </c>
      <c r="AD23" s="27">
        <f>rebio23_80ml!AD24/50</f>
        <v>0.02</v>
      </c>
      <c r="AE23" s="27">
        <f>rebio23_80ml!AE24/50</f>
        <v>0</v>
      </c>
      <c r="AF23" s="27">
        <f>rebio23_80ml!AF24/50</f>
        <v>0</v>
      </c>
      <c r="AG23" s="27">
        <f>rebio23_80ml!AG24/50</f>
        <v>0</v>
      </c>
      <c r="AH23" s="27">
        <f>rebio23_80ml!AH24/50</f>
        <v>0.02</v>
      </c>
      <c r="AI23" s="27">
        <f>rebio23_80ml!AI24/50</f>
        <v>0</v>
      </c>
      <c r="AJ23" s="27">
        <f>rebio23_80ml!AJ24/50</f>
        <v>0</v>
      </c>
      <c r="AK23" s="27">
        <f>rebio23_80ml!AK24/50</f>
        <v>0</v>
      </c>
      <c r="AL23" s="27">
        <f>rebio23_80ml!AL24/50</f>
        <v>0</v>
      </c>
      <c r="AM23" s="27">
        <f>rebio23_80ml!AM24/50</f>
        <v>0</v>
      </c>
      <c r="AN23" s="27">
        <f>rebio23_80ml!AN24/50</f>
        <v>0</v>
      </c>
      <c r="AO23" s="27">
        <f>rebio23_80ml!AO24/50</f>
        <v>0</v>
      </c>
      <c r="AP23" s="27">
        <f>rebio23_80ml!AP24/50</f>
        <v>0</v>
      </c>
      <c r="AQ23" s="27">
        <f>rebio23_80ml!AQ24/50</f>
        <v>0</v>
      </c>
      <c r="AR23" s="27">
        <f>rebio23_80ml!AR24/50</f>
        <v>0</v>
      </c>
      <c r="AS23" s="27">
        <f>rebio23_80ml!AS24/50</f>
        <v>0</v>
      </c>
      <c r="AT23" s="27">
        <f>rebio23_80ml!AT24/50</f>
        <v>0</v>
      </c>
      <c r="AU23" s="27">
        <f>rebio23_80ml!AU24/50</f>
        <v>0</v>
      </c>
      <c r="AV23" s="27">
        <f>rebio23_80ml!AV24/50</f>
        <v>0.24</v>
      </c>
      <c r="AW23" s="27">
        <f>rebio23_80ml!AW24/50</f>
        <v>0</v>
      </c>
      <c r="AX23" s="27">
        <f>rebio23_80ml!AX24/50</f>
        <v>0</v>
      </c>
      <c r="AY23" s="27">
        <f>rebio23_80ml!AY24/50</f>
        <v>0</v>
      </c>
      <c r="AZ23" s="27">
        <f>rebio23_80ml!AZ24/50</f>
        <v>0</v>
      </c>
      <c r="BA23" s="27">
        <f>rebio23_80ml!BA24/50</f>
        <v>0</v>
      </c>
      <c r="BB23" s="27">
        <f>rebio23_80ml!BB24/50</f>
        <v>0</v>
      </c>
      <c r="BC23" s="27">
        <f>rebio23_80ml!BC24/50</f>
        <v>0</v>
      </c>
      <c r="BD23" s="27">
        <f>rebio23_80ml!BD24/50</f>
        <v>0</v>
      </c>
      <c r="BE23" s="27">
        <f>rebio23_80ml!BE24/50</f>
        <v>0</v>
      </c>
      <c r="BF23" s="27">
        <f>rebio23_80ml!BF24/50</f>
        <v>0</v>
      </c>
      <c r="BG23" s="27">
        <f>rebio23_80ml!BG24/50</f>
        <v>0</v>
      </c>
    </row>
    <row r="24" spans="1:59" ht="12.75" customHeight="1" x14ac:dyDescent="0.25">
      <c r="A24" s="15" t="str">
        <f>rebio23_80ml!A25</f>
        <v>S-C-P12-H2</v>
      </c>
      <c r="B24" s="27">
        <f>rebio23_80ml!B25/50</f>
        <v>0.02</v>
      </c>
      <c r="C24" s="27">
        <f>rebio23_80ml!C25/50</f>
        <v>0</v>
      </c>
      <c r="D24" s="27">
        <f>rebio23_80ml!D25/50</f>
        <v>0</v>
      </c>
      <c r="E24" s="27">
        <f>rebio23_80ml!E25/50</f>
        <v>0.38</v>
      </c>
      <c r="F24" s="27">
        <f>rebio23_80ml!F25/50</f>
        <v>0</v>
      </c>
      <c r="G24" s="27">
        <f>rebio23_80ml!G25/50</f>
        <v>0</v>
      </c>
      <c r="H24" s="27">
        <f>rebio23_80ml!H25/50</f>
        <v>0</v>
      </c>
      <c r="I24" s="27">
        <f>rebio23_80ml!I25/50</f>
        <v>0.14000000000000001</v>
      </c>
      <c r="J24" s="27">
        <f>rebio23_80ml!J25/50</f>
        <v>0</v>
      </c>
      <c r="K24" s="27">
        <f>rebio23_80ml!K25/50</f>
        <v>0</v>
      </c>
      <c r="L24" s="27">
        <f>rebio23_80ml!L25/50</f>
        <v>0</v>
      </c>
      <c r="M24" s="27">
        <f>rebio23_80ml!M25/50</f>
        <v>0</v>
      </c>
      <c r="N24" s="27">
        <f>rebio23_80ml!N25/50</f>
        <v>0</v>
      </c>
      <c r="O24" s="27">
        <f>rebio23_80ml!O25/50</f>
        <v>0</v>
      </c>
      <c r="P24" s="27">
        <f>rebio23_80ml!P25/50</f>
        <v>0</v>
      </c>
      <c r="Q24" s="27">
        <f>rebio23_80ml!Q25/50</f>
        <v>0</v>
      </c>
      <c r="R24" s="27">
        <f>rebio23_80ml!R25/50</f>
        <v>0</v>
      </c>
      <c r="S24" s="27">
        <f>rebio23_80ml!S25/50</f>
        <v>0.06</v>
      </c>
      <c r="T24" s="27">
        <f>rebio23_80ml!T25/50</f>
        <v>0</v>
      </c>
      <c r="U24" s="27">
        <f>rebio23_80ml!U25/50</f>
        <v>0</v>
      </c>
      <c r="V24" s="27">
        <f>rebio23_80ml!V25/50</f>
        <v>0</v>
      </c>
      <c r="W24" s="27">
        <f>rebio23_80ml!W25/50</f>
        <v>0</v>
      </c>
      <c r="X24" s="27">
        <f>rebio23_80ml!X25/50</f>
        <v>0</v>
      </c>
      <c r="Y24" s="27">
        <f>rebio23_80ml!Y25/50</f>
        <v>0</v>
      </c>
      <c r="Z24" s="27">
        <f>rebio23_80ml!Z25/50</f>
        <v>0</v>
      </c>
      <c r="AA24" s="27">
        <f>rebio23_80ml!AA25/50</f>
        <v>0.06</v>
      </c>
      <c r="AB24" s="27">
        <f>rebio23_80ml!AB25/50</f>
        <v>0</v>
      </c>
      <c r="AC24" s="27">
        <f>rebio23_80ml!AC25/50</f>
        <v>0</v>
      </c>
      <c r="AD24" s="27">
        <f>rebio23_80ml!AD25/50</f>
        <v>0</v>
      </c>
      <c r="AE24" s="27">
        <f>rebio23_80ml!AE25/50</f>
        <v>0</v>
      </c>
      <c r="AF24" s="27">
        <f>rebio23_80ml!AF25/50</f>
        <v>0</v>
      </c>
      <c r="AG24" s="27">
        <f>rebio23_80ml!AG25/50</f>
        <v>0</v>
      </c>
      <c r="AH24" s="27">
        <f>rebio23_80ml!AH25/50</f>
        <v>0</v>
      </c>
      <c r="AI24" s="27">
        <f>rebio23_80ml!AI25/50</f>
        <v>0</v>
      </c>
      <c r="AJ24" s="27">
        <f>rebio23_80ml!AJ25/50</f>
        <v>0.02</v>
      </c>
      <c r="AK24" s="27">
        <f>rebio23_80ml!AK25/50</f>
        <v>0</v>
      </c>
      <c r="AL24" s="27">
        <f>rebio23_80ml!AL25/50</f>
        <v>0</v>
      </c>
      <c r="AM24" s="27">
        <f>rebio23_80ml!AM25/50</f>
        <v>0</v>
      </c>
      <c r="AN24" s="27">
        <f>rebio23_80ml!AN25/50</f>
        <v>0</v>
      </c>
      <c r="AO24" s="27">
        <f>rebio23_80ml!AO25/50</f>
        <v>0</v>
      </c>
      <c r="AP24" s="27">
        <f>rebio23_80ml!AP25/50</f>
        <v>0</v>
      </c>
      <c r="AQ24" s="27">
        <f>rebio23_80ml!AQ25/50</f>
        <v>0</v>
      </c>
      <c r="AR24" s="27">
        <f>rebio23_80ml!AR25/50</f>
        <v>0</v>
      </c>
      <c r="AS24" s="27">
        <f>rebio23_80ml!AS25/50</f>
        <v>0</v>
      </c>
      <c r="AT24" s="27">
        <f>rebio23_80ml!AT25/50</f>
        <v>0</v>
      </c>
      <c r="AU24" s="27">
        <f>rebio23_80ml!AU25/50</f>
        <v>0</v>
      </c>
      <c r="AV24" s="27">
        <f>rebio23_80ml!AV25/50</f>
        <v>0.06</v>
      </c>
      <c r="AW24" s="27">
        <f>rebio23_80ml!AW25/50</f>
        <v>0</v>
      </c>
      <c r="AX24" s="27">
        <f>rebio23_80ml!AX25/50</f>
        <v>0</v>
      </c>
      <c r="AY24" s="27">
        <f>rebio23_80ml!AY25/50</f>
        <v>0</v>
      </c>
      <c r="AZ24" s="27">
        <f>rebio23_80ml!AZ25/50</f>
        <v>0</v>
      </c>
      <c r="BA24" s="27">
        <f>rebio23_80ml!BA25/50</f>
        <v>0</v>
      </c>
      <c r="BB24" s="27">
        <f>rebio23_80ml!BB25/50</f>
        <v>0</v>
      </c>
      <c r="BC24" s="27">
        <f>rebio23_80ml!BC25/50</f>
        <v>0</v>
      </c>
      <c r="BD24" s="27">
        <f>rebio23_80ml!BD25/50</f>
        <v>0</v>
      </c>
      <c r="BE24" s="27">
        <f>rebio23_80ml!BE25/50</f>
        <v>0</v>
      </c>
      <c r="BF24" s="27">
        <f>rebio23_80ml!BF25/50</f>
        <v>0</v>
      </c>
      <c r="BG24" s="27">
        <f>rebio23_80ml!BG25/50</f>
        <v>0</v>
      </c>
    </row>
    <row r="25" spans="1:59" ht="12.75" customHeight="1" x14ac:dyDescent="0.25">
      <c r="A25" s="15" t="str">
        <f>rebio23_80ml!A26</f>
        <v>S-C-P12-H3</v>
      </c>
      <c r="B25" s="27">
        <f>rebio23_80ml!B26/50</f>
        <v>0.04</v>
      </c>
      <c r="C25" s="27">
        <f>rebio23_80ml!C26/50</f>
        <v>0</v>
      </c>
      <c r="D25" s="27">
        <f>rebio23_80ml!D26/50</f>
        <v>0</v>
      </c>
      <c r="E25" s="27">
        <f>rebio23_80ml!E26/50</f>
        <v>0.46</v>
      </c>
      <c r="F25" s="27">
        <f>rebio23_80ml!F26/50</f>
        <v>0</v>
      </c>
      <c r="G25" s="27">
        <f>rebio23_80ml!G26/50</f>
        <v>0</v>
      </c>
      <c r="H25" s="27">
        <f>rebio23_80ml!H26/50</f>
        <v>0</v>
      </c>
      <c r="I25" s="27">
        <f>rebio23_80ml!I26/50</f>
        <v>0.02</v>
      </c>
      <c r="J25" s="27">
        <f>rebio23_80ml!J26/50</f>
        <v>0</v>
      </c>
      <c r="K25" s="27">
        <f>rebio23_80ml!K26/50</f>
        <v>0</v>
      </c>
      <c r="L25" s="27">
        <f>rebio23_80ml!L26/50</f>
        <v>0</v>
      </c>
      <c r="M25" s="27">
        <f>rebio23_80ml!M26/50</f>
        <v>0</v>
      </c>
      <c r="N25" s="27">
        <f>rebio23_80ml!N26/50</f>
        <v>0</v>
      </c>
      <c r="O25" s="27">
        <f>rebio23_80ml!O26/50</f>
        <v>0</v>
      </c>
      <c r="P25" s="27">
        <f>rebio23_80ml!P26/50</f>
        <v>0</v>
      </c>
      <c r="Q25" s="27">
        <f>rebio23_80ml!Q26/50</f>
        <v>0</v>
      </c>
      <c r="R25" s="27">
        <f>rebio23_80ml!R26/50</f>
        <v>0</v>
      </c>
      <c r="S25" s="27">
        <f>rebio23_80ml!S26/50</f>
        <v>0.08</v>
      </c>
      <c r="T25" s="27">
        <f>rebio23_80ml!T26/50</f>
        <v>0.04</v>
      </c>
      <c r="U25" s="27">
        <f>rebio23_80ml!U26/50</f>
        <v>0</v>
      </c>
      <c r="V25" s="27">
        <f>rebio23_80ml!V26/50</f>
        <v>0</v>
      </c>
      <c r="W25" s="27">
        <f>rebio23_80ml!W26/50</f>
        <v>0</v>
      </c>
      <c r="X25" s="27">
        <f>rebio23_80ml!X26/50</f>
        <v>0.02</v>
      </c>
      <c r="Y25" s="27">
        <f>rebio23_80ml!Y26/50</f>
        <v>0</v>
      </c>
      <c r="Z25" s="27">
        <f>rebio23_80ml!Z26/50</f>
        <v>0.02</v>
      </c>
      <c r="AA25" s="27">
        <f>rebio23_80ml!AA26/50</f>
        <v>0</v>
      </c>
      <c r="AB25" s="27">
        <f>rebio23_80ml!AB26/50</f>
        <v>0</v>
      </c>
      <c r="AC25" s="27">
        <f>rebio23_80ml!AC26/50</f>
        <v>0</v>
      </c>
      <c r="AD25" s="27">
        <f>rebio23_80ml!AD26/50</f>
        <v>0</v>
      </c>
      <c r="AE25" s="27">
        <f>rebio23_80ml!AE26/50</f>
        <v>0</v>
      </c>
      <c r="AF25" s="27">
        <f>rebio23_80ml!AF26/50</f>
        <v>0</v>
      </c>
      <c r="AG25" s="27">
        <f>rebio23_80ml!AG26/50</f>
        <v>0</v>
      </c>
      <c r="AH25" s="27">
        <f>rebio23_80ml!AH26/50</f>
        <v>0</v>
      </c>
      <c r="AI25" s="27">
        <f>rebio23_80ml!AI26/50</f>
        <v>0.02</v>
      </c>
      <c r="AJ25" s="27">
        <f>rebio23_80ml!AJ26/50</f>
        <v>0</v>
      </c>
      <c r="AK25" s="27">
        <f>rebio23_80ml!AK26/50</f>
        <v>0</v>
      </c>
      <c r="AL25" s="27">
        <f>rebio23_80ml!AL26/50</f>
        <v>0.02</v>
      </c>
      <c r="AM25" s="27">
        <f>rebio23_80ml!AM26/50</f>
        <v>0</v>
      </c>
      <c r="AN25" s="27">
        <f>rebio23_80ml!AN26/50</f>
        <v>0</v>
      </c>
      <c r="AO25" s="27">
        <f>rebio23_80ml!AO26/50</f>
        <v>0</v>
      </c>
      <c r="AP25" s="27">
        <f>rebio23_80ml!AP26/50</f>
        <v>0</v>
      </c>
      <c r="AQ25" s="27">
        <f>rebio23_80ml!AQ26/50</f>
        <v>0</v>
      </c>
      <c r="AR25" s="27">
        <f>rebio23_80ml!AR26/50</f>
        <v>0</v>
      </c>
      <c r="AS25" s="27">
        <f>rebio23_80ml!AS26/50</f>
        <v>0</v>
      </c>
      <c r="AT25" s="27">
        <f>rebio23_80ml!AT26/50</f>
        <v>0</v>
      </c>
      <c r="AU25" s="27">
        <f>rebio23_80ml!AU26/50</f>
        <v>0</v>
      </c>
      <c r="AV25" s="27">
        <f>rebio23_80ml!AV26/50</f>
        <v>0.08</v>
      </c>
      <c r="AW25" s="27">
        <f>rebio23_80ml!AW26/50</f>
        <v>0</v>
      </c>
      <c r="AX25" s="27">
        <f>rebio23_80ml!AX26/50</f>
        <v>0.02</v>
      </c>
      <c r="AY25" s="27">
        <f>rebio23_80ml!AY26/50</f>
        <v>0</v>
      </c>
      <c r="AZ25" s="27">
        <f>rebio23_80ml!AZ26/50</f>
        <v>0</v>
      </c>
      <c r="BA25" s="27">
        <f>rebio23_80ml!BA26/50</f>
        <v>0</v>
      </c>
      <c r="BB25" s="27">
        <f>rebio23_80ml!BB26/50</f>
        <v>0</v>
      </c>
      <c r="BC25" s="27">
        <f>rebio23_80ml!BC26/50</f>
        <v>0</v>
      </c>
      <c r="BD25" s="27">
        <f>rebio23_80ml!BD26/50</f>
        <v>0</v>
      </c>
      <c r="BE25" s="27">
        <f>rebio23_80ml!BE26/50</f>
        <v>0</v>
      </c>
      <c r="BF25" s="27">
        <f>rebio23_80ml!BF26/50</f>
        <v>0</v>
      </c>
      <c r="BG25" s="27">
        <f>rebio23_80ml!BG26/50</f>
        <v>0</v>
      </c>
    </row>
    <row r="26" spans="1:59" ht="12.75" customHeight="1" x14ac:dyDescent="0.25">
      <c r="A26" s="15" t="str">
        <f>rebio23_80ml!A27</f>
        <v>S-C-P13-H1</v>
      </c>
      <c r="B26" s="27">
        <f>rebio23_80ml!B27/50</f>
        <v>0</v>
      </c>
      <c r="C26" s="27">
        <f>rebio23_80ml!C27/50</f>
        <v>0</v>
      </c>
      <c r="D26" s="27">
        <f>rebio23_80ml!D27/50</f>
        <v>0</v>
      </c>
      <c r="E26" s="27">
        <f>rebio23_80ml!E27/50</f>
        <v>0.14000000000000001</v>
      </c>
      <c r="F26" s="27">
        <f>rebio23_80ml!F27/50</f>
        <v>0</v>
      </c>
      <c r="G26" s="27">
        <f>rebio23_80ml!G27/50</f>
        <v>0</v>
      </c>
      <c r="H26" s="27">
        <f>rebio23_80ml!H27/50</f>
        <v>0</v>
      </c>
      <c r="I26" s="27">
        <f>rebio23_80ml!I27/50</f>
        <v>0</v>
      </c>
      <c r="J26" s="27">
        <f>rebio23_80ml!J27/50</f>
        <v>0</v>
      </c>
      <c r="K26" s="27">
        <f>rebio23_80ml!K27/50</f>
        <v>0</v>
      </c>
      <c r="L26" s="27">
        <f>rebio23_80ml!L27/50</f>
        <v>0</v>
      </c>
      <c r="M26" s="27">
        <f>rebio23_80ml!M27/50</f>
        <v>0</v>
      </c>
      <c r="N26" s="27">
        <f>rebio23_80ml!N27/50</f>
        <v>0</v>
      </c>
      <c r="O26" s="27">
        <f>rebio23_80ml!O27/50</f>
        <v>0</v>
      </c>
      <c r="P26" s="27">
        <f>rebio23_80ml!P27/50</f>
        <v>0</v>
      </c>
      <c r="Q26" s="27">
        <f>rebio23_80ml!Q27/50</f>
        <v>0</v>
      </c>
      <c r="R26" s="27">
        <f>rebio23_80ml!R27/50</f>
        <v>0</v>
      </c>
      <c r="S26" s="27">
        <f>rebio23_80ml!S27/50</f>
        <v>0.02</v>
      </c>
      <c r="T26" s="27">
        <f>rebio23_80ml!T27/50</f>
        <v>0</v>
      </c>
      <c r="U26" s="27">
        <f>rebio23_80ml!U27/50</f>
        <v>0</v>
      </c>
      <c r="V26" s="27">
        <f>rebio23_80ml!V27/50</f>
        <v>0</v>
      </c>
      <c r="W26" s="27">
        <f>rebio23_80ml!W27/50</f>
        <v>0</v>
      </c>
      <c r="X26" s="27">
        <f>rebio23_80ml!X27/50</f>
        <v>0</v>
      </c>
      <c r="Y26" s="27">
        <f>rebio23_80ml!Y27/50</f>
        <v>0</v>
      </c>
      <c r="Z26" s="27">
        <f>rebio23_80ml!Z27/50</f>
        <v>0</v>
      </c>
      <c r="AA26" s="27">
        <f>rebio23_80ml!AA27/50</f>
        <v>0</v>
      </c>
      <c r="AB26" s="27">
        <f>rebio23_80ml!AB27/50</f>
        <v>0</v>
      </c>
      <c r="AC26" s="27">
        <f>rebio23_80ml!AC27/50</f>
        <v>0</v>
      </c>
      <c r="AD26" s="27">
        <f>rebio23_80ml!AD27/50</f>
        <v>0</v>
      </c>
      <c r="AE26" s="27">
        <f>rebio23_80ml!AE27/50</f>
        <v>0</v>
      </c>
      <c r="AF26" s="27">
        <f>rebio23_80ml!AF27/50</f>
        <v>0</v>
      </c>
      <c r="AG26" s="27">
        <f>rebio23_80ml!AG27/50</f>
        <v>0</v>
      </c>
      <c r="AH26" s="27">
        <f>rebio23_80ml!AH27/50</f>
        <v>0</v>
      </c>
      <c r="AI26" s="27">
        <f>rebio23_80ml!AI27/50</f>
        <v>0</v>
      </c>
      <c r="AJ26" s="27">
        <f>rebio23_80ml!AJ27/50</f>
        <v>0</v>
      </c>
      <c r="AK26" s="27">
        <f>rebio23_80ml!AK27/50</f>
        <v>0</v>
      </c>
      <c r="AL26" s="27">
        <f>rebio23_80ml!AL27/50</f>
        <v>0</v>
      </c>
      <c r="AM26" s="27">
        <f>rebio23_80ml!AM27/50</f>
        <v>0</v>
      </c>
      <c r="AN26" s="27">
        <f>rebio23_80ml!AN27/50</f>
        <v>0</v>
      </c>
      <c r="AO26" s="27">
        <f>rebio23_80ml!AO27/50</f>
        <v>0</v>
      </c>
      <c r="AP26" s="27">
        <f>rebio23_80ml!AP27/50</f>
        <v>0</v>
      </c>
      <c r="AQ26" s="27">
        <f>rebio23_80ml!AQ27/50</f>
        <v>0</v>
      </c>
      <c r="AR26" s="27">
        <f>rebio23_80ml!AR27/50</f>
        <v>0</v>
      </c>
      <c r="AS26" s="27">
        <f>rebio23_80ml!AS27/50</f>
        <v>0</v>
      </c>
      <c r="AT26" s="27">
        <f>rebio23_80ml!AT27/50</f>
        <v>0</v>
      </c>
      <c r="AU26" s="27">
        <f>rebio23_80ml!AU27/50</f>
        <v>0</v>
      </c>
      <c r="AV26" s="27">
        <f>rebio23_80ml!AV27/50</f>
        <v>0</v>
      </c>
      <c r="AW26" s="27">
        <f>rebio23_80ml!AW27/50</f>
        <v>0</v>
      </c>
      <c r="AX26" s="27">
        <f>rebio23_80ml!AX27/50</f>
        <v>0</v>
      </c>
      <c r="AY26" s="27">
        <f>rebio23_80ml!AY27/50</f>
        <v>0</v>
      </c>
      <c r="AZ26" s="27">
        <f>rebio23_80ml!AZ27/50</f>
        <v>0</v>
      </c>
      <c r="BA26" s="27">
        <f>rebio23_80ml!BA27/50</f>
        <v>0</v>
      </c>
      <c r="BB26" s="27">
        <f>rebio23_80ml!BB27/50</f>
        <v>0</v>
      </c>
      <c r="BC26" s="27">
        <f>rebio23_80ml!BC27/50</f>
        <v>0</v>
      </c>
      <c r="BD26" s="27">
        <f>rebio23_80ml!BD27/50</f>
        <v>0</v>
      </c>
      <c r="BE26" s="27">
        <f>rebio23_80ml!BE27/50</f>
        <v>0</v>
      </c>
      <c r="BF26" s="27">
        <f>rebio23_80ml!BF27/50</f>
        <v>0</v>
      </c>
      <c r="BG26" s="27">
        <f>rebio23_80ml!BG27/50</f>
        <v>0</v>
      </c>
    </row>
    <row r="27" spans="1:59" ht="12.75" customHeight="1" x14ac:dyDescent="0.25">
      <c r="A27" s="15" t="str">
        <f>rebio23_80ml!A28</f>
        <v>S-C-P13-H2</v>
      </c>
      <c r="B27" s="27">
        <f>rebio23_80ml!B28/50</f>
        <v>0</v>
      </c>
      <c r="C27" s="27">
        <f>rebio23_80ml!C28/50</f>
        <v>0</v>
      </c>
      <c r="D27" s="27">
        <f>rebio23_80ml!D28/50</f>
        <v>0</v>
      </c>
      <c r="E27" s="27">
        <f>rebio23_80ml!E28/50</f>
        <v>0.24</v>
      </c>
      <c r="F27" s="27">
        <f>rebio23_80ml!F28/50</f>
        <v>0</v>
      </c>
      <c r="G27" s="27">
        <f>rebio23_80ml!G28/50</f>
        <v>0</v>
      </c>
      <c r="H27" s="27">
        <f>rebio23_80ml!H28/50</f>
        <v>0</v>
      </c>
      <c r="I27" s="27">
        <f>rebio23_80ml!I28/50</f>
        <v>0</v>
      </c>
      <c r="J27" s="27">
        <f>rebio23_80ml!J28/50</f>
        <v>0</v>
      </c>
      <c r="K27" s="27">
        <f>rebio23_80ml!K28/50</f>
        <v>0</v>
      </c>
      <c r="L27" s="27">
        <f>rebio23_80ml!L28/50</f>
        <v>0</v>
      </c>
      <c r="M27" s="27">
        <f>rebio23_80ml!M28/50</f>
        <v>0</v>
      </c>
      <c r="N27" s="27">
        <f>rebio23_80ml!N28/50</f>
        <v>0</v>
      </c>
      <c r="O27" s="27">
        <f>rebio23_80ml!O28/50</f>
        <v>0</v>
      </c>
      <c r="P27" s="27">
        <f>rebio23_80ml!P28/50</f>
        <v>0</v>
      </c>
      <c r="Q27" s="27">
        <f>rebio23_80ml!Q28/50</f>
        <v>0</v>
      </c>
      <c r="R27" s="27">
        <f>rebio23_80ml!R28/50</f>
        <v>0</v>
      </c>
      <c r="S27" s="27">
        <f>rebio23_80ml!S28/50</f>
        <v>0</v>
      </c>
      <c r="T27" s="27">
        <f>rebio23_80ml!T28/50</f>
        <v>0</v>
      </c>
      <c r="U27" s="27">
        <f>rebio23_80ml!U28/50</f>
        <v>0</v>
      </c>
      <c r="V27" s="27">
        <f>rebio23_80ml!V28/50</f>
        <v>0</v>
      </c>
      <c r="W27" s="27">
        <f>rebio23_80ml!W28/50</f>
        <v>0</v>
      </c>
      <c r="X27" s="27">
        <f>rebio23_80ml!X28/50</f>
        <v>0</v>
      </c>
      <c r="Y27" s="27">
        <f>rebio23_80ml!Y28/50</f>
        <v>0</v>
      </c>
      <c r="Z27" s="27">
        <f>rebio23_80ml!Z28/50</f>
        <v>0</v>
      </c>
      <c r="AA27" s="27">
        <f>rebio23_80ml!AA28/50</f>
        <v>0</v>
      </c>
      <c r="AB27" s="27">
        <f>rebio23_80ml!AB28/50</f>
        <v>0</v>
      </c>
      <c r="AC27" s="27">
        <f>rebio23_80ml!AC28/50</f>
        <v>0</v>
      </c>
      <c r="AD27" s="27">
        <f>rebio23_80ml!AD28/50</f>
        <v>0</v>
      </c>
      <c r="AE27" s="27">
        <f>rebio23_80ml!AE28/50</f>
        <v>0</v>
      </c>
      <c r="AF27" s="27">
        <f>rebio23_80ml!AF28/50</f>
        <v>0</v>
      </c>
      <c r="AG27" s="27">
        <f>rebio23_80ml!AG28/50</f>
        <v>0</v>
      </c>
      <c r="AH27" s="27">
        <f>rebio23_80ml!AH28/50</f>
        <v>0</v>
      </c>
      <c r="AI27" s="27">
        <f>rebio23_80ml!AI28/50</f>
        <v>0</v>
      </c>
      <c r="AJ27" s="27">
        <f>rebio23_80ml!AJ28/50</f>
        <v>0</v>
      </c>
      <c r="AK27" s="27">
        <f>rebio23_80ml!AK28/50</f>
        <v>0</v>
      </c>
      <c r="AL27" s="27">
        <f>rebio23_80ml!AL28/50</f>
        <v>0</v>
      </c>
      <c r="AM27" s="27">
        <f>rebio23_80ml!AM28/50</f>
        <v>0</v>
      </c>
      <c r="AN27" s="27">
        <f>rebio23_80ml!AN28/50</f>
        <v>0</v>
      </c>
      <c r="AO27" s="27">
        <f>rebio23_80ml!AO28/50</f>
        <v>0</v>
      </c>
      <c r="AP27" s="27">
        <f>rebio23_80ml!AP28/50</f>
        <v>0</v>
      </c>
      <c r="AQ27" s="27">
        <f>rebio23_80ml!AQ28/50</f>
        <v>0</v>
      </c>
      <c r="AR27" s="27">
        <f>rebio23_80ml!AR28/50</f>
        <v>0</v>
      </c>
      <c r="AS27" s="27">
        <f>rebio23_80ml!AS28/50</f>
        <v>0</v>
      </c>
      <c r="AT27" s="27">
        <f>rebio23_80ml!AT28/50</f>
        <v>0</v>
      </c>
      <c r="AU27" s="27">
        <f>rebio23_80ml!AU28/50</f>
        <v>0</v>
      </c>
      <c r="AV27" s="27">
        <f>rebio23_80ml!AV28/50</f>
        <v>0</v>
      </c>
      <c r="AW27" s="27">
        <f>rebio23_80ml!AW28/50</f>
        <v>0</v>
      </c>
      <c r="AX27" s="27">
        <f>rebio23_80ml!AX28/50</f>
        <v>0</v>
      </c>
      <c r="AY27" s="27">
        <f>rebio23_80ml!AY28/50</f>
        <v>0</v>
      </c>
      <c r="AZ27" s="27">
        <f>rebio23_80ml!AZ28/50</f>
        <v>0</v>
      </c>
      <c r="BA27" s="27">
        <f>rebio23_80ml!BA28/50</f>
        <v>0</v>
      </c>
      <c r="BB27" s="27">
        <f>rebio23_80ml!BB28/50</f>
        <v>0</v>
      </c>
      <c r="BC27" s="27">
        <f>rebio23_80ml!BC28/50</f>
        <v>0</v>
      </c>
      <c r="BD27" s="27">
        <f>rebio23_80ml!BD28/50</f>
        <v>0</v>
      </c>
      <c r="BE27" s="27">
        <f>rebio23_80ml!BE28/50</f>
        <v>0</v>
      </c>
      <c r="BF27" s="27">
        <f>rebio23_80ml!BF28/50</f>
        <v>0</v>
      </c>
      <c r="BG27" s="27">
        <f>rebio23_80ml!BG28/50</f>
        <v>0</v>
      </c>
    </row>
    <row r="28" spans="1:59" ht="12.75" customHeight="1" x14ac:dyDescent="0.25">
      <c r="A28" s="15" t="str">
        <f>rebio23_80ml!A29</f>
        <v>S-C-P13-H3</v>
      </c>
      <c r="B28" s="27">
        <f>rebio23_80ml!B29/50</f>
        <v>0</v>
      </c>
      <c r="C28" s="27">
        <f>rebio23_80ml!C29/50</f>
        <v>0</v>
      </c>
      <c r="D28" s="27">
        <f>rebio23_80ml!D29/50</f>
        <v>0</v>
      </c>
      <c r="E28" s="27">
        <f>rebio23_80ml!E29/50</f>
        <v>0.72</v>
      </c>
      <c r="F28" s="27">
        <f>rebio23_80ml!F29/50</f>
        <v>0</v>
      </c>
      <c r="G28" s="27">
        <f>rebio23_80ml!G29/50</f>
        <v>0</v>
      </c>
      <c r="H28" s="27">
        <f>rebio23_80ml!H29/50</f>
        <v>0</v>
      </c>
      <c r="I28" s="27">
        <f>rebio23_80ml!I29/50</f>
        <v>0</v>
      </c>
      <c r="J28" s="27">
        <f>rebio23_80ml!J29/50</f>
        <v>0</v>
      </c>
      <c r="K28" s="27">
        <f>rebio23_80ml!K29/50</f>
        <v>0</v>
      </c>
      <c r="L28" s="27">
        <f>rebio23_80ml!L29/50</f>
        <v>0</v>
      </c>
      <c r="M28" s="27">
        <f>rebio23_80ml!M29/50</f>
        <v>0</v>
      </c>
      <c r="N28" s="27">
        <f>rebio23_80ml!N29/50</f>
        <v>0</v>
      </c>
      <c r="O28" s="27">
        <f>rebio23_80ml!O29/50</f>
        <v>0</v>
      </c>
      <c r="P28" s="27">
        <f>rebio23_80ml!P29/50</f>
        <v>0</v>
      </c>
      <c r="Q28" s="27">
        <f>rebio23_80ml!Q29/50</f>
        <v>0</v>
      </c>
      <c r="R28" s="27">
        <f>rebio23_80ml!R29/50</f>
        <v>0</v>
      </c>
      <c r="S28" s="27">
        <f>rebio23_80ml!S29/50</f>
        <v>0.02</v>
      </c>
      <c r="T28" s="27">
        <f>rebio23_80ml!T29/50</f>
        <v>0</v>
      </c>
      <c r="U28" s="27">
        <f>rebio23_80ml!U29/50</f>
        <v>0</v>
      </c>
      <c r="V28" s="27">
        <f>rebio23_80ml!V29/50</f>
        <v>0</v>
      </c>
      <c r="W28" s="27">
        <f>rebio23_80ml!W29/50</f>
        <v>0</v>
      </c>
      <c r="X28" s="27">
        <f>rebio23_80ml!X29/50</f>
        <v>0</v>
      </c>
      <c r="Y28" s="27">
        <f>rebio23_80ml!Y29/50</f>
        <v>0</v>
      </c>
      <c r="Z28" s="27">
        <f>rebio23_80ml!Z29/50</f>
        <v>0</v>
      </c>
      <c r="AA28" s="27">
        <f>rebio23_80ml!AA29/50</f>
        <v>0</v>
      </c>
      <c r="AB28" s="27">
        <f>rebio23_80ml!AB29/50</f>
        <v>0</v>
      </c>
      <c r="AC28" s="27">
        <f>rebio23_80ml!AC29/50</f>
        <v>0</v>
      </c>
      <c r="AD28" s="27">
        <f>rebio23_80ml!AD29/50</f>
        <v>0</v>
      </c>
      <c r="AE28" s="27">
        <f>rebio23_80ml!AE29/50</f>
        <v>0</v>
      </c>
      <c r="AF28" s="27">
        <f>rebio23_80ml!AF29/50</f>
        <v>0</v>
      </c>
      <c r="AG28" s="27">
        <f>rebio23_80ml!AG29/50</f>
        <v>0</v>
      </c>
      <c r="AH28" s="27">
        <f>rebio23_80ml!AH29/50</f>
        <v>0</v>
      </c>
      <c r="AI28" s="27">
        <f>rebio23_80ml!AI29/50</f>
        <v>0</v>
      </c>
      <c r="AJ28" s="27">
        <f>rebio23_80ml!AJ29/50</f>
        <v>0</v>
      </c>
      <c r="AK28" s="27">
        <f>rebio23_80ml!AK29/50</f>
        <v>0</v>
      </c>
      <c r="AL28" s="27">
        <f>rebio23_80ml!AL29/50</f>
        <v>0</v>
      </c>
      <c r="AM28" s="27">
        <f>rebio23_80ml!AM29/50</f>
        <v>0</v>
      </c>
      <c r="AN28" s="27">
        <f>rebio23_80ml!AN29/50</f>
        <v>0</v>
      </c>
      <c r="AO28" s="27">
        <f>rebio23_80ml!AO29/50</f>
        <v>0</v>
      </c>
      <c r="AP28" s="27">
        <f>rebio23_80ml!AP29/50</f>
        <v>0</v>
      </c>
      <c r="AQ28" s="27">
        <f>rebio23_80ml!AQ29/50</f>
        <v>0</v>
      </c>
      <c r="AR28" s="27">
        <f>rebio23_80ml!AR29/50</f>
        <v>0</v>
      </c>
      <c r="AS28" s="27">
        <f>rebio23_80ml!AS29/50</f>
        <v>0</v>
      </c>
      <c r="AT28" s="27">
        <f>rebio23_80ml!AT29/50</f>
        <v>0</v>
      </c>
      <c r="AU28" s="27">
        <f>rebio23_80ml!AU29/50</f>
        <v>0</v>
      </c>
      <c r="AV28" s="27">
        <f>rebio23_80ml!AV29/50</f>
        <v>0.06</v>
      </c>
      <c r="AW28" s="27">
        <f>rebio23_80ml!AW29/50</f>
        <v>0</v>
      </c>
      <c r="AX28" s="27">
        <f>rebio23_80ml!AX29/50</f>
        <v>0</v>
      </c>
      <c r="AY28" s="27">
        <f>rebio23_80ml!AY29/50</f>
        <v>0</v>
      </c>
      <c r="AZ28" s="27">
        <f>rebio23_80ml!AZ29/50</f>
        <v>0</v>
      </c>
      <c r="BA28" s="27">
        <f>rebio23_80ml!BA29/50</f>
        <v>0</v>
      </c>
      <c r="BB28" s="27">
        <f>rebio23_80ml!BB29/50</f>
        <v>0</v>
      </c>
      <c r="BC28" s="27">
        <f>rebio23_80ml!BC29/50</f>
        <v>0</v>
      </c>
      <c r="BD28" s="27">
        <f>rebio23_80ml!BD29/50</f>
        <v>0</v>
      </c>
      <c r="BE28" s="27">
        <f>rebio23_80ml!BE29/50</f>
        <v>0</v>
      </c>
      <c r="BF28" s="27">
        <f>rebio23_80ml!BF29/50</f>
        <v>0</v>
      </c>
      <c r="BG28" s="27">
        <f>rebio23_80ml!BG29/50</f>
        <v>0</v>
      </c>
    </row>
    <row r="29" spans="1:59" ht="12.75" customHeight="1" x14ac:dyDescent="0.25">
      <c r="A29" s="15" t="str">
        <f>rebio23_80ml!A30</f>
        <v>S-C-P14-H1</v>
      </c>
      <c r="B29" s="27">
        <f>rebio23_80ml!B30/50</f>
        <v>0</v>
      </c>
      <c r="C29" s="27">
        <f>rebio23_80ml!C30/50</f>
        <v>0</v>
      </c>
      <c r="D29" s="27">
        <f>rebio23_80ml!D30/50</f>
        <v>0</v>
      </c>
      <c r="E29" s="27">
        <f>rebio23_80ml!E30/50</f>
        <v>0.26</v>
      </c>
      <c r="F29" s="27">
        <f>rebio23_80ml!F30/50</f>
        <v>0</v>
      </c>
      <c r="G29" s="27">
        <f>rebio23_80ml!G30/50</f>
        <v>0</v>
      </c>
      <c r="H29" s="27">
        <f>rebio23_80ml!H30/50</f>
        <v>0</v>
      </c>
      <c r="I29" s="27">
        <f>rebio23_80ml!I30/50</f>
        <v>0</v>
      </c>
      <c r="J29" s="27">
        <f>rebio23_80ml!J30/50</f>
        <v>0</v>
      </c>
      <c r="K29" s="27">
        <f>rebio23_80ml!K30/50</f>
        <v>0</v>
      </c>
      <c r="L29" s="27">
        <f>rebio23_80ml!L30/50</f>
        <v>0</v>
      </c>
      <c r="M29" s="27">
        <f>rebio23_80ml!M30/50</f>
        <v>0</v>
      </c>
      <c r="N29" s="27">
        <f>rebio23_80ml!N30/50</f>
        <v>0</v>
      </c>
      <c r="O29" s="27">
        <f>rebio23_80ml!O30/50</f>
        <v>0</v>
      </c>
      <c r="P29" s="27">
        <f>rebio23_80ml!P30/50</f>
        <v>0</v>
      </c>
      <c r="Q29" s="27">
        <f>rebio23_80ml!Q30/50</f>
        <v>0</v>
      </c>
      <c r="R29" s="27">
        <f>rebio23_80ml!R30/50</f>
        <v>0</v>
      </c>
      <c r="S29" s="27">
        <f>rebio23_80ml!S30/50</f>
        <v>0.02</v>
      </c>
      <c r="T29" s="27">
        <f>rebio23_80ml!T30/50</f>
        <v>0</v>
      </c>
      <c r="U29" s="27">
        <f>rebio23_80ml!U30/50</f>
        <v>0</v>
      </c>
      <c r="V29" s="27">
        <f>rebio23_80ml!V30/50</f>
        <v>0</v>
      </c>
      <c r="W29" s="27">
        <f>rebio23_80ml!W30/50</f>
        <v>0</v>
      </c>
      <c r="X29" s="27">
        <f>rebio23_80ml!X30/50</f>
        <v>0</v>
      </c>
      <c r="Y29" s="27">
        <f>rebio23_80ml!Y30/50</f>
        <v>0</v>
      </c>
      <c r="Z29" s="27">
        <f>rebio23_80ml!Z30/50</f>
        <v>0</v>
      </c>
      <c r="AA29" s="27">
        <f>rebio23_80ml!AA30/50</f>
        <v>0.02</v>
      </c>
      <c r="AB29" s="27">
        <f>rebio23_80ml!AB30/50</f>
        <v>0</v>
      </c>
      <c r="AC29" s="27">
        <f>rebio23_80ml!AC30/50</f>
        <v>0</v>
      </c>
      <c r="AD29" s="27">
        <f>rebio23_80ml!AD30/50</f>
        <v>0</v>
      </c>
      <c r="AE29" s="27">
        <f>rebio23_80ml!AE30/50</f>
        <v>0</v>
      </c>
      <c r="AF29" s="27">
        <f>rebio23_80ml!AF30/50</f>
        <v>0</v>
      </c>
      <c r="AG29" s="27">
        <f>rebio23_80ml!AG30/50</f>
        <v>0</v>
      </c>
      <c r="AH29" s="27">
        <f>rebio23_80ml!AH30/50</f>
        <v>0</v>
      </c>
      <c r="AI29" s="27">
        <f>rebio23_80ml!AI30/50</f>
        <v>0</v>
      </c>
      <c r="AJ29" s="27">
        <f>rebio23_80ml!AJ30/50</f>
        <v>0.02</v>
      </c>
      <c r="AK29" s="27">
        <f>rebio23_80ml!AK30/50</f>
        <v>0</v>
      </c>
      <c r="AL29" s="27">
        <f>rebio23_80ml!AL30/50</f>
        <v>0</v>
      </c>
      <c r="AM29" s="27">
        <f>rebio23_80ml!AM30/50</f>
        <v>0</v>
      </c>
      <c r="AN29" s="27">
        <f>rebio23_80ml!AN30/50</f>
        <v>0</v>
      </c>
      <c r="AO29" s="27">
        <f>rebio23_80ml!AO30/50</f>
        <v>0</v>
      </c>
      <c r="AP29" s="27">
        <f>rebio23_80ml!AP30/50</f>
        <v>0</v>
      </c>
      <c r="AQ29" s="27">
        <f>rebio23_80ml!AQ30/50</f>
        <v>0</v>
      </c>
      <c r="AR29" s="27">
        <f>rebio23_80ml!AR30/50</f>
        <v>0</v>
      </c>
      <c r="AS29" s="27">
        <f>rebio23_80ml!AS30/50</f>
        <v>0</v>
      </c>
      <c r="AT29" s="27">
        <f>rebio23_80ml!AT30/50</f>
        <v>0</v>
      </c>
      <c r="AU29" s="27">
        <f>rebio23_80ml!AU30/50</f>
        <v>0</v>
      </c>
      <c r="AV29" s="27">
        <f>rebio23_80ml!AV30/50</f>
        <v>0</v>
      </c>
      <c r="AW29" s="27">
        <f>rebio23_80ml!AW30/50</f>
        <v>0</v>
      </c>
      <c r="AX29" s="27">
        <f>rebio23_80ml!AX30/50</f>
        <v>0</v>
      </c>
      <c r="AY29" s="27">
        <f>rebio23_80ml!AY30/50</f>
        <v>0</v>
      </c>
      <c r="AZ29" s="27">
        <f>rebio23_80ml!AZ30/50</f>
        <v>0</v>
      </c>
      <c r="BA29" s="27">
        <f>rebio23_80ml!BA30/50</f>
        <v>0</v>
      </c>
      <c r="BB29" s="27">
        <f>rebio23_80ml!BB30/50</f>
        <v>0</v>
      </c>
      <c r="BC29" s="27">
        <f>rebio23_80ml!BC30/50</f>
        <v>0</v>
      </c>
      <c r="BD29" s="27">
        <f>rebio23_80ml!BD30/50</f>
        <v>0</v>
      </c>
      <c r="BE29" s="27">
        <f>rebio23_80ml!BE30/50</f>
        <v>0</v>
      </c>
      <c r="BF29" s="27">
        <f>rebio23_80ml!BF30/50</f>
        <v>0</v>
      </c>
      <c r="BG29" s="27">
        <f>rebio23_80ml!BG30/50</f>
        <v>0</v>
      </c>
    </row>
    <row r="30" spans="1:59" ht="12.75" customHeight="1" x14ac:dyDescent="0.25">
      <c r="A30" s="15" t="str">
        <f>rebio23_80ml!A31</f>
        <v>S-C-P14-H2</v>
      </c>
      <c r="B30" s="27">
        <f>rebio23_80ml!B31/50</f>
        <v>0</v>
      </c>
      <c r="C30" s="27">
        <f>rebio23_80ml!C31/50</f>
        <v>0</v>
      </c>
      <c r="D30" s="27">
        <f>rebio23_80ml!D31/50</f>
        <v>0</v>
      </c>
      <c r="E30" s="27">
        <f>rebio23_80ml!E31/50</f>
        <v>0.54</v>
      </c>
      <c r="F30" s="27">
        <f>rebio23_80ml!F31/50</f>
        <v>0</v>
      </c>
      <c r="G30" s="27">
        <f>rebio23_80ml!G31/50</f>
        <v>0</v>
      </c>
      <c r="H30" s="27">
        <f>rebio23_80ml!H31/50</f>
        <v>0</v>
      </c>
      <c r="I30" s="27">
        <f>rebio23_80ml!I31/50</f>
        <v>0.02</v>
      </c>
      <c r="J30" s="27">
        <f>rebio23_80ml!J31/50</f>
        <v>0</v>
      </c>
      <c r="K30" s="27">
        <f>rebio23_80ml!K31/50</f>
        <v>0</v>
      </c>
      <c r="L30" s="27">
        <f>rebio23_80ml!L31/50</f>
        <v>0</v>
      </c>
      <c r="M30" s="27">
        <f>rebio23_80ml!M31/50</f>
        <v>0</v>
      </c>
      <c r="N30" s="27">
        <f>rebio23_80ml!N31/50</f>
        <v>0</v>
      </c>
      <c r="O30" s="27">
        <f>rebio23_80ml!O31/50</f>
        <v>0</v>
      </c>
      <c r="P30" s="27">
        <f>rebio23_80ml!P31/50</f>
        <v>0</v>
      </c>
      <c r="Q30" s="27">
        <f>rebio23_80ml!Q31/50</f>
        <v>0</v>
      </c>
      <c r="R30" s="27">
        <f>rebio23_80ml!R31/50</f>
        <v>0</v>
      </c>
      <c r="S30" s="27">
        <f>rebio23_80ml!S31/50</f>
        <v>0</v>
      </c>
      <c r="T30" s="27">
        <f>rebio23_80ml!T31/50</f>
        <v>0</v>
      </c>
      <c r="U30" s="27">
        <f>rebio23_80ml!U31/50</f>
        <v>0</v>
      </c>
      <c r="V30" s="27">
        <f>rebio23_80ml!V31/50</f>
        <v>0</v>
      </c>
      <c r="W30" s="27">
        <f>rebio23_80ml!W31/50</f>
        <v>0</v>
      </c>
      <c r="X30" s="27">
        <f>rebio23_80ml!X31/50</f>
        <v>0</v>
      </c>
      <c r="Y30" s="27">
        <f>rebio23_80ml!Y31/50</f>
        <v>0</v>
      </c>
      <c r="Z30" s="27">
        <f>rebio23_80ml!Z31/50</f>
        <v>0</v>
      </c>
      <c r="AA30" s="27">
        <f>rebio23_80ml!AA31/50</f>
        <v>0</v>
      </c>
      <c r="AB30" s="27">
        <f>rebio23_80ml!AB31/50</f>
        <v>0</v>
      </c>
      <c r="AC30" s="27">
        <f>rebio23_80ml!AC31/50</f>
        <v>0</v>
      </c>
      <c r="AD30" s="27">
        <f>rebio23_80ml!AD31/50</f>
        <v>0</v>
      </c>
      <c r="AE30" s="27">
        <f>rebio23_80ml!AE31/50</f>
        <v>0</v>
      </c>
      <c r="AF30" s="27">
        <f>rebio23_80ml!AF31/50</f>
        <v>0</v>
      </c>
      <c r="AG30" s="27">
        <f>rebio23_80ml!AG31/50</f>
        <v>0</v>
      </c>
      <c r="AH30" s="27">
        <f>rebio23_80ml!AH31/50</f>
        <v>0</v>
      </c>
      <c r="AI30" s="27">
        <f>rebio23_80ml!AI31/50</f>
        <v>0</v>
      </c>
      <c r="AJ30" s="27">
        <f>rebio23_80ml!AJ31/50</f>
        <v>0</v>
      </c>
      <c r="AK30" s="27">
        <f>rebio23_80ml!AK31/50</f>
        <v>0</v>
      </c>
      <c r="AL30" s="27">
        <f>rebio23_80ml!AL31/50</f>
        <v>0</v>
      </c>
      <c r="AM30" s="27">
        <f>rebio23_80ml!AM31/50</f>
        <v>0</v>
      </c>
      <c r="AN30" s="27">
        <f>rebio23_80ml!AN31/50</f>
        <v>0</v>
      </c>
      <c r="AO30" s="27">
        <f>rebio23_80ml!AO31/50</f>
        <v>0</v>
      </c>
      <c r="AP30" s="27">
        <f>rebio23_80ml!AP31/50</f>
        <v>0</v>
      </c>
      <c r="AQ30" s="27">
        <f>rebio23_80ml!AQ31/50</f>
        <v>0</v>
      </c>
      <c r="AR30" s="27">
        <f>rebio23_80ml!AR31/50</f>
        <v>0</v>
      </c>
      <c r="AS30" s="27">
        <f>rebio23_80ml!AS31/50</f>
        <v>0</v>
      </c>
      <c r="AT30" s="27">
        <f>rebio23_80ml!AT31/50</f>
        <v>0</v>
      </c>
      <c r="AU30" s="27">
        <f>rebio23_80ml!AU31/50</f>
        <v>0</v>
      </c>
      <c r="AV30" s="27">
        <f>rebio23_80ml!AV31/50</f>
        <v>0.04</v>
      </c>
      <c r="AW30" s="27">
        <f>rebio23_80ml!AW31/50</f>
        <v>0</v>
      </c>
      <c r="AX30" s="27">
        <f>rebio23_80ml!AX31/50</f>
        <v>0</v>
      </c>
      <c r="AY30" s="27">
        <f>rebio23_80ml!AY31/50</f>
        <v>0</v>
      </c>
      <c r="AZ30" s="27">
        <f>rebio23_80ml!AZ31/50</f>
        <v>0</v>
      </c>
      <c r="BA30" s="27">
        <f>rebio23_80ml!BA31/50</f>
        <v>0</v>
      </c>
      <c r="BB30" s="27">
        <f>rebio23_80ml!BB31/50</f>
        <v>0</v>
      </c>
      <c r="BC30" s="27">
        <f>rebio23_80ml!BC31/50</f>
        <v>0</v>
      </c>
      <c r="BD30" s="27">
        <f>rebio23_80ml!BD31/50</f>
        <v>0</v>
      </c>
      <c r="BE30" s="27">
        <f>rebio23_80ml!BE31/50</f>
        <v>0</v>
      </c>
      <c r="BF30" s="27">
        <f>rebio23_80ml!BF31/50</f>
        <v>0</v>
      </c>
      <c r="BG30" s="27">
        <f>rebio23_80ml!BG31/50</f>
        <v>0</v>
      </c>
    </row>
    <row r="31" spans="1:59" ht="12.75" customHeight="1" x14ac:dyDescent="0.25">
      <c r="A31" s="15" t="str">
        <f>rebio23_80ml!A32</f>
        <v>S-C-P14-H3</v>
      </c>
      <c r="B31" s="27">
        <f>rebio23_80ml!B32/50</f>
        <v>0</v>
      </c>
      <c r="C31" s="27">
        <f>rebio23_80ml!C32/50</f>
        <v>0</v>
      </c>
      <c r="D31" s="27">
        <f>rebio23_80ml!D32/50</f>
        <v>0</v>
      </c>
      <c r="E31" s="27">
        <f>rebio23_80ml!E32/50</f>
        <v>1</v>
      </c>
      <c r="F31" s="27">
        <f>rebio23_80ml!F32/50</f>
        <v>0</v>
      </c>
      <c r="G31" s="27">
        <f>rebio23_80ml!G32/50</f>
        <v>0</v>
      </c>
      <c r="H31" s="27">
        <f>rebio23_80ml!H32/50</f>
        <v>0</v>
      </c>
      <c r="I31" s="27">
        <f>rebio23_80ml!I32/50</f>
        <v>0.02</v>
      </c>
      <c r="J31" s="27">
        <f>rebio23_80ml!J32/50</f>
        <v>0</v>
      </c>
      <c r="K31" s="27">
        <f>rebio23_80ml!K32/50</f>
        <v>0</v>
      </c>
      <c r="L31" s="27">
        <f>rebio23_80ml!L32/50</f>
        <v>0</v>
      </c>
      <c r="M31" s="27">
        <f>rebio23_80ml!M32/50</f>
        <v>0</v>
      </c>
      <c r="N31" s="27">
        <f>rebio23_80ml!N32/50</f>
        <v>0</v>
      </c>
      <c r="O31" s="27">
        <f>rebio23_80ml!O32/50</f>
        <v>0</v>
      </c>
      <c r="P31" s="27">
        <f>rebio23_80ml!P32/50</f>
        <v>0</v>
      </c>
      <c r="Q31" s="27">
        <f>rebio23_80ml!Q32/50</f>
        <v>0</v>
      </c>
      <c r="R31" s="27">
        <f>rebio23_80ml!R32/50</f>
        <v>0</v>
      </c>
      <c r="S31" s="27">
        <f>rebio23_80ml!S32/50</f>
        <v>0</v>
      </c>
      <c r="T31" s="27">
        <f>rebio23_80ml!T32/50</f>
        <v>0</v>
      </c>
      <c r="U31" s="27">
        <f>rebio23_80ml!U32/50</f>
        <v>0</v>
      </c>
      <c r="V31" s="27">
        <f>rebio23_80ml!V32/50</f>
        <v>0</v>
      </c>
      <c r="W31" s="27">
        <f>rebio23_80ml!W32/50</f>
        <v>0</v>
      </c>
      <c r="X31" s="27">
        <f>rebio23_80ml!X32/50</f>
        <v>0</v>
      </c>
      <c r="Y31" s="27">
        <f>rebio23_80ml!Y32/50</f>
        <v>0</v>
      </c>
      <c r="Z31" s="27">
        <f>rebio23_80ml!Z32/50</f>
        <v>0.02</v>
      </c>
      <c r="AA31" s="27">
        <f>rebio23_80ml!AA32/50</f>
        <v>0</v>
      </c>
      <c r="AB31" s="27">
        <f>rebio23_80ml!AB32/50</f>
        <v>0</v>
      </c>
      <c r="AC31" s="27">
        <f>rebio23_80ml!AC32/50</f>
        <v>0</v>
      </c>
      <c r="AD31" s="27">
        <f>rebio23_80ml!AD32/50</f>
        <v>0</v>
      </c>
      <c r="AE31" s="27">
        <f>rebio23_80ml!AE32/50</f>
        <v>0</v>
      </c>
      <c r="AF31" s="27">
        <f>rebio23_80ml!AF32/50</f>
        <v>0</v>
      </c>
      <c r="AG31" s="27">
        <f>rebio23_80ml!AG32/50</f>
        <v>0</v>
      </c>
      <c r="AH31" s="27">
        <f>rebio23_80ml!AH32/50</f>
        <v>0</v>
      </c>
      <c r="AI31" s="27">
        <f>rebio23_80ml!AI32/50</f>
        <v>0</v>
      </c>
      <c r="AJ31" s="27">
        <f>rebio23_80ml!AJ32/50</f>
        <v>0</v>
      </c>
      <c r="AK31" s="27">
        <f>rebio23_80ml!AK32/50</f>
        <v>0</v>
      </c>
      <c r="AL31" s="27">
        <f>rebio23_80ml!AL32/50</f>
        <v>0</v>
      </c>
      <c r="AM31" s="27">
        <f>rebio23_80ml!AM32/50</f>
        <v>0</v>
      </c>
      <c r="AN31" s="27">
        <f>rebio23_80ml!AN32/50</f>
        <v>0</v>
      </c>
      <c r="AO31" s="27">
        <f>rebio23_80ml!AO32/50</f>
        <v>0</v>
      </c>
      <c r="AP31" s="27">
        <f>rebio23_80ml!AP32/50</f>
        <v>0</v>
      </c>
      <c r="AQ31" s="27">
        <f>rebio23_80ml!AQ32/50</f>
        <v>0</v>
      </c>
      <c r="AR31" s="27">
        <f>rebio23_80ml!AR32/50</f>
        <v>0</v>
      </c>
      <c r="AS31" s="27">
        <f>rebio23_80ml!AS32/50</f>
        <v>0</v>
      </c>
      <c r="AT31" s="27">
        <f>rebio23_80ml!AT32/50</f>
        <v>0</v>
      </c>
      <c r="AU31" s="27">
        <f>rebio23_80ml!AU32/50</f>
        <v>0</v>
      </c>
      <c r="AV31" s="27">
        <f>rebio23_80ml!AV32/50</f>
        <v>0.16</v>
      </c>
      <c r="AW31" s="27">
        <f>rebio23_80ml!AW32/50</f>
        <v>0</v>
      </c>
      <c r="AX31" s="27">
        <f>rebio23_80ml!AX32/50</f>
        <v>0</v>
      </c>
      <c r="AY31" s="27">
        <f>rebio23_80ml!AY32/50</f>
        <v>0</v>
      </c>
      <c r="AZ31" s="27">
        <f>rebio23_80ml!AZ32/50</f>
        <v>0</v>
      </c>
      <c r="BA31" s="27">
        <f>rebio23_80ml!BA32/50</f>
        <v>0</v>
      </c>
      <c r="BB31" s="27">
        <f>rebio23_80ml!BB32/50</f>
        <v>0</v>
      </c>
      <c r="BC31" s="27">
        <f>rebio23_80ml!BC32/50</f>
        <v>0</v>
      </c>
      <c r="BD31" s="27">
        <f>rebio23_80ml!BD32/50</f>
        <v>0</v>
      </c>
      <c r="BE31" s="27">
        <f>rebio23_80ml!BE32/50</f>
        <v>0</v>
      </c>
      <c r="BF31" s="27">
        <f>rebio23_80ml!BF32/50</f>
        <v>0</v>
      </c>
      <c r="BG31" s="27">
        <f>rebio23_80ml!BG32/50</f>
        <v>0</v>
      </c>
    </row>
    <row r="32" spans="1:59" ht="12.75" customHeight="1" x14ac:dyDescent="0.25">
      <c r="A32" s="15" t="str">
        <f>rebio23_80ml!A33</f>
        <v>S-C-P15-H1</v>
      </c>
      <c r="B32" s="27">
        <f>rebio23_80ml!B33/50</f>
        <v>0</v>
      </c>
      <c r="C32" s="27">
        <f>rebio23_80ml!C33/50</f>
        <v>0</v>
      </c>
      <c r="D32" s="27">
        <f>rebio23_80ml!D33/50</f>
        <v>0</v>
      </c>
      <c r="E32" s="27">
        <f>rebio23_80ml!E33/50</f>
        <v>0.32</v>
      </c>
      <c r="F32" s="27">
        <f>rebio23_80ml!F33/50</f>
        <v>0</v>
      </c>
      <c r="G32" s="27">
        <f>rebio23_80ml!G33/50</f>
        <v>0</v>
      </c>
      <c r="H32" s="27">
        <f>rebio23_80ml!H33/50</f>
        <v>0</v>
      </c>
      <c r="I32" s="27">
        <f>rebio23_80ml!I33/50</f>
        <v>0</v>
      </c>
      <c r="J32" s="27">
        <f>rebio23_80ml!J33/50</f>
        <v>0</v>
      </c>
      <c r="K32" s="27">
        <f>rebio23_80ml!K33/50</f>
        <v>0</v>
      </c>
      <c r="L32" s="27">
        <f>rebio23_80ml!L33/50</f>
        <v>0</v>
      </c>
      <c r="M32" s="27">
        <f>rebio23_80ml!M33/50</f>
        <v>0</v>
      </c>
      <c r="N32" s="27">
        <f>rebio23_80ml!N33/50</f>
        <v>0</v>
      </c>
      <c r="O32" s="27">
        <f>rebio23_80ml!O33/50</f>
        <v>0</v>
      </c>
      <c r="P32" s="27">
        <f>rebio23_80ml!P33/50</f>
        <v>0</v>
      </c>
      <c r="Q32" s="27">
        <f>rebio23_80ml!Q33/50</f>
        <v>0</v>
      </c>
      <c r="R32" s="27">
        <f>rebio23_80ml!R33/50</f>
        <v>0</v>
      </c>
      <c r="S32" s="27">
        <f>rebio23_80ml!S33/50</f>
        <v>0</v>
      </c>
      <c r="T32" s="27">
        <f>rebio23_80ml!T33/50</f>
        <v>0</v>
      </c>
      <c r="U32" s="27">
        <f>rebio23_80ml!U33/50</f>
        <v>0</v>
      </c>
      <c r="V32" s="27">
        <f>rebio23_80ml!V33/50</f>
        <v>0</v>
      </c>
      <c r="W32" s="27">
        <f>rebio23_80ml!W33/50</f>
        <v>0</v>
      </c>
      <c r="X32" s="27">
        <f>rebio23_80ml!X33/50</f>
        <v>0</v>
      </c>
      <c r="Y32" s="27">
        <f>rebio23_80ml!Y33/50</f>
        <v>0</v>
      </c>
      <c r="Z32" s="27">
        <f>rebio23_80ml!Z33/50</f>
        <v>0</v>
      </c>
      <c r="AA32" s="27">
        <f>rebio23_80ml!AA33/50</f>
        <v>0</v>
      </c>
      <c r="AB32" s="27">
        <f>rebio23_80ml!AB33/50</f>
        <v>0</v>
      </c>
      <c r="AC32" s="27">
        <f>rebio23_80ml!AC33/50</f>
        <v>0</v>
      </c>
      <c r="AD32" s="27">
        <f>rebio23_80ml!AD33/50</f>
        <v>0</v>
      </c>
      <c r="AE32" s="27">
        <f>rebio23_80ml!AE33/50</f>
        <v>0</v>
      </c>
      <c r="AF32" s="27">
        <f>rebio23_80ml!AF33/50</f>
        <v>0</v>
      </c>
      <c r="AG32" s="27">
        <f>rebio23_80ml!AG33/50</f>
        <v>0</v>
      </c>
      <c r="AH32" s="27">
        <f>rebio23_80ml!AH33/50</f>
        <v>0</v>
      </c>
      <c r="AI32" s="27">
        <f>rebio23_80ml!AI33/50</f>
        <v>0</v>
      </c>
      <c r="AJ32" s="27">
        <f>rebio23_80ml!AJ33/50</f>
        <v>0</v>
      </c>
      <c r="AK32" s="27">
        <f>rebio23_80ml!AK33/50</f>
        <v>0</v>
      </c>
      <c r="AL32" s="27">
        <f>rebio23_80ml!AL33/50</f>
        <v>0</v>
      </c>
      <c r="AM32" s="27">
        <f>rebio23_80ml!AM33/50</f>
        <v>0</v>
      </c>
      <c r="AN32" s="27">
        <f>rebio23_80ml!AN33/50</f>
        <v>0</v>
      </c>
      <c r="AO32" s="27">
        <f>rebio23_80ml!AO33/50</f>
        <v>0</v>
      </c>
      <c r="AP32" s="27">
        <f>rebio23_80ml!AP33/50</f>
        <v>0</v>
      </c>
      <c r="AQ32" s="27">
        <f>rebio23_80ml!AQ33/50</f>
        <v>0</v>
      </c>
      <c r="AR32" s="27">
        <f>rebio23_80ml!AR33/50</f>
        <v>0</v>
      </c>
      <c r="AS32" s="27">
        <f>rebio23_80ml!AS33/50</f>
        <v>0</v>
      </c>
      <c r="AT32" s="27">
        <f>rebio23_80ml!AT33/50</f>
        <v>0</v>
      </c>
      <c r="AU32" s="27">
        <f>rebio23_80ml!AU33/50</f>
        <v>0</v>
      </c>
      <c r="AV32" s="27">
        <f>rebio23_80ml!AV33/50</f>
        <v>0.04</v>
      </c>
      <c r="AW32" s="27">
        <f>rebio23_80ml!AW33/50</f>
        <v>0</v>
      </c>
      <c r="AX32" s="27">
        <f>rebio23_80ml!AX33/50</f>
        <v>0</v>
      </c>
      <c r="AY32" s="27">
        <f>rebio23_80ml!AY33/50</f>
        <v>0</v>
      </c>
      <c r="AZ32" s="27">
        <f>rebio23_80ml!AZ33/50</f>
        <v>0</v>
      </c>
      <c r="BA32" s="27">
        <f>rebio23_80ml!BA33/50</f>
        <v>0</v>
      </c>
      <c r="BB32" s="27">
        <f>rebio23_80ml!BB33/50</f>
        <v>0</v>
      </c>
      <c r="BC32" s="27">
        <f>rebio23_80ml!BC33/50</f>
        <v>0</v>
      </c>
      <c r="BD32" s="27">
        <f>rebio23_80ml!BD33/50</f>
        <v>0</v>
      </c>
      <c r="BE32" s="27">
        <f>rebio23_80ml!BE33/50</f>
        <v>0</v>
      </c>
      <c r="BF32" s="27">
        <f>rebio23_80ml!BF33/50</f>
        <v>0</v>
      </c>
      <c r="BG32" s="27">
        <f>rebio23_80ml!BG33/50</f>
        <v>0</v>
      </c>
    </row>
    <row r="33" spans="1:59" ht="12.75" customHeight="1" x14ac:dyDescent="0.25">
      <c r="A33" s="15" t="str">
        <f>rebio23_80ml!A34</f>
        <v>S-C-P15-H2</v>
      </c>
      <c r="B33" s="27">
        <f>rebio23_80ml!B34/50</f>
        <v>0</v>
      </c>
      <c r="C33" s="27">
        <f>rebio23_80ml!C34/50</f>
        <v>0</v>
      </c>
      <c r="D33" s="27">
        <f>rebio23_80ml!D34/50</f>
        <v>0</v>
      </c>
      <c r="E33" s="27">
        <f>rebio23_80ml!E34/50</f>
        <v>0.44</v>
      </c>
      <c r="F33" s="27">
        <f>rebio23_80ml!F34/50</f>
        <v>0</v>
      </c>
      <c r="G33" s="27">
        <f>rebio23_80ml!G34/50</f>
        <v>0</v>
      </c>
      <c r="H33" s="27">
        <f>rebio23_80ml!H34/50</f>
        <v>0</v>
      </c>
      <c r="I33" s="27">
        <f>rebio23_80ml!I34/50</f>
        <v>0.08</v>
      </c>
      <c r="J33" s="27">
        <f>rebio23_80ml!J34/50</f>
        <v>0</v>
      </c>
      <c r="K33" s="27">
        <f>rebio23_80ml!K34/50</f>
        <v>0</v>
      </c>
      <c r="L33" s="27">
        <f>rebio23_80ml!L34/50</f>
        <v>0</v>
      </c>
      <c r="M33" s="27">
        <f>rebio23_80ml!M34/50</f>
        <v>0</v>
      </c>
      <c r="N33" s="27">
        <f>rebio23_80ml!N34/50</f>
        <v>0</v>
      </c>
      <c r="O33" s="27">
        <f>rebio23_80ml!O34/50</f>
        <v>0</v>
      </c>
      <c r="P33" s="27">
        <f>rebio23_80ml!P34/50</f>
        <v>0</v>
      </c>
      <c r="Q33" s="27">
        <f>rebio23_80ml!Q34/50</f>
        <v>0</v>
      </c>
      <c r="R33" s="27">
        <f>rebio23_80ml!R34/50</f>
        <v>0</v>
      </c>
      <c r="S33" s="27">
        <f>rebio23_80ml!S34/50</f>
        <v>0</v>
      </c>
      <c r="T33" s="27">
        <f>rebio23_80ml!T34/50</f>
        <v>0</v>
      </c>
      <c r="U33" s="27">
        <f>rebio23_80ml!U34/50</f>
        <v>0</v>
      </c>
      <c r="V33" s="27">
        <f>rebio23_80ml!V34/50</f>
        <v>0</v>
      </c>
      <c r="W33" s="27">
        <f>rebio23_80ml!W34/50</f>
        <v>0</v>
      </c>
      <c r="X33" s="27">
        <f>rebio23_80ml!X34/50</f>
        <v>0</v>
      </c>
      <c r="Y33" s="27">
        <f>rebio23_80ml!Y34/50</f>
        <v>0</v>
      </c>
      <c r="Z33" s="27">
        <f>rebio23_80ml!Z34/50</f>
        <v>0</v>
      </c>
      <c r="AA33" s="27">
        <f>rebio23_80ml!AA34/50</f>
        <v>0</v>
      </c>
      <c r="AB33" s="27">
        <f>rebio23_80ml!AB34/50</f>
        <v>0</v>
      </c>
      <c r="AC33" s="27">
        <f>rebio23_80ml!AC34/50</f>
        <v>0</v>
      </c>
      <c r="AD33" s="27">
        <f>rebio23_80ml!AD34/50</f>
        <v>0</v>
      </c>
      <c r="AE33" s="27">
        <f>rebio23_80ml!AE34/50</f>
        <v>0</v>
      </c>
      <c r="AF33" s="27">
        <f>rebio23_80ml!AF34/50</f>
        <v>0</v>
      </c>
      <c r="AG33" s="27">
        <f>rebio23_80ml!AG34/50</f>
        <v>0</v>
      </c>
      <c r="AH33" s="27">
        <f>rebio23_80ml!AH34/50</f>
        <v>0</v>
      </c>
      <c r="AI33" s="27">
        <f>rebio23_80ml!AI34/50</f>
        <v>0</v>
      </c>
      <c r="AJ33" s="27">
        <f>rebio23_80ml!AJ34/50</f>
        <v>0</v>
      </c>
      <c r="AK33" s="27">
        <f>rebio23_80ml!AK34/50</f>
        <v>0</v>
      </c>
      <c r="AL33" s="27">
        <f>rebio23_80ml!AL34/50</f>
        <v>0</v>
      </c>
      <c r="AM33" s="27">
        <f>rebio23_80ml!AM34/50</f>
        <v>0</v>
      </c>
      <c r="AN33" s="27">
        <f>rebio23_80ml!AN34/50</f>
        <v>0</v>
      </c>
      <c r="AO33" s="27">
        <f>rebio23_80ml!AO34/50</f>
        <v>0</v>
      </c>
      <c r="AP33" s="27">
        <f>rebio23_80ml!AP34/50</f>
        <v>0</v>
      </c>
      <c r="AQ33" s="27">
        <f>rebio23_80ml!AQ34/50</f>
        <v>0.02</v>
      </c>
      <c r="AR33" s="27">
        <f>rebio23_80ml!AR34/50</f>
        <v>0</v>
      </c>
      <c r="AS33" s="27">
        <f>rebio23_80ml!AS34/50</f>
        <v>0</v>
      </c>
      <c r="AT33" s="27">
        <f>rebio23_80ml!AT34/50</f>
        <v>0</v>
      </c>
      <c r="AU33" s="27">
        <f>rebio23_80ml!AU34/50</f>
        <v>0</v>
      </c>
      <c r="AV33" s="27">
        <f>rebio23_80ml!AV34/50</f>
        <v>0.12</v>
      </c>
      <c r="AW33" s="27">
        <f>rebio23_80ml!AW34/50</f>
        <v>0</v>
      </c>
      <c r="AX33" s="27">
        <f>rebio23_80ml!AX34/50</f>
        <v>0</v>
      </c>
      <c r="AY33" s="27">
        <f>rebio23_80ml!AY34/50</f>
        <v>0</v>
      </c>
      <c r="AZ33" s="27">
        <f>rebio23_80ml!AZ34/50</f>
        <v>0</v>
      </c>
      <c r="BA33" s="27">
        <f>rebio23_80ml!BA34/50</f>
        <v>0</v>
      </c>
      <c r="BB33" s="27">
        <f>rebio23_80ml!BB34/50</f>
        <v>0</v>
      </c>
      <c r="BC33" s="27">
        <f>rebio23_80ml!BC34/50</f>
        <v>0</v>
      </c>
      <c r="BD33" s="27">
        <f>rebio23_80ml!BD34/50</f>
        <v>0</v>
      </c>
      <c r="BE33" s="27">
        <f>rebio23_80ml!BE34/50</f>
        <v>0</v>
      </c>
      <c r="BF33" s="27">
        <f>rebio23_80ml!BF34/50</f>
        <v>0</v>
      </c>
      <c r="BG33" s="27">
        <f>rebio23_80ml!BG34/50</f>
        <v>0</v>
      </c>
    </row>
    <row r="34" spans="1:59" ht="12.75" customHeight="1" x14ac:dyDescent="0.25">
      <c r="A34" s="15" t="str">
        <f>rebio23_80ml!A35</f>
        <v>S-C-P15-H3</v>
      </c>
      <c r="B34" s="27">
        <f>rebio23_80ml!B35/50</f>
        <v>0</v>
      </c>
      <c r="C34" s="27">
        <f>rebio23_80ml!C35/50</f>
        <v>0</v>
      </c>
      <c r="D34" s="27">
        <f>rebio23_80ml!D35/50</f>
        <v>0</v>
      </c>
      <c r="E34" s="27">
        <f>rebio23_80ml!E35/50</f>
        <v>0.34</v>
      </c>
      <c r="F34" s="27">
        <f>rebio23_80ml!F35/50</f>
        <v>0</v>
      </c>
      <c r="G34" s="27">
        <f>rebio23_80ml!G35/50</f>
        <v>0</v>
      </c>
      <c r="H34" s="27">
        <f>rebio23_80ml!H35/50</f>
        <v>0</v>
      </c>
      <c r="I34" s="27">
        <f>rebio23_80ml!I35/50</f>
        <v>0.32</v>
      </c>
      <c r="J34" s="27">
        <f>rebio23_80ml!J35/50</f>
        <v>0</v>
      </c>
      <c r="K34" s="27">
        <f>rebio23_80ml!K35/50</f>
        <v>0</v>
      </c>
      <c r="L34" s="27">
        <f>rebio23_80ml!L35/50</f>
        <v>0</v>
      </c>
      <c r="M34" s="27">
        <f>rebio23_80ml!M35/50</f>
        <v>0</v>
      </c>
      <c r="N34" s="27">
        <f>rebio23_80ml!N35/50</f>
        <v>0</v>
      </c>
      <c r="O34" s="27">
        <f>rebio23_80ml!O35/50</f>
        <v>0</v>
      </c>
      <c r="P34" s="27">
        <f>rebio23_80ml!P35/50</f>
        <v>0</v>
      </c>
      <c r="Q34" s="27">
        <f>rebio23_80ml!Q35/50</f>
        <v>0</v>
      </c>
      <c r="R34" s="27">
        <f>rebio23_80ml!R35/50</f>
        <v>0</v>
      </c>
      <c r="S34" s="27">
        <f>rebio23_80ml!S35/50</f>
        <v>0</v>
      </c>
      <c r="T34" s="27">
        <f>rebio23_80ml!T35/50</f>
        <v>0</v>
      </c>
      <c r="U34" s="27">
        <f>rebio23_80ml!U35/50</f>
        <v>0</v>
      </c>
      <c r="V34" s="27">
        <f>rebio23_80ml!V35/50</f>
        <v>0</v>
      </c>
      <c r="W34" s="27">
        <f>rebio23_80ml!W35/50</f>
        <v>0</v>
      </c>
      <c r="X34" s="27">
        <f>rebio23_80ml!X35/50</f>
        <v>0</v>
      </c>
      <c r="Y34" s="27">
        <f>rebio23_80ml!Y35/50</f>
        <v>0</v>
      </c>
      <c r="Z34" s="27">
        <f>rebio23_80ml!Z35/50</f>
        <v>0</v>
      </c>
      <c r="AA34" s="27">
        <f>rebio23_80ml!AA35/50</f>
        <v>0</v>
      </c>
      <c r="AB34" s="27">
        <f>rebio23_80ml!AB35/50</f>
        <v>0</v>
      </c>
      <c r="AC34" s="27">
        <f>rebio23_80ml!AC35/50</f>
        <v>0</v>
      </c>
      <c r="AD34" s="27">
        <f>rebio23_80ml!AD35/50</f>
        <v>0</v>
      </c>
      <c r="AE34" s="27">
        <f>rebio23_80ml!AE35/50</f>
        <v>0</v>
      </c>
      <c r="AF34" s="27">
        <f>rebio23_80ml!AF35/50</f>
        <v>0</v>
      </c>
      <c r="AG34" s="27">
        <f>rebio23_80ml!AG35/50</f>
        <v>0</v>
      </c>
      <c r="AH34" s="27">
        <f>rebio23_80ml!AH35/50</f>
        <v>0</v>
      </c>
      <c r="AI34" s="27">
        <f>rebio23_80ml!AI35/50</f>
        <v>0</v>
      </c>
      <c r="AJ34" s="27">
        <f>rebio23_80ml!AJ35/50</f>
        <v>0.02</v>
      </c>
      <c r="AK34" s="27">
        <f>rebio23_80ml!AK35/50</f>
        <v>0</v>
      </c>
      <c r="AL34" s="27">
        <f>rebio23_80ml!AL35/50</f>
        <v>0</v>
      </c>
      <c r="AM34" s="27">
        <f>rebio23_80ml!AM35/50</f>
        <v>0</v>
      </c>
      <c r="AN34" s="27">
        <f>rebio23_80ml!AN35/50</f>
        <v>0</v>
      </c>
      <c r="AO34" s="27">
        <f>rebio23_80ml!AO35/50</f>
        <v>0</v>
      </c>
      <c r="AP34" s="27">
        <f>rebio23_80ml!AP35/50</f>
        <v>0</v>
      </c>
      <c r="AQ34" s="27">
        <f>rebio23_80ml!AQ35/50</f>
        <v>0</v>
      </c>
      <c r="AR34" s="27">
        <f>rebio23_80ml!AR35/50</f>
        <v>0</v>
      </c>
      <c r="AS34" s="27">
        <f>rebio23_80ml!AS35/50</f>
        <v>0</v>
      </c>
      <c r="AT34" s="27">
        <f>rebio23_80ml!AT35/50</f>
        <v>0</v>
      </c>
      <c r="AU34" s="27">
        <f>rebio23_80ml!AU35/50</f>
        <v>0</v>
      </c>
      <c r="AV34" s="27">
        <f>rebio23_80ml!AV35/50</f>
        <v>0.18</v>
      </c>
      <c r="AW34" s="27">
        <f>rebio23_80ml!AW35/50</f>
        <v>0</v>
      </c>
      <c r="AX34" s="27">
        <f>rebio23_80ml!AX35/50</f>
        <v>0.08</v>
      </c>
      <c r="AY34" s="27">
        <f>rebio23_80ml!AY35/50</f>
        <v>0</v>
      </c>
      <c r="AZ34" s="27">
        <f>rebio23_80ml!AZ35/50</f>
        <v>0</v>
      </c>
      <c r="BA34" s="27">
        <f>rebio23_80ml!BA35/50</f>
        <v>0</v>
      </c>
      <c r="BB34" s="27">
        <f>rebio23_80ml!BB35/50</f>
        <v>0</v>
      </c>
      <c r="BC34" s="27">
        <f>rebio23_80ml!BC35/50</f>
        <v>0</v>
      </c>
      <c r="BD34" s="27">
        <f>rebio23_80ml!BD35/50</f>
        <v>0</v>
      </c>
      <c r="BE34" s="27">
        <f>rebio23_80ml!BE35/50</f>
        <v>0</v>
      </c>
      <c r="BF34" s="27">
        <f>rebio23_80ml!BF35/50</f>
        <v>0</v>
      </c>
      <c r="BG34" s="27">
        <f>rebio23_80ml!BG35/50</f>
        <v>0</v>
      </c>
    </row>
    <row r="35" spans="1:59" ht="12.75" customHeight="1" x14ac:dyDescent="0.25">
      <c r="A35" s="15" t="str">
        <f>rebio23_80ml!A36</f>
        <v>S-C-P16-H1</v>
      </c>
      <c r="B35" s="27">
        <f>rebio23_80ml!B36/50</f>
        <v>0.02</v>
      </c>
      <c r="C35" s="27">
        <f>rebio23_80ml!C36/50</f>
        <v>0</v>
      </c>
      <c r="D35" s="27">
        <f>rebio23_80ml!D36/50</f>
        <v>0</v>
      </c>
      <c r="E35" s="27">
        <f>rebio23_80ml!E36/50</f>
        <v>1.08</v>
      </c>
      <c r="F35" s="27">
        <f>rebio23_80ml!F36/50</f>
        <v>0</v>
      </c>
      <c r="G35" s="27">
        <f>rebio23_80ml!G36/50</f>
        <v>0</v>
      </c>
      <c r="H35" s="27">
        <f>rebio23_80ml!H36/50</f>
        <v>0</v>
      </c>
      <c r="I35" s="27">
        <f>rebio23_80ml!I36/50</f>
        <v>2.64</v>
      </c>
      <c r="J35" s="27">
        <f>rebio23_80ml!J36/50</f>
        <v>0</v>
      </c>
      <c r="K35" s="27">
        <f>rebio23_80ml!K36/50</f>
        <v>0</v>
      </c>
      <c r="L35" s="27">
        <f>rebio23_80ml!L36/50</f>
        <v>0</v>
      </c>
      <c r="M35" s="27">
        <f>rebio23_80ml!M36/50</f>
        <v>0.02</v>
      </c>
      <c r="N35" s="27">
        <f>rebio23_80ml!N36/50</f>
        <v>0.04</v>
      </c>
      <c r="O35" s="27">
        <f>rebio23_80ml!O36/50</f>
        <v>0</v>
      </c>
      <c r="P35" s="27">
        <f>rebio23_80ml!P36/50</f>
        <v>0</v>
      </c>
      <c r="Q35" s="27">
        <f>rebio23_80ml!Q36/50</f>
        <v>0</v>
      </c>
      <c r="R35" s="27">
        <f>rebio23_80ml!R36/50</f>
        <v>0</v>
      </c>
      <c r="S35" s="27">
        <f>rebio23_80ml!S36/50</f>
        <v>0.04</v>
      </c>
      <c r="T35" s="27">
        <f>rebio23_80ml!T36/50</f>
        <v>0.02</v>
      </c>
      <c r="U35" s="27">
        <f>rebio23_80ml!U36/50</f>
        <v>0.02</v>
      </c>
      <c r="V35" s="27">
        <f>rebio23_80ml!V36/50</f>
        <v>0.02</v>
      </c>
      <c r="W35" s="27">
        <f>rebio23_80ml!W36/50</f>
        <v>0</v>
      </c>
      <c r="X35" s="27">
        <f>rebio23_80ml!X36/50</f>
        <v>0</v>
      </c>
      <c r="Y35" s="27">
        <f>rebio23_80ml!Y36/50</f>
        <v>0.02</v>
      </c>
      <c r="Z35" s="27">
        <f>rebio23_80ml!Z36/50</f>
        <v>0</v>
      </c>
      <c r="AA35" s="27">
        <f>rebio23_80ml!AA36/50</f>
        <v>0</v>
      </c>
      <c r="AB35" s="27">
        <f>rebio23_80ml!AB36/50</f>
        <v>0.02</v>
      </c>
      <c r="AC35" s="27">
        <f>rebio23_80ml!AC36/50</f>
        <v>0.02</v>
      </c>
      <c r="AD35" s="27">
        <f>rebio23_80ml!AD36/50</f>
        <v>0.02</v>
      </c>
      <c r="AE35" s="27">
        <f>rebio23_80ml!AE36/50</f>
        <v>0</v>
      </c>
      <c r="AF35" s="27">
        <f>rebio23_80ml!AF36/50</f>
        <v>0</v>
      </c>
      <c r="AG35" s="27">
        <f>rebio23_80ml!AG36/50</f>
        <v>0</v>
      </c>
      <c r="AH35" s="27">
        <f>rebio23_80ml!AH36/50</f>
        <v>0</v>
      </c>
      <c r="AI35" s="27">
        <f>rebio23_80ml!AI36/50</f>
        <v>0</v>
      </c>
      <c r="AJ35" s="27">
        <f>rebio23_80ml!AJ36/50</f>
        <v>0</v>
      </c>
      <c r="AK35" s="27">
        <f>rebio23_80ml!AK36/50</f>
        <v>0</v>
      </c>
      <c r="AL35" s="27">
        <f>rebio23_80ml!AL36/50</f>
        <v>0</v>
      </c>
      <c r="AM35" s="27">
        <f>rebio23_80ml!AM36/50</f>
        <v>0</v>
      </c>
      <c r="AN35" s="27">
        <f>rebio23_80ml!AN36/50</f>
        <v>0</v>
      </c>
      <c r="AO35" s="27">
        <f>rebio23_80ml!AO36/50</f>
        <v>0</v>
      </c>
      <c r="AP35" s="27">
        <f>rebio23_80ml!AP36/50</f>
        <v>0</v>
      </c>
      <c r="AQ35" s="27">
        <f>rebio23_80ml!AQ36/50</f>
        <v>0</v>
      </c>
      <c r="AR35" s="27">
        <f>rebio23_80ml!AR36/50</f>
        <v>0</v>
      </c>
      <c r="AS35" s="27">
        <f>rebio23_80ml!AS36/50</f>
        <v>0</v>
      </c>
      <c r="AT35" s="27">
        <f>rebio23_80ml!AT36/50</f>
        <v>0</v>
      </c>
      <c r="AU35" s="27">
        <f>rebio23_80ml!AU36/50</f>
        <v>0</v>
      </c>
      <c r="AV35" s="27">
        <f>rebio23_80ml!AV36/50</f>
        <v>16.34</v>
      </c>
      <c r="AW35" s="27">
        <f>rebio23_80ml!AW36/50</f>
        <v>0.56000000000000005</v>
      </c>
      <c r="AX35" s="27">
        <f>rebio23_80ml!AX36/50</f>
        <v>0.08</v>
      </c>
      <c r="AY35" s="27">
        <f>rebio23_80ml!AY36/50</f>
        <v>0</v>
      </c>
      <c r="AZ35" s="27">
        <f>rebio23_80ml!AZ36/50</f>
        <v>0</v>
      </c>
      <c r="BA35" s="27">
        <f>rebio23_80ml!BA36/50</f>
        <v>0.68</v>
      </c>
      <c r="BB35" s="27">
        <f>rebio23_80ml!BB36/50</f>
        <v>0</v>
      </c>
      <c r="BC35" s="27">
        <f>rebio23_80ml!BC36/50</f>
        <v>2.82</v>
      </c>
      <c r="BD35" s="27">
        <f>rebio23_80ml!BD36/50</f>
        <v>0.18</v>
      </c>
      <c r="BE35" s="27">
        <f>rebio23_80ml!BE36/50</f>
        <v>0.04</v>
      </c>
      <c r="BF35" s="27">
        <f>rebio23_80ml!BF36/50</f>
        <v>0</v>
      </c>
      <c r="BG35" s="27">
        <f>rebio23_80ml!BG36/50</f>
        <v>0</v>
      </c>
    </row>
    <row r="36" spans="1:59" ht="12.75" customHeight="1" x14ac:dyDescent="0.25">
      <c r="A36" s="15" t="str">
        <f>rebio23_80ml!A37</f>
        <v>S-C-P16-H2</v>
      </c>
      <c r="B36" s="27">
        <f>rebio23_80ml!B37/50</f>
        <v>0.04</v>
      </c>
      <c r="C36" s="27">
        <f>rebio23_80ml!C37/50</f>
        <v>0</v>
      </c>
      <c r="D36" s="27">
        <f>rebio23_80ml!D37/50</f>
        <v>0.06</v>
      </c>
      <c r="E36" s="27">
        <f>rebio23_80ml!E37/50</f>
        <v>0.18</v>
      </c>
      <c r="F36" s="27">
        <f>rebio23_80ml!F37/50</f>
        <v>0</v>
      </c>
      <c r="G36" s="27">
        <f>rebio23_80ml!G37/50</f>
        <v>0.08</v>
      </c>
      <c r="H36" s="27">
        <f>rebio23_80ml!H37/50</f>
        <v>0</v>
      </c>
      <c r="I36" s="27">
        <f>rebio23_80ml!I37/50</f>
        <v>0.38</v>
      </c>
      <c r="J36" s="27">
        <f>rebio23_80ml!J37/50</f>
        <v>0</v>
      </c>
      <c r="K36" s="27">
        <f>rebio23_80ml!K37/50</f>
        <v>0.02</v>
      </c>
      <c r="L36" s="27">
        <f>rebio23_80ml!L37/50</f>
        <v>0.66</v>
      </c>
      <c r="M36" s="27">
        <f>rebio23_80ml!M37/50</f>
        <v>0.34</v>
      </c>
      <c r="N36" s="27">
        <f>rebio23_80ml!N37/50</f>
        <v>0</v>
      </c>
      <c r="O36" s="27">
        <f>rebio23_80ml!O37/50</f>
        <v>0</v>
      </c>
      <c r="P36" s="27">
        <f>rebio23_80ml!P37/50</f>
        <v>0</v>
      </c>
      <c r="Q36" s="27">
        <f>rebio23_80ml!Q37/50</f>
        <v>0</v>
      </c>
      <c r="R36" s="27">
        <f>rebio23_80ml!R37/50</f>
        <v>0</v>
      </c>
      <c r="S36" s="27">
        <f>rebio23_80ml!S37/50</f>
        <v>0.12</v>
      </c>
      <c r="T36" s="27">
        <f>rebio23_80ml!T37/50</f>
        <v>0.04</v>
      </c>
      <c r="U36" s="27">
        <f>rebio23_80ml!U37/50</f>
        <v>0</v>
      </c>
      <c r="V36" s="27">
        <f>rebio23_80ml!V37/50</f>
        <v>0.06</v>
      </c>
      <c r="W36" s="27">
        <f>rebio23_80ml!W37/50</f>
        <v>0</v>
      </c>
      <c r="X36" s="27">
        <f>rebio23_80ml!X37/50</f>
        <v>0</v>
      </c>
      <c r="Y36" s="27">
        <f>rebio23_80ml!Y37/50</f>
        <v>0</v>
      </c>
      <c r="Z36" s="27">
        <f>rebio23_80ml!Z37/50</f>
        <v>0</v>
      </c>
      <c r="AA36" s="27">
        <f>rebio23_80ml!AA37/50</f>
        <v>0.02</v>
      </c>
      <c r="AB36" s="27">
        <f>rebio23_80ml!AB37/50</f>
        <v>0</v>
      </c>
      <c r="AC36" s="27">
        <f>rebio23_80ml!AC37/50</f>
        <v>0</v>
      </c>
      <c r="AD36" s="27">
        <f>rebio23_80ml!AD37/50</f>
        <v>0</v>
      </c>
      <c r="AE36" s="27">
        <f>rebio23_80ml!AE37/50</f>
        <v>0</v>
      </c>
      <c r="AF36" s="27">
        <f>rebio23_80ml!AF37/50</f>
        <v>0</v>
      </c>
      <c r="AG36" s="27">
        <f>rebio23_80ml!AG37/50</f>
        <v>0</v>
      </c>
      <c r="AH36" s="27">
        <f>rebio23_80ml!AH37/50</f>
        <v>0</v>
      </c>
      <c r="AI36" s="27">
        <f>rebio23_80ml!AI37/50</f>
        <v>0</v>
      </c>
      <c r="AJ36" s="27">
        <f>rebio23_80ml!AJ37/50</f>
        <v>0</v>
      </c>
      <c r="AK36" s="27">
        <f>rebio23_80ml!AK37/50</f>
        <v>0</v>
      </c>
      <c r="AL36" s="27">
        <f>rebio23_80ml!AL37/50</f>
        <v>0</v>
      </c>
      <c r="AM36" s="27">
        <f>rebio23_80ml!AM37/50</f>
        <v>0.06</v>
      </c>
      <c r="AN36" s="27">
        <f>rebio23_80ml!AN37/50</f>
        <v>0.04</v>
      </c>
      <c r="AO36" s="27">
        <f>rebio23_80ml!AO37/50</f>
        <v>0.08</v>
      </c>
      <c r="AP36" s="27">
        <f>rebio23_80ml!AP37/50</f>
        <v>0.04</v>
      </c>
      <c r="AQ36" s="27">
        <f>rebio23_80ml!AQ37/50</f>
        <v>0.08</v>
      </c>
      <c r="AR36" s="27">
        <f>rebio23_80ml!AR37/50</f>
        <v>0</v>
      </c>
      <c r="AS36" s="27">
        <f>rebio23_80ml!AS37/50</f>
        <v>0</v>
      </c>
      <c r="AT36" s="27">
        <f>rebio23_80ml!AT37/50</f>
        <v>0</v>
      </c>
      <c r="AU36" s="27">
        <f>rebio23_80ml!AU37/50</f>
        <v>0</v>
      </c>
      <c r="AV36" s="27">
        <f>rebio23_80ml!AV37/50</f>
        <v>1.82</v>
      </c>
      <c r="AW36" s="27">
        <f>rebio23_80ml!AW37/50</f>
        <v>0.16</v>
      </c>
      <c r="AX36" s="27">
        <f>rebio23_80ml!AX37/50</f>
        <v>0.14000000000000001</v>
      </c>
      <c r="AY36" s="27">
        <f>rebio23_80ml!AY37/50</f>
        <v>0</v>
      </c>
      <c r="AZ36" s="27">
        <f>rebio23_80ml!AZ37/50</f>
        <v>0</v>
      </c>
      <c r="BA36" s="27">
        <f>rebio23_80ml!BA37/50</f>
        <v>0.04</v>
      </c>
      <c r="BB36" s="27">
        <f>rebio23_80ml!BB37/50</f>
        <v>0</v>
      </c>
      <c r="BC36" s="27">
        <f>rebio23_80ml!BC37/50</f>
        <v>0.04</v>
      </c>
      <c r="BD36" s="27">
        <f>rebio23_80ml!BD37/50</f>
        <v>0.02</v>
      </c>
      <c r="BE36" s="27">
        <f>rebio23_80ml!BE37/50</f>
        <v>0.02</v>
      </c>
      <c r="BF36" s="27">
        <f>rebio23_80ml!BF37/50</f>
        <v>0</v>
      </c>
      <c r="BG36" s="27">
        <f>rebio23_80ml!BG37/50</f>
        <v>0</v>
      </c>
    </row>
    <row r="37" spans="1:59" ht="12.75" customHeight="1" x14ac:dyDescent="0.25">
      <c r="A37" s="15" t="str">
        <f>rebio23_80ml!A38</f>
        <v>S-C-P16-H3</v>
      </c>
      <c r="B37" s="27">
        <f>rebio23_80ml!B38/50</f>
        <v>0</v>
      </c>
      <c r="C37" s="27">
        <f>rebio23_80ml!C38/50</f>
        <v>0</v>
      </c>
      <c r="D37" s="27">
        <f>rebio23_80ml!D38/50</f>
        <v>0</v>
      </c>
      <c r="E37" s="27">
        <f>rebio23_80ml!E38/50</f>
        <v>0.32</v>
      </c>
      <c r="F37" s="27">
        <f>rebio23_80ml!F38/50</f>
        <v>0</v>
      </c>
      <c r="G37" s="27">
        <f>rebio23_80ml!G38/50</f>
        <v>0</v>
      </c>
      <c r="H37" s="27">
        <f>rebio23_80ml!H38/50</f>
        <v>0</v>
      </c>
      <c r="I37" s="27">
        <f>rebio23_80ml!I38/50</f>
        <v>0.32</v>
      </c>
      <c r="J37" s="27">
        <f>rebio23_80ml!J38/50</f>
        <v>0</v>
      </c>
      <c r="K37" s="27">
        <f>rebio23_80ml!K38/50</f>
        <v>0</v>
      </c>
      <c r="L37" s="27">
        <f>rebio23_80ml!L38/50</f>
        <v>0</v>
      </c>
      <c r="M37" s="27">
        <f>rebio23_80ml!M38/50</f>
        <v>0</v>
      </c>
      <c r="N37" s="27">
        <f>rebio23_80ml!N38/50</f>
        <v>0</v>
      </c>
      <c r="O37" s="27">
        <f>rebio23_80ml!O38/50</f>
        <v>0</v>
      </c>
      <c r="P37" s="27">
        <f>rebio23_80ml!P38/50</f>
        <v>0</v>
      </c>
      <c r="Q37" s="27">
        <f>rebio23_80ml!Q38/50</f>
        <v>0</v>
      </c>
      <c r="R37" s="27">
        <f>rebio23_80ml!R38/50</f>
        <v>0</v>
      </c>
      <c r="S37" s="27">
        <f>rebio23_80ml!S38/50</f>
        <v>0</v>
      </c>
      <c r="T37" s="27">
        <f>rebio23_80ml!T38/50</f>
        <v>0</v>
      </c>
      <c r="U37" s="27">
        <f>rebio23_80ml!U38/50</f>
        <v>0</v>
      </c>
      <c r="V37" s="27">
        <f>rebio23_80ml!V38/50</f>
        <v>0</v>
      </c>
      <c r="W37" s="27">
        <f>rebio23_80ml!W38/50</f>
        <v>0</v>
      </c>
      <c r="X37" s="27">
        <f>rebio23_80ml!X38/50</f>
        <v>0</v>
      </c>
      <c r="Y37" s="27">
        <f>rebio23_80ml!Y38/50</f>
        <v>0.04</v>
      </c>
      <c r="Z37" s="27">
        <f>rebio23_80ml!Z38/50</f>
        <v>0</v>
      </c>
      <c r="AA37" s="27">
        <f>rebio23_80ml!AA38/50</f>
        <v>0.04</v>
      </c>
      <c r="AB37" s="27">
        <f>rebio23_80ml!AB38/50</f>
        <v>0</v>
      </c>
      <c r="AC37" s="27">
        <f>rebio23_80ml!AC38/50</f>
        <v>0</v>
      </c>
      <c r="AD37" s="27">
        <f>rebio23_80ml!AD38/50</f>
        <v>0</v>
      </c>
      <c r="AE37" s="27">
        <f>rebio23_80ml!AE38/50</f>
        <v>0</v>
      </c>
      <c r="AF37" s="27">
        <f>rebio23_80ml!AF38/50</f>
        <v>0</v>
      </c>
      <c r="AG37" s="27">
        <f>rebio23_80ml!AG38/50</f>
        <v>0</v>
      </c>
      <c r="AH37" s="27">
        <f>rebio23_80ml!AH38/50</f>
        <v>0</v>
      </c>
      <c r="AI37" s="27">
        <f>rebio23_80ml!AI38/50</f>
        <v>0</v>
      </c>
      <c r="AJ37" s="27">
        <f>rebio23_80ml!AJ38/50</f>
        <v>0</v>
      </c>
      <c r="AK37" s="27">
        <f>rebio23_80ml!AK38/50</f>
        <v>0</v>
      </c>
      <c r="AL37" s="27">
        <f>rebio23_80ml!AL38/50</f>
        <v>0</v>
      </c>
      <c r="AM37" s="27">
        <f>rebio23_80ml!AM38/50</f>
        <v>0</v>
      </c>
      <c r="AN37" s="27">
        <f>rebio23_80ml!AN38/50</f>
        <v>0</v>
      </c>
      <c r="AO37" s="27">
        <f>rebio23_80ml!AO38/50</f>
        <v>0</v>
      </c>
      <c r="AP37" s="27">
        <f>rebio23_80ml!AP38/50</f>
        <v>0</v>
      </c>
      <c r="AQ37" s="27">
        <f>rebio23_80ml!AQ38/50</f>
        <v>0.04</v>
      </c>
      <c r="AR37" s="27">
        <f>rebio23_80ml!AR38/50</f>
        <v>0</v>
      </c>
      <c r="AS37" s="27">
        <f>rebio23_80ml!AS38/50</f>
        <v>0</v>
      </c>
      <c r="AT37" s="27">
        <f>rebio23_80ml!AT38/50</f>
        <v>0</v>
      </c>
      <c r="AU37" s="27">
        <f>rebio23_80ml!AU38/50</f>
        <v>0</v>
      </c>
      <c r="AV37" s="27">
        <f>rebio23_80ml!AV38/50</f>
        <v>0.9</v>
      </c>
      <c r="AW37" s="27">
        <f>rebio23_80ml!AW38/50</f>
        <v>0.24</v>
      </c>
      <c r="AX37" s="27">
        <f>rebio23_80ml!AX38/50</f>
        <v>0</v>
      </c>
      <c r="AY37" s="27">
        <f>rebio23_80ml!AY38/50</f>
        <v>0</v>
      </c>
      <c r="AZ37" s="27">
        <f>rebio23_80ml!AZ38/50</f>
        <v>0</v>
      </c>
      <c r="BA37" s="27">
        <f>rebio23_80ml!BA38/50</f>
        <v>0</v>
      </c>
      <c r="BB37" s="27">
        <f>rebio23_80ml!BB38/50</f>
        <v>0</v>
      </c>
      <c r="BC37" s="27">
        <f>rebio23_80ml!BC38/50</f>
        <v>0.04</v>
      </c>
      <c r="BD37" s="27">
        <f>rebio23_80ml!BD38/50</f>
        <v>0.02</v>
      </c>
      <c r="BE37" s="27">
        <f>rebio23_80ml!BE38/50</f>
        <v>0</v>
      </c>
      <c r="BF37" s="27">
        <f>rebio23_80ml!BF38/50</f>
        <v>0.02</v>
      </c>
      <c r="BG37" s="27">
        <f>rebio23_80ml!BG38/50</f>
        <v>0</v>
      </c>
    </row>
    <row r="38" spans="1:59" ht="12.75" customHeight="1" x14ac:dyDescent="0.25">
      <c r="A38" s="15" t="str">
        <f>rebio23_80ml!A39</f>
        <v>S-C-P17-H1</v>
      </c>
      <c r="B38" s="27">
        <f>rebio23_80ml!B39/50</f>
        <v>0</v>
      </c>
      <c r="C38" s="27">
        <f>rebio23_80ml!C39/50</f>
        <v>0</v>
      </c>
      <c r="D38" s="27">
        <f>rebio23_80ml!D39/50</f>
        <v>0</v>
      </c>
      <c r="E38" s="27">
        <f>rebio23_80ml!E39/50</f>
        <v>0.56000000000000005</v>
      </c>
      <c r="F38" s="27">
        <f>rebio23_80ml!F39/50</f>
        <v>0</v>
      </c>
      <c r="G38" s="27">
        <f>rebio23_80ml!G39/50</f>
        <v>0</v>
      </c>
      <c r="H38" s="27">
        <f>rebio23_80ml!H39/50</f>
        <v>0</v>
      </c>
      <c r="I38" s="27">
        <f>rebio23_80ml!I39/50</f>
        <v>1.1000000000000001</v>
      </c>
      <c r="J38" s="27">
        <f>rebio23_80ml!J39/50</f>
        <v>0</v>
      </c>
      <c r="K38" s="27">
        <f>rebio23_80ml!K39/50</f>
        <v>0</v>
      </c>
      <c r="L38" s="27">
        <f>rebio23_80ml!L39/50</f>
        <v>0</v>
      </c>
      <c r="M38" s="27">
        <f>rebio23_80ml!M39/50</f>
        <v>0</v>
      </c>
      <c r="N38" s="27">
        <f>rebio23_80ml!N39/50</f>
        <v>0</v>
      </c>
      <c r="O38" s="27">
        <f>rebio23_80ml!O39/50</f>
        <v>0</v>
      </c>
      <c r="P38" s="27">
        <f>rebio23_80ml!P39/50</f>
        <v>0</v>
      </c>
      <c r="Q38" s="27">
        <f>rebio23_80ml!Q39/50</f>
        <v>0.04</v>
      </c>
      <c r="R38" s="27">
        <f>rebio23_80ml!R39/50</f>
        <v>0</v>
      </c>
      <c r="S38" s="27">
        <f>rebio23_80ml!S39/50</f>
        <v>0</v>
      </c>
      <c r="T38" s="27">
        <f>rebio23_80ml!T39/50</f>
        <v>0</v>
      </c>
      <c r="U38" s="27">
        <f>rebio23_80ml!U39/50</f>
        <v>0</v>
      </c>
      <c r="V38" s="27">
        <f>rebio23_80ml!V39/50</f>
        <v>0</v>
      </c>
      <c r="W38" s="27">
        <f>rebio23_80ml!W39/50</f>
        <v>0</v>
      </c>
      <c r="X38" s="27">
        <f>rebio23_80ml!X39/50</f>
        <v>0</v>
      </c>
      <c r="Y38" s="27">
        <f>rebio23_80ml!Y39/50</f>
        <v>0.02</v>
      </c>
      <c r="Z38" s="27">
        <f>rebio23_80ml!Z39/50</f>
        <v>0</v>
      </c>
      <c r="AA38" s="27">
        <f>rebio23_80ml!AA39/50</f>
        <v>0</v>
      </c>
      <c r="AB38" s="27">
        <f>rebio23_80ml!AB39/50</f>
        <v>0</v>
      </c>
      <c r="AC38" s="27">
        <f>rebio23_80ml!AC39/50</f>
        <v>0</v>
      </c>
      <c r="AD38" s="27">
        <f>rebio23_80ml!AD39/50</f>
        <v>0.02</v>
      </c>
      <c r="AE38" s="27">
        <f>rebio23_80ml!AE39/50</f>
        <v>0</v>
      </c>
      <c r="AF38" s="27">
        <f>rebio23_80ml!AF39/50</f>
        <v>0</v>
      </c>
      <c r="AG38" s="27">
        <f>rebio23_80ml!AG39/50</f>
        <v>0.02</v>
      </c>
      <c r="AH38" s="27">
        <f>rebio23_80ml!AH39/50</f>
        <v>0</v>
      </c>
      <c r="AI38" s="27">
        <f>rebio23_80ml!AI39/50</f>
        <v>0</v>
      </c>
      <c r="AJ38" s="27">
        <f>rebio23_80ml!AJ39/50</f>
        <v>0</v>
      </c>
      <c r="AK38" s="27">
        <f>rebio23_80ml!AK39/50</f>
        <v>0</v>
      </c>
      <c r="AL38" s="27">
        <f>rebio23_80ml!AL39/50</f>
        <v>0</v>
      </c>
      <c r="AM38" s="27">
        <f>rebio23_80ml!AM39/50</f>
        <v>0</v>
      </c>
      <c r="AN38" s="27">
        <f>rebio23_80ml!AN39/50</f>
        <v>0</v>
      </c>
      <c r="AO38" s="27">
        <f>rebio23_80ml!AO39/50</f>
        <v>0</v>
      </c>
      <c r="AP38" s="27">
        <f>rebio23_80ml!AP39/50</f>
        <v>0</v>
      </c>
      <c r="AQ38" s="27">
        <f>rebio23_80ml!AQ39/50</f>
        <v>0.02</v>
      </c>
      <c r="AR38" s="27">
        <f>rebio23_80ml!AR39/50</f>
        <v>0</v>
      </c>
      <c r="AS38" s="27">
        <f>rebio23_80ml!AS39/50</f>
        <v>0</v>
      </c>
      <c r="AT38" s="27">
        <f>rebio23_80ml!AT39/50</f>
        <v>0</v>
      </c>
      <c r="AU38" s="27">
        <f>rebio23_80ml!AU39/50</f>
        <v>0</v>
      </c>
      <c r="AV38" s="27">
        <f>rebio23_80ml!AV39/50</f>
        <v>0.3</v>
      </c>
      <c r="AW38" s="27">
        <f>rebio23_80ml!AW39/50</f>
        <v>0.02</v>
      </c>
      <c r="AX38" s="27">
        <f>rebio23_80ml!AX39/50</f>
        <v>0</v>
      </c>
      <c r="AY38" s="27">
        <f>rebio23_80ml!AY39/50</f>
        <v>0</v>
      </c>
      <c r="AZ38" s="27">
        <f>rebio23_80ml!AZ39/50</f>
        <v>0</v>
      </c>
      <c r="BA38" s="27">
        <f>rebio23_80ml!BA39/50</f>
        <v>0</v>
      </c>
      <c r="BB38" s="27">
        <f>rebio23_80ml!BB39/50</f>
        <v>0</v>
      </c>
      <c r="BC38" s="27">
        <f>rebio23_80ml!BC39/50</f>
        <v>0</v>
      </c>
      <c r="BD38" s="27">
        <f>rebio23_80ml!BD39/50</f>
        <v>0</v>
      </c>
      <c r="BE38" s="27">
        <f>rebio23_80ml!BE39/50</f>
        <v>0</v>
      </c>
      <c r="BF38" s="27">
        <f>rebio23_80ml!BF39/50</f>
        <v>0</v>
      </c>
      <c r="BG38" s="27">
        <f>rebio23_80ml!BG39/50</f>
        <v>0</v>
      </c>
    </row>
    <row r="39" spans="1:59" ht="12.75" customHeight="1" x14ac:dyDescent="0.25">
      <c r="A39" s="15" t="str">
        <f>rebio23_80ml!A40</f>
        <v>S-C-P17-H2</v>
      </c>
      <c r="B39" s="27">
        <f>rebio23_80ml!B40/50</f>
        <v>0.04</v>
      </c>
      <c r="C39" s="27">
        <f>rebio23_80ml!C40/50</f>
        <v>0</v>
      </c>
      <c r="D39" s="27">
        <f>rebio23_80ml!D40/50</f>
        <v>0</v>
      </c>
      <c r="E39" s="27">
        <f>rebio23_80ml!E40/50</f>
        <v>0.78</v>
      </c>
      <c r="F39" s="27">
        <f>rebio23_80ml!F40/50</f>
        <v>0</v>
      </c>
      <c r="G39" s="27">
        <f>rebio23_80ml!G40/50</f>
        <v>0</v>
      </c>
      <c r="H39" s="27">
        <f>rebio23_80ml!H40/50</f>
        <v>0</v>
      </c>
      <c r="I39" s="27">
        <f>rebio23_80ml!I40/50</f>
        <v>1.44</v>
      </c>
      <c r="J39" s="27">
        <f>rebio23_80ml!J40/50</f>
        <v>0</v>
      </c>
      <c r="K39" s="27">
        <f>rebio23_80ml!K40/50</f>
        <v>0.02</v>
      </c>
      <c r="L39" s="27">
        <f>rebio23_80ml!L40/50</f>
        <v>0</v>
      </c>
      <c r="M39" s="27">
        <f>rebio23_80ml!M40/50</f>
        <v>0</v>
      </c>
      <c r="N39" s="27">
        <f>rebio23_80ml!N40/50</f>
        <v>0</v>
      </c>
      <c r="O39" s="27">
        <f>rebio23_80ml!O40/50</f>
        <v>0</v>
      </c>
      <c r="P39" s="27">
        <f>rebio23_80ml!P40/50</f>
        <v>0</v>
      </c>
      <c r="Q39" s="27">
        <f>rebio23_80ml!Q40/50</f>
        <v>0</v>
      </c>
      <c r="R39" s="27">
        <f>rebio23_80ml!R40/50</f>
        <v>0</v>
      </c>
      <c r="S39" s="27">
        <f>rebio23_80ml!S40/50</f>
        <v>0.02</v>
      </c>
      <c r="T39" s="27">
        <f>rebio23_80ml!T40/50</f>
        <v>0</v>
      </c>
      <c r="U39" s="27">
        <f>rebio23_80ml!U40/50</f>
        <v>0</v>
      </c>
      <c r="V39" s="27">
        <f>rebio23_80ml!V40/50</f>
        <v>0</v>
      </c>
      <c r="W39" s="27">
        <f>rebio23_80ml!W40/50</f>
        <v>0</v>
      </c>
      <c r="X39" s="27">
        <f>rebio23_80ml!X40/50</f>
        <v>0</v>
      </c>
      <c r="Y39" s="27">
        <f>rebio23_80ml!Y40/50</f>
        <v>0</v>
      </c>
      <c r="Z39" s="27">
        <f>rebio23_80ml!Z40/50</f>
        <v>0</v>
      </c>
      <c r="AA39" s="27">
        <f>rebio23_80ml!AA40/50</f>
        <v>0</v>
      </c>
      <c r="AB39" s="27">
        <f>rebio23_80ml!AB40/50</f>
        <v>0</v>
      </c>
      <c r="AC39" s="27">
        <f>rebio23_80ml!AC40/50</f>
        <v>0</v>
      </c>
      <c r="AD39" s="27">
        <f>rebio23_80ml!AD40/50</f>
        <v>0</v>
      </c>
      <c r="AE39" s="27">
        <f>rebio23_80ml!AE40/50</f>
        <v>0</v>
      </c>
      <c r="AF39" s="27">
        <f>rebio23_80ml!AF40/50</f>
        <v>0</v>
      </c>
      <c r="AG39" s="27">
        <f>rebio23_80ml!AG40/50</f>
        <v>0</v>
      </c>
      <c r="AH39" s="27">
        <f>rebio23_80ml!AH40/50</f>
        <v>0</v>
      </c>
      <c r="AI39" s="27">
        <f>rebio23_80ml!AI40/50</f>
        <v>0</v>
      </c>
      <c r="AJ39" s="27">
        <f>rebio23_80ml!AJ40/50</f>
        <v>0</v>
      </c>
      <c r="AK39" s="27">
        <f>rebio23_80ml!AK40/50</f>
        <v>0</v>
      </c>
      <c r="AL39" s="27">
        <f>rebio23_80ml!AL40/50</f>
        <v>0</v>
      </c>
      <c r="AM39" s="27">
        <f>rebio23_80ml!AM40/50</f>
        <v>0</v>
      </c>
      <c r="AN39" s="27">
        <f>rebio23_80ml!AN40/50</f>
        <v>0</v>
      </c>
      <c r="AO39" s="27">
        <f>rebio23_80ml!AO40/50</f>
        <v>0.06</v>
      </c>
      <c r="AP39" s="27">
        <f>rebio23_80ml!AP40/50</f>
        <v>0</v>
      </c>
      <c r="AQ39" s="27">
        <f>rebio23_80ml!AQ40/50</f>
        <v>0</v>
      </c>
      <c r="AR39" s="27">
        <f>rebio23_80ml!AR40/50</f>
        <v>0</v>
      </c>
      <c r="AS39" s="27">
        <f>rebio23_80ml!AS40/50</f>
        <v>0</v>
      </c>
      <c r="AT39" s="27">
        <f>rebio23_80ml!AT40/50</f>
        <v>0</v>
      </c>
      <c r="AU39" s="27">
        <f>rebio23_80ml!AU40/50</f>
        <v>0</v>
      </c>
      <c r="AV39" s="27">
        <f>rebio23_80ml!AV40/50</f>
        <v>0.84</v>
      </c>
      <c r="AW39" s="27">
        <f>rebio23_80ml!AW40/50</f>
        <v>0.4</v>
      </c>
      <c r="AX39" s="27">
        <f>rebio23_80ml!AX40/50</f>
        <v>0.52</v>
      </c>
      <c r="AY39" s="27">
        <f>rebio23_80ml!AY40/50</f>
        <v>0</v>
      </c>
      <c r="AZ39" s="27">
        <f>rebio23_80ml!AZ40/50</f>
        <v>0</v>
      </c>
      <c r="BA39" s="27">
        <f>rebio23_80ml!BA40/50</f>
        <v>0</v>
      </c>
      <c r="BB39" s="27">
        <f>rebio23_80ml!BB40/50</f>
        <v>0</v>
      </c>
      <c r="BC39" s="27">
        <f>rebio23_80ml!BC40/50</f>
        <v>0</v>
      </c>
      <c r="BD39" s="27">
        <f>rebio23_80ml!BD40/50</f>
        <v>0</v>
      </c>
      <c r="BE39" s="27">
        <f>rebio23_80ml!BE40/50</f>
        <v>0</v>
      </c>
      <c r="BF39" s="27">
        <f>rebio23_80ml!BF40/50</f>
        <v>0.02</v>
      </c>
      <c r="BG39" s="27">
        <f>rebio23_80ml!BG40/50</f>
        <v>0</v>
      </c>
    </row>
    <row r="40" spans="1:59" ht="12.75" customHeight="1" x14ac:dyDescent="0.25">
      <c r="A40" s="15" t="str">
        <f>rebio23_80ml!A41</f>
        <v>S-C-P17-H3</v>
      </c>
      <c r="B40" s="27">
        <f>rebio23_80ml!B41/50</f>
        <v>0.02</v>
      </c>
      <c r="C40" s="27">
        <f>rebio23_80ml!C41/50</f>
        <v>0</v>
      </c>
      <c r="D40" s="27">
        <f>rebio23_80ml!D41/50</f>
        <v>0</v>
      </c>
      <c r="E40" s="27">
        <f>rebio23_80ml!E41/50</f>
        <v>1</v>
      </c>
      <c r="F40" s="27">
        <f>rebio23_80ml!F41/50</f>
        <v>0</v>
      </c>
      <c r="G40" s="27">
        <f>rebio23_80ml!G41/50</f>
        <v>0</v>
      </c>
      <c r="H40" s="27">
        <f>rebio23_80ml!H41/50</f>
        <v>0</v>
      </c>
      <c r="I40" s="27">
        <f>rebio23_80ml!I41/50</f>
        <v>1.4</v>
      </c>
      <c r="J40" s="27">
        <f>rebio23_80ml!J41/50</f>
        <v>0</v>
      </c>
      <c r="K40" s="27">
        <f>rebio23_80ml!K41/50</f>
        <v>0</v>
      </c>
      <c r="L40" s="27">
        <f>rebio23_80ml!L41/50</f>
        <v>0</v>
      </c>
      <c r="M40" s="27">
        <f>rebio23_80ml!M41/50</f>
        <v>0</v>
      </c>
      <c r="N40" s="27">
        <f>rebio23_80ml!N41/50</f>
        <v>0</v>
      </c>
      <c r="O40" s="27">
        <f>rebio23_80ml!O41/50</f>
        <v>0.02</v>
      </c>
      <c r="P40" s="27">
        <f>rebio23_80ml!P41/50</f>
        <v>0.02</v>
      </c>
      <c r="Q40" s="27">
        <f>rebio23_80ml!Q41/50</f>
        <v>0.02</v>
      </c>
      <c r="R40" s="27">
        <f>rebio23_80ml!R41/50</f>
        <v>0</v>
      </c>
      <c r="S40" s="27">
        <f>rebio23_80ml!S41/50</f>
        <v>0</v>
      </c>
      <c r="T40" s="27">
        <f>rebio23_80ml!T41/50</f>
        <v>0</v>
      </c>
      <c r="U40" s="27">
        <f>rebio23_80ml!U41/50</f>
        <v>0</v>
      </c>
      <c r="V40" s="27">
        <f>rebio23_80ml!V41/50</f>
        <v>0</v>
      </c>
      <c r="W40" s="27">
        <f>rebio23_80ml!W41/50</f>
        <v>0</v>
      </c>
      <c r="X40" s="27">
        <f>rebio23_80ml!X41/50</f>
        <v>0</v>
      </c>
      <c r="Y40" s="27">
        <f>rebio23_80ml!Y41/50</f>
        <v>0</v>
      </c>
      <c r="Z40" s="27">
        <f>rebio23_80ml!Z41/50</f>
        <v>0</v>
      </c>
      <c r="AA40" s="27">
        <f>rebio23_80ml!AA41/50</f>
        <v>0</v>
      </c>
      <c r="AB40" s="27">
        <f>rebio23_80ml!AB41/50</f>
        <v>0</v>
      </c>
      <c r="AC40" s="27">
        <f>rebio23_80ml!AC41/50</f>
        <v>0</v>
      </c>
      <c r="AD40" s="27">
        <f>rebio23_80ml!AD41/50</f>
        <v>0</v>
      </c>
      <c r="AE40" s="27">
        <f>rebio23_80ml!AE41/50</f>
        <v>0</v>
      </c>
      <c r="AF40" s="27">
        <f>rebio23_80ml!AF41/50</f>
        <v>0</v>
      </c>
      <c r="AG40" s="27">
        <f>rebio23_80ml!AG41/50</f>
        <v>0</v>
      </c>
      <c r="AH40" s="27">
        <f>rebio23_80ml!AH41/50</f>
        <v>0</v>
      </c>
      <c r="AI40" s="27">
        <f>rebio23_80ml!AI41/50</f>
        <v>0</v>
      </c>
      <c r="AJ40" s="27">
        <f>rebio23_80ml!AJ41/50</f>
        <v>0</v>
      </c>
      <c r="AK40" s="27">
        <f>rebio23_80ml!AK41/50</f>
        <v>0</v>
      </c>
      <c r="AL40" s="27">
        <f>rebio23_80ml!AL41/50</f>
        <v>0</v>
      </c>
      <c r="AM40" s="27">
        <f>rebio23_80ml!AM41/50</f>
        <v>0.04</v>
      </c>
      <c r="AN40" s="27">
        <f>rebio23_80ml!AN41/50</f>
        <v>0</v>
      </c>
      <c r="AO40" s="27">
        <f>rebio23_80ml!AO41/50</f>
        <v>0</v>
      </c>
      <c r="AP40" s="27">
        <f>rebio23_80ml!AP41/50</f>
        <v>0</v>
      </c>
      <c r="AQ40" s="27">
        <f>rebio23_80ml!AQ41/50</f>
        <v>0</v>
      </c>
      <c r="AR40" s="27">
        <f>rebio23_80ml!AR41/50</f>
        <v>0.08</v>
      </c>
      <c r="AS40" s="27">
        <f>rebio23_80ml!AS41/50</f>
        <v>0.02</v>
      </c>
      <c r="AT40" s="27">
        <f>rebio23_80ml!AT41/50</f>
        <v>0.02</v>
      </c>
      <c r="AU40" s="27">
        <f>rebio23_80ml!AU41/50</f>
        <v>0</v>
      </c>
      <c r="AV40" s="27">
        <f>rebio23_80ml!AV41/50</f>
        <v>0.56000000000000005</v>
      </c>
      <c r="AW40" s="27">
        <f>rebio23_80ml!AW41/50</f>
        <v>0.28000000000000003</v>
      </c>
      <c r="AX40" s="27">
        <f>rebio23_80ml!AX41/50</f>
        <v>0.08</v>
      </c>
      <c r="AY40" s="27">
        <f>rebio23_80ml!AY41/50</f>
        <v>0</v>
      </c>
      <c r="AZ40" s="27">
        <f>rebio23_80ml!AZ41/50</f>
        <v>0</v>
      </c>
      <c r="BA40" s="27">
        <f>rebio23_80ml!BA41/50</f>
        <v>0</v>
      </c>
      <c r="BB40" s="27">
        <f>rebio23_80ml!BB41/50</f>
        <v>0</v>
      </c>
      <c r="BC40" s="27">
        <f>rebio23_80ml!BC41/50</f>
        <v>0</v>
      </c>
      <c r="BD40" s="27">
        <f>rebio23_80ml!BD41/50</f>
        <v>0</v>
      </c>
      <c r="BE40" s="27">
        <f>rebio23_80ml!BE41/50</f>
        <v>0</v>
      </c>
      <c r="BF40" s="27">
        <f>rebio23_80ml!BF41/50</f>
        <v>0</v>
      </c>
      <c r="BG40" s="27">
        <f>rebio23_80ml!BG41/50</f>
        <v>0</v>
      </c>
    </row>
    <row r="41" spans="1:59" ht="12.75" customHeight="1" x14ac:dyDescent="0.25">
      <c r="A41" s="15" t="str">
        <f>rebio23_80ml!A42</f>
        <v>S-C-P18-H1</v>
      </c>
      <c r="B41" s="27">
        <f>rebio23_80ml!B42/50</f>
        <v>0.02</v>
      </c>
      <c r="C41" s="27">
        <f>rebio23_80ml!C42/50</f>
        <v>0</v>
      </c>
      <c r="D41" s="27">
        <f>rebio23_80ml!D42/50</f>
        <v>0</v>
      </c>
      <c r="E41" s="27">
        <f>rebio23_80ml!E42/50</f>
        <v>0.44</v>
      </c>
      <c r="F41" s="27">
        <f>rebio23_80ml!F42/50</f>
        <v>0</v>
      </c>
      <c r="G41" s="27">
        <f>rebio23_80ml!G42/50</f>
        <v>0</v>
      </c>
      <c r="H41" s="27">
        <f>rebio23_80ml!H42/50</f>
        <v>0</v>
      </c>
      <c r="I41" s="27">
        <f>rebio23_80ml!I42/50</f>
        <v>0.08</v>
      </c>
      <c r="J41" s="27">
        <f>rebio23_80ml!J42/50</f>
        <v>0</v>
      </c>
      <c r="K41" s="27">
        <f>rebio23_80ml!K42/50</f>
        <v>0</v>
      </c>
      <c r="L41" s="27">
        <f>rebio23_80ml!L42/50</f>
        <v>0</v>
      </c>
      <c r="M41" s="27">
        <f>rebio23_80ml!M42/50</f>
        <v>0</v>
      </c>
      <c r="N41" s="27">
        <f>rebio23_80ml!N42/50</f>
        <v>0</v>
      </c>
      <c r="O41" s="27">
        <f>rebio23_80ml!O42/50</f>
        <v>0</v>
      </c>
      <c r="P41" s="27">
        <f>rebio23_80ml!P42/50</f>
        <v>0</v>
      </c>
      <c r="Q41" s="27">
        <f>rebio23_80ml!Q42/50</f>
        <v>0</v>
      </c>
      <c r="R41" s="27">
        <f>rebio23_80ml!R42/50</f>
        <v>0</v>
      </c>
      <c r="S41" s="27">
        <f>rebio23_80ml!S42/50</f>
        <v>0</v>
      </c>
      <c r="T41" s="27">
        <f>rebio23_80ml!T42/50</f>
        <v>0</v>
      </c>
      <c r="U41" s="27">
        <f>rebio23_80ml!U42/50</f>
        <v>0</v>
      </c>
      <c r="V41" s="27">
        <f>rebio23_80ml!V42/50</f>
        <v>0</v>
      </c>
      <c r="W41" s="27">
        <f>rebio23_80ml!W42/50</f>
        <v>0</v>
      </c>
      <c r="X41" s="27">
        <f>rebio23_80ml!X42/50</f>
        <v>0</v>
      </c>
      <c r="Y41" s="27">
        <f>rebio23_80ml!Y42/50</f>
        <v>0</v>
      </c>
      <c r="Z41" s="27">
        <f>rebio23_80ml!Z42/50</f>
        <v>0</v>
      </c>
      <c r="AA41" s="27">
        <f>rebio23_80ml!AA42/50</f>
        <v>0</v>
      </c>
      <c r="AB41" s="27">
        <f>rebio23_80ml!AB42/50</f>
        <v>0</v>
      </c>
      <c r="AC41" s="27">
        <f>rebio23_80ml!AC42/50</f>
        <v>0</v>
      </c>
      <c r="AD41" s="27">
        <f>rebio23_80ml!AD42/50</f>
        <v>0</v>
      </c>
      <c r="AE41" s="27">
        <f>rebio23_80ml!AE42/50</f>
        <v>0</v>
      </c>
      <c r="AF41" s="27">
        <f>rebio23_80ml!AF42/50</f>
        <v>0</v>
      </c>
      <c r="AG41" s="27">
        <f>rebio23_80ml!AG42/50</f>
        <v>0</v>
      </c>
      <c r="AH41" s="27">
        <f>rebio23_80ml!AH42/50</f>
        <v>0</v>
      </c>
      <c r="AI41" s="27">
        <f>rebio23_80ml!AI42/50</f>
        <v>0</v>
      </c>
      <c r="AJ41" s="27">
        <f>rebio23_80ml!AJ42/50</f>
        <v>0</v>
      </c>
      <c r="AK41" s="27">
        <f>rebio23_80ml!AK42/50</f>
        <v>0</v>
      </c>
      <c r="AL41" s="27">
        <f>rebio23_80ml!AL42/50</f>
        <v>0</v>
      </c>
      <c r="AM41" s="27">
        <f>rebio23_80ml!AM42/50</f>
        <v>0</v>
      </c>
      <c r="AN41" s="27">
        <f>rebio23_80ml!AN42/50</f>
        <v>0</v>
      </c>
      <c r="AO41" s="27">
        <f>rebio23_80ml!AO42/50</f>
        <v>0</v>
      </c>
      <c r="AP41" s="27">
        <f>rebio23_80ml!AP42/50</f>
        <v>0</v>
      </c>
      <c r="AQ41" s="27">
        <f>rebio23_80ml!AQ42/50</f>
        <v>0</v>
      </c>
      <c r="AR41" s="27">
        <f>rebio23_80ml!AR42/50</f>
        <v>0</v>
      </c>
      <c r="AS41" s="27">
        <f>rebio23_80ml!AS42/50</f>
        <v>0</v>
      </c>
      <c r="AT41" s="27">
        <f>rebio23_80ml!AT42/50</f>
        <v>0</v>
      </c>
      <c r="AU41" s="27">
        <f>rebio23_80ml!AU42/50</f>
        <v>0</v>
      </c>
      <c r="AV41" s="27">
        <f>rebio23_80ml!AV42/50</f>
        <v>0.12</v>
      </c>
      <c r="AW41" s="27">
        <f>rebio23_80ml!AW42/50</f>
        <v>0</v>
      </c>
      <c r="AX41" s="27">
        <f>rebio23_80ml!AX42/50</f>
        <v>0.04</v>
      </c>
      <c r="AY41" s="27">
        <f>rebio23_80ml!AY42/50</f>
        <v>0</v>
      </c>
      <c r="AZ41" s="27">
        <f>rebio23_80ml!AZ42/50</f>
        <v>0</v>
      </c>
      <c r="BA41" s="27">
        <f>rebio23_80ml!BA42/50</f>
        <v>0</v>
      </c>
      <c r="BB41" s="27">
        <f>rebio23_80ml!BB42/50</f>
        <v>0</v>
      </c>
      <c r="BC41" s="27">
        <f>rebio23_80ml!BC42/50</f>
        <v>0</v>
      </c>
      <c r="BD41" s="27">
        <f>rebio23_80ml!BD42/50</f>
        <v>0</v>
      </c>
      <c r="BE41" s="27">
        <f>rebio23_80ml!BE42/50</f>
        <v>0</v>
      </c>
      <c r="BF41" s="27">
        <f>rebio23_80ml!BF42/50</f>
        <v>0</v>
      </c>
      <c r="BG41" s="27">
        <f>rebio23_80ml!BG42/50</f>
        <v>0</v>
      </c>
    </row>
    <row r="42" spans="1:59" ht="12.75" customHeight="1" x14ac:dyDescent="0.25">
      <c r="A42" s="15" t="str">
        <f>rebio23_80ml!A43</f>
        <v>S-C-P18-H2</v>
      </c>
      <c r="B42" s="27">
        <f>rebio23_80ml!B43/50</f>
        <v>0</v>
      </c>
      <c r="C42" s="27">
        <f>rebio23_80ml!C43/50</f>
        <v>0</v>
      </c>
      <c r="D42" s="27">
        <f>rebio23_80ml!D43/50</f>
        <v>0</v>
      </c>
      <c r="E42" s="27">
        <f>rebio23_80ml!E43/50</f>
        <v>0.26</v>
      </c>
      <c r="F42" s="27">
        <f>rebio23_80ml!F43/50</f>
        <v>0</v>
      </c>
      <c r="G42" s="27">
        <f>rebio23_80ml!G43/50</f>
        <v>0</v>
      </c>
      <c r="H42" s="27">
        <f>rebio23_80ml!H43/50</f>
        <v>0</v>
      </c>
      <c r="I42" s="27">
        <f>rebio23_80ml!I43/50</f>
        <v>0.3</v>
      </c>
      <c r="J42" s="27">
        <f>rebio23_80ml!J43/50</f>
        <v>0</v>
      </c>
      <c r="K42" s="27">
        <f>rebio23_80ml!K43/50</f>
        <v>0</v>
      </c>
      <c r="L42" s="27">
        <f>rebio23_80ml!L43/50</f>
        <v>0</v>
      </c>
      <c r="M42" s="27">
        <f>rebio23_80ml!M43/50</f>
        <v>0</v>
      </c>
      <c r="N42" s="27">
        <f>rebio23_80ml!N43/50</f>
        <v>0</v>
      </c>
      <c r="O42" s="27">
        <f>rebio23_80ml!O43/50</f>
        <v>0</v>
      </c>
      <c r="P42" s="27">
        <f>rebio23_80ml!P43/50</f>
        <v>0</v>
      </c>
      <c r="Q42" s="27">
        <f>rebio23_80ml!Q43/50</f>
        <v>0.02</v>
      </c>
      <c r="R42" s="27">
        <f>rebio23_80ml!R43/50</f>
        <v>0</v>
      </c>
      <c r="S42" s="27">
        <f>rebio23_80ml!S43/50</f>
        <v>0</v>
      </c>
      <c r="T42" s="27">
        <f>rebio23_80ml!T43/50</f>
        <v>0</v>
      </c>
      <c r="U42" s="27">
        <f>rebio23_80ml!U43/50</f>
        <v>0</v>
      </c>
      <c r="V42" s="27">
        <f>rebio23_80ml!V43/50</f>
        <v>0</v>
      </c>
      <c r="W42" s="27">
        <f>rebio23_80ml!W43/50</f>
        <v>0</v>
      </c>
      <c r="X42" s="27">
        <f>rebio23_80ml!X43/50</f>
        <v>0</v>
      </c>
      <c r="Y42" s="27">
        <f>rebio23_80ml!Y43/50</f>
        <v>0.06</v>
      </c>
      <c r="Z42" s="27">
        <f>rebio23_80ml!Z43/50</f>
        <v>0</v>
      </c>
      <c r="AA42" s="27">
        <f>rebio23_80ml!AA43/50</f>
        <v>0</v>
      </c>
      <c r="AB42" s="27">
        <f>rebio23_80ml!AB43/50</f>
        <v>0</v>
      </c>
      <c r="AC42" s="27">
        <f>rebio23_80ml!AC43/50</f>
        <v>0</v>
      </c>
      <c r="AD42" s="27">
        <f>rebio23_80ml!AD43/50</f>
        <v>0</v>
      </c>
      <c r="AE42" s="27">
        <f>rebio23_80ml!AE43/50</f>
        <v>0</v>
      </c>
      <c r="AF42" s="27">
        <f>rebio23_80ml!AF43/50</f>
        <v>0</v>
      </c>
      <c r="AG42" s="27">
        <f>rebio23_80ml!AG43/50</f>
        <v>0</v>
      </c>
      <c r="AH42" s="27">
        <f>rebio23_80ml!AH43/50</f>
        <v>0</v>
      </c>
      <c r="AI42" s="27">
        <f>rebio23_80ml!AI43/50</f>
        <v>0</v>
      </c>
      <c r="AJ42" s="27">
        <f>rebio23_80ml!AJ43/50</f>
        <v>0</v>
      </c>
      <c r="AK42" s="27">
        <f>rebio23_80ml!AK43/50</f>
        <v>0</v>
      </c>
      <c r="AL42" s="27">
        <f>rebio23_80ml!AL43/50</f>
        <v>0</v>
      </c>
      <c r="AM42" s="27">
        <f>rebio23_80ml!AM43/50</f>
        <v>0</v>
      </c>
      <c r="AN42" s="27">
        <f>rebio23_80ml!AN43/50</f>
        <v>0</v>
      </c>
      <c r="AO42" s="27">
        <f>rebio23_80ml!AO43/50</f>
        <v>0</v>
      </c>
      <c r="AP42" s="27">
        <f>rebio23_80ml!AP43/50</f>
        <v>0</v>
      </c>
      <c r="AQ42" s="27">
        <f>rebio23_80ml!AQ43/50</f>
        <v>0</v>
      </c>
      <c r="AR42" s="27">
        <f>rebio23_80ml!AR43/50</f>
        <v>0</v>
      </c>
      <c r="AS42" s="27">
        <f>rebio23_80ml!AS43/50</f>
        <v>0</v>
      </c>
      <c r="AT42" s="27">
        <f>rebio23_80ml!AT43/50</f>
        <v>0</v>
      </c>
      <c r="AU42" s="27">
        <f>rebio23_80ml!AU43/50</f>
        <v>0</v>
      </c>
      <c r="AV42" s="27">
        <f>rebio23_80ml!AV43/50</f>
        <v>0.1</v>
      </c>
      <c r="AW42" s="27">
        <f>rebio23_80ml!AW43/50</f>
        <v>0</v>
      </c>
      <c r="AX42" s="27">
        <f>rebio23_80ml!AX43/50</f>
        <v>0</v>
      </c>
      <c r="AY42" s="27">
        <f>rebio23_80ml!AY43/50</f>
        <v>0</v>
      </c>
      <c r="AZ42" s="27">
        <f>rebio23_80ml!AZ43/50</f>
        <v>0</v>
      </c>
      <c r="BA42" s="27">
        <f>rebio23_80ml!BA43/50</f>
        <v>0</v>
      </c>
      <c r="BB42" s="27">
        <f>rebio23_80ml!BB43/50</f>
        <v>0</v>
      </c>
      <c r="BC42" s="27">
        <f>rebio23_80ml!BC43/50</f>
        <v>0</v>
      </c>
      <c r="BD42" s="27">
        <f>rebio23_80ml!BD43/50</f>
        <v>0</v>
      </c>
      <c r="BE42" s="27">
        <f>rebio23_80ml!BE43/50</f>
        <v>0</v>
      </c>
      <c r="BF42" s="27">
        <f>rebio23_80ml!BF43/50</f>
        <v>0</v>
      </c>
      <c r="BG42" s="27">
        <f>rebio23_80ml!BG43/50</f>
        <v>0</v>
      </c>
    </row>
    <row r="43" spans="1:59" ht="12.75" customHeight="1" x14ac:dyDescent="0.25">
      <c r="A43" s="15" t="str">
        <f>rebio23_80ml!A44</f>
        <v>S-C-P18-H3</v>
      </c>
      <c r="B43" s="27">
        <f>rebio23_80ml!B44/50</f>
        <v>0.04</v>
      </c>
      <c r="C43" s="27">
        <f>rebio23_80ml!C44/50</f>
        <v>0</v>
      </c>
      <c r="D43" s="27">
        <f>rebio23_80ml!D44/50</f>
        <v>0</v>
      </c>
      <c r="E43" s="27">
        <f>rebio23_80ml!E44/50</f>
        <v>0.24</v>
      </c>
      <c r="F43" s="27">
        <f>rebio23_80ml!F44/50</f>
        <v>0</v>
      </c>
      <c r="G43" s="27">
        <f>rebio23_80ml!G44/50</f>
        <v>0.06</v>
      </c>
      <c r="H43" s="27">
        <f>rebio23_80ml!H44/50</f>
        <v>0</v>
      </c>
      <c r="I43" s="27">
        <f>rebio23_80ml!I44/50</f>
        <v>0.08</v>
      </c>
      <c r="J43" s="27">
        <f>rebio23_80ml!J44/50</f>
        <v>0</v>
      </c>
      <c r="K43" s="27">
        <f>rebio23_80ml!K44/50</f>
        <v>0</v>
      </c>
      <c r="L43" s="27">
        <f>rebio23_80ml!L44/50</f>
        <v>0</v>
      </c>
      <c r="M43" s="27">
        <f>rebio23_80ml!M44/50</f>
        <v>0</v>
      </c>
      <c r="N43" s="27">
        <f>rebio23_80ml!N44/50</f>
        <v>0</v>
      </c>
      <c r="O43" s="27">
        <f>rebio23_80ml!O44/50</f>
        <v>0</v>
      </c>
      <c r="P43" s="27">
        <f>rebio23_80ml!P44/50</f>
        <v>0</v>
      </c>
      <c r="Q43" s="27">
        <f>rebio23_80ml!Q44/50</f>
        <v>0</v>
      </c>
      <c r="R43" s="27">
        <f>rebio23_80ml!R44/50</f>
        <v>0</v>
      </c>
      <c r="S43" s="27">
        <f>rebio23_80ml!S44/50</f>
        <v>0</v>
      </c>
      <c r="T43" s="27">
        <f>rebio23_80ml!T44/50</f>
        <v>0</v>
      </c>
      <c r="U43" s="27">
        <f>rebio23_80ml!U44/50</f>
        <v>0</v>
      </c>
      <c r="V43" s="27">
        <f>rebio23_80ml!V44/50</f>
        <v>0.04</v>
      </c>
      <c r="W43" s="27">
        <f>rebio23_80ml!W44/50</f>
        <v>0</v>
      </c>
      <c r="X43" s="27">
        <f>rebio23_80ml!X44/50</f>
        <v>0</v>
      </c>
      <c r="Y43" s="27">
        <f>rebio23_80ml!Y44/50</f>
        <v>0</v>
      </c>
      <c r="Z43" s="27">
        <f>rebio23_80ml!Z44/50</f>
        <v>0</v>
      </c>
      <c r="AA43" s="27">
        <f>rebio23_80ml!AA44/50</f>
        <v>0</v>
      </c>
      <c r="AB43" s="27">
        <f>rebio23_80ml!AB44/50</f>
        <v>0</v>
      </c>
      <c r="AC43" s="27">
        <f>rebio23_80ml!AC44/50</f>
        <v>0</v>
      </c>
      <c r="AD43" s="27">
        <f>rebio23_80ml!AD44/50</f>
        <v>0</v>
      </c>
      <c r="AE43" s="27">
        <f>rebio23_80ml!AE44/50</f>
        <v>0</v>
      </c>
      <c r="AF43" s="27">
        <f>rebio23_80ml!AF44/50</f>
        <v>0</v>
      </c>
      <c r="AG43" s="27">
        <f>rebio23_80ml!AG44/50</f>
        <v>0</v>
      </c>
      <c r="AH43" s="27">
        <f>rebio23_80ml!AH44/50</f>
        <v>0</v>
      </c>
      <c r="AI43" s="27">
        <f>rebio23_80ml!AI44/50</f>
        <v>0</v>
      </c>
      <c r="AJ43" s="27">
        <f>rebio23_80ml!AJ44/50</f>
        <v>0</v>
      </c>
      <c r="AK43" s="27">
        <f>rebio23_80ml!AK44/50</f>
        <v>0</v>
      </c>
      <c r="AL43" s="27">
        <f>rebio23_80ml!AL44/50</f>
        <v>0</v>
      </c>
      <c r="AM43" s="27">
        <f>rebio23_80ml!AM44/50</f>
        <v>0</v>
      </c>
      <c r="AN43" s="27">
        <f>rebio23_80ml!AN44/50</f>
        <v>0</v>
      </c>
      <c r="AO43" s="27">
        <f>rebio23_80ml!AO44/50</f>
        <v>0</v>
      </c>
      <c r="AP43" s="27">
        <f>rebio23_80ml!AP44/50</f>
        <v>0</v>
      </c>
      <c r="AQ43" s="27">
        <f>rebio23_80ml!AQ44/50</f>
        <v>0</v>
      </c>
      <c r="AR43" s="27">
        <f>rebio23_80ml!AR44/50</f>
        <v>0</v>
      </c>
      <c r="AS43" s="27">
        <f>rebio23_80ml!AS44/50</f>
        <v>0</v>
      </c>
      <c r="AT43" s="27">
        <f>rebio23_80ml!AT44/50</f>
        <v>0</v>
      </c>
      <c r="AU43" s="27">
        <f>rebio23_80ml!AU44/50</f>
        <v>0</v>
      </c>
      <c r="AV43" s="27">
        <f>rebio23_80ml!AV44/50</f>
        <v>0.04</v>
      </c>
      <c r="AW43" s="27">
        <f>rebio23_80ml!AW44/50</f>
        <v>0</v>
      </c>
      <c r="AX43" s="27">
        <f>rebio23_80ml!AX44/50</f>
        <v>0.02</v>
      </c>
      <c r="AY43" s="27">
        <f>rebio23_80ml!AY44/50</f>
        <v>0</v>
      </c>
      <c r="AZ43" s="27">
        <f>rebio23_80ml!AZ44/50</f>
        <v>0</v>
      </c>
      <c r="BA43" s="27">
        <f>rebio23_80ml!BA44/50</f>
        <v>0</v>
      </c>
      <c r="BB43" s="27">
        <f>rebio23_80ml!BB44/50</f>
        <v>0</v>
      </c>
      <c r="BC43" s="27">
        <f>rebio23_80ml!BC44/50</f>
        <v>0</v>
      </c>
      <c r="BD43" s="27">
        <f>rebio23_80ml!BD44/50</f>
        <v>0</v>
      </c>
      <c r="BE43" s="27">
        <f>rebio23_80ml!BE44/50</f>
        <v>0</v>
      </c>
      <c r="BF43" s="27">
        <f>rebio23_80ml!BF44/50</f>
        <v>0</v>
      </c>
      <c r="BG43" s="27">
        <f>rebio23_80ml!BG44/50</f>
        <v>0</v>
      </c>
    </row>
    <row r="44" spans="1:59" ht="12.75" customHeight="1" x14ac:dyDescent="0.25">
      <c r="A44" s="15" t="str">
        <f>rebio23_80ml!A45</f>
        <v>S-C-P19-H1</v>
      </c>
      <c r="B44" s="27">
        <f>rebio23_80ml!B45/50</f>
        <v>0</v>
      </c>
      <c r="C44" s="27">
        <f>rebio23_80ml!C45/50</f>
        <v>0</v>
      </c>
      <c r="D44" s="27">
        <f>rebio23_80ml!D45/50</f>
        <v>0</v>
      </c>
      <c r="E44" s="27">
        <f>rebio23_80ml!E45/50</f>
        <v>0.3</v>
      </c>
      <c r="F44" s="27">
        <f>rebio23_80ml!F45/50</f>
        <v>0</v>
      </c>
      <c r="G44" s="27">
        <f>rebio23_80ml!G45/50</f>
        <v>0.02</v>
      </c>
      <c r="H44" s="27">
        <f>rebio23_80ml!H45/50</f>
        <v>0</v>
      </c>
      <c r="I44" s="27">
        <f>rebio23_80ml!I45/50</f>
        <v>0</v>
      </c>
      <c r="J44" s="27">
        <f>rebio23_80ml!J45/50</f>
        <v>0</v>
      </c>
      <c r="K44" s="27">
        <f>rebio23_80ml!K45/50</f>
        <v>0</v>
      </c>
      <c r="L44" s="27">
        <f>rebio23_80ml!L45/50</f>
        <v>0</v>
      </c>
      <c r="M44" s="27">
        <f>rebio23_80ml!M45/50</f>
        <v>0</v>
      </c>
      <c r="N44" s="27">
        <f>rebio23_80ml!N45/50</f>
        <v>0</v>
      </c>
      <c r="O44" s="27">
        <f>rebio23_80ml!O45/50</f>
        <v>0</v>
      </c>
      <c r="P44" s="27">
        <f>rebio23_80ml!P45/50</f>
        <v>0</v>
      </c>
      <c r="Q44" s="27">
        <f>rebio23_80ml!Q45/50</f>
        <v>0</v>
      </c>
      <c r="R44" s="27">
        <f>rebio23_80ml!R45/50</f>
        <v>0</v>
      </c>
      <c r="S44" s="27">
        <f>rebio23_80ml!S45/50</f>
        <v>0</v>
      </c>
      <c r="T44" s="27">
        <f>rebio23_80ml!T45/50</f>
        <v>0</v>
      </c>
      <c r="U44" s="27">
        <f>rebio23_80ml!U45/50</f>
        <v>0</v>
      </c>
      <c r="V44" s="27">
        <f>rebio23_80ml!V45/50</f>
        <v>0</v>
      </c>
      <c r="W44" s="27">
        <f>rebio23_80ml!W45/50</f>
        <v>0</v>
      </c>
      <c r="X44" s="27">
        <f>rebio23_80ml!X45/50</f>
        <v>0</v>
      </c>
      <c r="Y44" s="27">
        <f>rebio23_80ml!Y45/50</f>
        <v>0</v>
      </c>
      <c r="Z44" s="27">
        <f>rebio23_80ml!Z45/50</f>
        <v>0</v>
      </c>
      <c r="AA44" s="27">
        <f>rebio23_80ml!AA45/50</f>
        <v>0</v>
      </c>
      <c r="AB44" s="27">
        <f>rebio23_80ml!AB45/50</f>
        <v>0</v>
      </c>
      <c r="AC44" s="27">
        <f>rebio23_80ml!AC45/50</f>
        <v>0</v>
      </c>
      <c r="AD44" s="27">
        <f>rebio23_80ml!AD45/50</f>
        <v>0</v>
      </c>
      <c r="AE44" s="27">
        <f>rebio23_80ml!AE45/50</f>
        <v>0</v>
      </c>
      <c r="AF44" s="27">
        <f>rebio23_80ml!AF45/50</f>
        <v>0</v>
      </c>
      <c r="AG44" s="27">
        <f>rebio23_80ml!AG45/50</f>
        <v>0</v>
      </c>
      <c r="AH44" s="27">
        <f>rebio23_80ml!AH45/50</f>
        <v>0</v>
      </c>
      <c r="AI44" s="27">
        <f>rebio23_80ml!AI45/50</f>
        <v>0</v>
      </c>
      <c r="AJ44" s="27">
        <f>rebio23_80ml!AJ45/50</f>
        <v>0</v>
      </c>
      <c r="AK44" s="27">
        <f>rebio23_80ml!AK45/50</f>
        <v>0</v>
      </c>
      <c r="AL44" s="27">
        <f>rebio23_80ml!AL45/50</f>
        <v>0</v>
      </c>
      <c r="AM44" s="27">
        <f>rebio23_80ml!AM45/50</f>
        <v>0</v>
      </c>
      <c r="AN44" s="27">
        <f>rebio23_80ml!AN45/50</f>
        <v>0</v>
      </c>
      <c r="AO44" s="27">
        <f>rebio23_80ml!AO45/50</f>
        <v>0</v>
      </c>
      <c r="AP44" s="27">
        <f>rebio23_80ml!AP45/50</f>
        <v>0</v>
      </c>
      <c r="AQ44" s="27">
        <f>rebio23_80ml!AQ45/50</f>
        <v>0</v>
      </c>
      <c r="AR44" s="27">
        <f>rebio23_80ml!AR45/50</f>
        <v>0</v>
      </c>
      <c r="AS44" s="27">
        <f>rebio23_80ml!AS45/50</f>
        <v>0</v>
      </c>
      <c r="AT44" s="27">
        <f>rebio23_80ml!AT45/50</f>
        <v>0</v>
      </c>
      <c r="AU44" s="27">
        <f>rebio23_80ml!AU45/50</f>
        <v>0</v>
      </c>
      <c r="AV44" s="27">
        <f>rebio23_80ml!AV45/50</f>
        <v>0.02</v>
      </c>
      <c r="AW44" s="27">
        <f>rebio23_80ml!AW45/50</f>
        <v>0</v>
      </c>
      <c r="AX44" s="27">
        <f>rebio23_80ml!AX45/50</f>
        <v>0</v>
      </c>
      <c r="AY44" s="27">
        <f>rebio23_80ml!AY45/50</f>
        <v>0</v>
      </c>
      <c r="AZ44" s="27">
        <f>rebio23_80ml!AZ45/50</f>
        <v>0</v>
      </c>
      <c r="BA44" s="27">
        <f>rebio23_80ml!BA45/50</f>
        <v>0</v>
      </c>
      <c r="BB44" s="27">
        <f>rebio23_80ml!BB45/50</f>
        <v>0</v>
      </c>
      <c r="BC44" s="27">
        <f>rebio23_80ml!BC45/50</f>
        <v>0</v>
      </c>
      <c r="BD44" s="27">
        <f>rebio23_80ml!BD45/50</f>
        <v>0</v>
      </c>
      <c r="BE44" s="27">
        <f>rebio23_80ml!BE45/50</f>
        <v>0</v>
      </c>
      <c r="BF44" s="27">
        <f>rebio23_80ml!BF45/50</f>
        <v>0</v>
      </c>
      <c r="BG44" s="27">
        <f>rebio23_80ml!BG45/50</f>
        <v>0</v>
      </c>
    </row>
    <row r="45" spans="1:59" ht="12.75" customHeight="1" x14ac:dyDescent="0.25">
      <c r="A45" s="15" t="str">
        <f>rebio23_80ml!A46</f>
        <v>S-C-P19-H2</v>
      </c>
      <c r="B45" s="27">
        <f>rebio23_80ml!B46/50</f>
        <v>0</v>
      </c>
      <c r="C45" s="27">
        <f>rebio23_80ml!C46/50</f>
        <v>0.04</v>
      </c>
      <c r="D45" s="27">
        <f>rebio23_80ml!D46/50</f>
        <v>0</v>
      </c>
      <c r="E45" s="27">
        <f>rebio23_80ml!E46/50</f>
        <v>1.24</v>
      </c>
      <c r="F45" s="27">
        <f>rebio23_80ml!F46/50</f>
        <v>0</v>
      </c>
      <c r="G45" s="27">
        <f>rebio23_80ml!G46/50</f>
        <v>0</v>
      </c>
      <c r="H45" s="27">
        <f>rebio23_80ml!H46/50</f>
        <v>0</v>
      </c>
      <c r="I45" s="27">
        <f>rebio23_80ml!I46/50</f>
        <v>0.02</v>
      </c>
      <c r="J45" s="27">
        <f>rebio23_80ml!J46/50</f>
        <v>0</v>
      </c>
      <c r="K45" s="27">
        <f>rebio23_80ml!K46/50</f>
        <v>0</v>
      </c>
      <c r="L45" s="27">
        <f>rebio23_80ml!L46/50</f>
        <v>0</v>
      </c>
      <c r="M45" s="27">
        <f>rebio23_80ml!M46/50</f>
        <v>0</v>
      </c>
      <c r="N45" s="27">
        <f>rebio23_80ml!N46/50</f>
        <v>0</v>
      </c>
      <c r="O45" s="27">
        <f>rebio23_80ml!O46/50</f>
        <v>0</v>
      </c>
      <c r="P45" s="27">
        <f>rebio23_80ml!P46/50</f>
        <v>0</v>
      </c>
      <c r="Q45" s="27">
        <f>rebio23_80ml!Q46/50</f>
        <v>0</v>
      </c>
      <c r="R45" s="27">
        <f>rebio23_80ml!R46/50</f>
        <v>0</v>
      </c>
      <c r="S45" s="27">
        <f>rebio23_80ml!S46/50</f>
        <v>0</v>
      </c>
      <c r="T45" s="27">
        <f>rebio23_80ml!T46/50</f>
        <v>0</v>
      </c>
      <c r="U45" s="27">
        <f>rebio23_80ml!U46/50</f>
        <v>0</v>
      </c>
      <c r="V45" s="27">
        <f>rebio23_80ml!V46/50</f>
        <v>0</v>
      </c>
      <c r="W45" s="27">
        <f>rebio23_80ml!W46/50</f>
        <v>0</v>
      </c>
      <c r="X45" s="27">
        <f>rebio23_80ml!X46/50</f>
        <v>0</v>
      </c>
      <c r="Y45" s="27">
        <f>rebio23_80ml!Y46/50</f>
        <v>0</v>
      </c>
      <c r="Z45" s="27">
        <f>rebio23_80ml!Z46/50</f>
        <v>0</v>
      </c>
      <c r="AA45" s="27">
        <f>rebio23_80ml!AA46/50</f>
        <v>0</v>
      </c>
      <c r="AB45" s="27">
        <f>rebio23_80ml!AB46/50</f>
        <v>0</v>
      </c>
      <c r="AC45" s="27">
        <f>rebio23_80ml!AC46/50</f>
        <v>0</v>
      </c>
      <c r="AD45" s="27">
        <f>rebio23_80ml!AD46/50</f>
        <v>0</v>
      </c>
      <c r="AE45" s="27">
        <f>rebio23_80ml!AE46/50</f>
        <v>0</v>
      </c>
      <c r="AF45" s="27">
        <f>rebio23_80ml!AF46/50</f>
        <v>0</v>
      </c>
      <c r="AG45" s="27">
        <f>rebio23_80ml!AG46/50</f>
        <v>0</v>
      </c>
      <c r="AH45" s="27">
        <f>rebio23_80ml!AH46/50</f>
        <v>0</v>
      </c>
      <c r="AI45" s="27">
        <f>rebio23_80ml!AI46/50</f>
        <v>0</v>
      </c>
      <c r="AJ45" s="27">
        <f>rebio23_80ml!AJ46/50</f>
        <v>0</v>
      </c>
      <c r="AK45" s="27">
        <f>rebio23_80ml!AK46/50</f>
        <v>0</v>
      </c>
      <c r="AL45" s="27">
        <f>rebio23_80ml!AL46/50</f>
        <v>0</v>
      </c>
      <c r="AM45" s="27">
        <f>rebio23_80ml!AM46/50</f>
        <v>0</v>
      </c>
      <c r="AN45" s="27">
        <f>rebio23_80ml!AN46/50</f>
        <v>0</v>
      </c>
      <c r="AO45" s="27">
        <f>rebio23_80ml!AO46/50</f>
        <v>0</v>
      </c>
      <c r="AP45" s="27">
        <f>rebio23_80ml!AP46/50</f>
        <v>0</v>
      </c>
      <c r="AQ45" s="27">
        <f>rebio23_80ml!AQ46/50</f>
        <v>0</v>
      </c>
      <c r="AR45" s="27">
        <f>rebio23_80ml!AR46/50</f>
        <v>0</v>
      </c>
      <c r="AS45" s="27">
        <f>rebio23_80ml!AS46/50</f>
        <v>0</v>
      </c>
      <c r="AT45" s="27">
        <f>rebio23_80ml!AT46/50</f>
        <v>0</v>
      </c>
      <c r="AU45" s="27">
        <f>rebio23_80ml!AU46/50</f>
        <v>0</v>
      </c>
      <c r="AV45" s="27">
        <f>rebio23_80ml!AV46/50</f>
        <v>0</v>
      </c>
      <c r="AW45" s="27">
        <f>rebio23_80ml!AW46/50</f>
        <v>0</v>
      </c>
      <c r="AX45" s="27">
        <f>rebio23_80ml!AX46/50</f>
        <v>0</v>
      </c>
      <c r="AY45" s="27">
        <f>rebio23_80ml!AY46/50</f>
        <v>0</v>
      </c>
      <c r="AZ45" s="27">
        <f>rebio23_80ml!AZ46/50</f>
        <v>0</v>
      </c>
      <c r="BA45" s="27">
        <f>rebio23_80ml!BA46/50</f>
        <v>0</v>
      </c>
      <c r="BB45" s="27">
        <f>rebio23_80ml!BB46/50</f>
        <v>0</v>
      </c>
      <c r="BC45" s="27">
        <f>rebio23_80ml!BC46/50</f>
        <v>0</v>
      </c>
      <c r="BD45" s="27">
        <f>rebio23_80ml!BD46/50</f>
        <v>0</v>
      </c>
      <c r="BE45" s="27">
        <f>rebio23_80ml!BE46/50</f>
        <v>0</v>
      </c>
      <c r="BF45" s="27">
        <f>rebio23_80ml!BF46/50</f>
        <v>0</v>
      </c>
      <c r="BG45" s="27">
        <f>rebio23_80ml!BG46/50</f>
        <v>0</v>
      </c>
    </row>
    <row r="46" spans="1:59" ht="12.75" customHeight="1" x14ac:dyDescent="0.25">
      <c r="A46" s="15" t="str">
        <f>rebio23_80ml!A47</f>
        <v>S-C-P19-H3</v>
      </c>
      <c r="B46" s="27">
        <f>rebio23_80ml!B47/50</f>
        <v>0</v>
      </c>
      <c r="C46" s="27">
        <f>rebio23_80ml!C47/50</f>
        <v>0</v>
      </c>
      <c r="D46" s="27">
        <f>rebio23_80ml!D47/50</f>
        <v>0</v>
      </c>
      <c r="E46" s="27">
        <f>rebio23_80ml!E47/50</f>
        <v>1.5</v>
      </c>
      <c r="F46" s="27">
        <f>rebio23_80ml!F47/50</f>
        <v>0</v>
      </c>
      <c r="G46" s="27">
        <f>rebio23_80ml!G47/50</f>
        <v>0</v>
      </c>
      <c r="H46" s="27">
        <f>rebio23_80ml!H47/50</f>
        <v>0</v>
      </c>
      <c r="I46" s="27">
        <f>rebio23_80ml!I47/50</f>
        <v>0.04</v>
      </c>
      <c r="J46" s="27">
        <f>rebio23_80ml!J47/50</f>
        <v>0</v>
      </c>
      <c r="K46" s="27">
        <f>rebio23_80ml!K47/50</f>
        <v>0</v>
      </c>
      <c r="L46" s="27">
        <f>rebio23_80ml!L47/50</f>
        <v>0</v>
      </c>
      <c r="M46" s="27">
        <f>rebio23_80ml!M47/50</f>
        <v>0</v>
      </c>
      <c r="N46" s="27">
        <f>rebio23_80ml!N47/50</f>
        <v>0</v>
      </c>
      <c r="O46" s="27">
        <f>rebio23_80ml!O47/50</f>
        <v>0</v>
      </c>
      <c r="P46" s="27">
        <f>rebio23_80ml!P47/50</f>
        <v>0</v>
      </c>
      <c r="Q46" s="27">
        <f>rebio23_80ml!Q47/50</f>
        <v>0.02</v>
      </c>
      <c r="R46" s="27">
        <f>rebio23_80ml!R47/50</f>
        <v>0</v>
      </c>
      <c r="S46" s="27">
        <f>rebio23_80ml!S47/50</f>
        <v>0</v>
      </c>
      <c r="T46" s="27">
        <f>rebio23_80ml!T47/50</f>
        <v>0</v>
      </c>
      <c r="U46" s="27">
        <f>rebio23_80ml!U47/50</f>
        <v>0</v>
      </c>
      <c r="V46" s="27">
        <f>rebio23_80ml!V47/50</f>
        <v>0</v>
      </c>
      <c r="W46" s="27">
        <f>rebio23_80ml!W47/50</f>
        <v>0</v>
      </c>
      <c r="X46" s="27">
        <f>rebio23_80ml!X47/50</f>
        <v>0</v>
      </c>
      <c r="Y46" s="27">
        <f>rebio23_80ml!Y47/50</f>
        <v>0</v>
      </c>
      <c r="Z46" s="27">
        <f>rebio23_80ml!Z47/50</f>
        <v>0</v>
      </c>
      <c r="AA46" s="27">
        <f>rebio23_80ml!AA47/50</f>
        <v>0</v>
      </c>
      <c r="AB46" s="27">
        <f>rebio23_80ml!AB47/50</f>
        <v>0</v>
      </c>
      <c r="AC46" s="27">
        <f>rebio23_80ml!AC47/50</f>
        <v>0</v>
      </c>
      <c r="AD46" s="27">
        <f>rebio23_80ml!AD47/50</f>
        <v>0</v>
      </c>
      <c r="AE46" s="27">
        <f>rebio23_80ml!AE47/50</f>
        <v>0</v>
      </c>
      <c r="AF46" s="27">
        <f>rebio23_80ml!AF47/50</f>
        <v>0</v>
      </c>
      <c r="AG46" s="27">
        <f>rebio23_80ml!AG47/50</f>
        <v>0</v>
      </c>
      <c r="AH46" s="27">
        <f>rebio23_80ml!AH47/50</f>
        <v>0</v>
      </c>
      <c r="AI46" s="27">
        <f>rebio23_80ml!AI47/50</f>
        <v>0</v>
      </c>
      <c r="AJ46" s="27">
        <f>rebio23_80ml!AJ47/50</f>
        <v>0</v>
      </c>
      <c r="AK46" s="27">
        <f>rebio23_80ml!AK47/50</f>
        <v>0</v>
      </c>
      <c r="AL46" s="27">
        <f>rebio23_80ml!AL47/50</f>
        <v>0</v>
      </c>
      <c r="AM46" s="27">
        <f>rebio23_80ml!AM47/50</f>
        <v>0</v>
      </c>
      <c r="AN46" s="27">
        <f>rebio23_80ml!AN47/50</f>
        <v>0</v>
      </c>
      <c r="AO46" s="27">
        <f>rebio23_80ml!AO47/50</f>
        <v>0</v>
      </c>
      <c r="AP46" s="27">
        <f>rebio23_80ml!AP47/50</f>
        <v>0</v>
      </c>
      <c r="AQ46" s="27">
        <f>rebio23_80ml!AQ47/50</f>
        <v>0</v>
      </c>
      <c r="AR46" s="27">
        <f>rebio23_80ml!AR47/50</f>
        <v>0</v>
      </c>
      <c r="AS46" s="27">
        <f>rebio23_80ml!AS47/50</f>
        <v>0</v>
      </c>
      <c r="AT46" s="27">
        <f>rebio23_80ml!AT47/50</f>
        <v>0</v>
      </c>
      <c r="AU46" s="27">
        <f>rebio23_80ml!AU47/50</f>
        <v>0</v>
      </c>
      <c r="AV46" s="27">
        <f>rebio23_80ml!AV47/50</f>
        <v>0</v>
      </c>
      <c r="AW46" s="27">
        <f>rebio23_80ml!AW47/50</f>
        <v>0</v>
      </c>
      <c r="AX46" s="27">
        <f>rebio23_80ml!AX47/50</f>
        <v>0</v>
      </c>
      <c r="AY46" s="27">
        <f>rebio23_80ml!AY47/50</f>
        <v>0</v>
      </c>
      <c r="AZ46" s="27">
        <f>rebio23_80ml!AZ47/50</f>
        <v>0</v>
      </c>
      <c r="BA46" s="27">
        <f>rebio23_80ml!BA47/50</f>
        <v>0</v>
      </c>
      <c r="BB46" s="27">
        <f>rebio23_80ml!BB47/50</f>
        <v>0</v>
      </c>
      <c r="BC46" s="27">
        <f>rebio23_80ml!BC47/50</f>
        <v>0</v>
      </c>
      <c r="BD46" s="27">
        <f>rebio23_80ml!BD47/50</f>
        <v>0</v>
      </c>
      <c r="BE46" s="27">
        <f>rebio23_80ml!BE47/50</f>
        <v>0</v>
      </c>
      <c r="BF46" s="27">
        <f>rebio23_80ml!BF47/50</f>
        <v>0</v>
      </c>
      <c r="BG46" s="27">
        <f>rebio23_80ml!BG47/50</f>
        <v>0</v>
      </c>
    </row>
    <row r="47" spans="1:59" ht="12.75" customHeight="1" x14ac:dyDescent="0.25">
      <c r="A47" s="15" t="str">
        <f>rebio23_80ml!A48</f>
        <v>S-C-P20-H1</v>
      </c>
      <c r="B47" s="27">
        <f>rebio23_80ml!B48/50</f>
        <v>0</v>
      </c>
      <c r="C47" s="27">
        <f>rebio23_80ml!C48/50</f>
        <v>0</v>
      </c>
      <c r="D47" s="27">
        <f>rebio23_80ml!D48/50</f>
        <v>0</v>
      </c>
      <c r="E47" s="27">
        <f>rebio23_80ml!E48/50</f>
        <v>2.06</v>
      </c>
      <c r="F47" s="27">
        <f>rebio23_80ml!F48/50</f>
        <v>0</v>
      </c>
      <c r="G47" s="27">
        <f>rebio23_80ml!G48/50</f>
        <v>0</v>
      </c>
      <c r="H47" s="27">
        <f>rebio23_80ml!H48/50</f>
        <v>0</v>
      </c>
      <c r="I47" s="27">
        <f>rebio23_80ml!I48/50</f>
        <v>0</v>
      </c>
      <c r="J47" s="27">
        <f>rebio23_80ml!J48/50</f>
        <v>0</v>
      </c>
      <c r="K47" s="27">
        <f>rebio23_80ml!K48/50</f>
        <v>0</v>
      </c>
      <c r="L47" s="27">
        <f>rebio23_80ml!L48/50</f>
        <v>0</v>
      </c>
      <c r="M47" s="27">
        <f>rebio23_80ml!M48/50</f>
        <v>0</v>
      </c>
      <c r="N47" s="27">
        <f>rebio23_80ml!N48/50</f>
        <v>0</v>
      </c>
      <c r="O47" s="27">
        <f>rebio23_80ml!O48/50</f>
        <v>0</v>
      </c>
      <c r="P47" s="27">
        <f>rebio23_80ml!P48/50</f>
        <v>0</v>
      </c>
      <c r="Q47" s="27">
        <f>rebio23_80ml!Q48/50</f>
        <v>0.02</v>
      </c>
      <c r="R47" s="27">
        <f>rebio23_80ml!R48/50</f>
        <v>0</v>
      </c>
      <c r="S47" s="27">
        <f>rebio23_80ml!S48/50</f>
        <v>0</v>
      </c>
      <c r="T47" s="27">
        <f>rebio23_80ml!T48/50</f>
        <v>0</v>
      </c>
      <c r="U47" s="27">
        <f>rebio23_80ml!U48/50</f>
        <v>0</v>
      </c>
      <c r="V47" s="27">
        <f>rebio23_80ml!V48/50</f>
        <v>0</v>
      </c>
      <c r="W47" s="27">
        <f>rebio23_80ml!W48/50</f>
        <v>0</v>
      </c>
      <c r="X47" s="27">
        <f>rebio23_80ml!X48/50</f>
        <v>0</v>
      </c>
      <c r="Y47" s="27">
        <f>rebio23_80ml!Y48/50</f>
        <v>0</v>
      </c>
      <c r="Z47" s="27">
        <f>rebio23_80ml!Z48/50</f>
        <v>0</v>
      </c>
      <c r="AA47" s="27">
        <f>rebio23_80ml!AA48/50</f>
        <v>0.02</v>
      </c>
      <c r="AB47" s="27">
        <f>rebio23_80ml!AB48/50</f>
        <v>0</v>
      </c>
      <c r="AC47" s="27">
        <f>rebio23_80ml!AC48/50</f>
        <v>0</v>
      </c>
      <c r="AD47" s="27">
        <f>rebio23_80ml!AD48/50</f>
        <v>0</v>
      </c>
      <c r="AE47" s="27">
        <f>rebio23_80ml!AE48/50</f>
        <v>0</v>
      </c>
      <c r="AF47" s="27">
        <f>rebio23_80ml!AF48/50</f>
        <v>0</v>
      </c>
      <c r="AG47" s="27">
        <f>rebio23_80ml!AG48/50</f>
        <v>0</v>
      </c>
      <c r="AH47" s="27">
        <f>rebio23_80ml!AH48/50</f>
        <v>0</v>
      </c>
      <c r="AI47" s="27">
        <f>rebio23_80ml!AI48/50</f>
        <v>0</v>
      </c>
      <c r="AJ47" s="27">
        <f>rebio23_80ml!AJ48/50</f>
        <v>0</v>
      </c>
      <c r="AK47" s="27">
        <f>rebio23_80ml!AK48/50</f>
        <v>0</v>
      </c>
      <c r="AL47" s="27">
        <f>rebio23_80ml!AL48/50</f>
        <v>0</v>
      </c>
      <c r="AM47" s="27">
        <f>rebio23_80ml!AM48/50</f>
        <v>0</v>
      </c>
      <c r="AN47" s="27">
        <f>rebio23_80ml!AN48/50</f>
        <v>0</v>
      </c>
      <c r="AO47" s="27">
        <f>rebio23_80ml!AO48/50</f>
        <v>0</v>
      </c>
      <c r="AP47" s="27">
        <f>rebio23_80ml!AP48/50</f>
        <v>0</v>
      </c>
      <c r="AQ47" s="27">
        <f>rebio23_80ml!AQ48/50</f>
        <v>0.04</v>
      </c>
      <c r="AR47" s="27">
        <f>rebio23_80ml!AR48/50</f>
        <v>0</v>
      </c>
      <c r="AS47" s="27">
        <f>rebio23_80ml!AS48/50</f>
        <v>0</v>
      </c>
      <c r="AT47" s="27">
        <f>rebio23_80ml!AT48/50</f>
        <v>0</v>
      </c>
      <c r="AU47" s="27">
        <f>rebio23_80ml!AU48/50</f>
        <v>0</v>
      </c>
      <c r="AV47" s="27">
        <f>rebio23_80ml!AV48/50</f>
        <v>0</v>
      </c>
      <c r="AW47" s="27">
        <f>rebio23_80ml!AW48/50</f>
        <v>0</v>
      </c>
      <c r="AX47" s="27">
        <f>rebio23_80ml!AX48/50</f>
        <v>0</v>
      </c>
      <c r="AY47" s="27">
        <f>rebio23_80ml!AY48/50</f>
        <v>0</v>
      </c>
      <c r="AZ47" s="27">
        <f>rebio23_80ml!AZ48/50</f>
        <v>0</v>
      </c>
      <c r="BA47" s="27">
        <f>rebio23_80ml!BA48/50</f>
        <v>0</v>
      </c>
      <c r="BB47" s="27">
        <f>rebio23_80ml!BB48/50</f>
        <v>0</v>
      </c>
      <c r="BC47" s="27">
        <f>rebio23_80ml!BC48/50</f>
        <v>0</v>
      </c>
      <c r="BD47" s="27">
        <f>rebio23_80ml!BD48/50</f>
        <v>0</v>
      </c>
      <c r="BE47" s="27">
        <f>rebio23_80ml!BE48/50</f>
        <v>0</v>
      </c>
      <c r="BF47" s="27">
        <f>rebio23_80ml!BF48/50</f>
        <v>0</v>
      </c>
      <c r="BG47" s="27">
        <f>rebio23_80ml!BG48/50</f>
        <v>0</v>
      </c>
    </row>
    <row r="48" spans="1:59" ht="12.75" customHeight="1" x14ac:dyDescent="0.25">
      <c r="A48" s="15" t="str">
        <f>rebio23_80ml!A49</f>
        <v>S-C-P20-H2</v>
      </c>
      <c r="B48" s="27">
        <f>rebio23_80ml!B49/50</f>
        <v>0</v>
      </c>
      <c r="C48" s="27">
        <f>rebio23_80ml!C49/50</f>
        <v>0</v>
      </c>
      <c r="D48" s="27">
        <f>rebio23_80ml!D49/50</f>
        <v>0</v>
      </c>
      <c r="E48" s="27">
        <f>rebio23_80ml!E49/50</f>
        <v>0.64</v>
      </c>
      <c r="F48" s="27">
        <f>rebio23_80ml!F49/50</f>
        <v>0</v>
      </c>
      <c r="G48" s="27">
        <f>rebio23_80ml!G49/50</f>
        <v>0</v>
      </c>
      <c r="H48" s="27">
        <f>rebio23_80ml!H49/50</f>
        <v>0</v>
      </c>
      <c r="I48" s="27">
        <f>rebio23_80ml!I49/50</f>
        <v>0.02</v>
      </c>
      <c r="J48" s="27">
        <f>rebio23_80ml!J49/50</f>
        <v>0</v>
      </c>
      <c r="K48" s="27">
        <f>rebio23_80ml!K49/50</f>
        <v>0</v>
      </c>
      <c r="L48" s="27">
        <f>rebio23_80ml!L49/50</f>
        <v>0</v>
      </c>
      <c r="M48" s="27">
        <f>rebio23_80ml!M49/50</f>
        <v>0</v>
      </c>
      <c r="N48" s="27">
        <f>rebio23_80ml!N49/50</f>
        <v>0</v>
      </c>
      <c r="O48" s="27">
        <f>rebio23_80ml!O49/50</f>
        <v>0</v>
      </c>
      <c r="P48" s="27">
        <f>rebio23_80ml!P49/50</f>
        <v>0</v>
      </c>
      <c r="Q48" s="27">
        <f>rebio23_80ml!Q49/50</f>
        <v>0.02</v>
      </c>
      <c r="R48" s="27">
        <f>rebio23_80ml!R49/50</f>
        <v>0</v>
      </c>
      <c r="S48" s="27">
        <f>rebio23_80ml!S49/50</f>
        <v>0</v>
      </c>
      <c r="T48" s="27">
        <f>rebio23_80ml!T49/50</f>
        <v>0</v>
      </c>
      <c r="U48" s="27">
        <f>rebio23_80ml!U49/50</f>
        <v>0</v>
      </c>
      <c r="V48" s="27">
        <f>rebio23_80ml!V49/50</f>
        <v>0</v>
      </c>
      <c r="W48" s="27">
        <f>rebio23_80ml!W49/50</f>
        <v>0</v>
      </c>
      <c r="X48" s="27">
        <f>rebio23_80ml!X49/50</f>
        <v>0</v>
      </c>
      <c r="Y48" s="27">
        <f>rebio23_80ml!Y49/50</f>
        <v>0</v>
      </c>
      <c r="Z48" s="27">
        <f>rebio23_80ml!Z49/50</f>
        <v>0.04</v>
      </c>
      <c r="AA48" s="27">
        <f>rebio23_80ml!AA49/50</f>
        <v>0</v>
      </c>
      <c r="AB48" s="27">
        <f>rebio23_80ml!AB49/50</f>
        <v>0</v>
      </c>
      <c r="AC48" s="27">
        <f>rebio23_80ml!AC49/50</f>
        <v>0</v>
      </c>
      <c r="AD48" s="27">
        <f>rebio23_80ml!AD49/50</f>
        <v>0</v>
      </c>
      <c r="AE48" s="27">
        <f>rebio23_80ml!AE49/50</f>
        <v>0</v>
      </c>
      <c r="AF48" s="27">
        <f>rebio23_80ml!AF49/50</f>
        <v>0</v>
      </c>
      <c r="AG48" s="27">
        <f>rebio23_80ml!AG49/50</f>
        <v>0</v>
      </c>
      <c r="AH48" s="27">
        <f>rebio23_80ml!AH49/50</f>
        <v>0</v>
      </c>
      <c r="AI48" s="27">
        <f>rebio23_80ml!AI49/50</f>
        <v>0</v>
      </c>
      <c r="AJ48" s="27">
        <f>rebio23_80ml!AJ49/50</f>
        <v>0</v>
      </c>
      <c r="AK48" s="27">
        <f>rebio23_80ml!AK49/50</f>
        <v>0</v>
      </c>
      <c r="AL48" s="27">
        <f>rebio23_80ml!AL49/50</f>
        <v>0</v>
      </c>
      <c r="AM48" s="27">
        <f>rebio23_80ml!AM49/50</f>
        <v>0</v>
      </c>
      <c r="AN48" s="27">
        <f>rebio23_80ml!AN49/50</f>
        <v>0</v>
      </c>
      <c r="AO48" s="27">
        <f>rebio23_80ml!AO49/50</f>
        <v>0</v>
      </c>
      <c r="AP48" s="27">
        <f>rebio23_80ml!AP49/50</f>
        <v>0</v>
      </c>
      <c r="AQ48" s="27">
        <f>rebio23_80ml!AQ49/50</f>
        <v>0</v>
      </c>
      <c r="AR48" s="27">
        <f>rebio23_80ml!AR49/50</f>
        <v>0</v>
      </c>
      <c r="AS48" s="27">
        <f>rebio23_80ml!AS49/50</f>
        <v>0</v>
      </c>
      <c r="AT48" s="27">
        <f>rebio23_80ml!AT49/50</f>
        <v>0</v>
      </c>
      <c r="AU48" s="27">
        <f>rebio23_80ml!AU49/50</f>
        <v>0</v>
      </c>
      <c r="AV48" s="27">
        <f>rebio23_80ml!AV49/50</f>
        <v>0.02</v>
      </c>
      <c r="AW48" s="27">
        <f>rebio23_80ml!AW49/50</f>
        <v>0.02</v>
      </c>
      <c r="AX48" s="27">
        <f>rebio23_80ml!AX49/50</f>
        <v>0</v>
      </c>
      <c r="AY48" s="27">
        <f>rebio23_80ml!AY49/50</f>
        <v>0</v>
      </c>
      <c r="AZ48" s="27">
        <f>rebio23_80ml!AZ49/50</f>
        <v>0</v>
      </c>
      <c r="BA48" s="27">
        <f>rebio23_80ml!BA49/50</f>
        <v>0</v>
      </c>
      <c r="BB48" s="27">
        <f>rebio23_80ml!BB49/50</f>
        <v>0</v>
      </c>
      <c r="BC48" s="27">
        <f>rebio23_80ml!BC49/50</f>
        <v>0</v>
      </c>
      <c r="BD48" s="27">
        <f>rebio23_80ml!BD49/50</f>
        <v>0</v>
      </c>
      <c r="BE48" s="27">
        <f>rebio23_80ml!BE49/50</f>
        <v>0</v>
      </c>
      <c r="BF48" s="27">
        <f>rebio23_80ml!BF49/50</f>
        <v>0</v>
      </c>
      <c r="BG48" s="27">
        <f>rebio23_80ml!BG49/50</f>
        <v>0</v>
      </c>
    </row>
    <row r="49" spans="1:59" ht="12.75" customHeight="1" x14ac:dyDescent="0.25">
      <c r="A49" s="15" t="str">
        <f>rebio23_80ml!A50</f>
        <v>S-C-P20-H3</v>
      </c>
      <c r="B49" s="27">
        <f>rebio23_80ml!B50/50</f>
        <v>0</v>
      </c>
      <c r="C49" s="27">
        <f>rebio23_80ml!C50/50</f>
        <v>0.04</v>
      </c>
      <c r="D49" s="27">
        <f>rebio23_80ml!D50/50</f>
        <v>0</v>
      </c>
      <c r="E49" s="27">
        <f>rebio23_80ml!E50/50</f>
        <v>0.76</v>
      </c>
      <c r="F49" s="27">
        <f>rebio23_80ml!F50/50</f>
        <v>0</v>
      </c>
      <c r="G49" s="27">
        <f>rebio23_80ml!G50/50</f>
        <v>0</v>
      </c>
      <c r="H49" s="27">
        <f>rebio23_80ml!H50/50</f>
        <v>0</v>
      </c>
      <c r="I49" s="27">
        <f>rebio23_80ml!I50/50</f>
        <v>0.1</v>
      </c>
      <c r="J49" s="27">
        <f>rebio23_80ml!J50/50</f>
        <v>0</v>
      </c>
      <c r="K49" s="27">
        <f>rebio23_80ml!K50/50</f>
        <v>0</v>
      </c>
      <c r="L49" s="27">
        <f>rebio23_80ml!L50/50</f>
        <v>0</v>
      </c>
      <c r="M49" s="27">
        <f>rebio23_80ml!M50/50</f>
        <v>0</v>
      </c>
      <c r="N49" s="27">
        <f>rebio23_80ml!N50/50</f>
        <v>0</v>
      </c>
      <c r="O49" s="27">
        <f>rebio23_80ml!O50/50</f>
        <v>0</v>
      </c>
      <c r="P49" s="27">
        <f>rebio23_80ml!P50/50</f>
        <v>0</v>
      </c>
      <c r="Q49" s="27">
        <f>rebio23_80ml!Q50/50</f>
        <v>0</v>
      </c>
      <c r="R49" s="27">
        <f>rebio23_80ml!R50/50</f>
        <v>0</v>
      </c>
      <c r="S49" s="27">
        <f>rebio23_80ml!S50/50</f>
        <v>0</v>
      </c>
      <c r="T49" s="27">
        <f>rebio23_80ml!T50/50</f>
        <v>0</v>
      </c>
      <c r="U49" s="27">
        <f>rebio23_80ml!U50/50</f>
        <v>0</v>
      </c>
      <c r="V49" s="27">
        <f>rebio23_80ml!V50/50</f>
        <v>0</v>
      </c>
      <c r="W49" s="27">
        <f>rebio23_80ml!W50/50</f>
        <v>0</v>
      </c>
      <c r="X49" s="27">
        <f>rebio23_80ml!X50/50</f>
        <v>0</v>
      </c>
      <c r="Y49" s="27">
        <f>rebio23_80ml!Y50/50</f>
        <v>0</v>
      </c>
      <c r="Z49" s="27">
        <f>rebio23_80ml!Z50/50</f>
        <v>0</v>
      </c>
      <c r="AA49" s="27">
        <f>rebio23_80ml!AA50/50</f>
        <v>0</v>
      </c>
      <c r="AB49" s="27">
        <f>rebio23_80ml!AB50/50</f>
        <v>0</v>
      </c>
      <c r="AC49" s="27">
        <f>rebio23_80ml!AC50/50</f>
        <v>0</v>
      </c>
      <c r="AD49" s="27">
        <f>rebio23_80ml!AD50/50</f>
        <v>0</v>
      </c>
      <c r="AE49" s="27">
        <f>rebio23_80ml!AE50/50</f>
        <v>0</v>
      </c>
      <c r="AF49" s="27">
        <f>rebio23_80ml!AF50/50</f>
        <v>0</v>
      </c>
      <c r="AG49" s="27">
        <f>rebio23_80ml!AG50/50</f>
        <v>0</v>
      </c>
      <c r="AH49" s="27">
        <f>rebio23_80ml!AH50/50</f>
        <v>0</v>
      </c>
      <c r="AI49" s="27">
        <f>rebio23_80ml!AI50/50</f>
        <v>0</v>
      </c>
      <c r="AJ49" s="27">
        <f>rebio23_80ml!AJ50/50</f>
        <v>0</v>
      </c>
      <c r="AK49" s="27">
        <f>rebio23_80ml!AK50/50</f>
        <v>0</v>
      </c>
      <c r="AL49" s="27">
        <f>rebio23_80ml!AL50/50</f>
        <v>0</v>
      </c>
      <c r="AM49" s="27">
        <f>rebio23_80ml!AM50/50</f>
        <v>0</v>
      </c>
      <c r="AN49" s="27">
        <f>rebio23_80ml!AN50/50</f>
        <v>0</v>
      </c>
      <c r="AO49" s="27">
        <f>rebio23_80ml!AO50/50</f>
        <v>0</v>
      </c>
      <c r="AP49" s="27">
        <f>rebio23_80ml!AP50/50</f>
        <v>0</v>
      </c>
      <c r="AQ49" s="27">
        <f>rebio23_80ml!AQ50/50</f>
        <v>0</v>
      </c>
      <c r="AR49" s="27">
        <f>rebio23_80ml!AR50/50</f>
        <v>0</v>
      </c>
      <c r="AS49" s="27">
        <f>rebio23_80ml!AS50/50</f>
        <v>0</v>
      </c>
      <c r="AT49" s="27">
        <f>rebio23_80ml!AT50/50</f>
        <v>0</v>
      </c>
      <c r="AU49" s="27">
        <f>rebio23_80ml!AU50/50</f>
        <v>0</v>
      </c>
      <c r="AV49" s="27">
        <f>rebio23_80ml!AV50/50</f>
        <v>0.04</v>
      </c>
      <c r="AW49" s="27">
        <f>rebio23_80ml!AW50/50</f>
        <v>0</v>
      </c>
      <c r="AX49" s="27">
        <f>rebio23_80ml!AX50/50</f>
        <v>0.02</v>
      </c>
      <c r="AY49" s="27">
        <f>rebio23_80ml!AY50/50</f>
        <v>0.04</v>
      </c>
      <c r="AZ49" s="27">
        <f>rebio23_80ml!AZ50/50</f>
        <v>0</v>
      </c>
      <c r="BA49" s="27">
        <f>rebio23_80ml!BA50/50</f>
        <v>0</v>
      </c>
      <c r="BB49" s="27">
        <f>rebio23_80ml!BB50/50</f>
        <v>0</v>
      </c>
      <c r="BC49" s="27">
        <f>rebio23_80ml!BC50/50</f>
        <v>0</v>
      </c>
      <c r="BD49" s="27">
        <f>rebio23_80ml!BD50/50</f>
        <v>0</v>
      </c>
      <c r="BE49" s="27">
        <f>rebio23_80ml!BE50/50</f>
        <v>0</v>
      </c>
      <c r="BF49" s="27">
        <f>rebio23_80ml!BF50/50</f>
        <v>0</v>
      </c>
      <c r="BG49" s="27">
        <f>rebio23_80ml!BG50/50</f>
        <v>0</v>
      </c>
    </row>
    <row r="50" spans="1:59" ht="12.75" customHeight="1" x14ac:dyDescent="0.25">
      <c r="A50" s="15" t="str">
        <f>rebio23_80ml!A51</f>
        <v>C-B-P05-H1</v>
      </c>
      <c r="B50" s="27">
        <f>rebio23_80ml!B51/50</f>
        <v>0.02</v>
      </c>
      <c r="C50" s="27">
        <f>rebio23_80ml!C51/50</f>
        <v>0</v>
      </c>
      <c r="D50" s="27">
        <f>rebio23_80ml!D51/50</f>
        <v>0</v>
      </c>
      <c r="E50" s="27">
        <f>rebio23_80ml!E51/50</f>
        <v>1.5</v>
      </c>
      <c r="F50" s="27">
        <f>rebio23_80ml!F51/50</f>
        <v>0</v>
      </c>
      <c r="G50" s="27">
        <f>rebio23_80ml!G51/50</f>
        <v>0</v>
      </c>
      <c r="H50" s="27">
        <f>rebio23_80ml!H51/50</f>
        <v>0</v>
      </c>
      <c r="I50" s="27">
        <f>rebio23_80ml!I51/50</f>
        <v>0.48</v>
      </c>
      <c r="J50" s="27">
        <f>rebio23_80ml!J51/50</f>
        <v>0</v>
      </c>
      <c r="K50" s="27">
        <f>rebio23_80ml!K51/50</f>
        <v>0</v>
      </c>
      <c r="L50" s="27">
        <f>rebio23_80ml!L51/50</f>
        <v>0</v>
      </c>
      <c r="M50" s="27">
        <f>rebio23_80ml!M51/50</f>
        <v>0</v>
      </c>
      <c r="N50" s="27">
        <f>rebio23_80ml!N51/50</f>
        <v>0</v>
      </c>
      <c r="O50" s="27">
        <f>rebio23_80ml!O51/50</f>
        <v>0</v>
      </c>
      <c r="P50" s="27">
        <f>rebio23_80ml!P51/50</f>
        <v>0</v>
      </c>
      <c r="Q50" s="27">
        <f>rebio23_80ml!Q51/50</f>
        <v>0</v>
      </c>
      <c r="R50" s="27">
        <f>rebio23_80ml!R51/50</f>
        <v>0</v>
      </c>
      <c r="S50" s="27">
        <f>rebio23_80ml!S51/50</f>
        <v>0</v>
      </c>
      <c r="T50" s="27">
        <f>rebio23_80ml!T51/50</f>
        <v>0</v>
      </c>
      <c r="U50" s="27">
        <f>rebio23_80ml!U51/50</f>
        <v>0</v>
      </c>
      <c r="V50" s="27">
        <f>rebio23_80ml!V51/50</f>
        <v>0</v>
      </c>
      <c r="W50" s="27">
        <f>rebio23_80ml!W51/50</f>
        <v>0</v>
      </c>
      <c r="X50" s="27">
        <f>rebio23_80ml!X51/50</f>
        <v>0</v>
      </c>
      <c r="Y50" s="27">
        <f>rebio23_80ml!Y51/50</f>
        <v>0</v>
      </c>
      <c r="Z50" s="27">
        <f>rebio23_80ml!Z51/50</f>
        <v>0</v>
      </c>
      <c r="AA50" s="27">
        <f>rebio23_80ml!AA51/50</f>
        <v>0</v>
      </c>
      <c r="AB50" s="27">
        <f>rebio23_80ml!AB51/50</f>
        <v>0</v>
      </c>
      <c r="AC50" s="27">
        <f>rebio23_80ml!AC51/50</f>
        <v>0</v>
      </c>
      <c r="AD50" s="27">
        <f>rebio23_80ml!AD51/50</f>
        <v>0</v>
      </c>
      <c r="AE50" s="27">
        <f>rebio23_80ml!AE51/50</f>
        <v>0</v>
      </c>
      <c r="AF50" s="27">
        <f>rebio23_80ml!AF51/50</f>
        <v>0</v>
      </c>
      <c r="AG50" s="27">
        <f>rebio23_80ml!AG51/50</f>
        <v>0</v>
      </c>
      <c r="AH50" s="27">
        <f>rebio23_80ml!AH51/50</f>
        <v>0</v>
      </c>
      <c r="AI50" s="27">
        <f>rebio23_80ml!AI51/50</f>
        <v>0</v>
      </c>
      <c r="AJ50" s="27">
        <f>rebio23_80ml!AJ51/50</f>
        <v>0</v>
      </c>
      <c r="AK50" s="27">
        <f>rebio23_80ml!AK51/50</f>
        <v>0</v>
      </c>
      <c r="AL50" s="27">
        <f>rebio23_80ml!AL51/50</f>
        <v>0</v>
      </c>
      <c r="AM50" s="27">
        <f>rebio23_80ml!AM51/50</f>
        <v>0</v>
      </c>
      <c r="AN50" s="27">
        <f>rebio23_80ml!AN51/50</f>
        <v>0</v>
      </c>
      <c r="AO50" s="27">
        <f>rebio23_80ml!AO51/50</f>
        <v>0</v>
      </c>
      <c r="AP50" s="27">
        <f>rebio23_80ml!AP51/50</f>
        <v>0</v>
      </c>
      <c r="AQ50" s="27">
        <f>rebio23_80ml!AQ51/50</f>
        <v>0</v>
      </c>
      <c r="AR50" s="27">
        <f>rebio23_80ml!AR51/50</f>
        <v>0</v>
      </c>
      <c r="AS50" s="27">
        <f>rebio23_80ml!AS51/50</f>
        <v>0</v>
      </c>
      <c r="AT50" s="27">
        <f>rebio23_80ml!AT51/50</f>
        <v>0</v>
      </c>
      <c r="AU50" s="27">
        <f>rebio23_80ml!AU51/50</f>
        <v>0</v>
      </c>
      <c r="AV50" s="27">
        <f>rebio23_80ml!AV51/50</f>
        <v>0</v>
      </c>
      <c r="AW50" s="27">
        <f>rebio23_80ml!AW51/50</f>
        <v>0</v>
      </c>
      <c r="AX50" s="27">
        <f>rebio23_80ml!AX51/50</f>
        <v>0.04</v>
      </c>
      <c r="AY50" s="27">
        <f>rebio23_80ml!AY51/50</f>
        <v>0</v>
      </c>
      <c r="AZ50" s="27">
        <f>rebio23_80ml!AZ51/50</f>
        <v>0</v>
      </c>
      <c r="BA50" s="27">
        <f>rebio23_80ml!BA51/50</f>
        <v>0</v>
      </c>
      <c r="BB50" s="27">
        <f>rebio23_80ml!BB51/50</f>
        <v>0</v>
      </c>
      <c r="BC50" s="27">
        <f>rebio23_80ml!BC51/50</f>
        <v>0</v>
      </c>
      <c r="BD50" s="27">
        <f>rebio23_80ml!BD51/50</f>
        <v>0</v>
      </c>
      <c r="BE50" s="27">
        <f>rebio23_80ml!BE51/50</f>
        <v>0</v>
      </c>
      <c r="BF50" s="27">
        <f>rebio23_80ml!BF51/50</f>
        <v>0</v>
      </c>
      <c r="BG50" s="27">
        <f>rebio23_80ml!BG51/50</f>
        <v>0</v>
      </c>
    </row>
    <row r="51" spans="1:59" ht="12.75" customHeight="1" x14ac:dyDescent="0.25">
      <c r="A51" s="15" t="str">
        <f>rebio23_80ml!A52</f>
        <v>C-B-P05-H2</v>
      </c>
      <c r="B51" s="27">
        <f>rebio23_80ml!B52/50</f>
        <v>0</v>
      </c>
      <c r="C51" s="27">
        <f>rebio23_80ml!C52/50</f>
        <v>0</v>
      </c>
      <c r="D51" s="27">
        <f>rebio23_80ml!D52/50</f>
        <v>0</v>
      </c>
      <c r="E51" s="27">
        <f>rebio23_80ml!E52/50</f>
        <v>1.3</v>
      </c>
      <c r="F51" s="27">
        <f>rebio23_80ml!F52/50</f>
        <v>0</v>
      </c>
      <c r="G51" s="27">
        <f>rebio23_80ml!G52/50</f>
        <v>0</v>
      </c>
      <c r="H51" s="27">
        <f>rebio23_80ml!H52/50</f>
        <v>0</v>
      </c>
      <c r="I51" s="27">
        <f>rebio23_80ml!I52/50</f>
        <v>0.16</v>
      </c>
      <c r="J51" s="27">
        <f>rebio23_80ml!J52/50</f>
        <v>0</v>
      </c>
      <c r="K51" s="27">
        <f>rebio23_80ml!K52/50</f>
        <v>0</v>
      </c>
      <c r="L51" s="27">
        <f>rebio23_80ml!L52/50</f>
        <v>0</v>
      </c>
      <c r="M51" s="27">
        <f>rebio23_80ml!M52/50</f>
        <v>0</v>
      </c>
      <c r="N51" s="27">
        <f>rebio23_80ml!N52/50</f>
        <v>0</v>
      </c>
      <c r="O51" s="27">
        <f>rebio23_80ml!O52/50</f>
        <v>0</v>
      </c>
      <c r="P51" s="27">
        <f>rebio23_80ml!P52/50</f>
        <v>0</v>
      </c>
      <c r="Q51" s="27">
        <f>rebio23_80ml!Q52/50</f>
        <v>0</v>
      </c>
      <c r="R51" s="27">
        <f>rebio23_80ml!R52/50</f>
        <v>0</v>
      </c>
      <c r="S51" s="27">
        <f>rebio23_80ml!S52/50</f>
        <v>0</v>
      </c>
      <c r="T51" s="27">
        <f>rebio23_80ml!T52/50</f>
        <v>0</v>
      </c>
      <c r="U51" s="27">
        <f>rebio23_80ml!U52/50</f>
        <v>0</v>
      </c>
      <c r="V51" s="27">
        <f>rebio23_80ml!V52/50</f>
        <v>0</v>
      </c>
      <c r="W51" s="27">
        <f>rebio23_80ml!W52/50</f>
        <v>0</v>
      </c>
      <c r="X51" s="27">
        <f>rebio23_80ml!X52/50</f>
        <v>0</v>
      </c>
      <c r="Y51" s="27">
        <f>rebio23_80ml!Y52/50</f>
        <v>0</v>
      </c>
      <c r="Z51" s="27">
        <f>rebio23_80ml!Z52/50</f>
        <v>0</v>
      </c>
      <c r="AA51" s="27">
        <f>rebio23_80ml!AA52/50</f>
        <v>0</v>
      </c>
      <c r="AB51" s="27">
        <f>rebio23_80ml!AB52/50</f>
        <v>0</v>
      </c>
      <c r="AC51" s="27">
        <f>rebio23_80ml!AC52/50</f>
        <v>0</v>
      </c>
      <c r="AD51" s="27">
        <f>rebio23_80ml!AD52/50</f>
        <v>0</v>
      </c>
      <c r="AE51" s="27">
        <f>rebio23_80ml!AE52/50</f>
        <v>0</v>
      </c>
      <c r="AF51" s="27">
        <f>rebio23_80ml!AF52/50</f>
        <v>0</v>
      </c>
      <c r="AG51" s="27">
        <f>rebio23_80ml!AG52/50</f>
        <v>0</v>
      </c>
      <c r="AH51" s="27">
        <f>rebio23_80ml!AH52/50</f>
        <v>0</v>
      </c>
      <c r="AI51" s="27">
        <f>rebio23_80ml!AI52/50</f>
        <v>0</v>
      </c>
      <c r="AJ51" s="27">
        <f>rebio23_80ml!AJ52/50</f>
        <v>0</v>
      </c>
      <c r="AK51" s="27">
        <f>rebio23_80ml!AK52/50</f>
        <v>0</v>
      </c>
      <c r="AL51" s="27">
        <f>rebio23_80ml!AL52/50</f>
        <v>0</v>
      </c>
      <c r="AM51" s="27">
        <f>rebio23_80ml!AM52/50</f>
        <v>0</v>
      </c>
      <c r="AN51" s="27">
        <f>rebio23_80ml!AN52/50</f>
        <v>0</v>
      </c>
      <c r="AO51" s="27">
        <f>rebio23_80ml!AO52/50</f>
        <v>0</v>
      </c>
      <c r="AP51" s="27">
        <f>rebio23_80ml!AP52/50</f>
        <v>0</v>
      </c>
      <c r="AQ51" s="27">
        <f>rebio23_80ml!AQ52/50</f>
        <v>0</v>
      </c>
      <c r="AR51" s="27">
        <f>rebio23_80ml!AR52/50</f>
        <v>0</v>
      </c>
      <c r="AS51" s="27">
        <f>rebio23_80ml!AS52/50</f>
        <v>0</v>
      </c>
      <c r="AT51" s="27">
        <f>rebio23_80ml!AT52/50</f>
        <v>0</v>
      </c>
      <c r="AU51" s="27">
        <f>rebio23_80ml!AU52/50</f>
        <v>0</v>
      </c>
      <c r="AV51" s="27">
        <f>rebio23_80ml!AV52/50</f>
        <v>0.14000000000000001</v>
      </c>
      <c r="AW51" s="27">
        <f>rebio23_80ml!AW52/50</f>
        <v>0</v>
      </c>
      <c r="AX51" s="27">
        <f>rebio23_80ml!AX52/50</f>
        <v>0</v>
      </c>
      <c r="AY51" s="27">
        <f>rebio23_80ml!AY52/50</f>
        <v>0</v>
      </c>
      <c r="AZ51" s="27">
        <f>rebio23_80ml!AZ52/50</f>
        <v>0</v>
      </c>
      <c r="BA51" s="27">
        <f>rebio23_80ml!BA52/50</f>
        <v>0</v>
      </c>
      <c r="BB51" s="27">
        <f>rebio23_80ml!BB52/50</f>
        <v>0</v>
      </c>
      <c r="BC51" s="27">
        <f>rebio23_80ml!BC52/50</f>
        <v>0</v>
      </c>
      <c r="BD51" s="27">
        <f>rebio23_80ml!BD52/50</f>
        <v>0</v>
      </c>
      <c r="BE51" s="27">
        <f>rebio23_80ml!BE52/50</f>
        <v>0</v>
      </c>
      <c r="BF51" s="27">
        <f>rebio23_80ml!BF52/50</f>
        <v>0</v>
      </c>
      <c r="BG51" s="27">
        <f>rebio23_80ml!BG52/50</f>
        <v>0</v>
      </c>
    </row>
    <row r="52" spans="1:59" ht="12.75" customHeight="1" x14ac:dyDescent="0.25">
      <c r="A52" s="15" t="str">
        <f>rebio23_80ml!A53</f>
        <v>C-B-P05-H3</v>
      </c>
      <c r="B52" s="27">
        <f>rebio23_80ml!B53/50</f>
        <v>0</v>
      </c>
      <c r="C52" s="27">
        <f>rebio23_80ml!C53/50</f>
        <v>0</v>
      </c>
      <c r="D52" s="27">
        <f>rebio23_80ml!D53/50</f>
        <v>0</v>
      </c>
      <c r="E52" s="27">
        <f>rebio23_80ml!E53/50</f>
        <v>2.2000000000000002</v>
      </c>
      <c r="F52" s="27">
        <f>rebio23_80ml!F53/50</f>
        <v>0</v>
      </c>
      <c r="G52" s="27">
        <f>rebio23_80ml!G53/50</f>
        <v>0</v>
      </c>
      <c r="H52" s="27">
        <f>rebio23_80ml!H53/50</f>
        <v>0</v>
      </c>
      <c r="I52" s="27">
        <f>rebio23_80ml!I53/50</f>
        <v>1</v>
      </c>
      <c r="J52" s="27">
        <f>rebio23_80ml!J53/50</f>
        <v>0</v>
      </c>
      <c r="K52" s="27">
        <f>rebio23_80ml!K53/50</f>
        <v>0</v>
      </c>
      <c r="L52" s="27">
        <f>rebio23_80ml!L53/50</f>
        <v>0</v>
      </c>
      <c r="M52" s="27">
        <f>rebio23_80ml!M53/50</f>
        <v>0</v>
      </c>
      <c r="N52" s="27">
        <f>rebio23_80ml!N53/50</f>
        <v>0</v>
      </c>
      <c r="O52" s="27">
        <f>rebio23_80ml!O53/50</f>
        <v>0</v>
      </c>
      <c r="P52" s="27">
        <f>rebio23_80ml!P53/50</f>
        <v>0</v>
      </c>
      <c r="Q52" s="27">
        <f>rebio23_80ml!Q53/50</f>
        <v>0</v>
      </c>
      <c r="R52" s="27">
        <f>rebio23_80ml!R53/50</f>
        <v>0</v>
      </c>
      <c r="S52" s="27">
        <f>rebio23_80ml!S53/50</f>
        <v>0</v>
      </c>
      <c r="T52" s="27">
        <f>rebio23_80ml!T53/50</f>
        <v>0</v>
      </c>
      <c r="U52" s="27">
        <f>rebio23_80ml!U53/50</f>
        <v>0</v>
      </c>
      <c r="V52" s="27">
        <f>rebio23_80ml!V53/50</f>
        <v>0</v>
      </c>
      <c r="W52" s="27">
        <f>rebio23_80ml!W53/50</f>
        <v>0</v>
      </c>
      <c r="X52" s="27">
        <f>rebio23_80ml!X53/50</f>
        <v>0</v>
      </c>
      <c r="Y52" s="27">
        <f>rebio23_80ml!Y53/50</f>
        <v>0</v>
      </c>
      <c r="Z52" s="27">
        <f>rebio23_80ml!Z53/50</f>
        <v>0</v>
      </c>
      <c r="AA52" s="27">
        <f>rebio23_80ml!AA53/50</f>
        <v>0</v>
      </c>
      <c r="AB52" s="27">
        <f>rebio23_80ml!AB53/50</f>
        <v>0</v>
      </c>
      <c r="AC52" s="27">
        <f>rebio23_80ml!AC53/50</f>
        <v>0</v>
      </c>
      <c r="AD52" s="27">
        <f>rebio23_80ml!AD53/50</f>
        <v>0</v>
      </c>
      <c r="AE52" s="27">
        <f>rebio23_80ml!AE53/50</f>
        <v>0</v>
      </c>
      <c r="AF52" s="27">
        <f>rebio23_80ml!AF53/50</f>
        <v>0</v>
      </c>
      <c r="AG52" s="27">
        <f>rebio23_80ml!AG53/50</f>
        <v>0</v>
      </c>
      <c r="AH52" s="27">
        <f>rebio23_80ml!AH53/50</f>
        <v>0</v>
      </c>
      <c r="AI52" s="27">
        <f>rebio23_80ml!AI53/50</f>
        <v>0</v>
      </c>
      <c r="AJ52" s="27">
        <f>rebio23_80ml!AJ53/50</f>
        <v>0</v>
      </c>
      <c r="AK52" s="27">
        <f>rebio23_80ml!AK53/50</f>
        <v>0</v>
      </c>
      <c r="AL52" s="27">
        <f>rebio23_80ml!AL53/50</f>
        <v>0.04</v>
      </c>
      <c r="AM52" s="27">
        <f>rebio23_80ml!AM53/50</f>
        <v>0</v>
      </c>
      <c r="AN52" s="27">
        <f>rebio23_80ml!AN53/50</f>
        <v>0</v>
      </c>
      <c r="AO52" s="27">
        <f>rebio23_80ml!AO53/50</f>
        <v>0</v>
      </c>
      <c r="AP52" s="27">
        <f>rebio23_80ml!AP53/50</f>
        <v>0</v>
      </c>
      <c r="AQ52" s="27">
        <f>rebio23_80ml!AQ53/50</f>
        <v>0</v>
      </c>
      <c r="AR52" s="27">
        <f>rebio23_80ml!AR53/50</f>
        <v>0</v>
      </c>
      <c r="AS52" s="27">
        <f>rebio23_80ml!AS53/50</f>
        <v>0</v>
      </c>
      <c r="AT52" s="27">
        <f>rebio23_80ml!AT53/50</f>
        <v>0</v>
      </c>
      <c r="AU52" s="27">
        <f>rebio23_80ml!AU53/50</f>
        <v>0</v>
      </c>
      <c r="AV52" s="27">
        <f>rebio23_80ml!AV53/50</f>
        <v>0.36</v>
      </c>
      <c r="AW52" s="27">
        <f>rebio23_80ml!AW53/50</f>
        <v>0</v>
      </c>
      <c r="AX52" s="27">
        <f>rebio23_80ml!AX53/50</f>
        <v>0</v>
      </c>
      <c r="AY52" s="27">
        <f>rebio23_80ml!AY53/50</f>
        <v>0</v>
      </c>
      <c r="AZ52" s="27">
        <f>rebio23_80ml!AZ53/50</f>
        <v>0</v>
      </c>
      <c r="BA52" s="27">
        <f>rebio23_80ml!BA53/50</f>
        <v>0</v>
      </c>
      <c r="BB52" s="27">
        <f>rebio23_80ml!BB53/50</f>
        <v>0</v>
      </c>
      <c r="BC52" s="27">
        <f>rebio23_80ml!BC53/50</f>
        <v>0</v>
      </c>
      <c r="BD52" s="27">
        <f>rebio23_80ml!BD53/50</f>
        <v>0</v>
      </c>
      <c r="BE52" s="27">
        <f>rebio23_80ml!BE53/50</f>
        <v>0</v>
      </c>
      <c r="BF52" s="27">
        <f>rebio23_80ml!BF53/50</f>
        <v>0</v>
      </c>
      <c r="BG52" s="27">
        <f>rebio23_80ml!BG53/50</f>
        <v>0</v>
      </c>
    </row>
    <row r="53" spans="1:59" ht="12.75" customHeight="1" x14ac:dyDescent="0.25">
      <c r="A53" s="15" t="str">
        <f>rebio23_80ml!A54</f>
        <v>C-B-P06-H1</v>
      </c>
      <c r="B53" s="27">
        <f>rebio23_80ml!B54/50</f>
        <v>0.06</v>
      </c>
      <c r="C53" s="27">
        <f>rebio23_80ml!C54/50</f>
        <v>0</v>
      </c>
      <c r="D53" s="27">
        <f>rebio23_80ml!D54/50</f>
        <v>0</v>
      </c>
      <c r="E53" s="27">
        <f>rebio23_80ml!E54/50</f>
        <v>1.34</v>
      </c>
      <c r="F53" s="27">
        <f>rebio23_80ml!F54/50</f>
        <v>0</v>
      </c>
      <c r="G53" s="27">
        <f>rebio23_80ml!G54/50</f>
        <v>0</v>
      </c>
      <c r="H53" s="27">
        <f>rebio23_80ml!H54/50</f>
        <v>0</v>
      </c>
      <c r="I53" s="27">
        <f>rebio23_80ml!I54/50</f>
        <v>0.04</v>
      </c>
      <c r="J53" s="27">
        <f>rebio23_80ml!J54/50</f>
        <v>0</v>
      </c>
      <c r="K53" s="27">
        <f>rebio23_80ml!K54/50</f>
        <v>0</v>
      </c>
      <c r="L53" s="27">
        <f>rebio23_80ml!L54/50</f>
        <v>0</v>
      </c>
      <c r="M53" s="27">
        <f>rebio23_80ml!M54/50</f>
        <v>0</v>
      </c>
      <c r="N53" s="27">
        <f>rebio23_80ml!N54/50</f>
        <v>0</v>
      </c>
      <c r="O53" s="27">
        <f>rebio23_80ml!O54/50</f>
        <v>0</v>
      </c>
      <c r="P53" s="27">
        <f>rebio23_80ml!P54/50</f>
        <v>0</v>
      </c>
      <c r="Q53" s="27">
        <f>rebio23_80ml!Q54/50</f>
        <v>0</v>
      </c>
      <c r="R53" s="27">
        <f>rebio23_80ml!R54/50</f>
        <v>0</v>
      </c>
      <c r="S53" s="27">
        <f>rebio23_80ml!S54/50</f>
        <v>0</v>
      </c>
      <c r="T53" s="27">
        <f>rebio23_80ml!T54/50</f>
        <v>0</v>
      </c>
      <c r="U53" s="27">
        <f>rebio23_80ml!U54/50</f>
        <v>0</v>
      </c>
      <c r="V53" s="27">
        <f>rebio23_80ml!V54/50</f>
        <v>0</v>
      </c>
      <c r="W53" s="27">
        <f>rebio23_80ml!W54/50</f>
        <v>0</v>
      </c>
      <c r="X53" s="27">
        <f>rebio23_80ml!X54/50</f>
        <v>0</v>
      </c>
      <c r="Y53" s="27">
        <f>rebio23_80ml!Y54/50</f>
        <v>0.02</v>
      </c>
      <c r="Z53" s="27">
        <f>rebio23_80ml!Z54/50</f>
        <v>0</v>
      </c>
      <c r="AA53" s="27">
        <f>rebio23_80ml!AA54/50</f>
        <v>0</v>
      </c>
      <c r="AB53" s="27">
        <f>rebio23_80ml!AB54/50</f>
        <v>0</v>
      </c>
      <c r="AC53" s="27">
        <f>rebio23_80ml!AC54/50</f>
        <v>0</v>
      </c>
      <c r="AD53" s="27">
        <f>rebio23_80ml!AD54/50</f>
        <v>0</v>
      </c>
      <c r="AE53" s="27">
        <f>rebio23_80ml!AE54/50</f>
        <v>0</v>
      </c>
      <c r="AF53" s="27">
        <f>rebio23_80ml!AF54/50</f>
        <v>0</v>
      </c>
      <c r="AG53" s="27">
        <f>rebio23_80ml!AG54/50</f>
        <v>0</v>
      </c>
      <c r="AH53" s="27">
        <f>rebio23_80ml!AH54/50</f>
        <v>0</v>
      </c>
      <c r="AI53" s="27">
        <f>rebio23_80ml!AI54/50</f>
        <v>0</v>
      </c>
      <c r="AJ53" s="27">
        <f>rebio23_80ml!AJ54/50</f>
        <v>0</v>
      </c>
      <c r="AK53" s="27">
        <f>rebio23_80ml!AK54/50</f>
        <v>0</v>
      </c>
      <c r="AL53" s="27">
        <f>rebio23_80ml!AL54/50</f>
        <v>0</v>
      </c>
      <c r="AM53" s="27">
        <f>rebio23_80ml!AM54/50</f>
        <v>0</v>
      </c>
      <c r="AN53" s="27">
        <f>rebio23_80ml!AN54/50</f>
        <v>0</v>
      </c>
      <c r="AO53" s="27">
        <f>rebio23_80ml!AO54/50</f>
        <v>0</v>
      </c>
      <c r="AP53" s="27">
        <f>rebio23_80ml!AP54/50</f>
        <v>0</v>
      </c>
      <c r="AQ53" s="27">
        <f>rebio23_80ml!AQ54/50</f>
        <v>0</v>
      </c>
      <c r="AR53" s="27">
        <f>rebio23_80ml!AR54/50</f>
        <v>0</v>
      </c>
      <c r="AS53" s="27">
        <f>rebio23_80ml!AS54/50</f>
        <v>0</v>
      </c>
      <c r="AT53" s="27">
        <f>rebio23_80ml!AT54/50</f>
        <v>0</v>
      </c>
      <c r="AU53" s="27">
        <f>rebio23_80ml!AU54/50</f>
        <v>0</v>
      </c>
      <c r="AV53" s="27">
        <f>rebio23_80ml!AV54/50</f>
        <v>0.16</v>
      </c>
      <c r="AW53" s="27">
        <f>rebio23_80ml!AW54/50</f>
        <v>0</v>
      </c>
      <c r="AX53" s="27">
        <f>rebio23_80ml!AX54/50</f>
        <v>0.02</v>
      </c>
      <c r="AY53" s="27">
        <f>rebio23_80ml!AY54/50</f>
        <v>0</v>
      </c>
      <c r="AZ53" s="27">
        <f>rebio23_80ml!AZ54/50</f>
        <v>0</v>
      </c>
      <c r="BA53" s="27">
        <f>rebio23_80ml!BA54/50</f>
        <v>0</v>
      </c>
      <c r="BB53" s="27">
        <f>rebio23_80ml!BB54/50</f>
        <v>0</v>
      </c>
      <c r="BC53" s="27">
        <f>rebio23_80ml!BC54/50</f>
        <v>0</v>
      </c>
      <c r="BD53" s="27">
        <f>rebio23_80ml!BD54/50</f>
        <v>0</v>
      </c>
      <c r="BE53" s="27">
        <f>rebio23_80ml!BE54/50</f>
        <v>0</v>
      </c>
      <c r="BF53" s="27">
        <f>rebio23_80ml!BF54/50</f>
        <v>0</v>
      </c>
      <c r="BG53" s="27">
        <f>rebio23_80ml!BG54/50</f>
        <v>0</v>
      </c>
    </row>
    <row r="54" spans="1:59" ht="12.75" customHeight="1" x14ac:dyDescent="0.25">
      <c r="A54" s="15" t="str">
        <f>rebio23_80ml!A55</f>
        <v>C-B-P06-H2</v>
      </c>
      <c r="B54" s="27">
        <f>rebio23_80ml!B55/50</f>
        <v>0.02</v>
      </c>
      <c r="C54" s="27">
        <f>rebio23_80ml!C55/50</f>
        <v>0</v>
      </c>
      <c r="D54" s="27">
        <f>rebio23_80ml!D55/50</f>
        <v>0</v>
      </c>
      <c r="E54" s="27">
        <f>rebio23_80ml!E55/50</f>
        <v>1.3</v>
      </c>
      <c r="F54" s="27">
        <f>rebio23_80ml!F55/50</f>
        <v>0</v>
      </c>
      <c r="G54" s="27">
        <f>rebio23_80ml!G55/50</f>
        <v>0</v>
      </c>
      <c r="H54" s="27">
        <f>rebio23_80ml!H55/50</f>
        <v>0</v>
      </c>
      <c r="I54" s="27">
        <f>rebio23_80ml!I55/50</f>
        <v>0.1</v>
      </c>
      <c r="J54" s="27">
        <f>rebio23_80ml!J55/50</f>
        <v>0</v>
      </c>
      <c r="K54" s="27">
        <f>rebio23_80ml!K55/50</f>
        <v>0</v>
      </c>
      <c r="L54" s="27">
        <f>rebio23_80ml!L55/50</f>
        <v>0</v>
      </c>
      <c r="M54" s="27">
        <f>rebio23_80ml!M55/50</f>
        <v>0</v>
      </c>
      <c r="N54" s="27">
        <f>rebio23_80ml!N55/50</f>
        <v>0</v>
      </c>
      <c r="O54" s="27">
        <f>rebio23_80ml!O55/50</f>
        <v>0</v>
      </c>
      <c r="P54" s="27">
        <f>rebio23_80ml!P55/50</f>
        <v>0</v>
      </c>
      <c r="Q54" s="27">
        <f>rebio23_80ml!Q55/50</f>
        <v>0</v>
      </c>
      <c r="R54" s="27">
        <f>rebio23_80ml!R55/50</f>
        <v>0</v>
      </c>
      <c r="S54" s="27">
        <f>rebio23_80ml!S55/50</f>
        <v>0</v>
      </c>
      <c r="T54" s="27">
        <f>rebio23_80ml!T55/50</f>
        <v>0</v>
      </c>
      <c r="U54" s="27">
        <f>rebio23_80ml!U55/50</f>
        <v>0</v>
      </c>
      <c r="V54" s="27">
        <f>rebio23_80ml!V55/50</f>
        <v>0</v>
      </c>
      <c r="W54" s="27">
        <f>rebio23_80ml!W55/50</f>
        <v>0</v>
      </c>
      <c r="X54" s="27">
        <f>rebio23_80ml!X55/50</f>
        <v>0</v>
      </c>
      <c r="Y54" s="27">
        <f>rebio23_80ml!Y55/50</f>
        <v>0</v>
      </c>
      <c r="Z54" s="27">
        <f>rebio23_80ml!Z55/50</f>
        <v>0</v>
      </c>
      <c r="AA54" s="27">
        <f>rebio23_80ml!AA55/50</f>
        <v>0</v>
      </c>
      <c r="AB54" s="27">
        <f>rebio23_80ml!AB55/50</f>
        <v>0</v>
      </c>
      <c r="AC54" s="27">
        <f>rebio23_80ml!AC55/50</f>
        <v>0</v>
      </c>
      <c r="AD54" s="27">
        <f>rebio23_80ml!AD55/50</f>
        <v>0</v>
      </c>
      <c r="AE54" s="27">
        <f>rebio23_80ml!AE55/50</f>
        <v>0</v>
      </c>
      <c r="AF54" s="27">
        <f>rebio23_80ml!AF55/50</f>
        <v>0</v>
      </c>
      <c r="AG54" s="27">
        <f>rebio23_80ml!AG55/50</f>
        <v>0</v>
      </c>
      <c r="AH54" s="27">
        <f>rebio23_80ml!AH55/50</f>
        <v>0</v>
      </c>
      <c r="AI54" s="27">
        <f>rebio23_80ml!AI55/50</f>
        <v>0</v>
      </c>
      <c r="AJ54" s="27">
        <f>rebio23_80ml!AJ55/50</f>
        <v>0</v>
      </c>
      <c r="AK54" s="27">
        <f>rebio23_80ml!AK55/50</f>
        <v>0</v>
      </c>
      <c r="AL54" s="27">
        <f>rebio23_80ml!AL55/50</f>
        <v>0</v>
      </c>
      <c r="AM54" s="27">
        <f>rebio23_80ml!AM55/50</f>
        <v>0</v>
      </c>
      <c r="AN54" s="27">
        <f>rebio23_80ml!AN55/50</f>
        <v>0</v>
      </c>
      <c r="AO54" s="27">
        <f>rebio23_80ml!AO55/50</f>
        <v>0</v>
      </c>
      <c r="AP54" s="27">
        <f>rebio23_80ml!AP55/50</f>
        <v>0</v>
      </c>
      <c r="AQ54" s="27">
        <f>rebio23_80ml!AQ55/50</f>
        <v>0</v>
      </c>
      <c r="AR54" s="27">
        <f>rebio23_80ml!AR55/50</f>
        <v>0</v>
      </c>
      <c r="AS54" s="27">
        <f>rebio23_80ml!AS55/50</f>
        <v>0</v>
      </c>
      <c r="AT54" s="27">
        <f>rebio23_80ml!AT55/50</f>
        <v>0</v>
      </c>
      <c r="AU54" s="27">
        <f>rebio23_80ml!AU55/50</f>
        <v>0</v>
      </c>
      <c r="AV54" s="27">
        <f>rebio23_80ml!AV55/50</f>
        <v>0.02</v>
      </c>
      <c r="AW54" s="27">
        <f>rebio23_80ml!AW55/50</f>
        <v>0</v>
      </c>
      <c r="AX54" s="27">
        <f>rebio23_80ml!AX55/50</f>
        <v>0</v>
      </c>
      <c r="AY54" s="27">
        <f>rebio23_80ml!AY55/50</f>
        <v>0</v>
      </c>
      <c r="AZ54" s="27">
        <f>rebio23_80ml!AZ55/50</f>
        <v>0</v>
      </c>
      <c r="BA54" s="27">
        <f>rebio23_80ml!BA55/50</f>
        <v>0</v>
      </c>
      <c r="BB54" s="27">
        <f>rebio23_80ml!BB55/50</f>
        <v>0</v>
      </c>
      <c r="BC54" s="27">
        <f>rebio23_80ml!BC55/50</f>
        <v>0</v>
      </c>
      <c r="BD54" s="27">
        <f>rebio23_80ml!BD55/50</f>
        <v>0</v>
      </c>
      <c r="BE54" s="27">
        <f>rebio23_80ml!BE55/50</f>
        <v>0</v>
      </c>
      <c r="BF54" s="27">
        <f>rebio23_80ml!BF55/50</f>
        <v>0</v>
      </c>
      <c r="BG54" s="27">
        <f>rebio23_80ml!BG55/50</f>
        <v>0</v>
      </c>
    </row>
    <row r="55" spans="1:59" ht="12.75" customHeight="1" x14ac:dyDescent="0.25">
      <c r="A55" s="15" t="str">
        <f>rebio23_80ml!A56</f>
        <v>C-B-P06-H3</v>
      </c>
      <c r="B55" s="27">
        <f>rebio23_80ml!B56/50</f>
        <v>0</v>
      </c>
      <c r="C55" s="27">
        <f>rebio23_80ml!C56/50</f>
        <v>0</v>
      </c>
      <c r="D55" s="27">
        <f>rebio23_80ml!D56/50</f>
        <v>0</v>
      </c>
      <c r="E55" s="27">
        <f>rebio23_80ml!E56/50</f>
        <v>1.34</v>
      </c>
      <c r="F55" s="27">
        <f>rebio23_80ml!F56/50</f>
        <v>0</v>
      </c>
      <c r="G55" s="27">
        <f>rebio23_80ml!G56/50</f>
        <v>0</v>
      </c>
      <c r="H55" s="27">
        <f>rebio23_80ml!H56/50</f>
        <v>0</v>
      </c>
      <c r="I55" s="27">
        <f>rebio23_80ml!I56/50</f>
        <v>0.04</v>
      </c>
      <c r="J55" s="27">
        <f>rebio23_80ml!J56/50</f>
        <v>0</v>
      </c>
      <c r="K55" s="27">
        <f>rebio23_80ml!K56/50</f>
        <v>0</v>
      </c>
      <c r="L55" s="27">
        <f>rebio23_80ml!L56/50</f>
        <v>0</v>
      </c>
      <c r="M55" s="27">
        <f>rebio23_80ml!M56/50</f>
        <v>0</v>
      </c>
      <c r="N55" s="27">
        <f>rebio23_80ml!N56/50</f>
        <v>0</v>
      </c>
      <c r="O55" s="27">
        <f>rebio23_80ml!O56/50</f>
        <v>0</v>
      </c>
      <c r="P55" s="27">
        <f>rebio23_80ml!P56/50</f>
        <v>0</v>
      </c>
      <c r="Q55" s="27">
        <f>rebio23_80ml!Q56/50</f>
        <v>0</v>
      </c>
      <c r="R55" s="27">
        <f>rebio23_80ml!R56/50</f>
        <v>0</v>
      </c>
      <c r="S55" s="27">
        <f>rebio23_80ml!S56/50</f>
        <v>0</v>
      </c>
      <c r="T55" s="27">
        <f>rebio23_80ml!T56/50</f>
        <v>0</v>
      </c>
      <c r="U55" s="27">
        <f>rebio23_80ml!U56/50</f>
        <v>0</v>
      </c>
      <c r="V55" s="27">
        <f>rebio23_80ml!V56/50</f>
        <v>0</v>
      </c>
      <c r="W55" s="27">
        <f>rebio23_80ml!W56/50</f>
        <v>0</v>
      </c>
      <c r="X55" s="27">
        <f>rebio23_80ml!X56/50</f>
        <v>0</v>
      </c>
      <c r="Y55" s="27">
        <f>rebio23_80ml!Y56/50</f>
        <v>0.02</v>
      </c>
      <c r="Z55" s="27">
        <f>rebio23_80ml!Z56/50</f>
        <v>0</v>
      </c>
      <c r="AA55" s="27">
        <f>rebio23_80ml!AA56/50</f>
        <v>0</v>
      </c>
      <c r="AB55" s="27">
        <f>rebio23_80ml!AB56/50</f>
        <v>0</v>
      </c>
      <c r="AC55" s="27">
        <f>rebio23_80ml!AC56/50</f>
        <v>0</v>
      </c>
      <c r="AD55" s="27">
        <f>rebio23_80ml!AD56/50</f>
        <v>0</v>
      </c>
      <c r="AE55" s="27">
        <f>rebio23_80ml!AE56/50</f>
        <v>0</v>
      </c>
      <c r="AF55" s="27">
        <f>rebio23_80ml!AF56/50</f>
        <v>0</v>
      </c>
      <c r="AG55" s="27">
        <f>rebio23_80ml!AG56/50</f>
        <v>0</v>
      </c>
      <c r="AH55" s="27">
        <f>rebio23_80ml!AH56/50</f>
        <v>0</v>
      </c>
      <c r="AI55" s="27">
        <f>rebio23_80ml!AI56/50</f>
        <v>0</v>
      </c>
      <c r="AJ55" s="27">
        <f>rebio23_80ml!AJ56/50</f>
        <v>0</v>
      </c>
      <c r="AK55" s="27">
        <f>rebio23_80ml!AK56/50</f>
        <v>0</v>
      </c>
      <c r="AL55" s="27">
        <f>rebio23_80ml!AL56/50</f>
        <v>0</v>
      </c>
      <c r="AM55" s="27">
        <f>rebio23_80ml!AM56/50</f>
        <v>0</v>
      </c>
      <c r="AN55" s="27">
        <f>rebio23_80ml!AN56/50</f>
        <v>0</v>
      </c>
      <c r="AO55" s="27">
        <f>rebio23_80ml!AO56/50</f>
        <v>0</v>
      </c>
      <c r="AP55" s="27">
        <f>rebio23_80ml!AP56/50</f>
        <v>0</v>
      </c>
      <c r="AQ55" s="27">
        <f>rebio23_80ml!AQ56/50</f>
        <v>0</v>
      </c>
      <c r="AR55" s="27">
        <f>rebio23_80ml!AR56/50</f>
        <v>0</v>
      </c>
      <c r="AS55" s="27">
        <f>rebio23_80ml!AS56/50</f>
        <v>0</v>
      </c>
      <c r="AT55" s="27">
        <f>rebio23_80ml!AT56/50</f>
        <v>0</v>
      </c>
      <c r="AU55" s="27">
        <f>rebio23_80ml!AU56/50</f>
        <v>0</v>
      </c>
      <c r="AV55" s="27">
        <f>rebio23_80ml!AV56/50</f>
        <v>0</v>
      </c>
      <c r="AW55" s="27">
        <f>rebio23_80ml!AW56/50</f>
        <v>0</v>
      </c>
      <c r="AX55" s="27">
        <f>rebio23_80ml!AX56/50</f>
        <v>0</v>
      </c>
      <c r="AY55" s="27">
        <f>rebio23_80ml!AY56/50</f>
        <v>0</v>
      </c>
      <c r="AZ55" s="27">
        <f>rebio23_80ml!AZ56/50</f>
        <v>0</v>
      </c>
      <c r="BA55" s="27">
        <f>rebio23_80ml!BA56/50</f>
        <v>0</v>
      </c>
      <c r="BB55" s="27">
        <f>rebio23_80ml!BB56/50</f>
        <v>0</v>
      </c>
      <c r="BC55" s="27">
        <f>rebio23_80ml!BC56/50</f>
        <v>0</v>
      </c>
      <c r="BD55" s="27">
        <f>rebio23_80ml!BD56/50</f>
        <v>0.02</v>
      </c>
      <c r="BE55" s="27">
        <f>rebio23_80ml!BE56/50</f>
        <v>0</v>
      </c>
      <c r="BF55" s="27">
        <f>rebio23_80ml!BF56/50</f>
        <v>0</v>
      </c>
      <c r="BG55" s="27">
        <f>rebio23_80ml!BG56/50</f>
        <v>0</v>
      </c>
    </row>
    <row r="56" spans="1:59" ht="12.75" customHeight="1" x14ac:dyDescent="0.25">
      <c r="A56" s="15" t="str">
        <f>rebio23_80ml!A57</f>
        <v>C-B-P07-H1</v>
      </c>
      <c r="B56" s="27">
        <f>rebio23_80ml!B57/50</f>
        <v>0.02</v>
      </c>
      <c r="C56" s="27">
        <f>rebio23_80ml!C57/50</f>
        <v>0</v>
      </c>
      <c r="D56" s="27">
        <f>rebio23_80ml!D57/50</f>
        <v>0</v>
      </c>
      <c r="E56" s="27">
        <f>rebio23_80ml!E57/50</f>
        <v>2.1</v>
      </c>
      <c r="F56" s="27">
        <f>rebio23_80ml!F57/50</f>
        <v>0</v>
      </c>
      <c r="G56" s="27">
        <f>rebio23_80ml!G57/50</f>
        <v>0</v>
      </c>
      <c r="H56" s="27">
        <f>rebio23_80ml!H57/50</f>
        <v>0</v>
      </c>
      <c r="I56" s="27">
        <f>rebio23_80ml!I57/50</f>
        <v>0.12</v>
      </c>
      <c r="J56" s="27">
        <f>rebio23_80ml!J57/50</f>
        <v>0</v>
      </c>
      <c r="K56" s="27">
        <f>rebio23_80ml!K57/50</f>
        <v>0</v>
      </c>
      <c r="L56" s="27">
        <f>rebio23_80ml!L57/50</f>
        <v>0</v>
      </c>
      <c r="M56" s="27">
        <f>rebio23_80ml!M57/50</f>
        <v>0</v>
      </c>
      <c r="N56" s="27">
        <f>rebio23_80ml!N57/50</f>
        <v>0</v>
      </c>
      <c r="O56" s="27">
        <f>rebio23_80ml!O57/50</f>
        <v>0</v>
      </c>
      <c r="P56" s="27">
        <f>rebio23_80ml!P57/50</f>
        <v>0</v>
      </c>
      <c r="Q56" s="27">
        <f>rebio23_80ml!Q57/50</f>
        <v>0</v>
      </c>
      <c r="R56" s="27">
        <f>rebio23_80ml!R57/50</f>
        <v>0</v>
      </c>
      <c r="S56" s="27">
        <f>rebio23_80ml!S57/50</f>
        <v>0</v>
      </c>
      <c r="T56" s="27">
        <f>rebio23_80ml!T57/50</f>
        <v>0</v>
      </c>
      <c r="U56" s="27">
        <f>rebio23_80ml!U57/50</f>
        <v>0</v>
      </c>
      <c r="V56" s="27">
        <f>rebio23_80ml!V57/50</f>
        <v>0</v>
      </c>
      <c r="W56" s="27">
        <f>rebio23_80ml!W57/50</f>
        <v>0</v>
      </c>
      <c r="X56" s="27">
        <f>rebio23_80ml!X57/50</f>
        <v>0</v>
      </c>
      <c r="Y56" s="27">
        <f>rebio23_80ml!Y57/50</f>
        <v>0</v>
      </c>
      <c r="Z56" s="27">
        <f>rebio23_80ml!Z57/50</f>
        <v>0</v>
      </c>
      <c r="AA56" s="27">
        <f>rebio23_80ml!AA57/50</f>
        <v>0</v>
      </c>
      <c r="AB56" s="27">
        <f>rebio23_80ml!AB57/50</f>
        <v>0</v>
      </c>
      <c r="AC56" s="27">
        <f>rebio23_80ml!AC57/50</f>
        <v>0</v>
      </c>
      <c r="AD56" s="27">
        <f>rebio23_80ml!AD57/50</f>
        <v>0</v>
      </c>
      <c r="AE56" s="27">
        <f>rebio23_80ml!AE57/50</f>
        <v>0</v>
      </c>
      <c r="AF56" s="27">
        <f>rebio23_80ml!AF57/50</f>
        <v>0</v>
      </c>
      <c r="AG56" s="27">
        <f>rebio23_80ml!AG57/50</f>
        <v>0</v>
      </c>
      <c r="AH56" s="27">
        <f>rebio23_80ml!AH57/50</f>
        <v>0</v>
      </c>
      <c r="AI56" s="27">
        <f>rebio23_80ml!AI57/50</f>
        <v>0</v>
      </c>
      <c r="AJ56" s="27">
        <f>rebio23_80ml!AJ57/50</f>
        <v>0</v>
      </c>
      <c r="AK56" s="27">
        <f>rebio23_80ml!AK57/50</f>
        <v>0</v>
      </c>
      <c r="AL56" s="27">
        <f>rebio23_80ml!AL57/50</f>
        <v>0</v>
      </c>
      <c r="AM56" s="27">
        <f>rebio23_80ml!AM57/50</f>
        <v>0</v>
      </c>
      <c r="AN56" s="27">
        <f>rebio23_80ml!AN57/50</f>
        <v>0</v>
      </c>
      <c r="AO56" s="27">
        <f>rebio23_80ml!AO57/50</f>
        <v>0</v>
      </c>
      <c r="AP56" s="27">
        <f>rebio23_80ml!AP57/50</f>
        <v>0</v>
      </c>
      <c r="AQ56" s="27">
        <f>rebio23_80ml!AQ57/50</f>
        <v>0</v>
      </c>
      <c r="AR56" s="27">
        <f>rebio23_80ml!AR57/50</f>
        <v>0</v>
      </c>
      <c r="AS56" s="27">
        <f>rebio23_80ml!AS57/50</f>
        <v>0</v>
      </c>
      <c r="AT56" s="27">
        <f>rebio23_80ml!AT57/50</f>
        <v>0</v>
      </c>
      <c r="AU56" s="27">
        <f>rebio23_80ml!AU57/50</f>
        <v>0</v>
      </c>
      <c r="AV56" s="27">
        <f>rebio23_80ml!AV57/50</f>
        <v>0.14000000000000001</v>
      </c>
      <c r="AW56" s="27">
        <f>rebio23_80ml!AW57/50</f>
        <v>0</v>
      </c>
      <c r="AX56" s="27">
        <f>rebio23_80ml!AX57/50</f>
        <v>0</v>
      </c>
      <c r="AY56" s="27">
        <f>rebio23_80ml!AY57/50</f>
        <v>0</v>
      </c>
      <c r="AZ56" s="27">
        <f>rebio23_80ml!AZ57/50</f>
        <v>0</v>
      </c>
      <c r="BA56" s="27">
        <f>rebio23_80ml!BA57/50</f>
        <v>0</v>
      </c>
      <c r="BB56" s="27">
        <f>rebio23_80ml!BB57/50</f>
        <v>0</v>
      </c>
      <c r="BC56" s="27">
        <f>rebio23_80ml!BC57/50</f>
        <v>0</v>
      </c>
      <c r="BD56" s="27">
        <f>rebio23_80ml!BD57/50</f>
        <v>0</v>
      </c>
      <c r="BE56" s="27">
        <f>rebio23_80ml!BE57/50</f>
        <v>0</v>
      </c>
      <c r="BF56" s="27">
        <f>rebio23_80ml!BF57/50</f>
        <v>0</v>
      </c>
      <c r="BG56" s="27">
        <f>rebio23_80ml!BG57/50</f>
        <v>0</v>
      </c>
    </row>
    <row r="57" spans="1:59" ht="12.75" customHeight="1" x14ac:dyDescent="0.25">
      <c r="A57" s="15" t="str">
        <f>rebio23_80ml!A58</f>
        <v>C-B-P07-H2</v>
      </c>
      <c r="B57" s="27">
        <f>rebio23_80ml!B58/50</f>
        <v>0.02</v>
      </c>
      <c r="C57" s="27">
        <f>rebio23_80ml!C58/50</f>
        <v>0</v>
      </c>
      <c r="D57" s="27">
        <f>rebio23_80ml!D58/50</f>
        <v>0</v>
      </c>
      <c r="E57" s="27">
        <f>rebio23_80ml!E58/50</f>
        <v>1.1399999999999999</v>
      </c>
      <c r="F57" s="27">
        <f>rebio23_80ml!F58/50</f>
        <v>0</v>
      </c>
      <c r="G57" s="27">
        <f>rebio23_80ml!G58/50</f>
        <v>0</v>
      </c>
      <c r="H57" s="27">
        <f>rebio23_80ml!H58/50</f>
        <v>0</v>
      </c>
      <c r="I57" s="27">
        <f>rebio23_80ml!I58/50</f>
        <v>0.1</v>
      </c>
      <c r="J57" s="27">
        <f>rebio23_80ml!J58/50</f>
        <v>0</v>
      </c>
      <c r="K57" s="27">
        <f>rebio23_80ml!K58/50</f>
        <v>0</v>
      </c>
      <c r="L57" s="27">
        <f>rebio23_80ml!L58/50</f>
        <v>0</v>
      </c>
      <c r="M57" s="27">
        <f>rebio23_80ml!M58/50</f>
        <v>0</v>
      </c>
      <c r="N57" s="27">
        <f>rebio23_80ml!N58/50</f>
        <v>0</v>
      </c>
      <c r="O57" s="27">
        <f>rebio23_80ml!O58/50</f>
        <v>0</v>
      </c>
      <c r="P57" s="27">
        <f>rebio23_80ml!P58/50</f>
        <v>0</v>
      </c>
      <c r="Q57" s="27">
        <f>rebio23_80ml!Q58/50</f>
        <v>0</v>
      </c>
      <c r="R57" s="27">
        <f>rebio23_80ml!R58/50</f>
        <v>0</v>
      </c>
      <c r="S57" s="27">
        <f>rebio23_80ml!S58/50</f>
        <v>0</v>
      </c>
      <c r="T57" s="27">
        <f>rebio23_80ml!T58/50</f>
        <v>0</v>
      </c>
      <c r="U57" s="27">
        <f>rebio23_80ml!U58/50</f>
        <v>0</v>
      </c>
      <c r="V57" s="27">
        <f>rebio23_80ml!V58/50</f>
        <v>0</v>
      </c>
      <c r="W57" s="27">
        <f>rebio23_80ml!W58/50</f>
        <v>0</v>
      </c>
      <c r="X57" s="27">
        <f>rebio23_80ml!X58/50</f>
        <v>0</v>
      </c>
      <c r="Y57" s="27">
        <f>rebio23_80ml!Y58/50</f>
        <v>0</v>
      </c>
      <c r="Z57" s="27">
        <f>rebio23_80ml!Z58/50</f>
        <v>0</v>
      </c>
      <c r="AA57" s="27">
        <f>rebio23_80ml!AA58/50</f>
        <v>0</v>
      </c>
      <c r="AB57" s="27">
        <f>rebio23_80ml!AB58/50</f>
        <v>0</v>
      </c>
      <c r="AC57" s="27">
        <f>rebio23_80ml!AC58/50</f>
        <v>0</v>
      </c>
      <c r="AD57" s="27">
        <f>rebio23_80ml!AD58/50</f>
        <v>0</v>
      </c>
      <c r="AE57" s="27">
        <f>rebio23_80ml!AE58/50</f>
        <v>0</v>
      </c>
      <c r="AF57" s="27">
        <f>rebio23_80ml!AF58/50</f>
        <v>0</v>
      </c>
      <c r="AG57" s="27">
        <f>rebio23_80ml!AG58/50</f>
        <v>0</v>
      </c>
      <c r="AH57" s="27">
        <f>rebio23_80ml!AH58/50</f>
        <v>0</v>
      </c>
      <c r="AI57" s="27">
        <f>rebio23_80ml!AI58/50</f>
        <v>0</v>
      </c>
      <c r="AJ57" s="27">
        <f>rebio23_80ml!AJ58/50</f>
        <v>0</v>
      </c>
      <c r="AK57" s="27">
        <f>rebio23_80ml!AK58/50</f>
        <v>0</v>
      </c>
      <c r="AL57" s="27">
        <f>rebio23_80ml!AL58/50</f>
        <v>0</v>
      </c>
      <c r="AM57" s="27">
        <f>rebio23_80ml!AM58/50</f>
        <v>0</v>
      </c>
      <c r="AN57" s="27">
        <f>rebio23_80ml!AN58/50</f>
        <v>0</v>
      </c>
      <c r="AO57" s="27">
        <f>rebio23_80ml!AO58/50</f>
        <v>0</v>
      </c>
      <c r="AP57" s="27">
        <f>rebio23_80ml!AP58/50</f>
        <v>0</v>
      </c>
      <c r="AQ57" s="27">
        <f>rebio23_80ml!AQ58/50</f>
        <v>0</v>
      </c>
      <c r="AR57" s="27">
        <f>rebio23_80ml!AR58/50</f>
        <v>0</v>
      </c>
      <c r="AS57" s="27">
        <f>rebio23_80ml!AS58/50</f>
        <v>0</v>
      </c>
      <c r="AT57" s="27">
        <f>rebio23_80ml!AT58/50</f>
        <v>0</v>
      </c>
      <c r="AU57" s="27">
        <f>rebio23_80ml!AU58/50</f>
        <v>0</v>
      </c>
      <c r="AV57" s="27">
        <f>rebio23_80ml!AV58/50</f>
        <v>0.12</v>
      </c>
      <c r="AW57" s="27">
        <f>rebio23_80ml!AW58/50</f>
        <v>0</v>
      </c>
      <c r="AX57" s="27">
        <f>rebio23_80ml!AX58/50</f>
        <v>0</v>
      </c>
      <c r="AY57" s="27">
        <f>rebio23_80ml!AY58/50</f>
        <v>0</v>
      </c>
      <c r="AZ57" s="27">
        <f>rebio23_80ml!AZ58/50</f>
        <v>0</v>
      </c>
      <c r="BA57" s="27">
        <f>rebio23_80ml!BA58/50</f>
        <v>0</v>
      </c>
      <c r="BB57" s="27">
        <f>rebio23_80ml!BB58/50</f>
        <v>0</v>
      </c>
      <c r="BC57" s="27">
        <f>rebio23_80ml!BC58/50</f>
        <v>0</v>
      </c>
      <c r="BD57" s="27">
        <f>rebio23_80ml!BD58/50</f>
        <v>0</v>
      </c>
      <c r="BE57" s="27">
        <f>rebio23_80ml!BE58/50</f>
        <v>0</v>
      </c>
      <c r="BF57" s="27">
        <f>rebio23_80ml!BF58/50</f>
        <v>0</v>
      </c>
      <c r="BG57" s="27">
        <f>rebio23_80ml!BG58/50</f>
        <v>0</v>
      </c>
    </row>
    <row r="58" spans="1:59" ht="12.75" customHeight="1" x14ac:dyDescent="0.25">
      <c r="A58" s="15" t="str">
        <f>rebio23_80ml!A59</f>
        <v>C-B-P07-H3</v>
      </c>
      <c r="B58" s="27">
        <f>rebio23_80ml!B59/50</f>
        <v>0</v>
      </c>
      <c r="C58" s="27">
        <f>rebio23_80ml!C59/50</f>
        <v>0</v>
      </c>
      <c r="D58" s="27">
        <f>rebio23_80ml!D59/50</f>
        <v>0</v>
      </c>
      <c r="E58" s="27">
        <f>rebio23_80ml!E59/50</f>
        <v>1.34</v>
      </c>
      <c r="F58" s="27">
        <f>rebio23_80ml!F59/50</f>
        <v>0</v>
      </c>
      <c r="G58" s="27">
        <f>rebio23_80ml!G59/50</f>
        <v>0</v>
      </c>
      <c r="H58" s="27">
        <f>rebio23_80ml!H59/50</f>
        <v>0</v>
      </c>
      <c r="I58" s="27">
        <f>rebio23_80ml!I59/50</f>
        <v>0.06</v>
      </c>
      <c r="J58" s="27">
        <f>rebio23_80ml!J59/50</f>
        <v>0</v>
      </c>
      <c r="K58" s="27">
        <f>rebio23_80ml!K59/50</f>
        <v>0</v>
      </c>
      <c r="L58" s="27">
        <f>rebio23_80ml!L59/50</f>
        <v>0</v>
      </c>
      <c r="M58" s="27">
        <f>rebio23_80ml!M59/50</f>
        <v>0</v>
      </c>
      <c r="N58" s="27">
        <f>rebio23_80ml!N59/50</f>
        <v>0</v>
      </c>
      <c r="O58" s="27">
        <f>rebio23_80ml!O59/50</f>
        <v>0</v>
      </c>
      <c r="P58" s="27">
        <f>rebio23_80ml!P59/50</f>
        <v>0</v>
      </c>
      <c r="Q58" s="27">
        <f>rebio23_80ml!Q59/50</f>
        <v>0</v>
      </c>
      <c r="R58" s="27">
        <f>rebio23_80ml!R59/50</f>
        <v>0</v>
      </c>
      <c r="S58" s="27">
        <f>rebio23_80ml!S59/50</f>
        <v>0</v>
      </c>
      <c r="T58" s="27">
        <f>rebio23_80ml!T59/50</f>
        <v>0</v>
      </c>
      <c r="U58" s="27">
        <f>rebio23_80ml!U59/50</f>
        <v>0</v>
      </c>
      <c r="V58" s="27">
        <f>rebio23_80ml!V59/50</f>
        <v>0</v>
      </c>
      <c r="W58" s="27">
        <f>rebio23_80ml!W59/50</f>
        <v>0</v>
      </c>
      <c r="X58" s="27">
        <f>rebio23_80ml!X59/50</f>
        <v>0</v>
      </c>
      <c r="Y58" s="27">
        <f>rebio23_80ml!Y59/50</f>
        <v>0</v>
      </c>
      <c r="Z58" s="27">
        <f>rebio23_80ml!Z59/50</f>
        <v>0</v>
      </c>
      <c r="AA58" s="27">
        <f>rebio23_80ml!AA59/50</f>
        <v>0</v>
      </c>
      <c r="AB58" s="27">
        <f>rebio23_80ml!AB59/50</f>
        <v>0</v>
      </c>
      <c r="AC58" s="27">
        <f>rebio23_80ml!AC59/50</f>
        <v>0</v>
      </c>
      <c r="AD58" s="27">
        <f>rebio23_80ml!AD59/50</f>
        <v>0</v>
      </c>
      <c r="AE58" s="27">
        <f>rebio23_80ml!AE59/50</f>
        <v>0</v>
      </c>
      <c r="AF58" s="27">
        <f>rebio23_80ml!AF59/50</f>
        <v>0</v>
      </c>
      <c r="AG58" s="27">
        <f>rebio23_80ml!AG59/50</f>
        <v>0</v>
      </c>
      <c r="AH58" s="27">
        <f>rebio23_80ml!AH59/50</f>
        <v>0</v>
      </c>
      <c r="AI58" s="27">
        <f>rebio23_80ml!AI59/50</f>
        <v>0</v>
      </c>
      <c r="AJ58" s="27">
        <f>rebio23_80ml!AJ59/50</f>
        <v>0</v>
      </c>
      <c r="AK58" s="27">
        <f>rebio23_80ml!AK59/50</f>
        <v>0</v>
      </c>
      <c r="AL58" s="27">
        <f>rebio23_80ml!AL59/50</f>
        <v>0</v>
      </c>
      <c r="AM58" s="27">
        <f>rebio23_80ml!AM59/50</f>
        <v>0</v>
      </c>
      <c r="AN58" s="27">
        <f>rebio23_80ml!AN59/50</f>
        <v>0</v>
      </c>
      <c r="AO58" s="27">
        <f>rebio23_80ml!AO59/50</f>
        <v>0</v>
      </c>
      <c r="AP58" s="27">
        <f>rebio23_80ml!AP59/50</f>
        <v>0</v>
      </c>
      <c r="AQ58" s="27">
        <f>rebio23_80ml!AQ59/50</f>
        <v>0</v>
      </c>
      <c r="AR58" s="27">
        <f>rebio23_80ml!AR59/50</f>
        <v>0</v>
      </c>
      <c r="AS58" s="27">
        <f>rebio23_80ml!AS59/50</f>
        <v>0</v>
      </c>
      <c r="AT58" s="27">
        <f>rebio23_80ml!AT59/50</f>
        <v>0</v>
      </c>
      <c r="AU58" s="27">
        <f>rebio23_80ml!AU59/50</f>
        <v>0</v>
      </c>
      <c r="AV58" s="27">
        <f>rebio23_80ml!AV59/50</f>
        <v>0.14000000000000001</v>
      </c>
      <c r="AW58" s="27">
        <f>rebio23_80ml!AW59/50</f>
        <v>0</v>
      </c>
      <c r="AX58" s="27">
        <f>rebio23_80ml!AX59/50</f>
        <v>0</v>
      </c>
      <c r="AY58" s="27">
        <f>rebio23_80ml!AY59/50</f>
        <v>0</v>
      </c>
      <c r="AZ58" s="27">
        <f>rebio23_80ml!AZ59/50</f>
        <v>0</v>
      </c>
      <c r="BA58" s="27">
        <f>rebio23_80ml!BA59/50</f>
        <v>0</v>
      </c>
      <c r="BB58" s="27">
        <f>rebio23_80ml!BB59/50</f>
        <v>0</v>
      </c>
      <c r="BC58" s="27">
        <f>rebio23_80ml!BC59/50</f>
        <v>0</v>
      </c>
      <c r="BD58" s="27">
        <f>rebio23_80ml!BD59/50</f>
        <v>0</v>
      </c>
      <c r="BE58" s="27">
        <f>rebio23_80ml!BE59/50</f>
        <v>0</v>
      </c>
      <c r="BF58" s="27">
        <f>rebio23_80ml!BF59/50</f>
        <v>0</v>
      </c>
      <c r="BG58" s="27">
        <f>rebio23_80ml!BG59/50</f>
        <v>0</v>
      </c>
    </row>
    <row r="59" spans="1:59" ht="12.75" customHeight="1" x14ac:dyDescent="0.25">
      <c r="A59" s="15" t="str">
        <f>rebio23_80ml!A60</f>
        <v>C-B-P08-H1</v>
      </c>
      <c r="B59" s="27">
        <f>rebio23_80ml!B60/50</f>
        <v>12.68</v>
      </c>
      <c r="C59" s="27">
        <f>rebio23_80ml!C60/50</f>
        <v>2.54</v>
      </c>
      <c r="D59" s="27">
        <f>rebio23_80ml!D60/50</f>
        <v>0.94</v>
      </c>
      <c r="E59" s="27">
        <f>rebio23_80ml!E60/50</f>
        <v>3.74</v>
      </c>
      <c r="F59" s="27">
        <f>rebio23_80ml!F60/50</f>
        <v>0</v>
      </c>
      <c r="G59" s="27">
        <f>rebio23_80ml!G60/50</f>
        <v>0</v>
      </c>
      <c r="H59" s="27">
        <f>rebio23_80ml!H60/50</f>
        <v>0</v>
      </c>
      <c r="I59" s="27">
        <f>rebio23_80ml!I60/50</f>
        <v>28.2</v>
      </c>
      <c r="J59" s="27">
        <f>rebio23_80ml!J60/50</f>
        <v>6.86</v>
      </c>
      <c r="K59" s="27">
        <f>rebio23_80ml!K60/50</f>
        <v>0</v>
      </c>
      <c r="L59" s="27">
        <f>rebio23_80ml!L60/50</f>
        <v>0.2</v>
      </c>
      <c r="M59" s="27">
        <f>rebio23_80ml!M60/50</f>
        <v>0</v>
      </c>
      <c r="N59" s="27">
        <f>rebio23_80ml!N60/50</f>
        <v>0</v>
      </c>
      <c r="O59" s="27">
        <f>rebio23_80ml!O60/50</f>
        <v>0</v>
      </c>
      <c r="P59" s="27">
        <f>rebio23_80ml!P60/50</f>
        <v>0</v>
      </c>
      <c r="Q59" s="27">
        <f>rebio23_80ml!Q60/50</f>
        <v>0</v>
      </c>
      <c r="R59" s="27">
        <f>rebio23_80ml!R60/50</f>
        <v>0</v>
      </c>
      <c r="S59" s="27">
        <f>rebio23_80ml!S60/50</f>
        <v>0.12</v>
      </c>
      <c r="T59" s="27">
        <f>rebio23_80ml!T60/50</f>
        <v>0.02</v>
      </c>
      <c r="U59" s="27">
        <f>rebio23_80ml!U60/50</f>
        <v>0</v>
      </c>
      <c r="V59" s="27">
        <f>rebio23_80ml!V60/50</f>
        <v>0.02</v>
      </c>
      <c r="W59" s="27">
        <f>rebio23_80ml!W60/50</f>
        <v>0</v>
      </c>
      <c r="X59" s="27">
        <f>rebio23_80ml!X60/50</f>
        <v>0</v>
      </c>
      <c r="Y59" s="27">
        <f>rebio23_80ml!Y60/50</f>
        <v>1.04</v>
      </c>
      <c r="Z59" s="27">
        <f>rebio23_80ml!Z60/50</f>
        <v>0.02</v>
      </c>
      <c r="AA59" s="27">
        <f>rebio23_80ml!AA60/50</f>
        <v>0.02</v>
      </c>
      <c r="AB59" s="27">
        <f>rebio23_80ml!AB60/50</f>
        <v>0</v>
      </c>
      <c r="AC59" s="27">
        <f>rebio23_80ml!AC60/50</f>
        <v>0</v>
      </c>
      <c r="AD59" s="27">
        <f>rebio23_80ml!AD60/50</f>
        <v>0</v>
      </c>
      <c r="AE59" s="27">
        <f>rebio23_80ml!AE60/50</f>
        <v>0</v>
      </c>
      <c r="AF59" s="27">
        <f>rebio23_80ml!AF60/50</f>
        <v>0</v>
      </c>
      <c r="AG59" s="27">
        <f>rebio23_80ml!AG60/50</f>
        <v>0</v>
      </c>
      <c r="AH59" s="27">
        <f>rebio23_80ml!AH60/50</f>
        <v>0</v>
      </c>
      <c r="AI59" s="27">
        <f>rebio23_80ml!AI60/50</f>
        <v>0</v>
      </c>
      <c r="AJ59" s="27">
        <f>rebio23_80ml!AJ60/50</f>
        <v>0.02</v>
      </c>
      <c r="AK59" s="27">
        <f>rebio23_80ml!AK60/50</f>
        <v>0.06</v>
      </c>
      <c r="AL59" s="27">
        <f>rebio23_80ml!AL60/50</f>
        <v>1.24</v>
      </c>
      <c r="AM59" s="27">
        <f>rebio23_80ml!AM60/50</f>
        <v>0.4</v>
      </c>
      <c r="AN59" s="27">
        <f>rebio23_80ml!AN60/50</f>
        <v>0.5</v>
      </c>
      <c r="AO59" s="27">
        <f>rebio23_80ml!AO60/50</f>
        <v>0.04</v>
      </c>
      <c r="AP59" s="27">
        <f>rebio23_80ml!AP60/50</f>
        <v>0.6</v>
      </c>
      <c r="AQ59" s="27">
        <f>rebio23_80ml!AQ60/50</f>
        <v>0.24</v>
      </c>
      <c r="AR59" s="27">
        <f>rebio23_80ml!AR60/50</f>
        <v>0.02</v>
      </c>
      <c r="AS59" s="27">
        <f>rebio23_80ml!AS60/50</f>
        <v>0</v>
      </c>
      <c r="AT59" s="27">
        <f>rebio23_80ml!AT60/50</f>
        <v>0</v>
      </c>
      <c r="AU59" s="27">
        <f>rebio23_80ml!AU60/50</f>
        <v>0</v>
      </c>
      <c r="AV59" s="27">
        <f>rebio23_80ml!AV60/50</f>
        <v>4.9800000000000004</v>
      </c>
      <c r="AW59" s="27">
        <f>rebio23_80ml!AW60/50</f>
        <v>0</v>
      </c>
      <c r="AX59" s="27">
        <f>rebio23_80ml!AX60/50</f>
        <v>2.2000000000000002</v>
      </c>
      <c r="AY59" s="27">
        <f>rebio23_80ml!AY60/50</f>
        <v>0</v>
      </c>
      <c r="AZ59" s="27">
        <f>rebio23_80ml!AZ60/50</f>
        <v>0</v>
      </c>
      <c r="BA59" s="27">
        <f>rebio23_80ml!BA60/50</f>
        <v>0.02</v>
      </c>
      <c r="BB59" s="27">
        <f>rebio23_80ml!BB60/50</f>
        <v>0</v>
      </c>
      <c r="BC59" s="27">
        <f>rebio23_80ml!BC60/50</f>
        <v>0.02</v>
      </c>
      <c r="BD59" s="27">
        <f>rebio23_80ml!BD60/50</f>
        <v>0</v>
      </c>
      <c r="BE59" s="27">
        <f>rebio23_80ml!BE60/50</f>
        <v>0</v>
      </c>
      <c r="BF59" s="27">
        <f>rebio23_80ml!BF60/50</f>
        <v>0</v>
      </c>
      <c r="BG59" s="27">
        <f>rebio23_80ml!BG60/50</f>
        <v>0</v>
      </c>
    </row>
    <row r="60" spans="1:59" ht="12.75" customHeight="1" x14ac:dyDescent="0.25">
      <c r="A60" s="15" t="str">
        <f>rebio23_80ml!A61</f>
        <v>C-B-P08-H2</v>
      </c>
      <c r="B60" s="27">
        <f>rebio23_80ml!B61/50</f>
        <v>3.16</v>
      </c>
      <c r="C60" s="27">
        <f>rebio23_80ml!C61/50</f>
        <v>0.62</v>
      </c>
      <c r="D60" s="27">
        <f>rebio23_80ml!D61/50</f>
        <v>0.2</v>
      </c>
      <c r="E60" s="27">
        <f>rebio23_80ml!E61/50</f>
        <v>3.94</v>
      </c>
      <c r="F60" s="27">
        <f>rebio23_80ml!F61/50</f>
        <v>0.02</v>
      </c>
      <c r="G60" s="27">
        <f>rebio23_80ml!G61/50</f>
        <v>0</v>
      </c>
      <c r="H60" s="27">
        <f>rebio23_80ml!H61/50</f>
        <v>0</v>
      </c>
      <c r="I60" s="27">
        <f>rebio23_80ml!I61/50</f>
        <v>8.14</v>
      </c>
      <c r="J60" s="27">
        <f>rebio23_80ml!J61/50</f>
        <v>2.72</v>
      </c>
      <c r="K60" s="27">
        <f>rebio23_80ml!K61/50</f>
        <v>0</v>
      </c>
      <c r="L60" s="27">
        <f>rebio23_80ml!L61/50</f>
        <v>0.06</v>
      </c>
      <c r="M60" s="27">
        <f>rebio23_80ml!M61/50</f>
        <v>0</v>
      </c>
      <c r="N60" s="27">
        <f>rebio23_80ml!N61/50</f>
        <v>0</v>
      </c>
      <c r="O60" s="27">
        <f>rebio23_80ml!O61/50</f>
        <v>0</v>
      </c>
      <c r="P60" s="27">
        <f>rebio23_80ml!P61/50</f>
        <v>0</v>
      </c>
      <c r="Q60" s="27">
        <f>rebio23_80ml!Q61/50</f>
        <v>0</v>
      </c>
      <c r="R60" s="27">
        <f>rebio23_80ml!R61/50</f>
        <v>0</v>
      </c>
      <c r="S60" s="27">
        <f>rebio23_80ml!S61/50</f>
        <v>0.02</v>
      </c>
      <c r="T60" s="27">
        <f>rebio23_80ml!T61/50</f>
        <v>0.02</v>
      </c>
      <c r="U60" s="27">
        <f>rebio23_80ml!U61/50</f>
        <v>0</v>
      </c>
      <c r="V60" s="27">
        <f>rebio23_80ml!V61/50</f>
        <v>0</v>
      </c>
      <c r="W60" s="27">
        <f>rebio23_80ml!W61/50</f>
        <v>0</v>
      </c>
      <c r="X60" s="27">
        <f>rebio23_80ml!X61/50</f>
        <v>0</v>
      </c>
      <c r="Y60" s="27">
        <f>rebio23_80ml!Y61/50</f>
        <v>0.4</v>
      </c>
      <c r="Z60" s="27">
        <f>rebio23_80ml!Z61/50</f>
        <v>0.02</v>
      </c>
      <c r="AA60" s="27">
        <f>rebio23_80ml!AA61/50</f>
        <v>0.02</v>
      </c>
      <c r="AB60" s="27">
        <f>rebio23_80ml!AB61/50</f>
        <v>0</v>
      </c>
      <c r="AC60" s="27">
        <f>rebio23_80ml!AC61/50</f>
        <v>0</v>
      </c>
      <c r="AD60" s="27">
        <f>rebio23_80ml!AD61/50</f>
        <v>0</v>
      </c>
      <c r="AE60" s="27">
        <f>rebio23_80ml!AE61/50</f>
        <v>0</v>
      </c>
      <c r="AF60" s="27">
        <f>rebio23_80ml!AF61/50</f>
        <v>0</v>
      </c>
      <c r="AG60" s="27">
        <f>rebio23_80ml!AG61/50</f>
        <v>0</v>
      </c>
      <c r="AH60" s="27">
        <f>rebio23_80ml!AH61/50</f>
        <v>0</v>
      </c>
      <c r="AI60" s="27">
        <f>rebio23_80ml!AI61/50</f>
        <v>0</v>
      </c>
      <c r="AJ60" s="27">
        <f>rebio23_80ml!AJ61/50</f>
        <v>0.08</v>
      </c>
      <c r="AK60" s="27">
        <f>rebio23_80ml!AK61/50</f>
        <v>0</v>
      </c>
      <c r="AL60" s="27">
        <f>rebio23_80ml!AL61/50</f>
        <v>0.48</v>
      </c>
      <c r="AM60" s="27">
        <f>rebio23_80ml!AM61/50</f>
        <v>0.06</v>
      </c>
      <c r="AN60" s="27">
        <f>rebio23_80ml!AN61/50</f>
        <v>0</v>
      </c>
      <c r="AO60" s="27">
        <f>rebio23_80ml!AO61/50</f>
        <v>0.02</v>
      </c>
      <c r="AP60" s="27">
        <f>rebio23_80ml!AP61/50</f>
        <v>0.08</v>
      </c>
      <c r="AQ60" s="27">
        <f>rebio23_80ml!AQ61/50</f>
        <v>0</v>
      </c>
      <c r="AR60" s="27">
        <f>rebio23_80ml!AR61/50</f>
        <v>0.06</v>
      </c>
      <c r="AS60" s="27">
        <f>rebio23_80ml!AS61/50</f>
        <v>0</v>
      </c>
      <c r="AT60" s="27">
        <f>rebio23_80ml!AT61/50</f>
        <v>0</v>
      </c>
      <c r="AU60" s="27">
        <f>rebio23_80ml!AU61/50</f>
        <v>0</v>
      </c>
      <c r="AV60" s="27">
        <f>rebio23_80ml!AV61/50</f>
        <v>4.3600000000000003</v>
      </c>
      <c r="AW60" s="27">
        <f>rebio23_80ml!AW61/50</f>
        <v>0</v>
      </c>
      <c r="AX60" s="27">
        <f>rebio23_80ml!AX61/50</f>
        <v>0.04</v>
      </c>
      <c r="AY60" s="27">
        <f>rebio23_80ml!AY61/50</f>
        <v>0</v>
      </c>
      <c r="AZ60" s="27">
        <f>rebio23_80ml!AZ61/50</f>
        <v>0</v>
      </c>
      <c r="BA60" s="27">
        <f>rebio23_80ml!BA61/50</f>
        <v>0</v>
      </c>
      <c r="BB60" s="27">
        <f>rebio23_80ml!BB61/50</f>
        <v>0</v>
      </c>
      <c r="BC60" s="27">
        <f>rebio23_80ml!BC61/50</f>
        <v>0</v>
      </c>
      <c r="BD60" s="27">
        <f>rebio23_80ml!BD61/50</f>
        <v>0</v>
      </c>
      <c r="BE60" s="27">
        <f>rebio23_80ml!BE61/50</f>
        <v>0</v>
      </c>
      <c r="BF60" s="27">
        <f>rebio23_80ml!BF61/50</f>
        <v>0</v>
      </c>
      <c r="BG60" s="27">
        <f>rebio23_80ml!BG61/50</f>
        <v>0</v>
      </c>
    </row>
    <row r="61" spans="1:59" ht="12.75" customHeight="1" x14ac:dyDescent="0.25">
      <c r="A61" s="15" t="str">
        <f>rebio23_80ml!A62</f>
        <v>C-B-P08-H3</v>
      </c>
      <c r="B61" s="27">
        <f>rebio23_80ml!B62/50</f>
        <v>0.02</v>
      </c>
      <c r="C61" s="27">
        <f>rebio23_80ml!C62/50</f>
        <v>0</v>
      </c>
      <c r="D61" s="27">
        <f>rebio23_80ml!D62/50</f>
        <v>0</v>
      </c>
      <c r="E61" s="27">
        <f>rebio23_80ml!E62/50</f>
        <v>2.52</v>
      </c>
      <c r="F61" s="27">
        <f>rebio23_80ml!F64/50</f>
        <v>0</v>
      </c>
      <c r="G61" s="27">
        <f>rebio23_80ml!G62/50</f>
        <v>0</v>
      </c>
      <c r="H61" s="27">
        <f>rebio23_80ml!H62/50</f>
        <v>0</v>
      </c>
      <c r="I61" s="27">
        <f>rebio23_80ml!I62/50</f>
        <v>0.1</v>
      </c>
      <c r="J61" s="27">
        <f>rebio23_80ml!J62/50</f>
        <v>0</v>
      </c>
      <c r="K61" s="27">
        <f>rebio23_80ml!K62/50</f>
        <v>0</v>
      </c>
      <c r="L61" s="27">
        <f>rebio23_80ml!L62/50</f>
        <v>0.02</v>
      </c>
      <c r="M61" s="27">
        <f>rebio23_80ml!M62/50</f>
        <v>0</v>
      </c>
      <c r="N61" s="27">
        <f>rebio23_80ml!N62/50</f>
        <v>0</v>
      </c>
      <c r="O61" s="27">
        <f>rebio23_80ml!O62/50</f>
        <v>0</v>
      </c>
      <c r="P61" s="27">
        <f>rebio23_80ml!P62/50</f>
        <v>0</v>
      </c>
      <c r="Q61" s="27">
        <f>rebio23_80ml!Q62/50</f>
        <v>0.02</v>
      </c>
      <c r="R61" s="27">
        <f>rebio23_80ml!R62/50</f>
        <v>0</v>
      </c>
      <c r="S61" s="27">
        <f>rebio23_80ml!S62/50</f>
        <v>0</v>
      </c>
      <c r="T61" s="27">
        <f>rebio23_80ml!T62/50</f>
        <v>0.04</v>
      </c>
      <c r="U61" s="27">
        <f>rebio23_80ml!U62/50</f>
        <v>0</v>
      </c>
      <c r="V61" s="27">
        <f>rebio23_80ml!V62/50</f>
        <v>0</v>
      </c>
      <c r="W61" s="27">
        <f>rebio23_80ml!W62/50</f>
        <v>0</v>
      </c>
      <c r="X61" s="27">
        <f>rebio23_80ml!X62/50</f>
        <v>0</v>
      </c>
      <c r="Y61" s="27">
        <f>rebio23_80ml!Y62/50</f>
        <v>0.04</v>
      </c>
      <c r="Z61" s="27">
        <f>rebio23_80ml!Z62/50</f>
        <v>0</v>
      </c>
      <c r="AA61" s="27">
        <f>rebio23_80ml!AA62/50</f>
        <v>0</v>
      </c>
      <c r="AB61" s="27">
        <f>rebio23_80ml!AB62/50</f>
        <v>0</v>
      </c>
      <c r="AC61" s="27">
        <f>rebio23_80ml!AC62/50</f>
        <v>0</v>
      </c>
      <c r="AD61" s="27">
        <f>rebio23_80ml!AD62/50</f>
        <v>0</v>
      </c>
      <c r="AE61" s="27">
        <f>rebio23_80ml!AE62/50</f>
        <v>0</v>
      </c>
      <c r="AF61" s="27">
        <f>rebio23_80ml!AF62/50</f>
        <v>0</v>
      </c>
      <c r="AG61" s="27">
        <f>rebio23_80ml!AG62/50</f>
        <v>0</v>
      </c>
      <c r="AH61" s="27">
        <f>rebio23_80ml!AH62/50</f>
        <v>0</v>
      </c>
      <c r="AI61" s="27">
        <f>rebio23_80ml!AI62/50</f>
        <v>0</v>
      </c>
      <c r="AJ61" s="27">
        <f>rebio23_80ml!AJ62/50</f>
        <v>0</v>
      </c>
      <c r="AK61" s="27">
        <f>rebio23_80ml!AK62/50</f>
        <v>0</v>
      </c>
      <c r="AL61" s="27">
        <f>rebio23_80ml!AL62/50</f>
        <v>0.02</v>
      </c>
      <c r="AM61" s="27">
        <f>rebio23_80ml!AM62/50</f>
        <v>0</v>
      </c>
      <c r="AN61" s="27">
        <f>rebio23_80ml!AN62/50</f>
        <v>0</v>
      </c>
      <c r="AO61" s="27">
        <f>rebio23_80ml!AO62/50</f>
        <v>0</v>
      </c>
      <c r="AP61" s="27">
        <f>rebio23_80ml!AP62/50</f>
        <v>0</v>
      </c>
      <c r="AQ61" s="27">
        <f>rebio23_80ml!AQ62/50</f>
        <v>0</v>
      </c>
      <c r="AR61" s="27">
        <f>rebio23_80ml!AR62/50</f>
        <v>0</v>
      </c>
      <c r="AS61" s="27">
        <f>rebio23_80ml!AS62/50</f>
        <v>0</v>
      </c>
      <c r="AT61" s="27">
        <f>rebio23_80ml!AT62/50</f>
        <v>0</v>
      </c>
      <c r="AU61" s="27">
        <f>rebio23_80ml!AU62/50</f>
        <v>0</v>
      </c>
      <c r="AV61" s="27">
        <f>rebio23_80ml!AV62/50</f>
        <v>0.16</v>
      </c>
      <c r="AW61" s="27">
        <f>rebio23_80ml!AW62/50</f>
        <v>0</v>
      </c>
      <c r="AX61" s="27">
        <f>rebio23_80ml!AX62/50</f>
        <v>0</v>
      </c>
      <c r="AY61" s="27">
        <f>rebio23_80ml!AY62/50</f>
        <v>0</v>
      </c>
      <c r="AZ61" s="27">
        <f>rebio23_80ml!AZ62/50</f>
        <v>0</v>
      </c>
      <c r="BA61" s="27">
        <f>rebio23_80ml!BA62/50</f>
        <v>0</v>
      </c>
      <c r="BB61" s="27">
        <f>rebio23_80ml!BB62/50</f>
        <v>0</v>
      </c>
      <c r="BC61" s="27">
        <f>rebio23_80ml!BC62/50</f>
        <v>0</v>
      </c>
      <c r="BD61" s="27">
        <f>rebio23_80ml!BD62/50</f>
        <v>0</v>
      </c>
      <c r="BE61" s="27">
        <f>rebio23_80ml!BE62/50</f>
        <v>0</v>
      </c>
      <c r="BF61" s="27">
        <f>rebio23_80ml!BF62/50</f>
        <v>0</v>
      </c>
      <c r="BG61" s="27">
        <f>rebio23_80ml!BG62/50</f>
        <v>0</v>
      </c>
    </row>
    <row r="62" spans="1:59" ht="12.75" customHeight="1" x14ac:dyDescent="0.25">
      <c r="A62" s="15" t="str">
        <f>rebio23_80ml!A63</f>
        <v>C-B-P09-H1</v>
      </c>
      <c r="B62" s="27">
        <f>rebio23_80ml!B63/50</f>
        <v>0</v>
      </c>
      <c r="C62" s="27">
        <f>rebio23_80ml!C63/50</f>
        <v>0</v>
      </c>
      <c r="D62" s="27">
        <f>rebio23_80ml!D63/50</f>
        <v>0</v>
      </c>
      <c r="E62" s="27">
        <f>rebio23_80ml!E63/50</f>
        <v>1.48</v>
      </c>
      <c r="F62" s="27">
        <f>rebio23_80ml!F65/50</f>
        <v>0</v>
      </c>
      <c r="G62" s="27">
        <f>rebio23_80ml!G63/50</f>
        <v>0</v>
      </c>
      <c r="H62" s="27">
        <f>rebio23_80ml!H63/50</f>
        <v>0</v>
      </c>
      <c r="I62" s="27">
        <f>rebio23_80ml!I63/50</f>
        <v>0</v>
      </c>
      <c r="J62" s="27">
        <f>rebio23_80ml!J63/50</f>
        <v>0</v>
      </c>
      <c r="K62" s="27">
        <f>rebio23_80ml!K63/50</f>
        <v>0</v>
      </c>
      <c r="L62" s="27">
        <f>rebio23_80ml!L63/50</f>
        <v>0</v>
      </c>
      <c r="M62" s="27">
        <f>rebio23_80ml!M63/50</f>
        <v>0</v>
      </c>
      <c r="N62" s="27">
        <f>rebio23_80ml!N63/50</f>
        <v>0</v>
      </c>
      <c r="O62" s="27">
        <f>rebio23_80ml!O63/50</f>
        <v>0</v>
      </c>
      <c r="P62" s="27">
        <f>rebio23_80ml!P63/50</f>
        <v>0</v>
      </c>
      <c r="Q62" s="27">
        <f>rebio23_80ml!Q63/50</f>
        <v>0</v>
      </c>
      <c r="R62" s="27">
        <f>rebio23_80ml!R63/50</f>
        <v>0</v>
      </c>
      <c r="S62" s="27">
        <f>rebio23_80ml!S63/50</f>
        <v>0</v>
      </c>
      <c r="T62" s="27">
        <f>rebio23_80ml!T63/50</f>
        <v>0</v>
      </c>
      <c r="U62" s="27">
        <f>rebio23_80ml!U63/50</f>
        <v>0</v>
      </c>
      <c r="V62" s="27">
        <f>rebio23_80ml!V63/50</f>
        <v>0</v>
      </c>
      <c r="W62" s="27">
        <f>rebio23_80ml!W63/50</f>
        <v>0</v>
      </c>
      <c r="X62" s="27">
        <f>rebio23_80ml!X63/50</f>
        <v>0</v>
      </c>
      <c r="Y62" s="27">
        <f>rebio23_80ml!Y63/50</f>
        <v>0</v>
      </c>
      <c r="Z62" s="27">
        <f>rebio23_80ml!Z63/50</f>
        <v>0</v>
      </c>
      <c r="AA62" s="27">
        <f>rebio23_80ml!AA63/50</f>
        <v>0</v>
      </c>
      <c r="AB62" s="27">
        <f>rebio23_80ml!AB63/50</f>
        <v>0</v>
      </c>
      <c r="AC62" s="27">
        <f>rebio23_80ml!AC63/50</f>
        <v>0</v>
      </c>
      <c r="AD62" s="27">
        <f>rebio23_80ml!AD63/50</f>
        <v>0</v>
      </c>
      <c r="AE62" s="27">
        <f>rebio23_80ml!AE63/50</f>
        <v>0</v>
      </c>
      <c r="AF62" s="27">
        <f>rebio23_80ml!AF63/50</f>
        <v>0</v>
      </c>
      <c r="AG62" s="27">
        <f>rebio23_80ml!AG63/50</f>
        <v>0</v>
      </c>
      <c r="AH62" s="27">
        <f>rebio23_80ml!AH63/50</f>
        <v>0</v>
      </c>
      <c r="AI62" s="27">
        <f>rebio23_80ml!AI63/50</f>
        <v>0</v>
      </c>
      <c r="AJ62" s="27">
        <f>rebio23_80ml!AJ63/50</f>
        <v>0</v>
      </c>
      <c r="AK62" s="27">
        <f>rebio23_80ml!AK63/50</f>
        <v>0</v>
      </c>
      <c r="AL62" s="27">
        <f>rebio23_80ml!AL63/50</f>
        <v>0</v>
      </c>
      <c r="AM62" s="27">
        <f>rebio23_80ml!AM63/50</f>
        <v>0</v>
      </c>
      <c r="AN62" s="27">
        <f>rebio23_80ml!AN63/50</f>
        <v>0</v>
      </c>
      <c r="AO62" s="27">
        <f>rebio23_80ml!AO63/50</f>
        <v>0</v>
      </c>
      <c r="AP62" s="27">
        <f>rebio23_80ml!AP63/50</f>
        <v>0</v>
      </c>
      <c r="AQ62" s="27">
        <f>rebio23_80ml!AQ63/50</f>
        <v>0</v>
      </c>
      <c r="AR62" s="27">
        <f>rebio23_80ml!AR63/50</f>
        <v>0</v>
      </c>
      <c r="AS62" s="27">
        <f>rebio23_80ml!AS63/50</f>
        <v>0</v>
      </c>
      <c r="AT62" s="27">
        <f>rebio23_80ml!AT63/50</f>
        <v>0</v>
      </c>
      <c r="AU62" s="27">
        <f>rebio23_80ml!AU63/50</f>
        <v>0</v>
      </c>
      <c r="AV62" s="27">
        <f>rebio23_80ml!AV63/50</f>
        <v>0</v>
      </c>
      <c r="AW62" s="27">
        <f>rebio23_80ml!AW63/50</f>
        <v>0</v>
      </c>
      <c r="AX62" s="27">
        <f>rebio23_80ml!AX63/50</f>
        <v>0</v>
      </c>
      <c r="AY62" s="27">
        <f>rebio23_80ml!AY63/50</f>
        <v>0.02</v>
      </c>
      <c r="AZ62" s="27">
        <f>rebio23_80ml!AZ63/50</f>
        <v>0</v>
      </c>
      <c r="BA62" s="27">
        <f>rebio23_80ml!BA63/50</f>
        <v>0</v>
      </c>
      <c r="BB62" s="27">
        <f>rebio23_80ml!BB63/50</f>
        <v>0</v>
      </c>
      <c r="BC62" s="27">
        <f>rebio23_80ml!BC63/50</f>
        <v>0</v>
      </c>
      <c r="BD62" s="27">
        <f>rebio23_80ml!BD63/50</f>
        <v>0.02</v>
      </c>
      <c r="BE62" s="27">
        <f>rebio23_80ml!BE63/50</f>
        <v>0</v>
      </c>
      <c r="BF62" s="27">
        <f>rebio23_80ml!BF63/50</f>
        <v>0</v>
      </c>
      <c r="BG62" s="27">
        <f>rebio23_80ml!BG63/50</f>
        <v>0</v>
      </c>
    </row>
    <row r="63" spans="1:59" ht="12.75" customHeight="1" x14ac:dyDescent="0.25">
      <c r="A63" s="15" t="str">
        <f>rebio23_80ml!A64</f>
        <v>C-B-P09-H2</v>
      </c>
      <c r="B63" s="27">
        <f>rebio23_80ml!B64/50</f>
        <v>0.02</v>
      </c>
      <c r="C63" s="27">
        <f>rebio23_80ml!C64/50</f>
        <v>0</v>
      </c>
      <c r="D63" s="27">
        <f>rebio23_80ml!D64/50</f>
        <v>0</v>
      </c>
      <c r="E63" s="27">
        <f>rebio23_80ml!E64/50</f>
        <v>1.56</v>
      </c>
      <c r="F63" s="27">
        <f>rebio23_80ml!F64/50</f>
        <v>0</v>
      </c>
      <c r="G63" s="27">
        <f>rebio23_80ml!G64/50</f>
        <v>0</v>
      </c>
      <c r="H63" s="27">
        <f>rebio23_80ml!H64/50</f>
        <v>0</v>
      </c>
      <c r="I63" s="27">
        <f>rebio23_80ml!I64/50</f>
        <v>0</v>
      </c>
      <c r="J63" s="27">
        <f>rebio23_80ml!J64/50</f>
        <v>0</v>
      </c>
      <c r="K63" s="27">
        <f>rebio23_80ml!K64/50</f>
        <v>0</v>
      </c>
      <c r="L63" s="27">
        <f>rebio23_80ml!L64/50</f>
        <v>0</v>
      </c>
      <c r="M63" s="27">
        <f>rebio23_80ml!M64/50</f>
        <v>0</v>
      </c>
      <c r="N63" s="27">
        <f>rebio23_80ml!N64/50</f>
        <v>0</v>
      </c>
      <c r="O63" s="27">
        <f>rebio23_80ml!O64/50</f>
        <v>0</v>
      </c>
      <c r="P63" s="27">
        <f>rebio23_80ml!P64/50</f>
        <v>0</v>
      </c>
      <c r="Q63" s="27">
        <f>rebio23_80ml!Q64/50</f>
        <v>0</v>
      </c>
      <c r="R63" s="27">
        <f>rebio23_80ml!R64/50</f>
        <v>0</v>
      </c>
      <c r="S63" s="27">
        <f>rebio23_80ml!S64/50</f>
        <v>0.04</v>
      </c>
      <c r="T63" s="27">
        <f>rebio23_80ml!T64/50</f>
        <v>0</v>
      </c>
      <c r="U63" s="27">
        <f>rebio23_80ml!U64/50</f>
        <v>0</v>
      </c>
      <c r="V63" s="27">
        <f>rebio23_80ml!V64/50</f>
        <v>0</v>
      </c>
      <c r="W63" s="27">
        <f>rebio23_80ml!W64/50</f>
        <v>0</v>
      </c>
      <c r="X63" s="27">
        <f>rebio23_80ml!X64/50</f>
        <v>0</v>
      </c>
      <c r="Y63" s="27">
        <f>rebio23_80ml!Y64/50</f>
        <v>0.02</v>
      </c>
      <c r="Z63" s="27">
        <f>rebio23_80ml!Z64/50</f>
        <v>0</v>
      </c>
      <c r="AA63" s="27">
        <f>rebio23_80ml!AA64/50</f>
        <v>0</v>
      </c>
      <c r="AB63" s="27">
        <f>rebio23_80ml!AB64/50</f>
        <v>0</v>
      </c>
      <c r="AC63" s="27">
        <f>rebio23_80ml!AC64/50</f>
        <v>0</v>
      </c>
      <c r="AD63" s="27">
        <f>rebio23_80ml!AD64/50</f>
        <v>0</v>
      </c>
      <c r="AE63" s="27">
        <f>rebio23_80ml!AE64/50</f>
        <v>0</v>
      </c>
      <c r="AF63" s="27">
        <f>rebio23_80ml!AF64/50</f>
        <v>0</v>
      </c>
      <c r="AG63" s="27">
        <f>rebio23_80ml!AG64/50</f>
        <v>0</v>
      </c>
      <c r="AH63" s="27">
        <f>rebio23_80ml!AH64/50</f>
        <v>0</v>
      </c>
      <c r="AI63" s="27">
        <f>rebio23_80ml!AI64/50</f>
        <v>0</v>
      </c>
      <c r="AJ63" s="27">
        <f>rebio23_80ml!AJ64/50</f>
        <v>0</v>
      </c>
      <c r="AK63" s="27">
        <f>rebio23_80ml!AK64/50</f>
        <v>0</v>
      </c>
      <c r="AL63" s="27">
        <f>rebio23_80ml!AL64/50</f>
        <v>0</v>
      </c>
      <c r="AM63" s="27">
        <f>rebio23_80ml!AM64/50</f>
        <v>0</v>
      </c>
      <c r="AN63" s="27">
        <f>rebio23_80ml!AN64/50</f>
        <v>0</v>
      </c>
      <c r="AO63" s="27">
        <f>rebio23_80ml!AO64/50</f>
        <v>0</v>
      </c>
      <c r="AP63" s="27">
        <f>rebio23_80ml!AP64/50</f>
        <v>0</v>
      </c>
      <c r="AQ63" s="27">
        <f>rebio23_80ml!AQ64/50</f>
        <v>0</v>
      </c>
      <c r="AR63" s="27">
        <f>rebio23_80ml!AR64/50</f>
        <v>0</v>
      </c>
      <c r="AS63" s="27">
        <f>rebio23_80ml!AS64/50</f>
        <v>0</v>
      </c>
      <c r="AT63" s="27">
        <f>rebio23_80ml!AT64/50</f>
        <v>0</v>
      </c>
      <c r="AU63" s="27">
        <f>rebio23_80ml!AU64/50</f>
        <v>0</v>
      </c>
      <c r="AV63" s="27">
        <f>rebio23_80ml!AV64/50</f>
        <v>0</v>
      </c>
      <c r="AW63" s="27">
        <f>rebio23_80ml!AW64/50</f>
        <v>0</v>
      </c>
      <c r="AX63" s="27">
        <f>rebio23_80ml!AX64/50</f>
        <v>0</v>
      </c>
      <c r="AY63" s="27">
        <f>rebio23_80ml!AY64/50</f>
        <v>0.02</v>
      </c>
      <c r="AZ63" s="27">
        <f>rebio23_80ml!AZ64/50</f>
        <v>0</v>
      </c>
      <c r="BA63" s="27">
        <f>rebio23_80ml!BA64/50</f>
        <v>0</v>
      </c>
      <c r="BB63" s="27">
        <f>rebio23_80ml!BB64/50</f>
        <v>0</v>
      </c>
      <c r="BC63" s="27">
        <f>rebio23_80ml!BC64/50</f>
        <v>0</v>
      </c>
      <c r="BD63" s="27">
        <f>rebio23_80ml!BD64/50</f>
        <v>0</v>
      </c>
      <c r="BE63" s="27">
        <f>rebio23_80ml!BE64/50</f>
        <v>0</v>
      </c>
      <c r="BF63" s="27">
        <f>rebio23_80ml!BF64/50</f>
        <v>0</v>
      </c>
      <c r="BG63" s="27">
        <f>rebio23_80ml!BG64/50</f>
        <v>0</v>
      </c>
    </row>
    <row r="64" spans="1:59" ht="12.75" customHeight="1" x14ac:dyDescent="0.25">
      <c r="A64" s="15" t="str">
        <f>rebio23_80ml!A65</f>
        <v>C-B-P09-H3</v>
      </c>
      <c r="B64" s="27">
        <f>rebio23_80ml!B65/50</f>
        <v>0.02</v>
      </c>
      <c r="C64" s="27">
        <f>rebio23_80ml!C65/50</f>
        <v>0.04</v>
      </c>
      <c r="D64" s="27">
        <f>rebio23_80ml!D65/50</f>
        <v>0</v>
      </c>
      <c r="E64" s="27">
        <f>rebio23_80ml!E65/50</f>
        <v>2.98</v>
      </c>
      <c r="F64" s="27">
        <f>rebio23_80ml!F65/50</f>
        <v>0</v>
      </c>
      <c r="G64" s="27">
        <f>rebio23_80ml!G65/50</f>
        <v>0</v>
      </c>
      <c r="H64" s="27">
        <f>rebio23_80ml!H65/50</f>
        <v>0</v>
      </c>
      <c r="I64" s="27">
        <f>rebio23_80ml!I65/50</f>
        <v>0</v>
      </c>
      <c r="J64" s="27">
        <f>rebio23_80ml!J65/50</f>
        <v>0</v>
      </c>
      <c r="K64" s="27">
        <f>rebio23_80ml!K65/50</f>
        <v>0</v>
      </c>
      <c r="L64" s="27">
        <f>rebio23_80ml!L65/50</f>
        <v>0</v>
      </c>
      <c r="M64" s="27">
        <f>rebio23_80ml!M65/50</f>
        <v>0</v>
      </c>
      <c r="N64" s="27">
        <f>rebio23_80ml!N65/50</f>
        <v>0</v>
      </c>
      <c r="O64" s="27">
        <f>rebio23_80ml!O65/50</f>
        <v>0</v>
      </c>
      <c r="P64" s="27">
        <f>rebio23_80ml!P65/50</f>
        <v>0</v>
      </c>
      <c r="Q64" s="27">
        <f>rebio23_80ml!Q65/50</f>
        <v>0</v>
      </c>
      <c r="R64" s="27">
        <f>rebio23_80ml!R65/50</f>
        <v>0</v>
      </c>
      <c r="S64" s="27">
        <f>rebio23_80ml!S65/50</f>
        <v>0</v>
      </c>
      <c r="T64" s="27">
        <f>rebio23_80ml!T65/50</f>
        <v>0</v>
      </c>
      <c r="U64" s="27">
        <f>rebio23_80ml!U65/50</f>
        <v>0</v>
      </c>
      <c r="V64" s="27">
        <f>rebio23_80ml!V65/50</f>
        <v>0</v>
      </c>
      <c r="W64" s="27">
        <f>rebio23_80ml!W65/50</f>
        <v>0</v>
      </c>
      <c r="X64" s="27">
        <f>rebio23_80ml!X65/50</f>
        <v>0</v>
      </c>
      <c r="Y64" s="27">
        <f>rebio23_80ml!Y65/50</f>
        <v>0</v>
      </c>
      <c r="Z64" s="27">
        <f>rebio23_80ml!Z65/50</f>
        <v>0</v>
      </c>
      <c r="AA64" s="27">
        <f>rebio23_80ml!AA65/50</f>
        <v>0</v>
      </c>
      <c r="AB64" s="27">
        <f>rebio23_80ml!AB65/50</f>
        <v>0</v>
      </c>
      <c r="AC64" s="27">
        <f>rebio23_80ml!AC65/50</f>
        <v>0</v>
      </c>
      <c r="AD64" s="27">
        <f>rebio23_80ml!AD65/50</f>
        <v>0</v>
      </c>
      <c r="AE64" s="27">
        <f>rebio23_80ml!AE65/50</f>
        <v>0</v>
      </c>
      <c r="AF64" s="27">
        <f>rebio23_80ml!AF65/50</f>
        <v>0</v>
      </c>
      <c r="AG64" s="27">
        <f>rebio23_80ml!AG65/50</f>
        <v>0</v>
      </c>
      <c r="AH64" s="27">
        <f>rebio23_80ml!AH65/50</f>
        <v>0</v>
      </c>
      <c r="AI64" s="27">
        <f>rebio23_80ml!AI65/50</f>
        <v>0</v>
      </c>
      <c r="AJ64" s="27">
        <f>rebio23_80ml!AJ65/50</f>
        <v>0</v>
      </c>
      <c r="AK64" s="27">
        <f>rebio23_80ml!AK65/50</f>
        <v>0</v>
      </c>
      <c r="AL64" s="27">
        <f>rebio23_80ml!AL65/50</f>
        <v>0</v>
      </c>
      <c r="AM64" s="27">
        <f>rebio23_80ml!AM65/50</f>
        <v>0</v>
      </c>
      <c r="AN64" s="27">
        <f>rebio23_80ml!AN65/50</f>
        <v>0</v>
      </c>
      <c r="AO64" s="27">
        <f>rebio23_80ml!AO65/50</f>
        <v>0</v>
      </c>
      <c r="AP64" s="27">
        <f>rebio23_80ml!AP65/50</f>
        <v>0</v>
      </c>
      <c r="AQ64" s="27">
        <f>rebio23_80ml!AQ65/50</f>
        <v>0</v>
      </c>
      <c r="AR64" s="27">
        <f>rebio23_80ml!AR65/50</f>
        <v>0</v>
      </c>
      <c r="AS64" s="27">
        <f>rebio23_80ml!AS65/50</f>
        <v>0</v>
      </c>
      <c r="AT64" s="27">
        <f>rebio23_80ml!AT65/50</f>
        <v>0</v>
      </c>
      <c r="AU64" s="27">
        <f>rebio23_80ml!AU65/50</f>
        <v>0</v>
      </c>
      <c r="AV64" s="27">
        <f>rebio23_80ml!AV65/50</f>
        <v>0.1</v>
      </c>
      <c r="AW64" s="27">
        <f>rebio23_80ml!AW65/50</f>
        <v>0</v>
      </c>
      <c r="AX64" s="27">
        <f>rebio23_80ml!AX65/50</f>
        <v>0</v>
      </c>
      <c r="AY64" s="27">
        <f>rebio23_80ml!AY65/50</f>
        <v>0.02</v>
      </c>
      <c r="AZ64" s="27">
        <f>rebio23_80ml!AZ65/50</f>
        <v>0</v>
      </c>
      <c r="BA64" s="27">
        <f>rebio23_80ml!BA65/50</f>
        <v>0</v>
      </c>
      <c r="BB64" s="27">
        <f>rebio23_80ml!BB65/50</f>
        <v>0</v>
      </c>
      <c r="BC64" s="27">
        <f>rebio23_80ml!BC65/50</f>
        <v>0</v>
      </c>
      <c r="BD64" s="27">
        <f>rebio23_80ml!BD65/50</f>
        <v>0</v>
      </c>
      <c r="BE64" s="27">
        <f>rebio23_80ml!BE65/50</f>
        <v>0</v>
      </c>
      <c r="BF64" s="27">
        <f>rebio23_80ml!BF65/50</f>
        <v>0</v>
      </c>
      <c r="BG64" s="27">
        <f>rebio23_80ml!BG65/50</f>
        <v>0</v>
      </c>
    </row>
    <row r="65" spans="1:59" ht="12.75" customHeight="1" x14ac:dyDescent="0.25">
      <c r="A65" s="15" t="str">
        <f>rebio23_80ml!A66</f>
        <v>C-B-P10-H1</v>
      </c>
      <c r="B65" s="27">
        <f>rebio23_80ml!B66/50</f>
        <v>0.14000000000000001</v>
      </c>
      <c r="C65" s="27">
        <f>rebio23_80ml!C66/50</f>
        <v>0</v>
      </c>
      <c r="D65" s="27">
        <f>rebio23_80ml!D66/50</f>
        <v>0</v>
      </c>
      <c r="E65" s="27">
        <f>rebio23_80ml!E66/50</f>
        <v>2.1</v>
      </c>
      <c r="F65" s="27">
        <f>rebio23_80ml!F66/50</f>
        <v>0</v>
      </c>
      <c r="G65" s="27">
        <f>rebio23_80ml!G66/50</f>
        <v>0</v>
      </c>
      <c r="H65" s="27">
        <f>rebio23_80ml!H66/50</f>
        <v>0</v>
      </c>
      <c r="I65" s="27">
        <f>rebio23_80ml!I66/50</f>
        <v>0.04</v>
      </c>
      <c r="J65" s="27">
        <f>rebio23_80ml!J66/50</f>
        <v>0.02</v>
      </c>
      <c r="K65" s="27">
        <f>rebio23_80ml!K66/50</f>
        <v>0</v>
      </c>
      <c r="L65" s="27">
        <f>rebio23_80ml!L66/50</f>
        <v>0</v>
      </c>
      <c r="M65" s="27">
        <f>rebio23_80ml!M66/50</f>
        <v>0</v>
      </c>
      <c r="N65" s="27">
        <f>rebio23_80ml!N66/50</f>
        <v>0</v>
      </c>
      <c r="O65" s="27">
        <f>rebio23_80ml!O66/50</f>
        <v>0</v>
      </c>
      <c r="P65" s="27">
        <f>rebio23_80ml!P66/50</f>
        <v>0</v>
      </c>
      <c r="Q65" s="27">
        <f>rebio23_80ml!Q66/50</f>
        <v>0</v>
      </c>
      <c r="R65" s="27">
        <f>rebio23_80ml!R66/50</f>
        <v>0</v>
      </c>
      <c r="S65" s="27">
        <f>rebio23_80ml!S66/50</f>
        <v>0</v>
      </c>
      <c r="T65" s="27">
        <f>rebio23_80ml!T66/50</f>
        <v>0</v>
      </c>
      <c r="U65" s="27">
        <f>rebio23_80ml!U66/50</f>
        <v>0</v>
      </c>
      <c r="V65" s="27">
        <f>rebio23_80ml!V66/50</f>
        <v>0.02</v>
      </c>
      <c r="W65" s="27">
        <f>rebio23_80ml!W66/50</f>
        <v>0</v>
      </c>
      <c r="X65" s="27">
        <f>rebio23_80ml!X66/50</f>
        <v>0</v>
      </c>
      <c r="Y65" s="27">
        <f>rebio23_80ml!Y66/50</f>
        <v>0</v>
      </c>
      <c r="Z65" s="27">
        <f>rebio23_80ml!Z66/50</f>
        <v>0.02</v>
      </c>
      <c r="AA65" s="27">
        <f>rebio23_80ml!AA66/50</f>
        <v>0</v>
      </c>
      <c r="AB65" s="27">
        <f>rebio23_80ml!AB66/50</f>
        <v>0</v>
      </c>
      <c r="AC65" s="27">
        <f>rebio23_80ml!AC66/50</f>
        <v>0</v>
      </c>
      <c r="AD65" s="27">
        <f>rebio23_80ml!AD66/50</f>
        <v>0</v>
      </c>
      <c r="AE65" s="27">
        <f>rebio23_80ml!AE66/50</f>
        <v>0</v>
      </c>
      <c r="AF65" s="27">
        <f>rebio23_80ml!AF66/50</f>
        <v>0</v>
      </c>
      <c r="AG65" s="27">
        <f>rebio23_80ml!AG66/50</f>
        <v>0</v>
      </c>
      <c r="AH65" s="27">
        <f>rebio23_80ml!AH66/50</f>
        <v>0</v>
      </c>
      <c r="AI65" s="27">
        <f>rebio23_80ml!AI66/50</f>
        <v>0</v>
      </c>
      <c r="AJ65" s="27">
        <f>rebio23_80ml!AJ66/50</f>
        <v>0</v>
      </c>
      <c r="AK65" s="27">
        <f>rebio23_80ml!AK66/50</f>
        <v>0</v>
      </c>
      <c r="AL65" s="27">
        <f>rebio23_80ml!AL66/50</f>
        <v>0</v>
      </c>
      <c r="AM65" s="27">
        <f>rebio23_80ml!AM66/50</f>
        <v>0</v>
      </c>
      <c r="AN65" s="27">
        <f>rebio23_80ml!AN66/50</f>
        <v>0</v>
      </c>
      <c r="AO65" s="27">
        <f>rebio23_80ml!AO66/50</f>
        <v>0</v>
      </c>
      <c r="AP65" s="27">
        <f>rebio23_80ml!AP66/50</f>
        <v>0</v>
      </c>
      <c r="AQ65" s="27">
        <f>rebio23_80ml!AQ66/50</f>
        <v>0</v>
      </c>
      <c r="AR65" s="27">
        <f>rebio23_80ml!AR66/50</f>
        <v>0</v>
      </c>
      <c r="AS65" s="27">
        <f>rebio23_80ml!AS66/50</f>
        <v>0</v>
      </c>
      <c r="AT65" s="27">
        <f>rebio23_80ml!AT66/50</f>
        <v>0</v>
      </c>
      <c r="AU65" s="27">
        <f>rebio23_80ml!AU66/50</f>
        <v>0</v>
      </c>
      <c r="AV65" s="27">
        <f>rebio23_80ml!AV66/50</f>
        <v>0</v>
      </c>
      <c r="AW65" s="27">
        <f>rebio23_80ml!AW66/50</f>
        <v>0</v>
      </c>
      <c r="AX65" s="27">
        <f>rebio23_80ml!AX66/50</f>
        <v>0</v>
      </c>
      <c r="AY65" s="27">
        <f>rebio23_80ml!AY66/50</f>
        <v>0.18</v>
      </c>
      <c r="AZ65" s="27">
        <f>rebio23_80ml!AZ66/50</f>
        <v>0</v>
      </c>
      <c r="BA65" s="27">
        <f>rebio23_80ml!BA66/50</f>
        <v>0</v>
      </c>
      <c r="BB65" s="27">
        <f>rebio23_80ml!BB66/50</f>
        <v>0</v>
      </c>
      <c r="BC65" s="27">
        <f>rebio23_80ml!BC66/50</f>
        <v>0</v>
      </c>
      <c r="BD65" s="27">
        <f>rebio23_80ml!BD66/50</f>
        <v>0</v>
      </c>
      <c r="BE65" s="27">
        <f>rebio23_80ml!BE66/50</f>
        <v>0</v>
      </c>
      <c r="BF65" s="27">
        <f>rebio23_80ml!BF66/50</f>
        <v>0</v>
      </c>
      <c r="BG65" s="27">
        <f>rebio23_80ml!BG66/50</f>
        <v>0</v>
      </c>
    </row>
    <row r="66" spans="1:59" ht="12.75" customHeight="1" x14ac:dyDescent="0.25">
      <c r="A66" s="15" t="str">
        <f>rebio23_80ml!A67</f>
        <v>C-B-P10-H2</v>
      </c>
      <c r="B66" s="27">
        <f>rebio23_80ml!B67/50</f>
        <v>0.22</v>
      </c>
      <c r="C66" s="27">
        <f>rebio23_80ml!C67/50</f>
        <v>0.02</v>
      </c>
      <c r="D66" s="27">
        <f>rebio23_80ml!D67/50</f>
        <v>0.04</v>
      </c>
      <c r="E66" s="27">
        <f>rebio23_80ml!E67/50</f>
        <v>2.3199999999999998</v>
      </c>
      <c r="F66" s="27">
        <f>rebio23_80ml!F67/50</f>
        <v>0</v>
      </c>
      <c r="G66" s="27">
        <f>rebio23_80ml!G67/50</f>
        <v>0.02</v>
      </c>
      <c r="H66" s="27">
        <f>rebio23_80ml!H67/50</f>
        <v>0</v>
      </c>
      <c r="I66" s="27">
        <f>rebio23_80ml!I67/50</f>
        <v>0.16</v>
      </c>
      <c r="J66" s="27">
        <f>rebio23_80ml!J67/50</f>
        <v>0.2</v>
      </c>
      <c r="K66" s="27">
        <f>rebio23_80ml!K67/50</f>
        <v>0</v>
      </c>
      <c r="L66" s="27">
        <f>rebio23_80ml!L67/50</f>
        <v>0</v>
      </c>
      <c r="M66" s="27">
        <f>rebio23_80ml!M67/50</f>
        <v>0</v>
      </c>
      <c r="N66" s="27">
        <f>rebio23_80ml!N67/50</f>
        <v>0</v>
      </c>
      <c r="O66" s="27">
        <f>rebio23_80ml!O67/50</f>
        <v>0</v>
      </c>
      <c r="P66" s="27">
        <f>rebio23_80ml!P67/50</f>
        <v>0</v>
      </c>
      <c r="Q66" s="27">
        <f>rebio23_80ml!Q67/50</f>
        <v>0.1</v>
      </c>
      <c r="R66" s="27">
        <f>rebio23_80ml!R67/50</f>
        <v>0</v>
      </c>
      <c r="S66" s="27">
        <f>rebio23_80ml!S67/50</f>
        <v>0</v>
      </c>
      <c r="T66" s="27">
        <f>rebio23_80ml!T67/50</f>
        <v>0</v>
      </c>
      <c r="U66" s="27">
        <f>rebio23_80ml!U67/50</f>
        <v>0.02</v>
      </c>
      <c r="V66" s="27">
        <f>rebio23_80ml!V67/50</f>
        <v>0.06</v>
      </c>
      <c r="W66" s="27">
        <f>rebio23_80ml!W67/50</f>
        <v>0</v>
      </c>
      <c r="X66" s="27">
        <f>rebio23_80ml!X67/50</f>
        <v>0</v>
      </c>
      <c r="Y66" s="27">
        <f>rebio23_80ml!Y67/50</f>
        <v>0</v>
      </c>
      <c r="Z66" s="27">
        <f>rebio23_80ml!Z67/50</f>
        <v>0</v>
      </c>
      <c r="AA66" s="27">
        <f>rebio23_80ml!AA67/50</f>
        <v>0</v>
      </c>
      <c r="AB66" s="27">
        <f>rebio23_80ml!AB67/50</f>
        <v>0</v>
      </c>
      <c r="AC66" s="27">
        <f>rebio23_80ml!AC67/50</f>
        <v>0</v>
      </c>
      <c r="AD66" s="27">
        <f>rebio23_80ml!AD67/50</f>
        <v>0</v>
      </c>
      <c r="AE66" s="27">
        <f>rebio23_80ml!AE67/50</f>
        <v>0</v>
      </c>
      <c r="AF66" s="27">
        <f>rebio23_80ml!AF67/50</f>
        <v>0</v>
      </c>
      <c r="AG66" s="27">
        <f>rebio23_80ml!AG67/50</f>
        <v>0</v>
      </c>
      <c r="AH66" s="27">
        <f>rebio23_80ml!AH67/50</f>
        <v>0</v>
      </c>
      <c r="AI66" s="27">
        <f>rebio23_80ml!AI67/50</f>
        <v>0</v>
      </c>
      <c r="AJ66" s="27">
        <f>rebio23_80ml!AJ67/50</f>
        <v>0</v>
      </c>
      <c r="AK66" s="27">
        <f>rebio23_80ml!AK67/50</f>
        <v>0</v>
      </c>
      <c r="AL66" s="27">
        <f>rebio23_80ml!AL67/50</f>
        <v>0.02</v>
      </c>
      <c r="AM66" s="27">
        <f>rebio23_80ml!AM67/50</f>
        <v>0</v>
      </c>
      <c r="AN66" s="27">
        <f>rebio23_80ml!AN67/50</f>
        <v>0</v>
      </c>
      <c r="AO66" s="27">
        <f>rebio23_80ml!AO67/50</f>
        <v>0</v>
      </c>
      <c r="AP66" s="27">
        <f>rebio23_80ml!AP67/50</f>
        <v>0</v>
      </c>
      <c r="AQ66" s="27">
        <f>rebio23_80ml!AQ67/50</f>
        <v>0</v>
      </c>
      <c r="AR66" s="27">
        <f>rebio23_80ml!AR67/50</f>
        <v>0</v>
      </c>
      <c r="AS66" s="27">
        <f>rebio23_80ml!AS67/50</f>
        <v>0</v>
      </c>
      <c r="AT66" s="27">
        <f>rebio23_80ml!AT67/50</f>
        <v>0</v>
      </c>
      <c r="AU66" s="27">
        <f>rebio23_80ml!AU67/50</f>
        <v>0</v>
      </c>
      <c r="AV66" s="27">
        <f>rebio23_80ml!AV67/50</f>
        <v>0.14000000000000001</v>
      </c>
      <c r="AW66" s="27">
        <f>rebio23_80ml!AW67/50</f>
        <v>0</v>
      </c>
      <c r="AX66" s="27">
        <f>rebio23_80ml!AX67/50</f>
        <v>0</v>
      </c>
      <c r="AY66" s="27">
        <f>rebio23_80ml!AY67/50</f>
        <v>0.7</v>
      </c>
      <c r="AZ66" s="27">
        <f>rebio23_80ml!AZ67/50</f>
        <v>0</v>
      </c>
      <c r="BA66" s="27">
        <f>rebio23_80ml!BA67/50</f>
        <v>0</v>
      </c>
      <c r="BB66" s="27">
        <f>rebio23_80ml!BB67/50</f>
        <v>0</v>
      </c>
      <c r="BC66" s="27">
        <f>rebio23_80ml!BC67/50</f>
        <v>0</v>
      </c>
      <c r="BD66" s="27">
        <f>rebio23_80ml!BD67/50</f>
        <v>0.02</v>
      </c>
      <c r="BE66" s="27">
        <f>rebio23_80ml!BE67/50</f>
        <v>0</v>
      </c>
      <c r="BF66" s="27">
        <f>rebio23_80ml!BF67/50</f>
        <v>0</v>
      </c>
      <c r="BG66" s="27">
        <f>rebio23_80ml!BG67/50</f>
        <v>0</v>
      </c>
    </row>
    <row r="67" spans="1:59" ht="12.75" customHeight="1" x14ac:dyDescent="0.25">
      <c r="A67" s="15" t="str">
        <f>rebio23_80ml!A68</f>
        <v>C-B-P10-H3</v>
      </c>
      <c r="B67" s="27">
        <f>rebio23_80ml!B68/50</f>
        <v>0.72</v>
      </c>
      <c r="C67" s="27">
        <f>rebio23_80ml!C68/50</f>
        <v>0.16</v>
      </c>
      <c r="D67" s="27">
        <f>rebio23_80ml!D68/50</f>
        <v>0.1</v>
      </c>
      <c r="E67" s="27">
        <f>rebio23_80ml!E68/50</f>
        <v>4.4000000000000004</v>
      </c>
      <c r="F67" s="27">
        <f>rebio23_80ml!F68/50</f>
        <v>0.04</v>
      </c>
      <c r="G67" s="27">
        <f>rebio23_80ml!G68/50</f>
        <v>0.14000000000000001</v>
      </c>
      <c r="H67" s="27">
        <f>rebio23_80ml!H68/50</f>
        <v>0</v>
      </c>
      <c r="I67" s="27">
        <f>rebio23_80ml!I68/50</f>
        <v>1.4</v>
      </c>
      <c r="J67" s="27">
        <f>rebio23_80ml!J68/50</f>
        <v>0.26</v>
      </c>
      <c r="K67" s="27">
        <f>rebio23_80ml!K68/50</f>
        <v>0</v>
      </c>
      <c r="L67" s="27">
        <f>rebio23_80ml!L68/50</f>
        <v>0.2</v>
      </c>
      <c r="M67" s="27">
        <f>rebio23_80ml!M68/50</f>
        <v>0</v>
      </c>
      <c r="N67" s="27">
        <f>rebio23_80ml!N68/50</f>
        <v>0</v>
      </c>
      <c r="O67" s="27">
        <f>rebio23_80ml!O68/50</f>
        <v>0</v>
      </c>
      <c r="P67" s="27">
        <f>rebio23_80ml!P68/50</f>
        <v>0</v>
      </c>
      <c r="Q67" s="27">
        <f>rebio23_80ml!Q68/50</f>
        <v>0.2</v>
      </c>
      <c r="R67" s="27">
        <f>rebio23_80ml!R68/50</f>
        <v>0</v>
      </c>
      <c r="S67" s="27">
        <f>rebio23_80ml!S68/50</f>
        <v>0</v>
      </c>
      <c r="T67" s="27">
        <f>rebio23_80ml!T68/50</f>
        <v>0</v>
      </c>
      <c r="U67" s="27">
        <f>rebio23_80ml!U68/50</f>
        <v>0</v>
      </c>
      <c r="V67" s="27">
        <f>rebio23_80ml!V68/50</f>
        <v>0</v>
      </c>
      <c r="W67" s="27">
        <f>rebio23_80ml!W68/50</f>
        <v>0</v>
      </c>
      <c r="X67" s="27">
        <f>rebio23_80ml!X68/50</f>
        <v>0</v>
      </c>
      <c r="Y67" s="27">
        <f>rebio23_80ml!Y68/50</f>
        <v>0.12</v>
      </c>
      <c r="Z67" s="27">
        <f>rebio23_80ml!Z68/50</f>
        <v>0.04</v>
      </c>
      <c r="AA67" s="27">
        <f>rebio23_80ml!AA68/50</f>
        <v>0.04</v>
      </c>
      <c r="AB67" s="27">
        <f>rebio23_80ml!AB68/50</f>
        <v>0</v>
      </c>
      <c r="AC67" s="27">
        <f>rebio23_80ml!AC68/50</f>
        <v>0</v>
      </c>
      <c r="AD67" s="27">
        <f>rebio23_80ml!AD68/50</f>
        <v>0</v>
      </c>
      <c r="AE67" s="27">
        <f>rebio23_80ml!AE68/50</f>
        <v>0</v>
      </c>
      <c r="AF67" s="27">
        <f>rebio23_80ml!AF68/50</f>
        <v>0</v>
      </c>
      <c r="AG67" s="27">
        <f>rebio23_80ml!AG68/50</f>
        <v>0</v>
      </c>
      <c r="AH67" s="27">
        <f>rebio23_80ml!AH68/50</f>
        <v>0</v>
      </c>
      <c r="AI67" s="27">
        <f>rebio23_80ml!AI68/50</f>
        <v>0</v>
      </c>
      <c r="AJ67" s="27">
        <f>rebio23_80ml!AJ68/50</f>
        <v>0</v>
      </c>
      <c r="AK67" s="27">
        <f>rebio23_80ml!AK68/50</f>
        <v>0</v>
      </c>
      <c r="AL67" s="27">
        <f>rebio23_80ml!AL68/50</f>
        <v>0.08</v>
      </c>
      <c r="AM67" s="27">
        <f>rebio23_80ml!AM68/50</f>
        <v>0</v>
      </c>
      <c r="AN67" s="27">
        <f>rebio23_80ml!AN68/50</f>
        <v>0</v>
      </c>
      <c r="AO67" s="27">
        <f>rebio23_80ml!AO68/50</f>
        <v>0</v>
      </c>
      <c r="AP67" s="27">
        <f>rebio23_80ml!AP68/50</f>
        <v>0</v>
      </c>
      <c r="AQ67" s="27">
        <f>rebio23_80ml!AQ68/50</f>
        <v>0</v>
      </c>
      <c r="AR67" s="27">
        <f>rebio23_80ml!AR68/50</f>
        <v>0</v>
      </c>
      <c r="AS67" s="27">
        <f>rebio23_80ml!AS68/50</f>
        <v>0</v>
      </c>
      <c r="AT67" s="27">
        <f>rebio23_80ml!AT68/50</f>
        <v>0</v>
      </c>
      <c r="AU67" s="27">
        <f>rebio23_80ml!AU68/50</f>
        <v>0</v>
      </c>
      <c r="AV67" s="27">
        <f>rebio23_80ml!AV68/50</f>
        <v>2.14</v>
      </c>
      <c r="AW67" s="27">
        <f>rebio23_80ml!AW68/50</f>
        <v>0</v>
      </c>
      <c r="AX67" s="27">
        <f>rebio23_80ml!AX68/50</f>
        <v>0.02</v>
      </c>
      <c r="AY67" s="27">
        <f>rebio23_80ml!AY68/50</f>
        <v>2.58</v>
      </c>
      <c r="AZ67" s="27">
        <f>rebio23_80ml!AZ68/50</f>
        <v>0</v>
      </c>
      <c r="BA67" s="27">
        <f>rebio23_80ml!BA68/50</f>
        <v>0</v>
      </c>
      <c r="BB67" s="27">
        <f>rebio23_80ml!BB68/50</f>
        <v>0</v>
      </c>
      <c r="BC67" s="27">
        <f>rebio23_80ml!BC68/50</f>
        <v>0</v>
      </c>
      <c r="BD67" s="27">
        <f>rebio23_80ml!BD68/50</f>
        <v>0</v>
      </c>
      <c r="BE67" s="27">
        <f>rebio23_80ml!BE68/50</f>
        <v>0</v>
      </c>
      <c r="BF67" s="27">
        <f>rebio23_80ml!BF68/50</f>
        <v>0.02</v>
      </c>
      <c r="BG67" s="27">
        <f>rebio23_80ml!BG68/50</f>
        <v>0</v>
      </c>
    </row>
    <row r="68" spans="1:59" ht="12.75" customHeight="1" x14ac:dyDescent="0.25">
      <c r="A68" s="50" t="str">
        <f>rebio23_80ml!A69</f>
        <v>C-C-P11-H1</v>
      </c>
      <c r="B68" s="51">
        <f>rebio23_80ml!B69/50</f>
        <v>0</v>
      </c>
      <c r="C68" s="51">
        <f>rebio23_80ml!C69/50</f>
        <v>0</v>
      </c>
      <c r="D68" s="51">
        <f>rebio23_80ml!D69/50</f>
        <v>0</v>
      </c>
      <c r="E68" s="51">
        <f>rebio23_80ml!E69/50</f>
        <v>0</v>
      </c>
      <c r="F68" s="51">
        <f>rebio23_80ml!F69/50</f>
        <v>0</v>
      </c>
      <c r="G68" s="51">
        <f>rebio23_80ml!G69/50</f>
        <v>0</v>
      </c>
      <c r="H68" s="51">
        <f>rebio23_80ml!H69/50</f>
        <v>0</v>
      </c>
      <c r="I68" s="51">
        <f>rebio23_80ml!I69/50</f>
        <v>0</v>
      </c>
      <c r="J68" s="51">
        <f>rebio23_80ml!J69/50</f>
        <v>0</v>
      </c>
      <c r="K68" s="51">
        <f>rebio23_80ml!K69/50</f>
        <v>0</v>
      </c>
      <c r="L68" s="51">
        <f>rebio23_80ml!L69/50</f>
        <v>0</v>
      </c>
      <c r="M68" s="51">
        <f>rebio23_80ml!M69/50</f>
        <v>0</v>
      </c>
      <c r="N68" s="51">
        <f>rebio23_80ml!N69/50</f>
        <v>0</v>
      </c>
      <c r="O68" s="51">
        <f>rebio23_80ml!O69/50</f>
        <v>0</v>
      </c>
      <c r="P68" s="51">
        <f>rebio23_80ml!P69/50</f>
        <v>0</v>
      </c>
      <c r="Q68" s="51">
        <f>rebio23_80ml!Q69/50</f>
        <v>0</v>
      </c>
      <c r="R68" s="51">
        <f>rebio23_80ml!R69/50</f>
        <v>0</v>
      </c>
      <c r="S68" s="51">
        <f>rebio23_80ml!S69/50</f>
        <v>0</v>
      </c>
      <c r="T68" s="51">
        <f>rebio23_80ml!T69/50</f>
        <v>0</v>
      </c>
      <c r="U68" s="51">
        <f>rebio23_80ml!U69/50</f>
        <v>0</v>
      </c>
      <c r="V68" s="51">
        <f>rebio23_80ml!V69/50</f>
        <v>0</v>
      </c>
      <c r="W68" s="51">
        <f>rebio23_80ml!W69/50</f>
        <v>0</v>
      </c>
      <c r="X68" s="51">
        <f>rebio23_80ml!X69/50</f>
        <v>0</v>
      </c>
      <c r="Y68" s="51">
        <f>rebio23_80ml!Y69/50</f>
        <v>0</v>
      </c>
      <c r="Z68" s="51">
        <f>rebio23_80ml!Z69/50</f>
        <v>0</v>
      </c>
      <c r="AA68" s="51">
        <f>rebio23_80ml!AA69/50</f>
        <v>0</v>
      </c>
      <c r="AB68" s="51">
        <f>rebio23_80ml!AB69/50</f>
        <v>0</v>
      </c>
      <c r="AC68" s="51">
        <f>rebio23_80ml!AC69/50</f>
        <v>0</v>
      </c>
      <c r="AD68" s="51">
        <f>rebio23_80ml!AD69/50</f>
        <v>0</v>
      </c>
      <c r="AE68" s="51">
        <f>rebio23_80ml!AE69/50</f>
        <v>0</v>
      </c>
      <c r="AF68" s="51">
        <f>rebio23_80ml!AF69/50</f>
        <v>0</v>
      </c>
      <c r="AG68" s="51">
        <f>rebio23_80ml!AG69/50</f>
        <v>0</v>
      </c>
      <c r="AH68" s="51">
        <f>rebio23_80ml!AH69/50</f>
        <v>0</v>
      </c>
      <c r="AI68" s="51">
        <f>rebio23_80ml!AI69/50</f>
        <v>0</v>
      </c>
      <c r="AJ68" s="51">
        <f>rebio23_80ml!AJ69/50</f>
        <v>0</v>
      </c>
      <c r="AK68" s="51">
        <f>rebio23_80ml!AK69/50</f>
        <v>0</v>
      </c>
      <c r="AL68" s="51">
        <f>rebio23_80ml!AL69/50</f>
        <v>0</v>
      </c>
      <c r="AM68" s="51">
        <f>rebio23_80ml!AM69/50</f>
        <v>0</v>
      </c>
      <c r="AN68" s="51">
        <f>rebio23_80ml!AN69/50</f>
        <v>0</v>
      </c>
      <c r="AO68" s="51">
        <f>rebio23_80ml!AO69/50</f>
        <v>0</v>
      </c>
      <c r="AP68" s="51">
        <f>rebio23_80ml!AP69/50</f>
        <v>0</v>
      </c>
      <c r="AQ68" s="51">
        <f>rebio23_80ml!AQ69/50</f>
        <v>0</v>
      </c>
      <c r="AR68" s="51">
        <f>rebio23_80ml!AR69/50</f>
        <v>0</v>
      </c>
      <c r="AS68" s="51">
        <f>rebio23_80ml!AS69/50</f>
        <v>0</v>
      </c>
      <c r="AT68" s="51">
        <f>rebio23_80ml!AT69/50</f>
        <v>0</v>
      </c>
      <c r="AU68" s="51">
        <f>rebio23_80ml!AU69/50</f>
        <v>0</v>
      </c>
      <c r="AV68" s="51">
        <f>rebio23_80ml!AV69/50</f>
        <v>0</v>
      </c>
      <c r="AW68" s="51">
        <f>rebio23_80ml!AW69/50</f>
        <v>0</v>
      </c>
      <c r="AX68" s="51">
        <f>rebio23_80ml!AX69/50</f>
        <v>0</v>
      </c>
      <c r="AY68" s="51">
        <f>rebio23_80ml!AY69/50</f>
        <v>0</v>
      </c>
      <c r="AZ68" s="51">
        <f>rebio23_80ml!AZ69/50</f>
        <v>0</v>
      </c>
      <c r="BA68" s="51">
        <f>rebio23_80ml!BA69/50</f>
        <v>0</v>
      </c>
      <c r="BB68" s="51">
        <f>rebio23_80ml!BB69/50</f>
        <v>0</v>
      </c>
      <c r="BC68" s="51">
        <f>rebio23_80ml!BC69/50</f>
        <v>0</v>
      </c>
      <c r="BD68" s="51">
        <f>rebio23_80ml!BD69/50</f>
        <v>0</v>
      </c>
      <c r="BE68" s="51">
        <f>rebio23_80ml!BE69/50</f>
        <v>0</v>
      </c>
      <c r="BF68" s="51">
        <f>rebio23_80ml!BF69/50</f>
        <v>0</v>
      </c>
      <c r="BG68" s="51">
        <f>rebio23_80ml!BG69/50</f>
        <v>0</v>
      </c>
    </row>
    <row r="69" spans="1:59" ht="12.75" customHeight="1" x14ac:dyDescent="0.25">
      <c r="A69" s="50" t="str">
        <f>rebio23_80ml!A70</f>
        <v>C-C-P11-H2</v>
      </c>
      <c r="B69" s="51">
        <f>rebio23_80ml!B70/50</f>
        <v>0</v>
      </c>
      <c r="C69" s="51">
        <f>rebio23_80ml!C70/50</f>
        <v>0</v>
      </c>
      <c r="D69" s="51">
        <f>rebio23_80ml!D70/50</f>
        <v>0</v>
      </c>
      <c r="E69" s="51">
        <f>rebio23_80ml!E70/50</f>
        <v>0</v>
      </c>
      <c r="F69" s="51">
        <f>rebio23_80ml!F70/50</f>
        <v>0</v>
      </c>
      <c r="G69" s="51">
        <f>rebio23_80ml!G70/50</f>
        <v>0</v>
      </c>
      <c r="H69" s="51">
        <f>rebio23_80ml!H70/50</f>
        <v>0</v>
      </c>
      <c r="I69" s="51">
        <f>rebio23_80ml!I70/50</f>
        <v>0</v>
      </c>
      <c r="J69" s="51">
        <f>rebio23_80ml!J70/50</f>
        <v>0</v>
      </c>
      <c r="K69" s="51">
        <f>rebio23_80ml!K70/50</f>
        <v>0</v>
      </c>
      <c r="L69" s="51">
        <f>rebio23_80ml!L70/50</f>
        <v>0</v>
      </c>
      <c r="M69" s="51">
        <f>rebio23_80ml!M70/50</f>
        <v>0</v>
      </c>
      <c r="N69" s="51">
        <f>rebio23_80ml!N70/50</f>
        <v>0</v>
      </c>
      <c r="O69" s="51">
        <f>rebio23_80ml!O70/50</f>
        <v>0</v>
      </c>
      <c r="P69" s="51">
        <f>rebio23_80ml!P70/50</f>
        <v>0</v>
      </c>
      <c r="Q69" s="51">
        <f>rebio23_80ml!Q70/50</f>
        <v>0</v>
      </c>
      <c r="R69" s="51">
        <f>rebio23_80ml!R70/50</f>
        <v>0</v>
      </c>
      <c r="S69" s="51">
        <f>rebio23_80ml!S70/50</f>
        <v>0</v>
      </c>
      <c r="T69" s="51">
        <f>rebio23_80ml!T70/50</f>
        <v>0</v>
      </c>
      <c r="U69" s="51">
        <f>rebio23_80ml!U70/50</f>
        <v>0</v>
      </c>
      <c r="V69" s="51">
        <f>rebio23_80ml!V70/50</f>
        <v>0</v>
      </c>
      <c r="W69" s="51">
        <f>rebio23_80ml!W70/50</f>
        <v>0</v>
      </c>
      <c r="X69" s="51">
        <f>rebio23_80ml!X70/50</f>
        <v>0</v>
      </c>
      <c r="Y69" s="51">
        <f>rebio23_80ml!Y70/50</f>
        <v>0</v>
      </c>
      <c r="Z69" s="51">
        <f>rebio23_80ml!Z70/50</f>
        <v>0</v>
      </c>
      <c r="AA69" s="51">
        <f>rebio23_80ml!AA70/50</f>
        <v>0</v>
      </c>
      <c r="AB69" s="51">
        <f>rebio23_80ml!AB70/50</f>
        <v>0</v>
      </c>
      <c r="AC69" s="51">
        <f>rebio23_80ml!AC70/50</f>
        <v>0</v>
      </c>
      <c r="AD69" s="51">
        <f>rebio23_80ml!AD70/50</f>
        <v>0</v>
      </c>
      <c r="AE69" s="51">
        <f>rebio23_80ml!AE70/50</f>
        <v>0</v>
      </c>
      <c r="AF69" s="51">
        <f>rebio23_80ml!AF70/50</f>
        <v>0</v>
      </c>
      <c r="AG69" s="51">
        <f>rebio23_80ml!AG70/50</f>
        <v>0</v>
      </c>
      <c r="AH69" s="51">
        <f>rebio23_80ml!AH70/50</f>
        <v>0</v>
      </c>
      <c r="AI69" s="51">
        <f>rebio23_80ml!AI70/50</f>
        <v>0</v>
      </c>
      <c r="AJ69" s="51">
        <f>rebio23_80ml!AJ70/50</f>
        <v>0</v>
      </c>
      <c r="AK69" s="51">
        <f>rebio23_80ml!AK70/50</f>
        <v>0</v>
      </c>
      <c r="AL69" s="51">
        <f>rebio23_80ml!AL70/50</f>
        <v>0</v>
      </c>
      <c r="AM69" s="51">
        <f>rebio23_80ml!AM70/50</f>
        <v>0</v>
      </c>
      <c r="AN69" s="51">
        <f>rebio23_80ml!AN70/50</f>
        <v>0</v>
      </c>
      <c r="AO69" s="51">
        <f>rebio23_80ml!AO70/50</f>
        <v>0</v>
      </c>
      <c r="AP69" s="51">
        <f>rebio23_80ml!AP70/50</f>
        <v>0</v>
      </c>
      <c r="AQ69" s="51">
        <f>rebio23_80ml!AQ70/50</f>
        <v>0</v>
      </c>
      <c r="AR69" s="51">
        <f>rebio23_80ml!AR70/50</f>
        <v>0</v>
      </c>
      <c r="AS69" s="51">
        <f>rebio23_80ml!AS70/50</f>
        <v>0</v>
      </c>
      <c r="AT69" s="51">
        <f>rebio23_80ml!AT70/50</f>
        <v>0</v>
      </c>
      <c r="AU69" s="51">
        <f>rebio23_80ml!AU70/50</f>
        <v>0</v>
      </c>
      <c r="AV69" s="51">
        <f>rebio23_80ml!AV70/50</f>
        <v>0</v>
      </c>
      <c r="AW69" s="51">
        <f>rebio23_80ml!AW70/50</f>
        <v>0</v>
      </c>
      <c r="AX69" s="51">
        <f>rebio23_80ml!AX70/50</f>
        <v>0</v>
      </c>
      <c r="AY69" s="51">
        <f>rebio23_80ml!AY70/50</f>
        <v>0</v>
      </c>
      <c r="AZ69" s="51">
        <f>rebio23_80ml!AZ70/50</f>
        <v>0</v>
      </c>
      <c r="BA69" s="51">
        <f>rebio23_80ml!BA70/50</f>
        <v>0</v>
      </c>
      <c r="BB69" s="51">
        <f>rebio23_80ml!BB70/50</f>
        <v>0</v>
      </c>
      <c r="BC69" s="51">
        <f>rebio23_80ml!BC70/50</f>
        <v>0</v>
      </c>
      <c r="BD69" s="51">
        <f>rebio23_80ml!BD70/50</f>
        <v>0</v>
      </c>
      <c r="BE69" s="51">
        <f>rebio23_80ml!BE70/50</f>
        <v>0</v>
      </c>
      <c r="BF69" s="51">
        <f>rebio23_80ml!BF70/50</f>
        <v>0</v>
      </c>
      <c r="BG69" s="51">
        <f>rebio23_80ml!BG70/50</f>
        <v>0</v>
      </c>
    </row>
    <row r="70" spans="1:59" ht="12.75" customHeight="1" x14ac:dyDescent="0.25">
      <c r="A70" s="50" t="str">
        <f>rebio23_80ml!A71</f>
        <v>C-C-P11-H3</v>
      </c>
      <c r="B70" s="51">
        <f>rebio23_80ml!B71/50</f>
        <v>0</v>
      </c>
      <c r="C70" s="51">
        <f>rebio23_80ml!C71/50</f>
        <v>0</v>
      </c>
      <c r="D70" s="51">
        <f>rebio23_80ml!D71/50</f>
        <v>0</v>
      </c>
      <c r="E70" s="51">
        <f>rebio23_80ml!E71/50</f>
        <v>0</v>
      </c>
      <c r="F70" s="51">
        <f>rebio23_80ml!F71/50</f>
        <v>0</v>
      </c>
      <c r="G70" s="51">
        <f>rebio23_80ml!G71/50</f>
        <v>0</v>
      </c>
      <c r="H70" s="51">
        <f>rebio23_80ml!H71/50</f>
        <v>0</v>
      </c>
      <c r="I70" s="51">
        <f>rebio23_80ml!I71/50</f>
        <v>0</v>
      </c>
      <c r="J70" s="51">
        <f>rebio23_80ml!J71/50</f>
        <v>0</v>
      </c>
      <c r="K70" s="51">
        <f>rebio23_80ml!K71/50</f>
        <v>0</v>
      </c>
      <c r="L70" s="51">
        <f>rebio23_80ml!L71/50</f>
        <v>0</v>
      </c>
      <c r="M70" s="51">
        <f>rebio23_80ml!M71/50</f>
        <v>0</v>
      </c>
      <c r="N70" s="51">
        <f>rebio23_80ml!N71/50</f>
        <v>0</v>
      </c>
      <c r="O70" s="51">
        <f>rebio23_80ml!O71/50</f>
        <v>0</v>
      </c>
      <c r="P70" s="51">
        <f>rebio23_80ml!P71/50</f>
        <v>0</v>
      </c>
      <c r="Q70" s="51">
        <f>rebio23_80ml!Q71/50</f>
        <v>0</v>
      </c>
      <c r="R70" s="51">
        <f>rebio23_80ml!R71/50</f>
        <v>0</v>
      </c>
      <c r="S70" s="51">
        <f>rebio23_80ml!S71/50</f>
        <v>0</v>
      </c>
      <c r="T70" s="51">
        <f>rebio23_80ml!T71/50</f>
        <v>0</v>
      </c>
      <c r="U70" s="51">
        <f>rebio23_80ml!U71/50</f>
        <v>0</v>
      </c>
      <c r="V70" s="51">
        <f>rebio23_80ml!V71/50</f>
        <v>0</v>
      </c>
      <c r="W70" s="51">
        <f>rebio23_80ml!W71/50</f>
        <v>0</v>
      </c>
      <c r="X70" s="51">
        <f>rebio23_80ml!X71/50</f>
        <v>0</v>
      </c>
      <c r="Y70" s="51">
        <f>rebio23_80ml!Y71/50</f>
        <v>0</v>
      </c>
      <c r="Z70" s="51">
        <f>rebio23_80ml!Z71/50</f>
        <v>0</v>
      </c>
      <c r="AA70" s="51">
        <f>rebio23_80ml!AA71/50</f>
        <v>0</v>
      </c>
      <c r="AB70" s="51">
        <f>rebio23_80ml!AB71/50</f>
        <v>0</v>
      </c>
      <c r="AC70" s="51">
        <f>rebio23_80ml!AC71/50</f>
        <v>0</v>
      </c>
      <c r="AD70" s="51">
        <f>rebio23_80ml!AD71/50</f>
        <v>0</v>
      </c>
      <c r="AE70" s="51">
        <f>rebio23_80ml!AE71/50</f>
        <v>0</v>
      </c>
      <c r="AF70" s="51">
        <f>rebio23_80ml!AF71/50</f>
        <v>0</v>
      </c>
      <c r="AG70" s="51">
        <f>rebio23_80ml!AG71/50</f>
        <v>0</v>
      </c>
      <c r="AH70" s="51">
        <f>rebio23_80ml!AH71/50</f>
        <v>0</v>
      </c>
      <c r="AI70" s="51">
        <f>rebio23_80ml!AI71/50</f>
        <v>0</v>
      </c>
      <c r="AJ70" s="51">
        <f>rebio23_80ml!AJ71/50</f>
        <v>0</v>
      </c>
      <c r="AK70" s="51">
        <f>rebio23_80ml!AK71/50</f>
        <v>0</v>
      </c>
      <c r="AL70" s="51">
        <f>rebio23_80ml!AL71/50</f>
        <v>0</v>
      </c>
      <c r="AM70" s="51">
        <f>rebio23_80ml!AM71/50</f>
        <v>0</v>
      </c>
      <c r="AN70" s="51">
        <f>rebio23_80ml!AN71/50</f>
        <v>0</v>
      </c>
      <c r="AO70" s="51">
        <f>rebio23_80ml!AO71/50</f>
        <v>0</v>
      </c>
      <c r="AP70" s="51">
        <f>rebio23_80ml!AP71/50</f>
        <v>0</v>
      </c>
      <c r="AQ70" s="51">
        <f>rebio23_80ml!AQ71/50</f>
        <v>0</v>
      </c>
      <c r="AR70" s="51">
        <f>rebio23_80ml!AR71/50</f>
        <v>0</v>
      </c>
      <c r="AS70" s="51">
        <f>rebio23_80ml!AS71/50</f>
        <v>0</v>
      </c>
      <c r="AT70" s="51">
        <f>rebio23_80ml!AT71/50</f>
        <v>0</v>
      </c>
      <c r="AU70" s="51">
        <f>rebio23_80ml!AU71/50</f>
        <v>0</v>
      </c>
      <c r="AV70" s="51">
        <f>rebio23_80ml!AV71/50</f>
        <v>0</v>
      </c>
      <c r="AW70" s="51">
        <f>rebio23_80ml!AW71/50</f>
        <v>0</v>
      </c>
      <c r="AX70" s="51">
        <f>rebio23_80ml!AX71/50</f>
        <v>0</v>
      </c>
      <c r="AY70" s="51">
        <f>rebio23_80ml!AY71/50</f>
        <v>0</v>
      </c>
      <c r="AZ70" s="51">
        <f>rebio23_80ml!AZ71/50</f>
        <v>0</v>
      </c>
      <c r="BA70" s="51">
        <f>rebio23_80ml!BA71/50</f>
        <v>0</v>
      </c>
      <c r="BB70" s="51">
        <f>rebio23_80ml!BB71/50</f>
        <v>0</v>
      </c>
      <c r="BC70" s="51">
        <f>rebio23_80ml!BC71/50</f>
        <v>0</v>
      </c>
      <c r="BD70" s="51">
        <f>rebio23_80ml!BD71/50</f>
        <v>0</v>
      </c>
      <c r="BE70" s="51">
        <f>rebio23_80ml!BE71/50</f>
        <v>0</v>
      </c>
      <c r="BF70" s="51">
        <f>rebio23_80ml!BF71/50</f>
        <v>0</v>
      </c>
      <c r="BG70" s="51">
        <f>rebio23_80ml!BG71/50</f>
        <v>0</v>
      </c>
    </row>
    <row r="71" spans="1:59" ht="12.75" customHeight="1" x14ac:dyDescent="0.25">
      <c r="A71" s="15" t="str">
        <f>rebio23_80ml!A72</f>
        <v>C-C-P12-H1</v>
      </c>
      <c r="B71" s="27">
        <f>rebio23_80ml!B72/50</f>
        <v>0.06</v>
      </c>
      <c r="C71" s="27">
        <f>rebio23_80ml!C72/50</f>
        <v>0</v>
      </c>
      <c r="D71" s="27">
        <f>rebio23_80ml!D72/50</f>
        <v>0</v>
      </c>
      <c r="E71" s="27">
        <f>rebio23_80ml!E72/50</f>
        <v>2.62</v>
      </c>
      <c r="F71" s="27">
        <f>rebio23_80ml!F72/50</f>
        <v>0</v>
      </c>
      <c r="G71" s="27">
        <f>rebio23_80ml!G72/50</f>
        <v>0</v>
      </c>
      <c r="H71" s="27">
        <f>rebio23_80ml!H72/50</f>
        <v>0</v>
      </c>
      <c r="I71" s="27">
        <f>rebio23_80ml!I72/50</f>
        <v>0.2</v>
      </c>
      <c r="J71" s="27">
        <f>rebio23_80ml!J72/50</f>
        <v>0</v>
      </c>
      <c r="K71" s="27">
        <f>rebio23_80ml!K72/50</f>
        <v>0</v>
      </c>
      <c r="L71" s="27">
        <f>rebio23_80ml!L72/50</f>
        <v>0</v>
      </c>
      <c r="M71" s="27">
        <f>rebio23_80ml!M72/50</f>
        <v>0</v>
      </c>
      <c r="N71" s="27">
        <f>rebio23_80ml!N72/50</f>
        <v>0</v>
      </c>
      <c r="O71" s="27">
        <f>rebio23_80ml!O72/50</f>
        <v>0</v>
      </c>
      <c r="P71" s="27">
        <f>rebio23_80ml!P72/50</f>
        <v>0</v>
      </c>
      <c r="Q71" s="27">
        <f>rebio23_80ml!Q72/50</f>
        <v>0</v>
      </c>
      <c r="R71" s="27">
        <f>rebio23_80ml!R72/50</f>
        <v>0</v>
      </c>
      <c r="S71" s="27">
        <f>rebio23_80ml!S72/50</f>
        <v>0</v>
      </c>
      <c r="T71" s="27">
        <f>rebio23_80ml!T72/50</f>
        <v>0</v>
      </c>
      <c r="U71" s="27">
        <f>rebio23_80ml!U72/50</f>
        <v>0</v>
      </c>
      <c r="V71" s="27">
        <f>rebio23_80ml!V72/50</f>
        <v>0</v>
      </c>
      <c r="W71" s="27">
        <f>rebio23_80ml!W72/50</f>
        <v>0</v>
      </c>
      <c r="X71" s="27">
        <f>rebio23_80ml!X72/50</f>
        <v>0</v>
      </c>
      <c r="Y71" s="27">
        <f>rebio23_80ml!Y72/50</f>
        <v>0</v>
      </c>
      <c r="Z71" s="27">
        <f>rebio23_80ml!Z72/50</f>
        <v>0.04</v>
      </c>
      <c r="AA71" s="27">
        <f>rebio23_80ml!AA72/50</f>
        <v>0.06</v>
      </c>
      <c r="AB71" s="27">
        <f>rebio23_80ml!AB72/50</f>
        <v>0</v>
      </c>
      <c r="AC71" s="27">
        <f>rebio23_80ml!AC72/50</f>
        <v>0</v>
      </c>
      <c r="AD71" s="27">
        <f>rebio23_80ml!AD72/50</f>
        <v>0</v>
      </c>
      <c r="AE71" s="27">
        <f>rebio23_80ml!AE72/50</f>
        <v>0</v>
      </c>
      <c r="AF71" s="27">
        <f>rebio23_80ml!AF72/50</f>
        <v>0</v>
      </c>
      <c r="AG71" s="27">
        <f>rebio23_80ml!AG72/50</f>
        <v>0</v>
      </c>
      <c r="AH71" s="27">
        <f>rebio23_80ml!AH72/50</f>
        <v>0</v>
      </c>
      <c r="AI71" s="27">
        <f>rebio23_80ml!AI72/50</f>
        <v>0</v>
      </c>
      <c r="AJ71" s="27">
        <f>rebio23_80ml!AJ72/50</f>
        <v>0</v>
      </c>
      <c r="AK71" s="27">
        <f>rebio23_80ml!AK72/50</f>
        <v>0</v>
      </c>
      <c r="AL71" s="27">
        <f>rebio23_80ml!AL72/50</f>
        <v>0</v>
      </c>
      <c r="AM71" s="27">
        <f>rebio23_80ml!AM72/50</f>
        <v>0</v>
      </c>
      <c r="AN71" s="27">
        <f>rebio23_80ml!AN72/50</f>
        <v>0</v>
      </c>
      <c r="AO71" s="27">
        <f>rebio23_80ml!AO72/50</f>
        <v>0</v>
      </c>
      <c r="AP71" s="27">
        <f>rebio23_80ml!AP72/50</f>
        <v>0</v>
      </c>
      <c r="AQ71" s="27">
        <f>rebio23_80ml!AQ72/50</f>
        <v>0</v>
      </c>
      <c r="AR71" s="27">
        <f>rebio23_80ml!AR72/50</f>
        <v>0</v>
      </c>
      <c r="AS71" s="27">
        <f>rebio23_80ml!AS72/50</f>
        <v>0</v>
      </c>
      <c r="AT71" s="27">
        <f>rebio23_80ml!AT72/50</f>
        <v>0</v>
      </c>
      <c r="AU71" s="27">
        <f>rebio23_80ml!AU72/50</f>
        <v>0</v>
      </c>
      <c r="AV71" s="27">
        <f>rebio23_80ml!AV72/50</f>
        <v>0.08</v>
      </c>
      <c r="AW71" s="27">
        <f>rebio23_80ml!AW72/50</f>
        <v>0</v>
      </c>
      <c r="AX71" s="27">
        <f>rebio23_80ml!AX72/50</f>
        <v>0</v>
      </c>
      <c r="AY71" s="27">
        <f>rebio23_80ml!AY72/50</f>
        <v>0.02</v>
      </c>
      <c r="AZ71" s="27">
        <f>rebio23_80ml!AZ72/50</f>
        <v>0</v>
      </c>
      <c r="BA71" s="27">
        <f>rebio23_80ml!BA72/50</f>
        <v>0</v>
      </c>
      <c r="BB71" s="27">
        <f>rebio23_80ml!BB72/50</f>
        <v>0</v>
      </c>
      <c r="BC71" s="27">
        <f>rebio23_80ml!BC72/50</f>
        <v>0</v>
      </c>
      <c r="BD71" s="27">
        <f>rebio23_80ml!BD72/50</f>
        <v>0</v>
      </c>
      <c r="BE71" s="27">
        <f>rebio23_80ml!BE72/50</f>
        <v>0</v>
      </c>
      <c r="BF71" s="27">
        <f>rebio23_80ml!BF72/50</f>
        <v>0</v>
      </c>
      <c r="BG71" s="27">
        <f>rebio23_80ml!BG72/50</f>
        <v>0</v>
      </c>
    </row>
    <row r="72" spans="1:59" ht="12.75" customHeight="1" x14ac:dyDescent="0.25">
      <c r="A72" s="15" t="str">
        <f>rebio23_80ml!A73</f>
        <v>C-C-P12-H2</v>
      </c>
      <c r="B72" s="27">
        <f>rebio23_80ml!B73/50</f>
        <v>0.04</v>
      </c>
      <c r="C72" s="27">
        <f>rebio23_80ml!C73/50</f>
        <v>0</v>
      </c>
      <c r="D72" s="27">
        <f>rebio23_80ml!D73/50</f>
        <v>0</v>
      </c>
      <c r="E72" s="27">
        <f>rebio23_80ml!E73/50</f>
        <v>4.18</v>
      </c>
      <c r="F72" s="27">
        <f>rebio23_80ml!F73/50</f>
        <v>0</v>
      </c>
      <c r="G72" s="27">
        <f>rebio23_80ml!G73/50</f>
        <v>0</v>
      </c>
      <c r="H72" s="27">
        <f>rebio23_80ml!H73/50</f>
        <v>0</v>
      </c>
      <c r="I72" s="27">
        <f>rebio23_80ml!I73/50</f>
        <v>0.06</v>
      </c>
      <c r="J72" s="27">
        <f>rebio23_80ml!J73/50</f>
        <v>0</v>
      </c>
      <c r="K72" s="27">
        <f>rebio23_80ml!K73/50</f>
        <v>0</v>
      </c>
      <c r="L72" s="27">
        <f>rebio23_80ml!L73/50</f>
        <v>0</v>
      </c>
      <c r="M72" s="27">
        <f>rebio23_80ml!M73/50</f>
        <v>0</v>
      </c>
      <c r="N72" s="27">
        <f>rebio23_80ml!N73/50</f>
        <v>0</v>
      </c>
      <c r="O72" s="27">
        <f>rebio23_80ml!O73/50</f>
        <v>0</v>
      </c>
      <c r="P72" s="27">
        <f>rebio23_80ml!P73/50</f>
        <v>0</v>
      </c>
      <c r="Q72" s="27">
        <f>rebio23_80ml!Q73/50</f>
        <v>0</v>
      </c>
      <c r="R72" s="27">
        <f>rebio23_80ml!R73/50</f>
        <v>0</v>
      </c>
      <c r="S72" s="27">
        <f>rebio23_80ml!S73/50</f>
        <v>0.02</v>
      </c>
      <c r="T72" s="27">
        <f>rebio23_80ml!T73/50</f>
        <v>0</v>
      </c>
      <c r="U72" s="27">
        <f>rebio23_80ml!U73/50</f>
        <v>0</v>
      </c>
      <c r="V72" s="27">
        <f>rebio23_80ml!V73/50</f>
        <v>0</v>
      </c>
      <c r="W72" s="27">
        <f>rebio23_80ml!W73/50</f>
        <v>0</v>
      </c>
      <c r="X72" s="27">
        <f>rebio23_80ml!X73/50</f>
        <v>0</v>
      </c>
      <c r="Y72" s="27">
        <f>rebio23_80ml!Y73/50</f>
        <v>0</v>
      </c>
      <c r="Z72" s="27">
        <f>rebio23_80ml!Z73/50</f>
        <v>0.02</v>
      </c>
      <c r="AA72" s="27">
        <f>rebio23_80ml!AA73/50</f>
        <v>0</v>
      </c>
      <c r="AB72" s="27">
        <f>rebio23_80ml!AB73/50</f>
        <v>0</v>
      </c>
      <c r="AC72" s="27">
        <f>rebio23_80ml!AC73/50</f>
        <v>0</v>
      </c>
      <c r="AD72" s="27">
        <f>rebio23_80ml!AD73/50</f>
        <v>0</v>
      </c>
      <c r="AE72" s="27">
        <f>rebio23_80ml!AE73/50</f>
        <v>0</v>
      </c>
      <c r="AF72" s="27">
        <f>rebio23_80ml!AF73/50</f>
        <v>0</v>
      </c>
      <c r="AG72" s="27">
        <f>rebio23_80ml!AG73/50</f>
        <v>0</v>
      </c>
      <c r="AH72" s="27">
        <f>rebio23_80ml!AH73/50</f>
        <v>0</v>
      </c>
      <c r="AI72" s="27">
        <f>rebio23_80ml!AI73/50</f>
        <v>0</v>
      </c>
      <c r="AJ72" s="27">
        <f>rebio23_80ml!AJ73/50</f>
        <v>0</v>
      </c>
      <c r="AK72" s="27">
        <f>rebio23_80ml!AK73/50</f>
        <v>0</v>
      </c>
      <c r="AL72" s="27">
        <f>rebio23_80ml!AL73/50</f>
        <v>0</v>
      </c>
      <c r="AM72" s="27">
        <f>rebio23_80ml!AM73/50</f>
        <v>0</v>
      </c>
      <c r="AN72" s="27">
        <f>rebio23_80ml!AN73/50</f>
        <v>0</v>
      </c>
      <c r="AO72" s="27">
        <f>rebio23_80ml!AO73/50</f>
        <v>0</v>
      </c>
      <c r="AP72" s="27">
        <f>rebio23_80ml!AP73/50</f>
        <v>0</v>
      </c>
      <c r="AQ72" s="27">
        <f>rebio23_80ml!AQ73/50</f>
        <v>0</v>
      </c>
      <c r="AR72" s="27">
        <f>rebio23_80ml!AR73/50</f>
        <v>0</v>
      </c>
      <c r="AS72" s="27">
        <f>rebio23_80ml!AS73/50</f>
        <v>0</v>
      </c>
      <c r="AT72" s="27">
        <f>rebio23_80ml!AT73/50</f>
        <v>0</v>
      </c>
      <c r="AU72" s="27">
        <f>rebio23_80ml!AU73/50</f>
        <v>0</v>
      </c>
      <c r="AV72" s="27">
        <f>rebio23_80ml!AV73/50</f>
        <v>0.14000000000000001</v>
      </c>
      <c r="AW72" s="27">
        <f>rebio23_80ml!AW73/50</f>
        <v>0</v>
      </c>
      <c r="AX72" s="27">
        <f>rebio23_80ml!AX73/50</f>
        <v>0</v>
      </c>
      <c r="AY72" s="27">
        <f>rebio23_80ml!AY73/50</f>
        <v>0.02</v>
      </c>
      <c r="AZ72" s="27">
        <f>rebio23_80ml!AZ73/50</f>
        <v>0</v>
      </c>
      <c r="BA72" s="27">
        <f>rebio23_80ml!BA73/50</f>
        <v>0</v>
      </c>
      <c r="BB72" s="27">
        <f>rebio23_80ml!BB73/50</f>
        <v>0</v>
      </c>
      <c r="BC72" s="27">
        <f>rebio23_80ml!BC73/50</f>
        <v>0</v>
      </c>
      <c r="BD72" s="27">
        <f>rebio23_80ml!BD73/50</f>
        <v>0</v>
      </c>
      <c r="BE72" s="27">
        <f>rebio23_80ml!BE73/50</f>
        <v>0</v>
      </c>
      <c r="BF72" s="27">
        <f>rebio23_80ml!BF73/50</f>
        <v>0</v>
      </c>
      <c r="BG72" s="27">
        <f>rebio23_80ml!BG73/50</f>
        <v>0</v>
      </c>
    </row>
    <row r="73" spans="1:59" ht="12.75" customHeight="1" x14ac:dyDescent="0.25">
      <c r="A73" s="15" t="str">
        <f>rebio23_80ml!A74</f>
        <v>C-C-P12-H3</v>
      </c>
      <c r="B73" s="27">
        <f>rebio23_80ml!B74/50</f>
        <v>0.1</v>
      </c>
      <c r="C73" s="27">
        <f>rebio23_80ml!C74/50</f>
        <v>0</v>
      </c>
      <c r="D73" s="27">
        <f>rebio23_80ml!D74/50</f>
        <v>0</v>
      </c>
      <c r="E73" s="27">
        <f>rebio23_80ml!E74/50</f>
        <v>3.16</v>
      </c>
      <c r="F73" s="27">
        <f>rebio23_80ml!F74/50</f>
        <v>0</v>
      </c>
      <c r="G73" s="27">
        <f>rebio23_80ml!G74/50</f>
        <v>0</v>
      </c>
      <c r="H73" s="27">
        <f>rebio23_80ml!H74/50</f>
        <v>0</v>
      </c>
      <c r="I73" s="27">
        <f>rebio23_80ml!I74/50</f>
        <v>0.08</v>
      </c>
      <c r="J73" s="27">
        <f>rebio23_80ml!J74/50</f>
        <v>0</v>
      </c>
      <c r="K73" s="27">
        <f>rebio23_80ml!K74/50</f>
        <v>0</v>
      </c>
      <c r="L73" s="27">
        <f>rebio23_80ml!L74/50</f>
        <v>0</v>
      </c>
      <c r="M73" s="27">
        <f>rebio23_80ml!M74/50</f>
        <v>0</v>
      </c>
      <c r="N73" s="27">
        <f>rebio23_80ml!N74/50</f>
        <v>0</v>
      </c>
      <c r="O73" s="27">
        <f>rebio23_80ml!O74/50</f>
        <v>0</v>
      </c>
      <c r="P73" s="27">
        <f>rebio23_80ml!P74/50</f>
        <v>0</v>
      </c>
      <c r="Q73" s="27">
        <f>rebio23_80ml!Q74/50</f>
        <v>0</v>
      </c>
      <c r="R73" s="27">
        <f>rebio23_80ml!R74/50</f>
        <v>0</v>
      </c>
      <c r="S73" s="27">
        <f>rebio23_80ml!S74/50</f>
        <v>0</v>
      </c>
      <c r="T73" s="27">
        <f>rebio23_80ml!T74/50</f>
        <v>0</v>
      </c>
      <c r="U73" s="27">
        <f>rebio23_80ml!U74/50</f>
        <v>0</v>
      </c>
      <c r="V73" s="27">
        <f>rebio23_80ml!V74/50</f>
        <v>0</v>
      </c>
      <c r="W73" s="27">
        <f>rebio23_80ml!W74/50</f>
        <v>0</v>
      </c>
      <c r="X73" s="27">
        <f>rebio23_80ml!X74/50</f>
        <v>0</v>
      </c>
      <c r="Y73" s="27">
        <f>rebio23_80ml!Y74/50</f>
        <v>0</v>
      </c>
      <c r="Z73" s="27">
        <f>rebio23_80ml!Z74/50</f>
        <v>0</v>
      </c>
      <c r="AA73" s="27">
        <f>rebio23_80ml!AA74/50</f>
        <v>0.02</v>
      </c>
      <c r="AB73" s="27">
        <f>rebio23_80ml!AB74/50</f>
        <v>0</v>
      </c>
      <c r="AC73" s="27">
        <f>rebio23_80ml!AC74/50</f>
        <v>0</v>
      </c>
      <c r="AD73" s="27">
        <f>rebio23_80ml!AD74/50</f>
        <v>0</v>
      </c>
      <c r="AE73" s="27">
        <f>rebio23_80ml!AE74/50</f>
        <v>0</v>
      </c>
      <c r="AF73" s="27">
        <f>rebio23_80ml!AF74/50</f>
        <v>0</v>
      </c>
      <c r="AG73" s="27">
        <f>rebio23_80ml!AG74/50</f>
        <v>0</v>
      </c>
      <c r="AH73" s="27">
        <f>rebio23_80ml!AH74/50</f>
        <v>0</v>
      </c>
      <c r="AI73" s="27">
        <f>rebio23_80ml!AI74/50</f>
        <v>0</v>
      </c>
      <c r="AJ73" s="27">
        <f>rebio23_80ml!AJ74/50</f>
        <v>0</v>
      </c>
      <c r="AK73" s="27">
        <f>rebio23_80ml!AK74/50</f>
        <v>0</v>
      </c>
      <c r="AL73" s="27">
        <f>rebio23_80ml!AL74/50</f>
        <v>0</v>
      </c>
      <c r="AM73" s="27">
        <f>rebio23_80ml!AM74/50</f>
        <v>0</v>
      </c>
      <c r="AN73" s="27">
        <f>rebio23_80ml!AN74/50</f>
        <v>0</v>
      </c>
      <c r="AO73" s="27">
        <f>rebio23_80ml!AO74/50</f>
        <v>0</v>
      </c>
      <c r="AP73" s="27">
        <f>rebio23_80ml!AP74/50</f>
        <v>0</v>
      </c>
      <c r="AQ73" s="27">
        <f>rebio23_80ml!AQ74/50</f>
        <v>0</v>
      </c>
      <c r="AR73" s="27">
        <f>rebio23_80ml!AR74/50</f>
        <v>0</v>
      </c>
      <c r="AS73" s="27">
        <f>rebio23_80ml!AS74/50</f>
        <v>0</v>
      </c>
      <c r="AT73" s="27">
        <f>rebio23_80ml!AT74/50</f>
        <v>0</v>
      </c>
      <c r="AU73" s="27">
        <f>rebio23_80ml!AU74/50</f>
        <v>0</v>
      </c>
      <c r="AV73" s="27">
        <f>rebio23_80ml!AV74/50</f>
        <v>0.24</v>
      </c>
      <c r="AW73" s="27">
        <f>rebio23_80ml!AW74/50</f>
        <v>0</v>
      </c>
      <c r="AX73" s="27">
        <f>rebio23_80ml!AX74/50</f>
        <v>0</v>
      </c>
      <c r="AY73" s="27">
        <f>rebio23_80ml!AY74/50</f>
        <v>0</v>
      </c>
      <c r="AZ73" s="27">
        <f>rebio23_80ml!AZ74/50</f>
        <v>0</v>
      </c>
      <c r="BA73" s="27">
        <f>rebio23_80ml!BA74/50</f>
        <v>0</v>
      </c>
      <c r="BB73" s="27">
        <f>rebio23_80ml!BB74/50</f>
        <v>0</v>
      </c>
      <c r="BC73" s="27">
        <f>rebio23_80ml!BC74/50</f>
        <v>0</v>
      </c>
      <c r="BD73" s="27">
        <f>rebio23_80ml!BD74/50</f>
        <v>0</v>
      </c>
      <c r="BE73" s="27">
        <f>rebio23_80ml!BE74/50</f>
        <v>0</v>
      </c>
      <c r="BF73" s="27">
        <f>rebio23_80ml!BF74/50</f>
        <v>0</v>
      </c>
      <c r="BG73" s="27">
        <f>rebio23_80ml!BG74/50</f>
        <v>0</v>
      </c>
    </row>
    <row r="74" spans="1:59" ht="12.75" customHeight="1" x14ac:dyDescent="0.25">
      <c r="A74" s="15" t="str">
        <f>rebio23_80ml!A75</f>
        <v>C-C-P13-H1</v>
      </c>
      <c r="B74" s="27">
        <f>rebio23_80ml!B75/50</f>
        <v>0.1</v>
      </c>
      <c r="C74" s="27">
        <f>rebio23_80ml!C75/50</f>
        <v>0</v>
      </c>
      <c r="D74" s="27">
        <f>rebio23_80ml!D75/50</f>
        <v>0</v>
      </c>
      <c r="E74" s="27">
        <f>rebio23_80ml!E75/50</f>
        <v>2.14</v>
      </c>
      <c r="F74" s="27">
        <f>rebio23_80ml!F75/50</f>
        <v>0.02</v>
      </c>
      <c r="G74" s="27">
        <f>rebio23_80ml!G75/50</f>
        <v>0</v>
      </c>
      <c r="H74" s="27">
        <f>rebio23_80ml!H75/50</f>
        <v>0</v>
      </c>
      <c r="I74" s="27">
        <f>rebio23_80ml!I75/50</f>
        <v>0.28000000000000003</v>
      </c>
      <c r="J74" s="27">
        <f>rebio23_80ml!J75/50</f>
        <v>0.02</v>
      </c>
      <c r="K74" s="27">
        <f>rebio23_80ml!K75/50</f>
        <v>0</v>
      </c>
      <c r="L74" s="27">
        <f>rebio23_80ml!L75/50</f>
        <v>0.02</v>
      </c>
      <c r="M74" s="27">
        <f>rebio23_80ml!M75/50</f>
        <v>0</v>
      </c>
      <c r="N74" s="27">
        <f>rebio23_80ml!N75/50</f>
        <v>0</v>
      </c>
      <c r="O74" s="27">
        <f>rebio23_80ml!O75/50</f>
        <v>0</v>
      </c>
      <c r="P74" s="27">
        <f>rebio23_80ml!P75/50</f>
        <v>0</v>
      </c>
      <c r="Q74" s="27">
        <f>rebio23_80ml!Q75/50</f>
        <v>0</v>
      </c>
      <c r="R74" s="27">
        <f>rebio23_80ml!R75/50</f>
        <v>0</v>
      </c>
      <c r="S74" s="27">
        <f>rebio23_80ml!S75/50</f>
        <v>0</v>
      </c>
      <c r="T74" s="27">
        <f>rebio23_80ml!T75/50</f>
        <v>0.02</v>
      </c>
      <c r="U74" s="27">
        <f>rebio23_80ml!U75/50</f>
        <v>0</v>
      </c>
      <c r="V74" s="27">
        <f>rebio23_80ml!V75/50</f>
        <v>0</v>
      </c>
      <c r="W74" s="27">
        <f>rebio23_80ml!W75/50</f>
        <v>0</v>
      </c>
      <c r="X74" s="27">
        <f>rebio23_80ml!X75/50</f>
        <v>0</v>
      </c>
      <c r="Y74" s="27">
        <f>rebio23_80ml!Y75/50</f>
        <v>0</v>
      </c>
      <c r="Z74" s="27">
        <f>rebio23_80ml!Z75/50</f>
        <v>0</v>
      </c>
      <c r="AA74" s="27">
        <f>rebio23_80ml!AA75/50</f>
        <v>0.02</v>
      </c>
      <c r="AB74" s="27">
        <f>rebio23_80ml!AB75/50</f>
        <v>0</v>
      </c>
      <c r="AC74" s="27">
        <f>rebio23_80ml!AC75/50</f>
        <v>0</v>
      </c>
      <c r="AD74" s="27">
        <f>rebio23_80ml!AD75/50</f>
        <v>0</v>
      </c>
      <c r="AE74" s="27">
        <f>rebio23_80ml!AE75/50</f>
        <v>0</v>
      </c>
      <c r="AF74" s="27">
        <f>rebio23_80ml!AF75/50</f>
        <v>0</v>
      </c>
      <c r="AG74" s="27">
        <f>rebio23_80ml!AG75/50</f>
        <v>0</v>
      </c>
      <c r="AH74" s="27">
        <f>rebio23_80ml!AH75/50</f>
        <v>0</v>
      </c>
      <c r="AI74" s="27">
        <f>rebio23_80ml!AI75/50</f>
        <v>0</v>
      </c>
      <c r="AJ74" s="27">
        <f>rebio23_80ml!AJ75/50</f>
        <v>0</v>
      </c>
      <c r="AK74" s="27">
        <f>rebio23_80ml!AK75/50</f>
        <v>0</v>
      </c>
      <c r="AL74" s="27">
        <f>rebio23_80ml!AL75/50</f>
        <v>0</v>
      </c>
      <c r="AM74" s="27">
        <f>rebio23_80ml!AM75/50</f>
        <v>0</v>
      </c>
      <c r="AN74" s="27">
        <f>rebio23_80ml!AN75/50</f>
        <v>0</v>
      </c>
      <c r="AO74" s="27">
        <f>rebio23_80ml!AO75/50</f>
        <v>0</v>
      </c>
      <c r="AP74" s="27">
        <f>rebio23_80ml!AP75/50</f>
        <v>0</v>
      </c>
      <c r="AQ74" s="27">
        <f>rebio23_80ml!AQ75/50</f>
        <v>0</v>
      </c>
      <c r="AR74" s="27">
        <f>rebio23_80ml!AR75/50</f>
        <v>0</v>
      </c>
      <c r="AS74" s="27">
        <f>rebio23_80ml!AS75/50</f>
        <v>0</v>
      </c>
      <c r="AT74" s="27">
        <f>rebio23_80ml!AT75/50</f>
        <v>0</v>
      </c>
      <c r="AU74" s="27">
        <f>rebio23_80ml!AU75/50</f>
        <v>0</v>
      </c>
      <c r="AV74" s="27">
        <f>rebio23_80ml!AV75/50</f>
        <v>0.1</v>
      </c>
      <c r="AW74" s="27">
        <f>rebio23_80ml!AW75/50</f>
        <v>0</v>
      </c>
      <c r="AX74" s="27">
        <f>rebio23_80ml!AX75/50</f>
        <v>0.02</v>
      </c>
      <c r="AY74" s="27">
        <f>rebio23_80ml!AY75/50</f>
        <v>0</v>
      </c>
      <c r="AZ74" s="27">
        <f>rebio23_80ml!AZ75/50</f>
        <v>0</v>
      </c>
      <c r="BA74" s="27">
        <f>rebio23_80ml!BA75/50</f>
        <v>0</v>
      </c>
      <c r="BB74" s="27">
        <f>rebio23_80ml!BB75/50</f>
        <v>0</v>
      </c>
      <c r="BC74" s="27">
        <f>rebio23_80ml!BC75/50</f>
        <v>0</v>
      </c>
      <c r="BD74" s="27">
        <f>rebio23_80ml!BD75/50</f>
        <v>0</v>
      </c>
      <c r="BE74" s="27">
        <f>rebio23_80ml!BE75/50</f>
        <v>0</v>
      </c>
      <c r="BF74" s="27">
        <f>rebio23_80ml!BF75/50</f>
        <v>0</v>
      </c>
      <c r="BG74" s="27">
        <f>rebio23_80ml!BG75/50</f>
        <v>0</v>
      </c>
    </row>
    <row r="75" spans="1:59" ht="12.75" customHeight="1" x14ac:dyDescent="0.25">
      <c r="A75" s="15" t="str">
        <f>rebio23_80ml!A76</f>
        <v>C-C-P13-H2</v>
      </c>
      <c r="B75" s="27">
        <f>rebio23_80ml!B76/50</f>
        <v>0.08</v>
      </c>
      <c r="C75" s="27">
        <f>rebio23_80ml!C76/50</f>
        <v>0</v>
      </c>
      <c r="D75" s="27">
        <f>rebio23_80ml!D76/50</f>
        <v>0</v>
      </c>
      <c r="E75" s="27">
        <f>rebio23_80ml!E76/50</f>
        <v>2.1</v>
      </c>
      <c r="F75" s="27">
        <f>rebio23_80ml!F76/50</f>
        <v>0</v>
      </c>
      <c r="G75" s="27">
        <f>rebio23_80ml!G76/50</f>
        <v>0</v>
      </c>
      <c r="H75" s="27">
        <f>rebio23_80ml!H76/50</f>
        <v>0</v>
      </c>
      <c r="I75" s="27">
        <f>rebio23_80ml!I76/50</f>
        <v>0.22</v>
      </c>
      <c r="J75" s="27">
        <f>rebio23_80ml!J76/50</f>
        <v>0</v>
      </c>
      <c r="K75" s="27">
        <f>rebio23_80ml!K76/50</f>
        <v>0</v>
      </c>
      <c r="L75" s="27">
        <f>rebio23_80ml!L76/50</f>
        <v>0.02</v>
      </c>
      <c r="M75" s="27">
        <f>rebio23_80ml!M76/50</f>
        <v>0</v>
      </c>
      <c r="N75" s="27">
        <f>rebio23_80ml!N76/50</f>
        <v>0</v>
      </c>
      <c r="O75" s="27">
        <f>rebio23_80ml!O76/50</f>
        <v>0</v>
      </c>
      <c r="P75" s="27">
        <f>rebio23_80ml!P76/50</f>
        <v>0</v>
      </c>
      <c r="Q75" s="27">
        <f>rebio23_80ml!Q76/50</f>
        <v>0</v>
      </c>
      <c r="R75" s="27">
        <f>rebio23_80ml!R76/50</f>
        <v>0</v>
      </c>
      <c r="S75" s="27">
        <f>rebio23_80ml!S76/50</f>
        <v>0</v>
      </c>
      <c r="T75" s="27">
        <f>rebio23_80ml!T76/50</f>
        <v>0.02</v>
      </c>
      <c r="U75" s="27">
        <f>rebio23_80ml!U76/50</f>
        <v>0</v>
      </c>
      <c r="V75" s="27">
        <f>rebio23_80ml!V76/50</f>
        <v>0</v>
      </c>
      <c r="W75" s="27">
        <f>rebio23_80ml!W76/50</f>
        <v>0</v>
      </c>
      <c r="X75" s="27">
        <f>rebio23_80ml!X76/50</f>
        <v>0</v>
      </c>
      <c r="Y75" s="27">
        <f>rebio23_80ml!Y76/50</f>
        <v>0</v>
      </c>
      <c r="Z75" s="27">
        <f>rebio23_80ml!Z76/50</f>
        <v>0.02</v>
      </c>
      <c r="AA75" s="27">
        <f>rebio23_80ml!AA76/50</f>
        <v>0</v>
      </c>
      <c r="AB75" s="27">
        <f>rebio23_80ml!AB76/50</f>
        <v>0</v>
      </c>
      <c r="AC75" s="27">
        <f>rebio23_80ml!AC76/50</f>
        <v>0</v>
      </c>
      <c r="AD75" s="27">
        <f>rebio23_80ml!AD76/50</f>
        <v>0</v>
      </c>
      <c r="AE75" s="27">
        <f>rebio23_80ml!AE76/50</f>
        <v>0</v>
      </c>
      <c r="AF75" s="27">
        <f>rebio23_80ml!AF76/50</f>
        <v>0</v>
      </c>
      <c r="AG75" s="27">
        <f>rebio23_80ml!AG76/50</f>
        <v>0</v>
      </c>
      <c r="AH75" s="27">
        <f>rebio23_80ml!AH76/50</f>
        <v>0</v>
      </c>
      <c r="AI75" s="27">
        <f>rebio23_80ml!AI76/50</f>
        <v>0</v>
      </c>
      <c r="AJ75" s="27">
        <f>rebio23_80ml!AJ76/50</f>
        <v>0</v>
      </c>
      <c r="AK75" s="27">
        <f>rebio23_80ml!AK76/50</f>
        <v>0</v>
      </c>
      <c r="AL75" s="27">
        <f>rebio23_80ml!AL76/50</f>
        <v>0.04</v>
      </c>
      <c r="AM75" s="27">
        <f>rebio23_80ml!AM76/50</f>
        <v>0</v>
      </c>
      <c r="AN75" s="27">
        <f>rebio23_80ml!AN76/50</f>
        <v>0</v>
      </c>
      <c r="AO75" s="27">
        <f>rebio23_80ml!AO76/50</f>
        <v>0</v>
      </c>
      <c r="AP75" s="27">
        <f>rebio23_80ml!AP76/50</f>
        <v>0</v>
      </c>
      <c r="AQ75" s="27">
        <f>rebio23_80ml!AQ76/50</f>
        <v>0</v>
      </c>
      <c r="AR75" s="27">
        <f>rebio23_80ml!AR76/50</f>
        <v>0</v>
      </c>
      <c r="AS75" s="27">
        <f>rebio23_80ml!AS76/50</f>
        <v>0</v>
      </c>
      <c r="AT75" s="27">
        <f>rebio23_80ml!AT76/50</f>
        <v>0</v>
      </c>
      <c r="AU75" s="27">
        <f>rebio23_80ml!AU76/50</f>
        <v>0</v>
      </c>
      <c r="AV75" s="27">
        <f>rebio23_80ml!AV76/50</f>
        <v>0.32</v>
      </c>
      <c r="AW75" s="27">
        <f>rebio23_80ml!AW76/50</f>
        <v>0</v>
      </c>
      <c r="AX75" s="27">
        <f>rebio23_80ml!AX76/50</f>
        <v>0.06</v>
      </c>
      <c r="AY75" s="27">
        <f>rebio23_80ml!AY76/50</f>
        <v>0</v>
      </c>
      <c r="AZ75" s="27">
        <f>rebio23_80ml!AZ76/50</f>
        <v>0</v>
      </c>
      <c r="BA75" s="27">
        <f>rebio23_80ml!BA76/50</f>
        <v>0</v>
      </c>
      <c r="BB75" s="27">
        <f>rebio23_80ml!BB76/50</f>
        <v>0</v>
      </c>
      <c r="BC75" s="27">
        <f>rebio23_80ml!BC76/50</f>
        <v>0</v>
      </c>
      <c r="BD75" s="27">
        <f>rebio23_80ml!BD76/50</f>
        <v>0</v>
      </c>
      <c r="BE75" s="27">
        <f>rebio23_80ml!BE76/50</f>
        <v>0</v>
      </c>
      <c r="BF75" s="27">
        <f>rebio23_80ml!BF76/50</f>
        <v>0</v>
      </c>
      <c r="BG75" s="27">
        <f>rebio23_80ml!BG76/50</f>
        <v>0</v>
      </c>
    </row>
    <row r="76" spans="1:59" ht="12.75" customHeight="1" x14ac:dyDescent="0.25">
      <c r="A76" s="15" t="str">
        <f>rebio23_80ml!A77</f>
        <v>C-C-P13-H3</v>
      </c>
      <c r="B76" s="27">
        <f>rebio23_80ml!B77/50</f>
        <v>0.06</v>
      </c>
      <c r="C76" s="27">
        <f>rebio23_80ml!C77/50</f>
        <v>0.04</v>
      </c>
      <c r="D76" s="27">
        <f>rebio23_80ml!D77/50</f>
        <v>0</v>
      </c>
      <c r="E76" s="27">
        <f>rebio23_80ml!E77/50</f>
        <v>3.14</v>
      </c>
      <c r="F76" s="27">
        <f>rebio23_80ml!F77/50</f>
        <v>0</v>
      </c>
      <c r="G76" s="27">
        <f>rebio23_80ml!G77/50</f>
        <v>0</v>
      </c>
      <c r="H76" s="27">
        <f>rebio23_80ml!H77/50</f>
        <v>0</v>
      </c>
      <c r="I76" s="27">
        <f>rebio23_80ml!I77/50</f>
        <v>0.26</v>
      </c>
      <c r="J76" s="27">
        <f>rebio23_80ml!J77/50</f>
        <v>0</v>
      </c>
      <c r="K76" s="27">
        <f>rebio23_80ml!K77/50</f>
        <v>0</v>
      </c>
      <c r="L76" s="27">
        <f>rebio23_80ml!L77/50</f>
        <v>0</v>
      </c>
      <c r="M76" s="27">
        <f>rebio23_80ml!M77/50</f>
        <v>0</v>
      </c>
      <c r="N76" s="27">
        <f>rebio23_80ml!N77/50</f>
        <v>0</v>
      </c>
      <c r="O76" s="27">
        <f>rebio23_80ml!O77/50</f>
        <v>0</v>
      </c>
      <c r="P76" s="27">
        <f>rebio23_80ml!P77/50</f>
        <v>0</v>
      </c>
      <c r="Q76" s="27">
        <f>rebio23_80ml!Q77/50</f>
        <v>0</v>
      </c>
      <c r="R76" s="27">
        <f>rebio23_80ml!R77/50</f>
        <v>0</v>
      </c>
      <c r="S76" s="27">
        <f>rebio23_80ml!S77/50</f>
        <v>0</v>
      </c>
      <c r="T76" s="27">
        <f>rebio23_80ml!T77/50</f>
        <v>0</v>
      </c>
      <c r="U76" s="27">
        <f>rebio23_80ml!U77/50</f>
        <v>0</v>
      </c>
      <c r="V76" s="27">
        <f>rebio23_80ml!V77/50</f>
        <v>0</v>
      </c>
      <c r="W76" s="27">
        <f>rebio23_80ml!W77/50</f>
        <v>0</v>
      </c>
      <c r="X76" s="27">
        <f>rebio23_80ml!X77/50</f>
        <v>0</v>
      </c>
      <c r="Y76" s="27">
        <f>rebio23_80ml!Y77/50</f>
        <v>0</v>
      </c>
      <c r="Z76" s="27">
        <f>rebio23_80ml!Z77/50</f>
        <v>0</v>
      </c>
      <c r="AA76" s="27">
        <f>rebio23_80ml!AA77/50</f>
        <v>0</v>
      </c>
      <c r="AB76" s="27">
        <f>rebio23_80ml!AB77/50</f>
        <v>0</v>
      </c>
      <c r="AC76" s="27">
        <f>rebio23_80ml!AC77/50</f>
        <v>0</v>
      </c>
      <c r="AD76" s="27">
        <f>rebio23_80ml!AD77/50</f>
        <v>0</v>
      </c>
      <c r="AE76" s="27">
        <f>rebio23_80ml!AE77/50</f>
        <v>0</v>
      </c>
      <c r="AF76" s="27">
        <f>rebio23_80ml!AF77/50</f>
        <v>0</v>
      </c>
      <c r="AG76" s="27">
        <f>rebio23_80ml!AG77/50</f>
        <v>0</v>
      </c>
      <c r="AH76" s="27">
        <f>rebio23_80ml!AH77/50</f>
        <v>0</v>
      </c>
      <c r="AI76" s="27">
        <f>rebio23_80ml!AI77/50</f>
        <v>0</v>
      </c>
      <c r="AJ76" s="27">
        <f>rebio23_80ml!AJ77/50</f>
        <v>0</v>
      </c>
      <c r="AK76" s="27">
        <f>rebio23_80ml!AK77/50</f>
        <v>0</v>
      </c>
      <c r="AL76" s="27">
        <f>rebio23_80ml!AL77/50</f>
        <v>0</v>
      </c>
      <c r="AM76" s="27">
        <f>rebio23_80ml!AM77/50</f>
        <v>0</v>
      </c>
      <c r="AN76" s="27">
        <f>rebio23_80ml!AN77/50</f>
        <v>0</v>
      </c>
      <c r="AO76" s="27">
        <f>rebio23_80ml!AO77/50</f>
        <v>0</v>
      </c>
      <c r="AP76" s="27">
        <f>rebio23_80ml!AP77/50</f>
        <v>0</v>
      </c>
      <c r="AQ76" s="27">
        <f>rebio23_80ml!AQ77/50</f>
        <v>0</v>
      </c>
      <c r="AR76" s="27">
        <f>rebio23_80ml!AR77/50</f>
        <v>0</v>
      </c>
      <c r="AS76" s="27">
        <f>rebio23_80ml!AS77/50</f>
        <v>0</v>
      </c>
      <c r="AT76" s="27">
        <f>rebio23_80ml!AT77/50</f>
        <v>0</v>
      </c>
      <c r="AU76" s="27">
        <f>rebio23_80ml!AU77/50</f>
        <v>0</v>
      </c>
      <c r="AV76" s="27">
        <f>rebio23_80ml!AV77/50</f>
        <v>0.02</v>
      </c>
      <c r="AW76" s="27">
        <f>rebio23_80ml!AW77/50</f>
        <v>0</v>
      </c>
      <c r="AX76" s="27">
        <f>rebio23_80ml!AX77/50</f>
        <v>0</v>
      </c>
      <c r="AY76" s="27">
        <f>rebio23_80ml!AY77/50</f>
        <v>0</v>
      </c>
      <c r="AZ76" s="27">
        <f>rebio23_80ml!AZ77/50</f>
        <v>0</v>
      </c>
      <c r="BA76" s="27">
        <f>rebio23_80ml!BA77/50</f>
        <v>0</v>
      </c>
      <c r="BB76" s="27">
        <f>rebio23_80ml!BB77/50</f>
        <v>0</v>
      </c>
      <c r="BC76" s="27">
        <f>rebio23_80ml!BC77/50</f>
        <v>0</v>
      </c>
      <c r="BD76" s="27">
        <f>rebio23_80ml!BD77/50</f>
        <v>0</v>
      </c>
      <c r="BE76" s="27">
        <f>rebio23_80ml!BE77/50</f>
        <v>0</v>
      </c>
      <c r="BF76" s="27">
        <f>rebio23_80ml!BF77/50</f>
        <v>0</v>
      </c>
      <c r="BG76" s="27">
        <f>rebio23_80ml!BG77/50</f>
        <v>0</v>
      </c>
    </row>
    <row r="77" spans="1:59" ht="12.75" customHeight="1" x14ac:dyDescent="0.25">
      <c r="A77" s="15" t="str">
        <f>rebio23_80ml!A78</f>
        <v>C-C-P14-H1</v>
      </c>
      <c r="B77" s="27">
        <f>rebio23_80ml!B78/50</f>
        <v>0</v>
      </c>
      <c r="C77" s="27">
        <f>rebio23_80ml!C78/50</f>
        <v>0.02</v>
      </c>
      <c r="D77" s="27">
        <f>rebio23_80ml!D78/50</f>
        <v>0</v>
      </c>
      <c r="E77" s="27">
        <f>rebio23_80ml!E78/50</f>
        <v>1.92</v>
      </c>
      <c r="F77" s="27">
        <f>rebio23_80ml!F78/50</f>
        <v>0.02</v>
      </c>
      <c r="G77" s="27">
        <f>rebio23_80ml!G78/50</f>
        <v>0</v>
      </c>
      <c r="H77" s="27">
        <f>rebio23_80ml!H78/50</f>
        <v>0</v>
      </c>
      <c r="I77" s="27">
        <f>rebio23_80ml!I78/50</f>
        <v>0.08</v>
      </c>
      <c r="J77" s="27">
        <f>rebio23_80ml!J78/50</f>
        <v>0</v>
      </c>
      <c r="K77" s="27">
        <f>rebio23_80ml!K78/50</f>
        <v>0</v>
      </c>
      <c r="L77" s="27">
        <f>rebio23_80ml!L78/50</f>
        <v>0</v>
      </c>
      <c r="M77" s="27">
        <f>rebio23_80ml!M78/50</f>
        <v>0</v>
      </c>
      <c r="N77" s="27">
        <f>rebio23_80ml!N78/50</f>
        <v>0</v>
      </c>
      <c r="O77" s="27">
        <f>rebio23_80ml!O78/50</f>
        <v>0</v>
      </c>
      <c r="P77" s="27">
        <f>rebio23_80ml!P78/50</f>
        <v>0</v>
      </c>
      <c r="Q77" s="27">
        <f>rebio23_80ml!Q78/50</f>
        <v>0</v>
      </c>
      <c r="R77" s="27">
        <f>rebio23_80ml!R78/50</f>
        <v>0</v>
      </c>
      <c r="S77" s="27">
        <f>rebio23_80ml!S78/50</f>
        <v>0</v>
      </c>
      <c r="T77" s="27">
        <f>rebio23_80ml!T78/50</f>
        <v>0</v>
      </c>
      <c r="U77" s="27">
        <f>rebio23_80ml!U78/50</f>
        <v>0</v>
      </c>
      <c r="V77" s="27">
        <f>rebio23_80ml!V78/50</f>
        <v>0</v>
      </c>
      <c r="W77" s="27">
        <f>rebio23_80ml!W78/50</f>
        <v>0</v>
      </c>
      <c r="X77" s="27">
        <f>rebio23_80ml!X78/50</f>
        <v>0</v>
      </c>
      <c r="Y77" s="27">
        <f>rebio23_80ml!Y78/50</f>
        <v>0</v>
      </c>
      <c r="Z77" s="27">
        <f>rebio23_80ml!Z78/50</f>
        <v>0</v>
      </c>
      <c r="AA77" s="27">
        <f>rebio23_80ml!AA78/50</f>
        <v>0</v>
      </c>
      <c r="AB77" s="27">
        <f>rebio23_80ml!AB78/50</f>
        <v>0</v>
      </c>
      <c r="AC77" s="27">
        <f>rebio23_80ml!AC78/50</f>
        <v>0</v>
      </c>
      <c r="AD77" s="27">
        <f>rebio23_80ml!AD78/50</f>
        <v>0</v>
      </c>
      <c r="AE77" s="27">
        <f>rebio23_80ml!AE78/50</f>
        <v>0</v>
      </c>
      <c r="AF77" s="27">
        <f>rebio23_80ml!AF78/50</f>
        <v>0</v>
      </c>
      <c r="AG77" s="27">
        <f>rebio23_80ml!AG78/50</f>
        <v>0</v>
      </c>
      <c r="AH77" s="27">
        <f>rebio23_80ml!AH78/50</f>
        <v>0</v>
      </c>
      <c r="AI77" s="27">
        <f>rebio23_80ml!AI78/50</f>
        <v>0</v>
      </c>
      <c r="AJ77" s="27">
        <f>rebio23_80ml!AJ78/50</f>
        <v>0</v>
      </c>
      <c r="AK77" s="27">
        <f>rebio23_80ml!AK78/50</f>
        <v>0</v>
      </c>
      <c r="AL77" s="27">
        <f>rebio23_80ml!AL78/50</f>
        <v>0</v>
      </c>
      <c r="AM77" s="27">
        <f>rebio23_80ml!AM78/50</f>
        <v>0</v>
      </c>
      <c r="AN77" s="27">
        <f>rebio23_80ml!AN78/50</f>
        <v>0</v>
      </c>
      <c r="AO77" s="27">
        <f>rebio23_80ml!AO78/50</f>
        <v>0</v>
      </c>
      <c r="AP77" s="27">
        <f>rebio23_80ml!AP78/50</f>
        <v>0</v>
      </c>
      <c r="AQ77" s="27">
        <f>rebio23_80ml!AQ78/50</f>
        <v>0</v>
      </c>
      <c r="AR77" s="27">
        <f>rebio23_80ml!AR78/50</f>
        <v>0</v>
      </c>
      <c r="AS77" s="27">
        <f>rebio23_80ml!AS78/50</f>
        <v>0</v>
      </c>
      <c r="AT77" s="27">
        <f>rebio23_80ml!AT78/50</f>
        <v>0</v>
      </c>
      <c r="AU77" s="27">
        <f>rebio23_80ml!AU78/50</f>
        <v>0</v>
      </c>
      <c r="AV77" s="27">
        <f>rebio23_80ml!AV78/50</f>
        <v>0.18</v>
      </c>
      <c r="AW77" s="27">
        <f>rebio23_80ml!AW78/50</f>
        <v>0</v>
      </c>
      <c r="AX77" s="27">
        <f>rebio23_80ml!AX78/50</f>
        <v>0</v>
      </c>
      <c r="AY77" s="27">
        <f>rebio23_80ml!AY78/50</f>
        <v>0</v>
      </c>
      <c r="AZ77" s="27">
        <f>rebio23_80ml!AZ78/50</f>
        <v>0</v>
      </c>
      <c r="BA77" s="27">
        <f>rebio23_80ml!BA78/50</f>
        <v>0</v>
      </c>
      <c r="BB77" s="27">
        <f>rebio23_80ml!BB78/50</f>
        <v>0</v>
      </c>
      <c r="BC77" s="27">
        <f>rebio23_80ml!BC78/50</f>
        <v>0.02</v>
      </c>
      <c r="BD77" s="27">
        <f>rebio23_80ml!BD78/50</f>
        <v>0</v>
      </c>
      <c r="BE77" s="27">
        <f>rebio23_80ml!BE78/50</f>
        <v>0</v>
      </c>
      <c r="BF77" s="27">
        <f>rebio23_80ml!BF78/50</f>
        <v>0</v>
      </c>
      <c r="BG77" s="27">
        <f>rebio23_80ml!BG78/50</f>
        <v>0</v>
      </c>
    </row>
    <row r="78" spans="1:59" ht="12.75" customHeight="1" x14ac:dyDescent="0.25">
      <c r="A78" s="15" t="str">
        <f>rebio23_80ml!A79</f>
        <v>C-C-P14-H2</v>
      </c>
      <c r="B78" s="27">
        <f>rebio23_80ml!B79/50</f>
        <v>0.16</v>
      </c>
      <c r="C78" s="27">
        <f>rebio23_80ml!C79/50</f>
        <v>0</v>
      </c>
      <c r="D78" s="27">
        <f>rebio23_80ml!D79/50</f>
        <v>0</v>
      </c>
      <c r="E78" s="27">
        <f>rebio23_80ml!E79/50</f>
        <v>1.96</v>
      </c>
      <c r="F78" s="27">
        <f>rebio23_80ml!F79/50</f>
        <v>0</v>
      </c>
      <c r="G78" s="27">
        <f>rebio23_80ml!G79/50</f>
        <v>0</v>
      </c>
      <c r="H78" s="27">
        <f>rebio23_80ml!H79/50</f>
        <v>0</v>
      </c>
      <c r="I78" s="27">
        <f>rebio23_80ml!I79/50</f>
        <v>0.18</v>
      </c>
      <c r="J78" s="27">
        <f>rebio23_80ml!J79/50</f>
        <v>0</v>
      </c>
      <c r="K78" s="27">
        <f>rebio23_80ml!K79/50</f>
        <v>0</v>
      </c>
      <c r="L78" s="27">
        <f>rebio23_80ml!L79/50</f>
        <v>0.1</v>
      </c>
      <c r="M78" s="27">
        <f>rebio23_80ml!M79/50</f>
        <v>0</v>
      </c>
      <c r="N78" s="27">
        <f>rebio23_80ml!N79/50</f>
        <v>0</v>
      </c>
      <c r="O78" s="27">
        <f>rebio23_80ml!O79/50</f>
        <v>0</v>
      </c>
      <c r="P78" s="27">
        <f>rebio23_80ml!P79/50</f>
        <v>0</v>
      </c>
      <c r="Q78" s="27">
        <f>rebio23_80ml!Q79/50</f>
        <v>0</v>
      </c>
      <c r="R78" s="27">
        <f>rebio23_80ml!R79/50</f>
        <v>0</v>
      </c>
      <c r="S78" s="27">
        <f>rebio23_80ml!S79/50</f>
        <v>0</v>
      </c>
      <c r="T78" s="27">
        <f>rebio23_80ml!T79/50</f>
        <v>0.04</v>
      </c>
      <c r="U78" s="27">
        <f>rebio23_80ml!U79/50</f>
        <v>0</v>
      </c>
      <c r="V78" s="27">
        <f>rebio23_80ml!V79/50</f>
        <v>0</v>
      </c>
      <c r="W78" s="27">
        <f>rebio23_80ml!W79/50</f>
        <v>0</v>
      </c>
      <c r="X78" s="27">
        <f>rebio23_80ml!X79/50</f>
        <v>0</v>
      </c>
      <c r="Y78" s="27">
        <f>rebio23_80ml!Y79/50</f>
        <v>0</v>
      </c>
      <c r="Z78" s="27">
        <f>rebio23_80ml!Z79/50</f>
        <v>0.1</v>
      </c>
      <c r="AA78" s="27">
        <f>rebio23_80ml!AA79/50</f>
        <v>0</v>
      </c>
      <c r="AB78" s="27">
        <f>rebio23_80ml!AB79/50</f>
        <v>0</v>
      </c>
      <c r="AC78" s="27">
        <f>rebio23_80ml!AC79/50</f>
        <v>0</v>
      </c>
      <c r="AD78" s="27">
        <f>rebio23_80ml!AD79/50</f>
        <v>0</v>
      </c>
      <c r="AE78" s="27">
        <f>rebio23_80ml!AE79/50</f>
        <v>0</v>
      </c>
      <c r="AF78" s="27">
        <f>rebio23_80ml!AF79/50</f>
        <v>0</v>
      </c>
      <c r="AG78" s="27">
        <f>rebio23_80ml!AG79/50</f>
        <v>0</v>
      </c>
      <c r="AH78" s="27">
        <f>rebio23_80ml!AH79/50</f>
        <v>0</v>
      </c>
      <c r="AI78" s="27">
        <f>rebio23_80ml!AI79/50</f>
        <v>0</v>
      </c>
      <c r="AJ78" s="27">
        <f>rebio23_80ml!AJ79/50</f>
        <v>0</v>
      </c>
      <c r="AK78" s="27">
        <f>rebio23_80ml!AK79/50</f>
        <v>0</v>
      </c>
      <c r="AL78" s="27">
        <f>rebio23_80ml!AL79/50</f>
        <v>0</v>
      </c>
      <c r="AM78" s="27">
        <f>rebio23_80ml!AM79/50</f>
        <v>0</v>
      </c>
      <c r="AN78" s="27">
        <f>rebio23_80ml!AN79/50</f>
        <v>0</v>
      </c>
      <c r="AO78" s="27">
        <f>rebio23_80ml!AO79/50</f>
        <v>0</v>
      </c>
      <c r="AP78" s="27">
        <f>rebio23_80ml!AP79/50</f>
        <v>0</v>
      </c>
      <c r="AQ78" s="27">
        <f>rebio23_80ml!AQ79/50</f>
        <v>0</v>
      </c>
      <c r="AR78" s="27">
        <f>rebio23_80ml!AR79/50</f>
        <v>0</v>
      </c>
      <c r="AS78" s="27">
        <f>rebio23_80ml!AS79/50</f>
        <v>0</v>
      </c>
      <c r="AT78" s="27">
        <f>rebio23_80ml!AT79/50</f>
        <v>0</v>
      </c>
      <c r="AU78" s="27">
        <f>rebio23_80ml!AU79/50</f>
        <v>0</v>
      </c>
      <c r="AV78" s="27">
        <f>rebio23_80ml!AV79/50</f>
        <v>0.12</v>
      </c>
      <c r="AW78" s="27">
        <f>rebio23_80ml!AW79/50</f>
        <v>0</v>
      </c>
      <c r="AX78" s="27">
        <f>rebio23_80ml!AX79/50</f>
        <v>0</v>
      </c>
      <c r="AY78" s="27">
        <f>rebio23_80ml!AY79/50</f>
        <v>0</v>
      </c>
      <c r="AZ78" s="27">
        <f>rebio23_80ml!AZ79/50</f>
        <v>0</v>
      </c>
      <c r="BA78" s="27">
        <f>rebio23_80ml!BA79/50</f>
        <v>0</v>
      </c>
      <c r="BB78" s="27">
        <f>rebio23_80ml!BB79/50</f>
        <v>0</v>
      </c>
      <c r="BC78" s="27">
        <f>rebio23_80ml!BC79/50</f>
        <v>0</v>
      </c>
      <c r="BD78" s="27">
        <f>rebio23_80ml!BD79/50</f>
        <v>0</v>
      </c>
      <c r="BE78" s="27">
        <f>rebio23_80ml!BE79/50</f>
        <v>0</v>
      </c>
      <c r="BF78" s="27">
        <f>rebio23_80ml!BF79/50</f>
        <v>0</v>
      </c>
      <c r="BG78" s="27">
        <f>rebio23_80ml!BG79/50</f>
        <v>0</v>
      </c>
    </row>
    <row r="79" spans="1:59" ht="12.75" customHeight="1" x14ac:dyDescent="0.25">
      <c r="A79" s="15" t="str">
        <f>rebio23_80ml!A80</f>
        <v>C-C-P14-H3</v>
      </c>
      <c r="B79" s="27">
        <f>rebio23_80ml!B80/50</f>
        <v>0.04</v>
      </c>
      <c r="C79" s="27">
        <f>rebio23_80ml!C80/50</f>
        <v>0</v>
      </c>
      <c r="D79" s="27">
        <f>rebio23_80ml!D80/50</f>
        <v>0</v>
      </c>
      <c r="E79" s="27">
        <f>rebio23_80ml!E80/50</f>
        <v>1.36</v>
      </c>
      <c r="F79" s="27">
        <f>rebio23_80ml!F80/50</f>
        <v>0</v>
      </c>
      <c r="G79" s="27">
        <f>rebio23_80ml!G80/50</f>
        <v>0</v>
      </c>
      <c r="H79" s="27">
        <f>rebio23_80ml!H80/50</f>
        <v>0</v>
      </c>
      <c r="I79" s="27">
        <f>rebio23_80ml!I80/50</f>
        <v>0.04</v>
      </c>
      <c r="J79" s="27">
        <f>rebio23_80ml!J80/50</f>
        <v>0</v>
      </c>
      <c r="K79" s="27">
        <f>rebio23_80ml!K80/50</f>
        <v>0</v>
      </c>
      <c r="L79" s="27">
        <f>rebio23_80ml!L80/50</f>
        <v>0.04</v>
      </c>
      <c r="M79" s="27">
        <f>rebio23_80ml!M80/50</f>
        <v>0</v>
      </c>
      <c r="N79" s="27">
        <f>rebio23_80ml!N80/50</f>
        <v>0</v>
      </c>
      <c r="O79" s="27">
        <f>rebio23_80ml!O80/50</f>
        <v>0</v>
      </c>
      <c r="P79" s="27">
        <f>rebio23_80ml!P80/50</f>
        <v>0</v>
      </c>
      <c r="Q79" s="27">
        <f>rebio23_80ml!Q80/50</f>
        <v>0.02</v>
      </c>
      <c r="R79" s="27">
        <f>rebio23_80ml!R80/50</f>
        <v>0</v>
      </c>
      <c r="S79" s="27">
        <f>rebio23_80ml!S80/50</f>
        <v>0</v>
      </c>
      <c r="T79" s="27">
        <f>rebio23_80ml!T80/50</f>
        <v>0.02</v>
      </c>
      <c r="U79" s="27">
        <f>rebio23_80ml!U80/50</f>
        <v>0</v>
      </c>
      <c r="V79" s="27">
        <f>rebio23_80ml!V80/50</f>
        <v>0.02</v>
      </c>
      <c r="W79" s="27">
        <f>rebio23_80ml!W80/50</f>
        <v>0</v>
      </c>
      <c r="X79" s="27">
        <f>rebio23_80ml!X80/50</f>
        <v>0</v>
      </c>
      <c r="Y79" s="27">
        <f>rebio23_80ml!Y80/50</f>
        <v>0.02</v>
      </c>
      <c r="Z79" s="27">
        <f>rebio23_80ml!Z80/50</f>
        <v>0</v>
      </c>
      <c r="AA79" s="27">
        <f>rebio23_80ml!AA80/50</f>
        <v>0</v>
      </c>
      <c r="AB79" s="27">
        <f>rebio23_80ml!AB80/50</f>
        <v>0</v>
      </c>
      <c r="AC79" s="27">
        <f>rebio23_80ml!AC80/50</f>
        <v>0</v>
      </c>
      <c r="AD79" s="27">
        <f>rebio23_80ml!AD80/50</f>
        <v>0</v>
      </c>
      <c r="AE79" s="27">
        <f>rebio23_80ml!AE80/50</f>
        <v>0</v>
      </c>
      <c r="AF79" s="27">
        <f>rebio23_80ml!AF80/50</f>
        <v>0</v>
      </c>
      <c r="AG79" s="27">
        <f>rebio23_80ml!AG80/50</f>
        <v>0</v>
      </c>
      <c r="AH79" s="27">
        <f>rebio23_80ml!AH80/50</f>
        <v>0</v>
      </c>
      <c r="AI79" s="27">
        <f>rebio23_80ml!AI80/50</f>
        <v>0</v>
      </c>
      <c r="AJ79" s="27">
        <f>rebio23_80ml!AJ80/50</f>
        <v>0</v>
      </c>
      <c r="AK79" s="27">
        <f>rebio23_80ml!AK80/50</f>
        <v>0</v>
      </c>
      <c r="AL79" s="27">
        <f>rebio23_80ml!AL80/50</f>
        <v>0</v>
      </c>
      <c r="AM79" s="27">
        <f>rebio23_80ml!AM80/50</f>
        <v>0</v>
      </c>
      <c r="AN79" s="27">
        <f>rebio23_80ml!AN80/50</f>
        <v>0</v>
      </c>
      <c r="AO79" s="27">
        <f>rebio23_80ml!AO80/50</f>
        <v>0</v>
      </c>
      <c r="AP79" s="27">
        <f>rebio23_80ml!AP80/50</f>
        <v>0</v>
      </c>
      <c r="AQ79" s="27">
        <f>rebio23_80ml!AQ80/50</f>
        <v>0</v>
      </c>
      <c r="AR79" s="27">
        <f>rebio23_80ml!AR80/50</f>
        <v>0</v>
      </c>
      <c r="AS79" s="27">
        <f>rebio23_80ml!AS80/50</f>
        <v>0</v>
      </c>
      <c r="AT79" s="27">
        <f>rebio23_80ml!AT80/50</f>
        <v>0</v>
      </c>
      <c r="AU79" s="27">
        <f>rebio23_80ml!AU80/50</f>
        <v>0</v>
      </c>
      <c r="AV79" s="27">
        <f>rebio23_80ml!AV80/50</f>
        <v>0.1</v>
      </c>
      <c r="AW79" s="27">
        <f>rebio23_80ml!AW80/50</f>
        <v>0</v>
      </c>
      <c r="AX79" s="27">
        <f>rebio23_80ml!AX80/50</f>
        <v>0</v>
      </c>
      <c r="AY79" s="27">
        <f>rebio23_80ml!AY80/50</f>
        <v>0</v>
      </c>
      <c r="AZ79" s="27">
        <f>rebio23_80ml!AZ80/50</f>
        <v>0</v>
      </c>
      <c r="BA79" s="27">
        <f>rebio23_80ml!BA80/50</f>
        <v>0</v>
      </c>
      <c r="BB79" s="27">
        <f>rebio23_80ml!BB80/50</f>
        <v>0</v>
      </c>
      <c r="BC79" s="27">
        <f>rebio23_80ml!BC80/50</f>
        <v>0</v>
      </c>
      <c r="BD79" s="27">
        <f>rebio23_80ml!BD80/50</f>
        <v>0</v>
      </c>
      <c r="BE79" s="27">
        <f>rebio23_80ml!BE80/50</f>
        <v>0</v>
      </c>
      <c r="BF79" s="27">
        <f>rebio23_80ml!BF80/50</f>
        <v>0</v>
      </c>
      <c r="BG79" s="27">
        <f>rebio23_80ml!BG80/50</f>
        <v>0</v>
      </c>
    </row>
    <row r="80" spans="1:59" ht="12.75" customHeight="1" x14ac:dyDescent="0.25">
      <c r="A80" s="15" t="str">
        <f>rebio23_80ml!A81</f>
        <v>C-C-P15-H1</v>
      </c>
      <c r="B80" s="27">
        <f>rebio23_80ml!B81/50</f>
        <v>0.04</v>
      </c>
      <c r="C80" s="27">
        <f>rebio23_80ml!C81/50</f>
        <v>0</v>
      </c>
      <c r="D80" s="27">
        <f>rebio23_80ml!D81/50</f>
        <v>0</v>
      </c>
      <c r="E80" s="27">
        <f>rebio23_80ml!E81/50</f>
        <v>2.68</v>
      </c>
      <c r="F80" s="27">
        <f>rebio23_80ml!F81/50</f>
        <v>0.08</v>
      </c>
      <c r="G80" s="27">
        <f>rebio23_80ml!G81/50</f>
        <v>0</v>
      </c>
      <c r="H80" s="27">
        <f>rebio23_80ml!H81/50</f>
        <v>0</v>
      </c>
      <c r="I80" s="27">
        <f>rebio23_80ml!I81/50</f>
        <v>0.04</v>
      </c>
      <c r="J80" s="27">
        <f>rebio23_80ml!J81/50</f>
        <v>0</v>
      </c>
      <c r="K80" s="27">
        <f>rebio23_80ml!K81/50</f>
        <v>0</v>
      </c>
      <c r="L80" s="27">
        <f>rebio23_80ml!L81/50</f>
        <v>0</v>
      </c>
      <c r="M80" s="27">
        <f>rebio23_80ml!M81/50</f>
        <v>0</v>
      </c>
      <c r="N80" s="27">
        <f>rebio23_80ml!N81/50</f>
        <v>0</v>
      </c>
      <c r="O80" s="27">
        <f>rebio23_80ml!O81/50</f>
        <v>0</v>
      </c>
      <c r="P80" s="27">
        <f>rebio23_80ml!P81/50</f>
        <v>0</v>
      </c>
      <c r="Q80" s="27">
        <f>rebio23_80ml!Q81/50</f>
        <v>0</v>
      </c>
      <c r="R80" s="27">
        <f>rebio23_80ml!R81/50</f>
        <v>0</v>
      </c>
      <c r="S80" s="27">
        <f>rebio23_80ml!S81/50</f>
        <v>0</v>
      </c>
      <c r="T80" s="27">
        <f>rebio23_80ml!T81/50</f>
        <v>0</v>
      </c>
      <c r="U80" s="27">
        <f>rebio23_80ml!U81/50</f>
        <v>0</v>
      </c>
      <c r="V80" s="27">
        <f>rebio23_80ml!V81/50</f>
        <v>0</v>
      </c>
      <c r="W80" s="27">
        <f>rebio23_80ml!W81/50</f>
        <v>0</v>
      </c>
      <c r="X80" s="27">
        <f>rebio23_80ml!X81/50</f>
        <v>0</v>
      </c>
      <c r="Y80" s="27">
        <f>rebio23_80ml!Y81/50</f>
        <v>0</v>
      </c>
      <c r="Z80" s="27">
        <f>rebio23_80ml!Z81/50</f>
        <v>0</v>
      </c>
      <c r="AA80" s="27">
        <f>rebio23_80ml!AA81/50</f>
        <v>0</v>
      </c>
      <c r="AB80" s="27">
        <f>rebio23_80ml!AB81/50</f>
        <v>0</v>
      </c>
      <c r="AC80" s="27">
        <f>rebio23_80ml!AC81/50</f>
        <v>0</v>
      </c>
      <c r="AD80" s="27">
        <f>rebio23_80ml!AD81/50</f>
        <v>0</v>
      </c>
      <c r="AE80" s="27">
        <f>rebio23_80ml!AE81/50</f>
        <v>0</v>
      </c>
      <c r="AF80" s="27">
        <f>rebio23_80ml!AF81/50</f>
        <v>0</v>
      </c>
      <c r="AG80" s="27">
        <f>rebio23_80ml!AG81/50</f>
        <v>0</v>
      </c>
      <c r="AH80" s="27">
        <f>rebio23_80ml!AH81/50</f>
        <v>0</v>
      </c>
      <c r="AI80" s="27">
        <f>rebio23_80ml!AI81/50</f>
        <v>0</v>
      </c>
      <c r="AJ80" s="27">
        <f>rebio23_80ml!AJ81/50</f>
        <v>0</v>
      </c>
      <c r="AK80" s="27">
        <f>rebio23_80ml!AK81/50</f>
        <v>0</v>
      </c>
      <c r="AL80" s="27">
        <f>rebio23_80ml!AL81/50</f>
        <v>0</v>
      </c>
      <c r="AM80" s="27">
        <f>rebio23_80ml!AM81/50</f>
        <v>0</v>
      </c>
      <c r="AN80" s="27">
        <f>rebio23_80ml!AN81/50</f>
        <v>0</v>
      </c>
      <c r="AO80" s="27">
        <f>rebio23_80ml!AO81/50</f>
        <v>0</v>
      </c>
      <c r="AP80" s="27">
        <f>rebio23_80ml!AP81/50</f>
        <v>0</v>
      </c>
      <c r="AQ80" s="27">
        <f>rebio23_80ml!AQ81/50</f>
        <v>0</v>
      </c>
      <c r="AR80" s="27">
        <f>rebio23_80ml!AR81/50</f>
        <v>0</v>
      </c>
      <c r="AS80" s="27">
        <f>rebio23_80ml!AS81/50</f>
        <v>0</v>
      </c>
      <c r="AT80" s="27">
        <f>rebio23_80ml!AT81/50</f>
        <v>0</v>
      </c>
      <c r="AU80" s="27">
        <f>rebio23_80ml!AU81/50</f>
        <v>0</v>
      </c>
      <c r="AV80" s="27">
        <f>rebio23_80ml!AV81/50</f>
        <v>0.08</v>
      </c>
      <c r="AW80" s="27">
        <f>rebio23_80ml!AW81/50</f>
        <v>0</v>
      </c>
      <c r="AX80" s="27">
        <f>rebio23_80ml!AX81/50</f>
        <v>0.02</v>
      </c>
      <c r="AY80" s="27">
        <f>rebio23_80ml!AY81/50</f>
        <v>0.08</v>
      </c>
      <c r="AZ80" s="27">
        <f>rebio23_80ml!AZ81/50</f>
        <v>0</v>
      </c>
      <c r="BA80" s="27">
        <f>rebio23_80ml!BA81/50</f>
        <v>0</v>
      </c>
      <c r="BB80" s="27">
        <f>rebio23_80ml!BB81/50</f>
        <v>0</v>
      </c>
      <c r="BC80" s="27">
        <f>rebio23_80ml!BC81/50</f>
        <v>0</v>
      </c>
      <c r="BD80" s="27">
        <f>rebio23_80ml!BD81/50</f>
        <v>0</v>
      </c>
      <c r="BE80" s="27">
        <f>rebio23_80ml!BE81/50</f>
        <v>0.02</v>
      </c>
      <c r="BF80" s="27">
        <f>rebio23_80ml!BF81/50</f>
        <v>0</v>
      </c>
      <c r="BG80" s="27">
        <f>rebio23_80ml!BG81/50</f>
        <v>0</v>
      </c>
    </row>
    <row r="81" spans="1:59" ht="12.75" customHeight="1" x14ac:dyDescent="0.25">
      <c r="A81" s="15" t="str">
        <f>rebio23_80ml!A82</f>
        <v>C-C-P15-H2</v>
      </c>
      <c r="B81" s="27">
        <f>rebio23_80ml!B82/50</f>
        <v>0</v>
      </c>
      <c r="C81" s="27">
        <f>rebio23_80ml!C82/50</f>
        <v>0</v>
      </c>
      <c r="D81" s="27">
        <f>rebio23_80ml!D82/50</f>
        <v>0</v>
      </c>
      <c r="E81" s="27">
        <f>rebio23_80ml!E82/50</f>
        <v>1.38</v>
      </c>
      <c r="F81" s="27">
        <f>rebio23_80ml!F82/50</f>
        <v>0.04</v>
      </c>
      <c r="G81" s="27">
        <f>rebio23_80ml!G82/50</f>
        <v>0</v>
      </c>
      <c r="H81" s="27">
        <f>rebio23_80ml!H82/50</f>
        <v>0</v>
      </c>
      <c r="I81" s="27">
        <f>rebio23_80ml!I82/50</f>
        <v>0.04</v>
      </c>
      <c r="J81" s="27">
        <f>rebio23_80ml!J82/50</f>
        <v>0</v>
      </c>
      <c r="K81" s="27">
        <f>rebio23_80ml!K82/50</f>
        <v>0</v>
      </c>
      <c r="L81" s="27">
        <f>rebio23_80ml!L82/50</f>
        <v>0</v>
      </c>
      <c r="M81" s="27">
        <f>rebio23_80ml!M82/50</f>
        <v>0</v>
      </c>
      <c r="N81" s="27">
        <f>rebio23_80ml!N82/50</f>
        <v>0</v>
      </c>
      <c r="O81" s="27">
        <f>rebio23_80ml!O82/50</f>
        <v>0</v>
      </c>
      <c r="P81" s="27">
        <f>rebio23_80ml!P82/50</f>
        <v>0</v>
      </c>
      <c r="Q81" s="27">
        <f>rebio23_80ml!Q82/50</f>
        <v>0</v>
      </c>
      <c r="R81" s="27">
        <f>rebio23_80ml!R82/50</f>
        <v>0</v>
      </c>
      <c r="S81" s="27">
        <f>rebio23_80ml!S82/50</f>
        <v>0</v>
      </c>
      <c r="T81" s="27">
        <f>rebio23_80ml!T82/50</f>
        <v>0</v>
      </c>
      <c r="U81" s="27">
        <f>rebio23_80ml!U82/50</f>
        <v>0</v>
      </c>
      <c r="V81" s="27">
        <f>rebio23_80ml!V82/50</f>
        <v>0.02</v>
      </c>
      <c r="W81" s="27">
        <f>rebio23_80ml!W82/50</f>
        <v>0</v>
      </c>
      <c r="X81" s="27">
        <f>rebio23_80ml!X82/50</f>
        <v>0</v>
      </c>
      <c r="Y81" s="27">
        <f>rebio23_80ml!Y82/50</f>
        <v>0</v>
      </c>
      <c r="Z81" s="27">
        <f>rebio23_80ml!Z82/50</f>
        <v>0.02</v>
      </c>
      <c r="AA81" s="27">
        <f>rebio23_80ml!AA82/50</f>
        <v>0</v>
      </c>
      <c r="AB81" s="27">
        <f>rebio23_80ml!AB82/50</f>
        <v>0</v>
      </c>
      <c r="AC81" s="27">
        <f>rebio23_80ml!AC82/50</f>
        <v>0</v>
      </c>
      <c r="AD81" s="27">
        <f>rebio23_80ml!AD82/50</f>
        <v>0</v>
      </c>
      <c r="AE81" s="27">
        <f>rebio23_80ml!AE82/50</f>
        <v>0</v>
      </c>
      <c r="AF81" s="27">
        <f>rebio23_80ml!AF82/50</f>
        <v>0</v>
      </c>
      <c r="AG81" s="27">
        <f>rebio23_80ml!AG82/50</f>
        <v>0</v>
      </c>
      <c r="AH81" s="27">
        <f>rebio23_80ml!AH82/50</f>
        <v>0</v>
      </c>
      <c r="AI81" s="27">
        <f>rebio23_80ml!AI82/50</f>
        <v>0</v>
      </c>
      <c r="AJ81" s="27">
        <f>rebio23_80ml!AJ82/50</f>
        <v>0</v>
      </c>
      <c r="AK81" s="27">
        <f>rebio23_80ml!AK82/50</f>
        <v>0</v>
      </c>
      <c r="AL81" s="27">
        <f>rebio23_80ml!AL82/50</f>
        <v>0</v>
      </c>
      <c r="AM81" s="27">
        <f>rebio23_80ml!AM82/50</f>
        <v>0</v>
      </c>
      <c r="AN81" s="27">
        <f>rebio23_80ml!AN82/50</f>
        <v>0</v>
      </c>
      <c r="AO81" s="27">
        <f>rebio23_80ml!AO82/50</f>
        <v>0</v>
      </c>
      <c r="AP81" s="27">
        <f>rebio23_80ml!AP82/50</f>
        <v>0</v>
      </c>
      <c r="AQ81" s="27">
        <f>rebio23_80ml!AQ82/50</f>
        <v>0</v>
      </c>
      <c r="AR81" s="27">
        <f>rebio23_80ml!AR82/50</f>
        <v>0</v>
      </c>
      <c r="AS81" s="27">
        <f>rebio23_80ml!AS82/50</f>
        <v>0</v>
      </c>
      <c r="AT81" s="27">
        <f>rebio23_80ml!AT82/50</f>
        <v>0</v>
      </c>
      <c r="AU81" s="27">
        <f>rebio23_80ml!AU82/50</f>
        <v>0</v>
      </c>
      <c r="AV81" s="27">
        <f>rebio23_80ml!AV82/50</f>
        <v>0.04</v>
      </c>
      <c r="AW81" s="27">
        <f>rebio23_80ml!AW82/50</f>
        <v>0</v>
      </c>
      <c r="AX81" s="27">
        <f>rebio23_80ml!AX82/50</f>
        <v>0</v>
      </c>
      <c r="AY81" s="27">
        <f>rebio23_80ml!AY82/50</f>
        <v>0.02</v>
      </c>
      <c r="AZ81" s="27">
        <f>rebio23_80ml!AZ82/50</f>
        <v>0</v>
      </c>
      <c r="BA81" s="27">
        <f>rebio23_80ml!BA82/50</f>
        <v>0</v>
      </c>
      <c r="BB81" s="27">
        <f>rebio23_80ml!BB82/50</f>
        <v>0</v>
      </c>
      <c r="BC81" s="27">
        <f>rebio23_80ml!BC82/50</f>
        <v>0</v>
      </c>
      <c r="BD81" s="27">
        <f>rebio23_80ml!BD82/50</f>
        <v>0.04</v>
      </c>
      <c r="BE81" s="27">
        <f>rebio23_80ml!BE82/50</f>
        <v>0</v>
      </c>
      <c r="BF81" s="27">
        <f>rebio23_80ml!BF82/50</f>
        <v>0</v>
      </c>
      <c r="BG81" s="27">
        <f>rebio23_80ml!BG82/50</f>
        <v>0</v>
      </c>
    </row>
    <row r="82" spans="1:59" ht="12.75" customHeight="1" x14ac:dyDescent="0.25">
      <c r="A82" s="15" t="str">
        <f>rebio23_80ml!A83</f>
        <v>C-C-P15-H3</v>
      </c>
      <c r="B82" s="27">
        <f>rebio23_80ml!B83/50</f>
        <v>0.04</v>
      </c>
      <c r="C82" s="27">
        <f>rebio23_80ml!C83/50</f>
        <v>0</v>
      </c>
      <c r="D82" s="27">
        <f>rebio23_80ml!D83/50</f>
        <v>0</v>
      </c>
      <c r="E82" s="27">
        <f>rebio23_80ml!E83/50</f>
        <v>1.56</v>
      </c>
      <c r="F82" s="27">
        <f>rebio23_80ml!F83/50</f>
        <v>0</v>
      </c>
      <c r="G82" s="27">
        <f>rebio23_80ml!G83/50</f>
        <v>0</v>
      </c>
      <c r="H82" s="27">
        <f>rebio23_80ml!H83/50</f>
        <v>0</v>
      </c>
      <c r="I82" s="27">
        <f>rebio23_80ml!I83/50</f>
        <v>0.04</v>
      </c>
      <c r="J82" s="27">
        <f>rebio23_80ml!J83/50</f>
        <v>0</v>
      </c>
      <c r="K82" s="27">
        <f>rebio23_80ml!K83/50</f>
        <v>0</v>
      </c>
      <c r="L82" s="27">
        <f>rebio23_80ml!L83/50</f>
        <v>0</v>
      </c>
      <c r="M82" s="27">
        <f>rebio23_80ml!M83/50</f>
        <v>0</v>
      </c>
      <c r="N82" s="27">
        <f>rebio23_80ml!N83/50</f>
        <v>0</v>
      </c>
      <c r="O82" s="27">
        <f>rebio23_80ml!O83/50</f>
        <v>0</v>
      </c>
      <c r="P82" s="27">
        <f>rebio23_80ml!P83/50</f>
        <v>0</v>
      </c>
      <c r="Q82" s="27">
        <f>rebio23_80ml!Q83/50</f>
        <v>0</v>
      </c>
      <c r="R82" s="27">
        <f>rebio23_80ml!R83/50</f>
        <v>0</v>
      </c>
      <c r="S82" s="27">
        <f>rebio23_80ml!S83/50</f>
        <v>0</v>
      </c>
      <c r="T82" s="27">
        <f>rebio23_80ml!T83/50</f>
        <v>0</v>
      </c>
      <c r="U82" s="27">
        <f>rebio23_80ml!U83/50</f>
        <v>0</v>
      </c>
      <c r="V82" s="27">
        <f>rebio23_80ml!V83/50</f>
        <v>0</v>
      </c>
      <c r="W82" s="27">
        <f>rebio23_80ml!W83/50</f>
        <v>0</v>
      </c>
      <c r="X82" s="27">
        <f>rebio23_80ml!X83/50</f>
        <v>0</v>
      </c>
      <c r="Y82" s="27">
        <f>rebio23_80ml!Y83/50</f>
        <v>0</v>
      </c>
      <c r="Z82" s="27">
        <f>rebio23_80ml!Z83/50</f>
        <v>0</v>
      </c>
      <c r="AA82" s="27">
        <f>rebio23_80ml!AA83/50</f>
        <v>0.02</v>
      </c>
      <c r="AB82" s="27">
        <f>rebio23_80ml!AB83/50</f>
        <v>0</v>
      </c>
      <c r="AC82" s="27">
        <f>rebio23_80ml!AC83/50</f>
        <v>0</v>
      </c>
      <c r="AD82" s="27">
        <f>rebio23_80ml!AD83/50</f>
        <v>0</v>
      </c>
      <c r="AE82" s="27">
        <f>rebio23_80ml!AE83/50</f>
        <v>0</v>
      </c>
      <c r="AF82" s="27">
        <f>rebio23_80ml!AF83/50</f>
        <v>0</v>
      </c>
      <c r="AG82" s="27">
        <f>rebio23_80ml!AG83/50</f>
        <v>0</v>
      </c>
      <c r="AH82" s="27">
        <f>rebio23_80ml!AH83/50</f>
        <v>0</v>
      </c>
      <c r="AI82" s="27">
        <f>rebio23_80ml!AI83/50</f>
        <v>0</v>
      </c>
      <c r="AJ82" s="27">
        <f>rebio23_80ml!AJ83/50</f>
        <v>0</v>
      </c>
      <c r="AK82" s="27">
        <f>rebio23_80ml!AK83/50</f>
        <v>0</v>
      </c>
      <c r="AL82" s="27">
        <f>rebio23_80ml!AL83/50</f>
        <v>0</v>
      </c>
      <c r="AM82" s="27">
        <f>rebio23_80ml!AM83/50</f>
        <v>0</v>
      </c>
      <c r="AN82" s="27">
        <f>rebio23_80ml!AN83/50</f>
        <v>0</v>
      </c>
      <c r="AO82" s="27">
        <f>rebio23_80ml!AO83/50</f>
        <v>0</v>
      </c>
      <c r="AP82" s="27">
        <f>rebio23_80ml!AP83/50</f>
        <v>0</v>
      </c>
      <c r="AQ82" s="27">
        <f>rebio23_80ml!AQ83/50</f>
        <v>0</v>
      </c>
      <c r="AR82" s="27">
        <f>rebio23_80ml!AR83/50</f>
        <v>0</v>
      </c>
      <c r="AS82" s="27">
        <f>rebio23_80ml!AS83/50</f>
        <v>0</v>
      </c>
      <c r="AT82" s="27">
        <f>rebio23_80ml!AT83/50</f>
        <v>0</v>
      </c>
      <c r="AU82" s="27">
        <f>rebio23_80ml!AU83/50</f>
        <v>0</v>
      </c>
      <c r="AV82" s="27">
        <f>rebio23_80ml!AV83/50</f>
        <v>0.04</v>
      </c>
      <c r="AW82" s="27">
        <f>rebio23_80ml!AW83/50</f>
        <v>0</v>
      </c>
      <c r="AX82" s="27">
        <f>rebio23_80ml!AX83/50</f>
        <v>0</v>
      </c>
      <c r="AY82" s="27">
        <f>rebio23_80ml!AY83/50</f>
        <v>0</v>
      </c>
      <c r="AZ82" s="27">
        <f>rebio23_80ml!AZ83/50</f>
        <v>0</v>
      </c>
      <c r="BA82" s="27">
        <f>rebio23_80ml!BA83/50</f>
        <v>0</v>
      </c>
      <c r="BB82" s="27">
        <f>rebio23_80ml!BB83/50</f>
        <v>0</v>
      </c>
      <c r="BC82" s="27">
        <f>rebio23_80ml!BC83/50</f>
        <v>0</v>
      </c>
      <c r="BD82" s="27">
        <f>rebio23_80ml!BD83/50</f>
        <v>0</v>
      </c>
      <c r="BE82" s="27">
        <f>rebio23_80ml!BE83/50</f>
        <v>0</v>
      </c>
      <c r="BF82" s="27">
        <f>rebio23_80ml!BF83/50</f>
        <v>0</v>
      </c>
      <c r="BG82" s="27">
        <f>rebio23_80ml!BG83/50</f>
        <v>0</v>
      </c>
    </row>
    <row r="83" spans="1:59" ht="12.75" customHeight="1" x14ac:dyDescent="0.25">
      <c r="A83" s="15" t="str">
        <f>rebio23_80ml!A84</f>
        <v>C-C-P16-H1</v>
      </c>
      <c r="B83" s="27">
        <f>rebio23_80ml!B84/50</f>
        <v>1</v>
      </c>
      <c r="C83" s="27">
        <f>rebio23_80ml!C84/50</f>
        <v>0.34</v>
      </c>
      <c r="D83" s="27">
        <f>rebio23_80ml!D84/50</f>
        <v>0.52</v>
      </c>
      <c r="E83" s="27">
        <f>rebio23_80ml!E84/50</f>
        <v>3.38</v>
      </c>
      <c r="F83" s="27">
        <f>rebio23_80ml!F84/50</f>
        <v>1.7</v>
      </c>
      <c r="G83" s="27">
        <f>rebio23_80ml!G84/50</f>
        <v>0</v>
      </c>
      <c r="H83" s="27">
        <f>rebio23_80ml!H84/50</f>
        <v>0</v>
      </c>
      <c r="I83" s="27">
        <f>rebio23_80ml!I84/50</f>
        <v>8.9</v>
      </c>
      <c r="J83" s="27">
        <f>rebio23_80ml!J84/50</f>
        <v>2.84</v>
      </c>
      <c r="K83" s="27">
        <f>rebio23_80ml!K84/50</f>
        <v>0</v>
      </c>
      <c r="L83" s="27">
        <f>rebio23_80ml!L84/50</f>
        <v>2.9</v>
      </c>
      <c r="M83" s="27">
        <f>rebio23_80ml!M84/50</f>
        <v>0</v>
      </c>
      <c r="N83" s="27">
        <f>rebio23_80ml!N84/50</f>
        <v>0</v>
      </c>
      <c r="O83" s="27">
        <f>rebio23_80ml!O84/50</f>
        <v>0</v>
      </c>
      <c r="P83" s="27">
        <f>rebio23_80ml!P84/50</f>
        <v>0</v>
      </c>
      <c r="Q83" s="27">
        <f>rebio23_80ml!Q84/50</f>
        <v>1.3</v>
      </c>
      <c r="R83" s="27">
        <f>rebio23_80ml!R84/50</f>
        <v>0.5</v>
      </c>
      <c r="S83" s="27">
        <f>rebio23_80ml!S84/50</f>
        <v>0.34</v>
      </c>
      <c r="T83" s="27">
        <f>rebio23_80ml!T84/50</f>
        <v>0.76</v>
      </c>
      <c r="U83" s="27">
        <f>rebio23_80ml!U84/50</f>
        <v>0</v>
      </c>
      <c r="V83" s="27">
        <f>rebio23_80ml!V84/50</f>
        <v>2.82</v>
      </c>
      <c r="W83" s="27">
        <f>rebio23_80ml!W84/50</f>
        <v>0</v>
      </c>
      <c r="X83" s="27">
        <f>rebio23_80ml!X84/50</f>
        <v>0</v>
      </c>
      <c r="Y83" s="27">
        <f>rebio23_80ml!Y84/50</f>
        <v>0.26</v>
      </c>
      <c r="Z83" s="27">
        <f>rebio23_80ml!Z84/50</f>
        <v>0.72</v>
      </c>
      <c r="AA83" s="27">
        <f>rebio23_80ml!AA84/50</f>
        <v>0.68</v>
      </c>
      <c r="AB83" s="27">
        <f>rebio23_80ml!AB84/50</f>
        <v>0</v>
      </c>
      <c r="AC83" s="27">
        <f>rebio23_80ml!AC84/50</f>
        <v>0</v>
      </c>
      <c r="AD83" s="27">
        <f>rebio23_80ml!AD84/50</f>
        <v>0.38</v>
      </c>
      <c r="AE83" s="27">
        <f>rebio23_80ml!AE84/50</f>
        <v>0</v>
      </c>
      <c r="AF83" s="27">
        <f>rebio23_80ml!AF84/50</f>
        <v>0</v>
      </c>
      <c r="AG83" s="27">
        <f>rebio23_80ml!AG84/50</f>
        <v>0.22</v>
      </c>
      <c r="AH83" s="27">
        <f>rebio23_80ml!AH84/50</f>
        <v>0</v>
      </c>
      <c r="AI83" s="27">
        <f>rebio23_80ml!AI84/50</f>
        <v>0</v>
      </c>
      <c r="AJ83" s="27">
        <f>rebio23_80ml!AJ84/50</f>
        <v>0</v>
      </c>
      <c r="AK83" s="27">
        <f>rebio23_80ml!AK84/50</f>
        <v>0</v>
      </c>
      <c r="AL83" s="27">
        <f>rebio23_80ml!AL84/50</f>
        <v>0.24</v>
      </c>
      <c r="AM83" s="27">
        <f>rebio23_80ml!AM84/50</f>
        <v>0</v>
      </c>
      <c r="AN83" s="27">
        <f>rebio23_80ml!AN84/50</f>
        <v>0</v>
      </c>
      <c r="AO83" s="27">
        <f>rebio23_80ml!AO84/50</f>
        <v>0</v>
      </c>
      <c r="AP83" s="27">
        <f>rebio23_80ml!AP84/50</f>
        <v>0.82</v>
      </c>
      <c r="AQ83" s="27">
        <f>rebio23_80ml!AQ84/50</f>
        <v>2.12</v>
      </c>
      <c r="AR83" s="27">
        <f>rebio23_80ml!AR84/50</f>
        <v>0.08</v>
      </c>
      <c r="AS83" s="27">
        <f>rebio23_80ml!AS84/50</f>
        <v>0</v>
      </c>
      <c r="AT83" s="27">
        <f>rebio23_80ml!AT84/50</f>
        <v>0</v>
      </c>
      <c r="AU83" s="27">
        <f>rebio23_80ml!AU84/50</f>
        <v>0</v>
      </c>
      <c r="AV83" s="27">
        <f>rebio23_80ml!AV84/50</f>
        <v>3.38</v>
      </c>
      <c r="AW83" s="27">
        <f>rebio23_80ml!AW84/50</f>
        <v>0</v>
      </c>
      <c r="AX83" s="27">
        <f>rebio23_80ml!AX84/50</f>
        <v>0.28000000000000003</v>
      </c>
      <c r="AY83" s="27">
        <f>rebio23_80ml!AY84/50</f>
        <v>0.56000000000000005</v>
      </c>
      <c r="AZ83" s="27">
        <f>rebio23_80ml!AZ84/50</f>
        <v>0</v>
      </c>
      <c r="BA83" s="27">
        <f>rebio23_80ml!BA84/50</f>
        <v>0</v>
      </c>
      <c r="BB83" s="27">
        <f>rebio23_80ml!BB84/50</f>
        <v>0</v>
      </c>
      <c r="BC83" s="27">
        <f>rebio23_80ml!BC84/50</f>
        <v>0</v>
      </c>
      <c r="BD83" s="27">
        <f>rebio23_80ml!BD84/50</f>
        <v>0.36</v>
      </c>
      <c r="BE83" s="27">
        <f>rebio23_80ml!BE84/50</f>
        <v>0.26</v>
      </c>
      <c r="BF83" s="27">
        <f>rebio23_80ml!BF84/50</f>
        <v>0</v>
      </c>
      <c r="BG83" s="27">
        <f>rebio23_80ml!BG84/50</f>
        <v>0</v>
      </c>
    </row>
    <row r="84" spans="1:59" ht="12.75" customHeight="1" x14ac:dyDescent="0.25">
      <c r="A84" s="15" t="str">
        <f>rebio23_80ml!A85</f>
        <v>C-C-P16-H2</v>
      </c>
      <c r="B84" s="27">
        <f>rebio23_80ml!B85/50</f>
        <v>0.06</v>
      </c>
      <c r="C84" s="27">
        <f>rebio23_80ml!C85/50</f>
        <v>0</v>
      </c>
      <c r="D84" s="27">
        <f>rebio23_80ml!D85/50</f>
        <v>0.1</v>
      </c>
      <c r="E84" s="27">
        <f>rebio23_80ml!E85/50</f>
        <v>1.36</v>
      </c>
      <c r="F84" s="27">
        <f>rebio23_80ml!F85/50</f>
        <v>0.8</v>
      </c>
      <c r="G84" s="27">
        <f>rebio23_80ml!G85/50</f>
        <v>0</v>
      </c>
      <c r="H84" s="27">
        <f>rebio23_80ml!H85/50</f>
        <v>0.14000000000000001</v>
      </c>
      <c r="I84" s="27">
        <f>rebio23_80ml!I85/50</f>
        <v>7.1</v>
      </c>
      <c r="J84" s="27">
        <f>rebio23_80ml!J85/50</f>
        <v>1.1599999999999999</v>
      </c>
      <c r="K84" s="27">
        <f>rebio23_80ml!K85/50</f>
        <v>0</v>
      </c>
      <c r="L84" s="27">
        <f>rebio23_80ml!L85/50</f>
        <v>1.3</v>
      </c>
      <c r="M84" s="27">
        <f>rebio23_80ml!M85/50</f>
        <v>0</v>
      </c>
      <c r="N84" s="27">
        <f>rebio23_80ml!N85/50</f>
        <v>0</v>
      </c>
      <c r="O84" s="27">
        <f>rebio23_80ml!O85/50</f>
        <v>0</v>
      </c>
      <c r="P84" s="27">
        <f>rebio23_80ml!P85/50</f>
        <v>0</v>
      </c>
      <c r="Q84" s="27">
        <f>rebio23_80ml!Q85/50</f>
        <v>1</v>
      </c>
      <c r="R84" s="27">
        <f>rebio23_80ml!R85/50</f>
        <v>0</v>
      </c>
      <c r="S84" s="27">
        <f>rebio23_80ml!S85/50</f>
        <v>0</v>
      </c>
      <c r="T84" s="27">
        <f>rebio23_80ml!T85/50</f>
        <v>0.7</v>
      </c>
      <c r="U84" s="27">
        <f>rebio23_80ml!U85/50</f>
        <v>0</v>
      </c>
      <c r="V84" s="27">
        <f>rebio23_80ml!V85/50</f>
        <v>0.8</v>
      </c>
      <c r="W84" s="27">
        <f>rebio23_80ml!W85/50</f>
        <v>0</v>
      </c>
      <c r="X84" s="27">
        <f>rebio23_80ml!X85/50</f>
        <v>0</v>
      </c>
      <c r="Y84" s="27">
        <f>rebio23_80ml!Y85/50</f>
        <v>0.08</v>
      </c>
      <c r="Z84" s="27">
        <f>rebio23_80ml!Z85/50</f>
        <v>0</v>
      </c>
      <c r="AA84" s="27">
        <f>rebio23_80ml!AA85/50</f>
        <v>0.7</v>
      </c>
      <c r="AB84" s="27">
        <f>rebio23_80ml!AB85/50</f>
        <v>0</v>
      </c>
      <c r="AC84" s="27">
        <f>rebio23_80ml!AC85/50</f>
        <v>0</v>
      </c>
      <c r="AD84" s="27">
        <f>rebio23_80ml!AD85/50</f>
        <v>0.2</v>
      </c>
      <c r="AE84" s="27">
        <f>rebio23_80ml!AE85/50</f>
        <v>0</v>
      </c>
      <c r="AF84" s="27">
        <f>rebio23_80ml!AF85/50</f>
        <v>0</v>
      </c>
      <c r="AG84" s="27">
        <f>rebio23_80ml!AG85/50</f>
        <v>0</v>
      </c>
      <c r="AH84" s="27">
        <f>rebio23_80ml!AH85/50</f>
        <v>0</v>
      </c>
      <c r="AI84" s="27">
        <f>rebio23_80ml!AI85/50</f>
        <v>0</v>
      </c>
      <c r="AJ84" s="27">
        <f>rebio23_80ml!AJ85/50</f>
        <v>0</v>
      </c>
      <c r="AK84" s="27">
        <f>rebio23_80ml!AK85/50</f>
        <v>0</v>
      </c>
      <c r="AL84" s="27">
        <f>rebio23_80ml!AL85/50</f>
        <v>0.32</v>
      </c>
      <c r="AM84" s="27">
        <f>rebio23_80ml!AM85/50</f>
        <v>0</v>
      </c>
      <c r="AN84" s="27">
        <f>rebio23_80ml!AN85/50</f>
        <v>0</v>
      </c>
      <c r="AO84" s="27">
        <f>rebio23_80ml!AO85/50</f>
        <v>0</v>
      </c>
      <c r="AP84" s="27">
        <f>rebio23_80ml!AP85/50</f>
        <v>1.62</v>
      </c>
      <c r="AQ84" s="27">
        <f>rebio23_80ml!AQ85/50</f>
        <v>0.5</v>
      </c>
      <c r="AR84" s="27">
        <f>rebio23_80ml!AR85/50</f>
        <v>0.08</v>
      </c>
      <c r="AS84" s="27">
        <f>rebio23_80ml!AS85/50</f>
        <v>0</v>
      </c>
      <c r="AT84" s="27">
        <f>rebio23_80ml!AT85/50</f>
        <v>0</v>
      </c>
      <c r="AU84" s="27">
        <f>rebio23_80ml!AU85/50</f>
        <v>0</v>
      </c>
      <c r="AV84" s="27">
        <f>rebio23_80ml!AV85/50</f>
        <v>1.84</v>
      </c>
      <c r="AW84" s="27">
        <f>rebio23_80ml!AW85/50</f>
        <v>0.3</v>
      </c>
      <c r="AX84" s="27">
        <f>rebio23_80ml!AX85/50</f>
        <v>0.1</v>
      </c>
      <c r="AY84" s="27">
        <f>rebio23_80ml!AY85/50</f>
        <v>0.5</v>
      </c>
      <c r="AZ84" s="27">
        <f>rebio23_80ml!AZ85/50</f>
        <v>0</v>
      </c>
      <c r="BA84" s="27">
        <f>rebio23_80ml!BA85/50</f>
        <v>0</v>
      </c>
      <c r="BB84" s="27">
        <f>rebio23_80ml!BB85/50</f>
        <v>0</v>
      </c>
      <c r="BC84" s="27">
        <f>rebio23_80ml!BC85/50</f>
        <v>0</v>
      </c>
      <c r="BD84" s="27">
        <f>rebio23_80ml!BD85/50</f>
        <v>0.22</v>
      </c>
      <c r="BE84" s="27">
        <f>rebio23_80ml!BE85/50</f>
        <v>0.2</v>
      </c>
      <c r="BF84" s="27">
        <f>rebio23_80ml!BF85/50</f>
        <v>0</v>
      </c>
      <c r="BG84" s="27">
        <f>rebio23_80ml!BG85/50</f>
        <v>0</v>
      </c>
    </row>
    <row r="85" spans="1:59" ht="12.75" customHeight="1" x14ac:dyDescent="0.25">
      <c r="A85" s="15" t="str">
        <f>rebio23_80ml!A86</f>
        <v>C-C-P16-H3</v>
      </c>
      <c r="B85" s="27">
        <f>rebio23_80ml!B86/50</f>
        <v>0.84</v>
      </c>
      <c r="C85" s="27">
        <f>rebio23_80ml!C86/50</f>
        <v>0.32</v>
      </c>
      <c r="D85" s="27">
        <f>rebio23_80ml!D86/50</f>
        <v>0</v>
      </c>
      <c r="E85" s="27">
        <f>rebio23_80ml!E86/50</f>
        <v>0.88</v>
      </c>
      <c r="F85" s="27">
        <f>rebio23_80ml!F86/50</f>
        <v>1.22</v>
      </c>
      <c r="G85" s="27">
        <f>rebio23_80ml!G86/50</f>
        <v>0</v>
      </c>
      <c r="H85" s="27">
        <f>rebio23_80ml!H86/50</f>
        <v>0.02</v>
      </c>
      <c r="I85" s="27">
        <f>rebio23_80ml!I86/50</f>
        <v>7.62</v>
      </c>
      <c r="J85" s="27">
        <f>rebio23_80ml!J86/50</f>
        <v>1.56</v>
      </c>
      <c r="K85" s="27">
        <f>rebio23_80ml!K86/50</f>
        <v>0</v>
      </c>
      <c r="L85" s="27">
        <f>rebio23_80ml!L86/50</f>
        <v>1.54</v>
      </c>
      <c r="M85" s="27">
        <f>rebio23_80ml!M86/50</f>
        <v>0</v>
      </c>
      <c r="N85" s="27">
        <f>rebio23_80ml!N86/50</f>
        <v>0</v>
      </c>
      <c r="O85" s="27">
        <f>rebio23_80ml!O86/50</f>
        <v>0</v>
      </c>
      <c r="P85" s="27">
        <f>rebio23_80ml!P86/50</f>
        <v>0</v>
      </c>
      <c r="Q85" s="27">
        <f>rebio23_80ml!Q86/50</f>
        <v>1.64</v>
      </c>
      <c r="R85" s="27">
        <f>rebio23_80ml!R86/50</f>
        <v>0.38</v>
      </c>
      <c r="S85" s="27">
        <f>rebio23_80ml!S86/50</f>
        <v>0.04</v>
      </c>
      <c r="T85" s="27">
        <f>rebio23_80ml!T86/50</f>
        <v>0.6</v>
      </c>
      <c r="U85" s="27">
        <f>rebio23_80ml!U86/50</f>
        <v>0.2</v>
      </c>
      <c r="V85" s="27">
        <f>rebio23_80ml!V86/50</f>
        <v>8.34</v>
      </c>
      <c r="W85" s="27">
        <f>rebio23_80ml!W86/50</f>
        <v>0</v>
      </c>
      <c r="X85" s="27">
        <f>rebio23_80ml!X86/50</f>
        <v>0</v>
      </c>
      <c r="Y85" s="27">
        <f>rebio23_80ml!Y86/50</f>
        <v>0.06</v>
      </c>
      <c r="Z85" s="27">
        <f>rebio23_80ml!Z86/50</f>
        <v>0.38</v>
      </c>
      <c r="AA85" s="27">
        <f>rebio23_80ml!AA86/50</f>
        <v>1.34</v>
      </c>
      <c r="AB85" s="27">
        <f>rebio23_80ml!AB86/50</f>
        <v>0</v>
      </c>
      <c r="AC85" s="27">
        <f>rebio23_80ml!AC86/50</f>
        <v>0</v>
      </c>
      <c r="AD85" s="27">
        <f>rebio23_80ml!AD86/50</f>
        <v>0</v>
      </c>
      <c r="AE85" s="27">
        <f>rebio23_80ml!AE86/50</f>
        <v>0</v>
      </c>
      <c r="AF85" s="27">
        <f>rebio23_80ml!AF86/50</f>
        <v>0</v>
      </c>
      <c r="AG85" s="27">
        <f>rebio23_80ml!AG86/50</f>
        <v>0.24</v>
      </c>
      <c r="AH85" s="27">
        <f>rebio23_80ml!AH86/50</f>
        <v>0</v>
      </c>
      <c r="AI85" s="27">
        <f>rebio23_80ml!AI86/50</f>
        <v>0</v>
      </c>
      <c r="AJ85" s="27">
        <f>rebio23_80ml!AJ86/50</f>
        <v>0</v>
      </c>
      <c r="AK85" s="27">
        <f>rebio23_80ml!AK86/50</f>
        <v>0</v>
      </c>
      <c r="AL85" s="27">
        <f>rebio23_80ml!AL86/50</f>
        <v>0.18</v>
      </c>
      <c r="AM85" s="27">
        <f>rebio23_80ml!AM86/50</f>
        <v>0</v>
      </c>
      <c r="AN85" s="27">
        <f>rebio23_80ml!AN86/50</f>
        <v>0</v>
      </c>
      <c r="AO85" s="27">
        <f>rebio23_80ml!AO86/50</f>
        <v>0</v>
      </c>
      <c r="AP85" s="27">
        <f>rebio23_80ml!AP86/50</f>
        <v>1.08</v>
      </c>
      <c r="AQ85" s="27">
        <f>rebio23_80ml!AQ86/50</f>
        <v>1.64</v>
      </c>
      <c r="AR85" s="27">
        <f>rebio23_80ml!AR86/50</f>
        <v>0.72</v>
      </c>
      <c r="AS85" s="27">
        <f>rebio23_80ml!AS86/50</f>
        <v>0</v>
      </c>
      <c r="AT85" s="27">
        <f>rebio23_80ml!AT86/50</f>
        <v>0</v>
      </c>
      <c r="AU85" s="27">
        <f>rebio23_80ml!AU86/50</f>
        <v>0</v>
      </c>
      <c r="AV85" s="27">
        <f>rebio23_80ml!AV86/50</f>
        <v>1.98</v>
      </c>
      <c r="AW85" s="27">
        <f>rebio23_80ml!AW86/50</f>
        <v>0</v>
      </c>
      <c r="AX85" s="27">
        <f>rebio23_80ml!AX86/50</f>
        <v>0.2</v>
      </c>
      <c r="AY85" s="27">
        <f>rebio23_80ml!AY86/50</f>
        <v>2.56</v>
      </c>
      <c r="AZ85" s="27">
        <f>rebio23_80ml!AZ86/50</f>
        <v>0</v>
      </c>
      <c r="BA85" s="27">
        <f>rebio23_80ml!BA86/50</f>
        <v>0</v>
      </c>
      <c r="BB85" s="27">
        <f>rebio23_80ml!BB86/50</f>
        <v>0</v>
      </c>
      <c r="BC85" s="27">
        <f>rebio23_80ml!BC86/50</f>
        <v>0</v>
      </c>
      <c r="BD85" s="27">
        <f>rebio23_80ml!BD86/50</f>
        <v>0.16</v>
      </c>
      <c r="BE85" s="27">
        <f>rebio23_80ml!BE86/50</f>
        <v>0.2</v>
      </c>
      <c r="BF85" s="27">
        <f>rebio23_80ml!BF86/50</f>
        <v>0</v>
      </c>
      <c r="BG85" s="27">
        <f>rebio23_80ml!BG86/50</f>
        <v>0</v>
      </c>
    </row>
    <row r="86" spans="1:59" ht="12.75" customHeight="1" x14ac:dyDescent="0.25">
      <c r="A86" s="15" t="str">
        <f>rebio23_80ml!A87</f>
        <v>C-C-P17-H1</v>
      </c>
      <c r="B86" s="27">
        <f>rebio23_80ml!B87/50</f>
        <v>0.02</v>
      </c>
      <c r="C86" s="27">
        <f>rebio23_80ml!C87/50</f>
        <v>0</v>
      </c>
      <c r="D86" s="27">
        <f>rebio23_80ml!D87/50</f>
        <v>0</v>
      </c>
      <c r="E86" s="27">
        <f>rebio23_80ml!E87/50</f>
        <v>1.66</v>
      </c>
      <c r="F86" s="27">
        <f>rebio23_80ml!F87/50</f>
        <v>0.04</v>
      </c>
      <c r="G86" s="27">
        <f>rebio23_80ml!G87/50</f>
        <v>0</v>
      </c>
      <c r="H86" s="27">
        <f>rebio23_80ml!H87/50</f>
        <v>0</v>
      </c>
      <c r="I86" s="27">
        <f>rebio23_80ml!I87/50</f>
        <v>0.1</v>
      </c>
      <c r="J86" s="27">
        <f>rebio23_80ml!J87/50</f>
        <v>0.06</v>
      </c>
      <c r="K86" s="27">
        <f>rebio23_80ml!K87/50</f>
        <v>0</v>
      </c>
      <c r="L86" s="27">
        <f>rebio23_80ml!L87/50</f>
        <v>0</v>
      </c>
      <c r="M86" s="27">
        <f>rebio23_80ml!M87/50</f>
        <v>0</v>
      </c>
      <c r="N86" s="27">
        <f>rebio23_80ml!N87/50</f>
        <v>0</v>
      </c>
      <c r="O86" s="27">
        <f>rebio23_80ml!O87/50</f>
        <v>0</v>
      </c>
      <c r="P86" s="27">
        <f>rebio23_80ml!P87/50</f>
        <v>0</v>
      </c>
      <c r="Q86" s="27">
        <f>rebio23_80ml!Q87/50</f>
        <v>0</v>
      </c>
      <c r="R86" s="27">
        <f>rebio23_80ml!R87/50</f>
        <v>0</v>
      </c>
      <c r="S86" s="27">
        <f>rebio23_80ml!S87/50</f>
        <v>0</v>
      </c>
      <c r="T86" s="27">
        <f>rebio23_80ml!T87/50</f>
        <v>0.04</v>
      </c>
      <c r="U86" s="27">
        <f>rebio23_80ml!U87/50</f>
        <v>0</v>
      </c>
      <c r="V86" s="27">
        <f>rebio23_80ml!V87/50</f>
        <v>0</v>
      </c>
      <c r="W86" s="27">
        <f>rebio23_80ml!W87/50</f>
        <v>0</v>
      </c>
      <c r="X86" s="27">
        <f>rebio23_80ml!X87/50</f>
        <v>0</v>
      </c>
      <c r="Y86" s="27">
        <f>rebio23_80ml!Y87/50</f>
        <v>0</v>
      </c>
      <c r="Z86" s="27">
        <f>rebio23_80ml!Z87/50</f>
        <v>0</v>
      </c>
      <c r="AA86" s="27">
        <f>rebio23_80ml!AA87/50</f>
        <v>0.04</v>
      </c>
      <c r="AB86" s="27">
        <f>rebio23_80ml!AB87/50</f>
        <v>0</v>
      </c>
      <c r="AC86" s="27">
        <f>rebio23_80ml!AC87/50</f>
        <v>0</v>
      </c>
      <c r="AD86" s="27">
        <f>rebio23_80ml!AD87/50</f>
        <v>0</v>
      </c>
      <c r="AE86" s="27">
        <f>rebio23_80ml!AE87/50</f>
        <v>0</v>
      </c>
      <c r="AF86" s="27">
        <f>rebio23_80ml!AF87/50</f>
        <v>0</v>
      </c>
      <c r="AG86" s="27">
        <f>rebio23_80ml!AG87/50</f>
        <v>0</v>
      </c>
      <c r="AH86" s="27">
        <f>rebio23_80ml!AH87/50</f>
        <v>0</v>
      </c>
      <c r="AI86" s="27">
        <f>rebio23_80ml!AI87/50</f>
        <v>0</v>
      </c>
      <c r="AJ86" s="27">
        <f>rebio23_80ml!AJ87/50</f>
        <v>0</v>
      </c>
      <c r="AK86" s="27">
        <f>rebio23_80ml!AK87/50</f>
        <v>0</v>
      </c>
      <c r="AL86" s="27">
        <f>rebio23_80ml!AL87/50</f>
        <v>0</v>
      </c>
      <c r="AM86" s="27">
        <f>rebio23_80ml!AM87/50</f>
        <v>0</v>
      </c>
      <c r="AN86" s="27">
        <f>rebio23_80ml!AN87/50</f>
        <v>0</v>
      </c>
      <c r="AO86" s="27">
        <f>rebio23_80ml!AO87/50</f>
        <v>0</v>
      </c>
      <c r="AP86" s="27">
        <f>rebio23_80ml!AP87/50</f>
        <v>0</v>
      </c>
      <c r="AQ86" s="27">
        <f>rebio23_80ml!AQ87/50</f>
        <v>0</v>
      </c>
      <c r="AR86" s="27">
        <f>rebio23_80ml!AR87/50</f>
        <v>0</v>
      </c>
      <c r="AS86" s="27">
        <f>rebio23_80ml!AS87/50</f>
        <v>0</v>
      </c>
      <c r="AT86" s="27">
        <f>rebio23_80ml!AT87/50</f>
        <v>0</v>
      </c>
      <c r="AU86" s="27">
        <f>rebio23_80ml!AU87/50</f>
        <v>0</v>
      </c>
      <c r="AV86" s="27">
        <f>rebio23_80ml!AV87/50</f>
        <v>0.14000000000000001</v>
      </c>
      <c r="AW86" s="27">
        <f>rebio23_80ml!AW87/50</f>
        <v>0</v>
      </c>
      <c r="AX86" s="27">
        <f>rebio23_80ml!AX87/50</f>
        <v>0</v>
      </c>
      <c r="AY86" s="27">
        <f>rebio23_80ml!AY87/50</f>
        <v>0.02</v>
      </c>
      <c r="AZ86" s="27">
        <f>rebio23_80ml!AZ87/50</f>
        <v>0</v>
      </c>
      <c r="BA86" s="27">
        <f>rebio23_80ml!BA87/50</f>
        <v>0</v>
      </c>
      <c r="BB86" s="27">
        <f>rebio23_80ml!BB87/50</f>
        <v>0</v>
      </c>
      <c r="BC86" s="27">
        <f>rebio23_80ml!BC87/50</f>
        <v>0</v>
      </c>
      <c r="BD86" s="27">
        <f>rebio23_80ml!BD87/50</f>
        <v>0</v>
      </c>
      <c r="BE86" s="27">
        <f>rebio23_80ml!BE87/50</f>
        <v>0</v>
      </c>
      <c r="BF86" s="27">
        <f>rebio23_80ml!BF87/50</f>
        <v>0</v>
      </c>
      <c r="BG86" s="27">
        <f>rebio23_80ml!BG87/50</f>
        <v>0</v>
      </c>
    </row>
    <row r="87" spans="1:59" ht="12.75" customHeight="1" x14ac:dyDescent="0.25">
      <c r="A87" s="15" t="str">
        <f>rebio23_80ml!A88</f>
        <v>C-C-P17-H2</v>
      </c>
      <c r="B87" s="27">
        <f>rebio23_80ml!B88/50</f>
        <v>0.36</v>
      </c>
      <c r="C87" s="27">
        <f>rebio23_80ml!C88/50</f>
        <v>0</v>
      </c>
      <c r="D87" s="27">
        <f>rebio23_80ml!D88/50</f>
        <v>0.06</v>
      </c>
      <c r="E87" s="27">
        <f>rebio23_80ml!E88/50</f>
        <v>1.82</v>
      </c>
      <c r="F87" s="27">
        <f>rebio23_80ml!F88/50</f>
        <v>0.28000000000000003</v>
      </c>
      <c r="G87" s="27">
        <f>rebio23_80ml!G88/50</f>
        <v>0</v>
      </c>
      <c r="H87" s="27">
        <f>rebio23_80ml!H88/50</f>
        <v>0</v>
      </c>
      <c r="I87" s="27">
        <f>rebio23_80ml!I88/50</f>
        <v>0.76</v>
      </c>
      <c r="J87" s="27">
        <f>rebio23_80ml!J88/50</f>
        <v>0.42</v>
      </c>
      <c r="K87" s="27">
        <f>rebio23_80ml!K88/50</f>
        <v>0</v>
      </c>
      <c r="L87" s="27">
        <f>rebio23_80ml!L88/50</f>
        <v>0.24</v>
      </c>
      <c r="M87" s="27">
        <f>rebio23_80ml!M88/50</f>
        <v>0</v>
      </c>
      <c r="N87" s="27">
        <f>rebio23_80ml!N88/50</f>
        <v>0</v>
      </c>
      <c r="O87" s="27">
        <f>rebio23_80ml!O88/50</f>
        <v>0</v>
      </c>
      <c r="P87" s="27">
        <f>rebio23_80ml!P88/50</f>
        <v>0.02</v>
      </c>
      <c r="Q87" s="27">
        <f>rebio23_80ml!Q88/50</f>
        <v>0.04</v>
      </c>
      <c r="R87" s="27">
        <f>rebio23_80ml!R88/50</f>
        <v>0.22</v>
      </c>
      <c r="S87" s="27">
        <f>rebio23_80ml!S88/50</f>
        <v>0.04</v>
      </c>
      <c r="T87" s="27">
        <f>rebio23_80ml!T88/50</f>
        <v>0.02</v>
      </c>
      <c r="U87" s="27">
        <f>rebio23_80ml!U88/50</f>
        <v>0</v>
      </c>
      <c r="V87" s="27">
        <f>rebio23_80ml!V88/50</f>
        <v>0.16</v>
      </c>
      <c r="W87" s="27">
        <f>rebio23_80ml!W88/50</f>
        <v>0</v>
      </c>
      <c r="X87" s="27">
        <f>rebio23_80ml!X88/50</f>
        <v>0</v>
      </c>
      <c r="Y87" s="27">
        <f>rebio23_80ml!Y88/50</f>
        <v>0</v>
      </c>
      <c r="Z87" s="27">
        <f>rebio23_80ml!Z88/50</f>
        <v>0.16</v>
      </c>
      <c r="AA87" s="27">
        <f>rebio23_80ml!AA88/50</f>
        <v>0.56000000000000005</v>
      </c>
      <c r="AB87" s="27">
        <f>rebio23_80ml!AB88/50</f>
        <v>0</v>
      </c>
      <c r="AC87" s="27">
        <f>rebio23_80ml!AC88/50</f>
        <v>0</v>
      </c>
      <c r="AD87" s="27">
        <f>rebio23_80ml!AD88/50</f>
        <v>0.02</v>
      </c>
      <c r="AE87" s="27">
        <f>rebio23_80ml!AE88/50</f>
        <v>0</v>
      </c>
      <c r="AF87" s="27">
        <f>rebio23_80ml!AF88/50</f>
        <v>0</v>
      </c>
      <c r="AG87" s="27">
        <f>rebio23_80ml!AG88/50</f>
        <v>0.08</v>
      </c>
      <c r="AH87" s="27">
        <f>rebio23_80ml!AH88/50</f>
        <v>0</v>
      </c>
      <c r="AI87" s="27">
        <f>rebio23_80ml!AI88/50</f>
        <v>0</v>
      </c>
      <c r="AJ87" s="27">
        <f>rebio23_80ml!AJ88/50</f>
        <v>0</v>
      </c>
      <c r="AK87" s="27">
        <f>rebio23_80ml!AK88/50</f>
        <v>0</v>
      </c>
      <c r="AL87" s="27">
        <f>rebio23_80ml!AL88/50</f>
        <v>0</v>
      </c>
      <c r="AM87" s="27">
        <f>rebio23_80ml!AM88/50</f>
        <v>0</v>
      </c>
      <c r="AN87" s="27">
        <f>rebio23_80ml!AN88/50</f>
        <v>0</v>
      </c>
      <c r="AO87" s="27">
        <f>rebio23_80ml!AO88/50</f>
        <v>0</v>
      </c>
      <c r="AP87" s="27">
        <f>rebio23_80ml!AP88/50</f>
        <v>0</v>
      </c>
      <c r="AQ87" s="27">
        <f>rebio23_80ml!AQ88/50</f>
        <v>0.28000000000000003</v>
      </c>
      <c r="AR87" s="27">
        <f>rebio23_80ml!AR88/50</f>
        <v>0</v>
      </c>
      <c r="AS87" s="27">
        <f>rebio23_80ml!AS88/50</f>
        <v>0</v>
      </c>
      <c r="AT87" s="27">
        <f>rebio23_80ml!AT88/50</f>
        <v>0</v>
      </c>
      <c r="AU87" s="27">
        <f>rebio23_80ml!AU88/50</f>
        <v>0</v>
      </c>
      <c r="AV87" s="27">
        <f>rebio23_80ml!AV88/50</f>
        <v>0.26</v>
      </c>
      <c r="AW87" s="27">
        <f>rebio23_80ml!AW88/50</f>
        <v>0</v>
      </c>
      <c r="AX87" s="27">
        <f>rebio23_80ml!AX88/50</f>
        <v>0</v>
      </c>
      <c r="AY87" s="27">
        <f>rebio23_80ml!AY88/50</f>
        <v>0.12</v>
      </c>
      <c r="AZ87" s="27">
        <f>rebio23_80ml!AZ88/50</f>
        <v>0</v>
      </c>
      <c r="BA87" s="27">
        <f>rebio23_80ml!BA88/50</f>
        <v>0</v>
      </c>
      <c r="BB87" s="27">
        <f>rebio23_80ml!BB88/50</f>
        <v>0</v>
      </c>
      <c r="BC87" s="27">
        <f>rebio23_80ml!BC88/50</f>
        <v>0</v>
      </c>
      <c r="BD87" s="27">
        <f>rebio23_80ml!BD88/50</f>
        <v>0.32</v>
      </c>
      <c r="BE87" s="27">
        <f>rebio23_80ml!BE88/50</f>
        <v>0.08</v>
      </c>
      <c r="BF87" s="27">
        <f>rebio23_80ml!BF88/50</f>
        <v>0</v>
      </c>
      <c r="BG87" s="27">
        <f>rebio23_80ml!BG88/50</f>
        <v>0</v>
      </c>
    </row>
    <row r="88" spans="1:59" ht="12.75" customHeight="1" x14ac:dyDescent="0.25">
      <c r="A88" s="15" t="str">
        <f>rebio23_80ml!A89</f>
        <v>C-C-P17-H3</v>
      </c>
      <c r="B88" s="27">
        <f>rebio23_80ml!B89/50</f>
        <v>0</v>
      </c>
      <c r="C88" s="27">
        <f>rebio23_80ml!C89/50</f>
        <v>0</v>
      </c>
      <c r="D88" s="27">
        <f>rebio23_80ml!D89/50</f>
        <v>0</v>
      </c>
      <c r="E88" s="27">
        <f>rebio23_80ml!E89/50</f>
        <v>1.1399999999999999</v>
      </c>
      <c r="F88" s="27">
        <f>rebio23_80ml!F89/50</f>
        <v>0.08</v>
      </c>
      <c r="G88" s="27">
        <f>rebio23_80ml!G89/50</f>
        <v>0</v>
      </c>
      <c r="H88" s="27">
        <f>rebio23_80ml!H89/50</f>
        <v>0</v>
      </c>
      <c r="I88" s="27">
        <f>rebio23_80ml!I89/50</f>
        <v>0.26</v>
      </c>
      <c r="J88" s="27">
        <f>rebio23_80ml!J89/50</f>
        <v>0.18</v>
      </c>
      <c r="K88" s="27">
        <f>rebio23_80ml!K89/50</f>
        <v>0</v>
      </c>
      <c r="L88" s="27">
        <f>rebio23_80ml!L89/50</f>
        <v>0.1</v>
      </c>
      <c r="M88" s="27">
        <f>rebio23_80ml!M89/50</f>
        <v>0</v>
      </c>
      <c r="N88" s="27">
        <f>rebio23_80ml!N89/50</f>
        <v>0</v>
      </c>
      <c r="O88" s="27">
        <f>rebio23_80ml!O89/50</f>
        <v>0</v>
      </c>
      <c r="P88" s="27">
        <f>rebio23_80ml!P89/50</f>
        <v>0</v>
      </c>
      <c r="Q88" s="27">
        <f>rebio23_80ml!Q89/50</f>
        <v>0</v>
      </c>
      <c r="R88" s="27">
        <f>rebio23_80ml!R89/50</f>
        <v>0.1</v>
      </c>
      <c r="S88" s="27">
        <f>rebio23_80ml!S89/50</f>
        <v>0</v>
      </c>
      <c r="T88" s="27">
        <f>rebio23_80ml!T89/50</f>
        <v>0.12</v>
      </c>
      <c r="U88" s="27">
        <f>rebio23_80ml!U89/50</f>
        <v>0</v>
      </c>
      <c r="V88" s="27">
        <f>rebio23_80ml!V89/50</f>
        <v>0</v>
      </c>
      <c r="W88" s="27">
        <f>rebio23_80ml!W89/50</f>
        <v>0</v>
      </c>
      <c r="X88" s="27">
        <f>rebio23_80ml!X89/50</f>
        <v>0</v>
      </c>
      <c r="Y88" s="27">
        <f>rebio23_80ml!Y89/50</f>
        <v>0</v>
      </c>
      <c r="Z88" s="27">
        <f>rebio23_80ml!Z89/50</f>
        <v>0</v>
      </c>
      <c r="AA88" s="27">
        <f>rebio23_80ml!AA89/50</f>
        <v>0.04</v>
      </c>
      <c r="AB88" s="27">
        <f>rebio23_80ml!AB89/50</f>
        <v>0</v>
      </c>
      <c r="AC88" s="27">
        <f>rebio23_80ml!AC89/50</f>
        <v>0</v>
      </c>
      <c r="AD88" s="27">
        <f>rebio23_80ml!AD89/50</f>
        <v>0</v>
      </c>
      <c r="AE88" s="27">
        <f>rebio23_80ml!AE89/50</f>
        <v>0</v>
      </c>
      <c r="AF88" s="27">
        <f>rebio23_80ml!AF89/50</f>
        <v>0</v>
      </c>
      <c r="AG88" s="27">
        <f>rebio23_80ml!AG89/50</f>
        <v>0.02</v>
      </c>
      <c r="AH88" s="27">
        <f>rebio23_80ml!AH89/50</f>
        <v>0</v>
      </c>
      <c r="AI88" s="27">
        <f>rebio23_80ml!AI89/50</f>
        <v>0</v>
      </c>
      <c r="AJ88" s="27">
        <f>rebio23_80ml!AJ89/50</f>
        <v>0</v>
      </c>
      <c r="AK88" s="27">
        <f>rebio23_80ml!AK89/50</f>
        <v>0</v>
      </c>
      <c r="AL88" s="27">
        <f>rebio23_80ml!AL89/50</f>
        <v>0</v>
      </c>
      <c r="AM88" s="27">
        <f>rebio23_80ml!AM89/50</f>
        <v>0</v>
      </c>
      <c r="AN88" s="27">
        <f>rebio23_80ml!AN89/50</f>
        <v>0</v>
      </c>
      <c r="AO88" s="27">
        <f>rebio23_80ml!AO89/50</f>
        <v>0</v>
      </c>
      <c r="AP88" s="27">
        <f>rebio23_80ml!AP89/50</f>
        <v>0</v>
      </c>
      <c r="AQ88" s="27">
        <f>rebio23_80ml!AQ89/50</f>
        <v>0</v>
      </c>
      <c r="AR88" s="27">
        <f>rebio23_80ml!AR89/50</f>
        <v>0</v>
      </c>
      <c r="AS88" s="27">
        <f>rebio23_80ml!AS89/50</f>
        <v>0</v>
      </c>
      <c r="AT88" s="27">
        <f>rebio23_80ml!AT89/50</f>
        <v>0</v>
      </c>
      <c r="AU88" s="27">
        <f>rebio23_80ml!AU89/50</f>
        <v>0</v>
      </c>
      <c r="AV88" s="27">
        <f>rebio23_80ml!AV89/50</f>
        <v>0</v>
      </c>
      <c r="AW88" s="27">
        <f>rebio23_80ml!AW89/50</f>
        <v>0</v>
      </c>
      <c r="AX88" s="27">
        <f>rebio23_80ml!AX89/50</f>
        <v>0</v>
      </c>
      <c r="AY88" s="27">
        <f>rebio23_80ml!AY89/50</f>
        <v>0</v>
      </c>
      <c r="AZ88" s="27">
        <f>rebio23_80ml!AZ89/50</f>
        <v>0</v>
      </c>
      <c r="BA88" s="27">
        <f>rebio23_80ml!BA89/50</f>
        <v>0</v>
      </c>
      <c r="BB88" s="27">
        <f>rebio23_80ml!BB89/50</f>
        <v>0</v>
      </c>
      <c r="BC88" s="27">
        <f>rebio23_80ml!BC89/50</f>
        <v>0</v>
      </c>
      <c r="BD88" s="27">
        <f>rebio23_80ml!BD89/50</f>
        <v>0</v>
      </c>
      <c r="BE88" s="27">
        <f>rebio23_80ml!BE89/50</f>
        <v>0</v>
      </c>
      <c r="BF88" s="27">
        <f>rebio23_80ml!BF89/50</f>
        <v>0</v>
      </c>
      <c r="BG88" s="27">
        <f>rebio23_80ml!BG89/50</f>
        <v>0</v>
      </c>
    </row>
    <row r="89" spans="1:59" ht="12.75" customHeight="1" x14ac:dyDescent="0.25">
      <c r="A89" s="15" t="str">
        <f>rebio23_80ml!A90</f>
        <v>C-C-P18-H1</v>
      </c>
      <c r="B89" s="27">
        <f>rebio23_80ml!B90/50</f>
        <v>0.08</v>
      </c>
      <c r="C89" s="27">
        <f>rebio23_80ml!C90/50</f>
        <v>0.02</v>
      </c>
      <c r="D89" s="27">
        <f>rebio23_80ml!D90/50</f>
        <v>0</v>
      </c>
      <c r="E89" s="27">
        <f>rebio23_80ml!E90/50</f>
        <v>1.3</v>
      </c>
      <c r="F89" s="27">
        <f>rebio23_80ml!F90/50</f>
        <v>0.04</v>
      </c>
      <c r="G89" s="27">
        <f>rebio23_80ml!G90/50</f>
        <v>0</v>
      </c>
      <c r="H89" s="27">
        <f>rebio23_80ml!H90/50</f>
        <v>0</v>
      </c>
      <c r="I89" s="27">
        <f>rebio23_80ml!I90/50</f>
        <v>0.12</v>
      </c>
      <c r="J89" s="27">
        <f>rebio23_80ml!J90/50</f>
        <v>0.06</v>
      </c>
      <c r="K89" s="27">
        <f>rebio23_80ml!K90/50</f>
        <v>0</v>
      </c>
      <c r="L89" s="27">
        <f>rebio23_80ml!L90/50</f>
        <v>0.02</v>
      </c>
      <c r="M89" s="27">
        <f>rebio23_80ml!M90/50</f>
        <v>0</v>
      </c>
      <c r="N89" s="27">
        <f>rebio23_80ml!N90/50</f>
        <v>0</v>
      </c>
      <c r="O89" s="27">
        <f>rebio23_80ml!O90/50</f>
        <v>0</v>
      </c>
      <c r="P89" s="27">
        <f>rebio23_80ml!P90/50</f>
        <v>0</v>
      </c>
      <c r="Q89" s="27">
        <f>rebio23_80ml!Q90/50</f>
        <v>0</v>
      </c>
      <c r="R89" s="27">
        <f>rebio23_80ml!R90/50</f>
        <v>0.02</v>
      </c>
      <c r="S89" s="27">
        <f>rebio23_80ml!S90/50</f>
        <v>0</v>
      </c>
      <c r="T89" s="27">
        <f>rebio23_80ml!T90/50</f>
        <v>0</v>
      </c>
      <c r="U89" s="27">
        <f>rebio23_80ml!U90/50</f>
        <v>0</v>
      </c>
      <c r="V89" s="27">
        <f>rebio23_80ml!V90/50</f>
        <v>0</v>
      </c>
      <c r="W89" s="27">
        <f>rebio23_80ml!W90/50</f>
        <v>0</v>
      </c>
      <c r="X89" s="27">
        <f>rebio23_80ml!X90/50</f>
        <v>0</v>
      </c>
      <c r="Y89" s="27">
        <f>rebio23_80ml!Y90/50</f>
        <v>0</v>
      </c>
      <c r="Z89" s="27">
        <f>rebio23_80ml!Z90/50</f>
        <v>0</v>
      </c>
      <c r="AA89" s="27">
        <f>rebio23_80ml!AA90/50</f>
        <v>0.02</v>
      </c>
      <c r="AB89" s="27">
        <f>rebio23_80ml!AB90/50</f>
        <v>0</v>
      </c>
      <c r="AC89" s="27">
        <f>rebio23_80ml!AC90/50</f>
        <v>0</v>
      </c>
      <c r="AD89" s="27">
        <f>rebio23_80ml!AD90/50</f>
        <v>0</v>
      </c>
      <c r="AE89" s="27">
        <f>rebio23_80ml!AE90/50</f>
        <v>0</v>
      </c>
      <c r="AF89" s="27">
        <f>rebio23_80ml!AF90/50</f>
        <v>0</v>
      </c>
      <c r="AG89" s="27">
        <f>rebio23_80ml!AG90/50</f>
        <v>0</v>
      </c>
      <c r="AH89" s="27">
        <f>rebio23_80ml!AH90/50</f>
        <v>0</v>
      </c>
      <c r="AI89" s="27">
        <f>rebio23_80ml!AI90/50</f>
        <v>0</v>
      </c>
      <c r="AJ89" s="27">
        <f>rebio23_80ml!AJ90/50</f>
        <v>0</v>
      </c>
      <c r="AK89" s="27">
        <f>rebio23_80ml!AK90/50</f>
        <v>0</v>
      </c>
      <c r="AL89" s="27">
        <f>rebio23_80ml!AL90/50</f>
        <v>0</v>
      </c>
      <c r="AM89" s="27">
        <f>rebio23_80ml!AM90/50</f>
        <v>0</v>
      </c>
      <c r="AN89" s="27">
        <f>rebio23_80ml!AN90/50</f>
        <v>0</v>
      </c>
      <c r="AO89" s="27">
        <f>rebio23_80ml!AO90/50</f>
        <v>0</v>
      </c>
      <c r="AP89" s="27">
        <f>rebio23_80ml!AP90/50</f>
        <v>0</v>
      </c>
      <c r="AQ89" s="27">
        <f>rebio23_80ml!AQ90/50</f>
        <v>0.04</v>
      </c>
      <c r="AR89" s="27">
        <f>rebio23_80ml!AR90/50</f>
        <v>0</v>
      </c>
      <c r="AS89" s="27">
        <f>rebio23_80ml!AS90/50</f>
        <v>0</v>
      </c>
      <c r="AT89" s="27">
        <f>rebio23_80ml!AT90/50</f>
        <v>0</v>
      </c>
      <c r="AU89" s="27">
        <f>rebio23_80ml!AU90/50</f>
        <v>0</v>
      </c>
      <c r="AV89" s="27">
        <f>rebio23_80ml!AV90/50</f>
        <v>0.02</v>
      </c>
      <c r="AW89" s="27">
        <f>rebio23_80ml!AW90/50</f>
        <v>0</v>
      </c>
      <c r="AX89" s="27">
        <f>rebio23_80ml!AX90/50</f>
        <v>0</v>
      </c>
      <c r="AY89" s="27">
        <f>rebio23_80ml!AY90/50</f>
        <v>0.06</v>
      </c>
      <c r="AZ89" s="27">
        <f>rebio23_80ml!AZ90/50</f>
        <v>0</v>
      </c>
      <c r="BA89" s="27">
        <f>rebio23_80ml!BA90/50</f>
        <v>0</v>
      </c>
      <c r="BB89" s="27">
        <f>rebio23_80ml!BB90/50</f>
        <v>0</v>
      </c>
      <c r="BC89" s="27">
        <f>rebio23_80ml!BC90/50</f>
        <v>0</v>
      </c>
      <c r="BD89" s="27">
        <f>rebio23_80ml!BD90/50</f>
        <v>0</v>
      </c>
      <c r="BE89" s="27">
        <f>rebio23_80ml!BE90/50</f>
        <v>0</v>
      </c>
      <c r="BF89" s="27">
        <f>rebio23_80ml!BF90/50</f>
        <v>0</v>
      </c>
      <c r="BG89" s="27">
        <f>rebio23_80ml!BG90/50</f>
        <v>0</v>
      </c>
    </row>
    <row r="90" spans="1:59" ht="12.75" customHeight="1" x14ac:dyDescent="0.25">
      <c r="A90" s="15" t="str">
        <f>rebio23_80ml!A91</f>
        <v>C-C-P18-H2</v>
      </c>
      <c r="B90" s="27">
        <f>rebio23_80ml!B91/50</f>
        <v>0.12</v>
      </c>
      <c r="C90" s="27">
        <f>rebio23_80ml!C91/50</f>
        <v>0</v>
      </c>
      <c r="D90" s="27">
        <f>rebio23_80ml!D91/50</f>
        <v>0</v>
      </c>
      <c r="E90" s="27">
        <f>rebio23_80ml!E91/50</f>
        <v>2.14</v>
      </c>
      <c r="F90" s="27">
        <f>rebio23_80ml!F91/50</f>
        <v>0.08</v>
      </c>
      <c r="G90" s="27">
        <f>rebio23_80ml!G91/50</f>
        <v>0</v>
      </c>
      <c r="H90" s="27">
        <f>rebio23_80ml!H91/50</f>
        <v>0</v>
      </c>
      <c r="I90" s="27">
        <f>rebio23_80ml!I91/50</f>
        <v>1.68</v>
      </c>
      <c r="J90" s="27">
        <f>rebio23_80ml!J91/50</f>
        <v>0.24</v>
      </c>
      <c r="K90" s="27">
        <f>rebio23_80ml!K91/50</f>
        <v>0</v>
      </c>
      <c r="L90" s="27">
        <f>rebio23_80ml!L91/50</f>
        <v>0.46</v>
      </c>
      <c r="M90" s="27">
        <f>rebio23_80ml!M91/50</f>
        <v>0</v>
      </c>
      <c r="N90" s="27">
        <f>rebio23_80ml!N91/50</f>
        <v>0</v>
      </c>
      <c r="O90" s="27">
        <f>rebio23_80ml!O91/50</f>
        <v>0</v>
      </c>
      <c r="P90" s="27">
        <f>rebio23_80ml!P91/50</f>
        <v>0</v>
      </c>
      <c r="Q90" s="27">
        <f>rebio23_80ml!Q91/50</f>
        <v>0.04</v>
      </c>
      <c r="R90" s="27">
        <f>rebio23_80ml!R91/50</f>
        <v>0</v>
      </c>
      <c r="S90" s="27">
        <f>rebio23_80ml!S91/50</f>
        <v>0</v>
      </c>
      <c r="T90" s="27">
        <f>rebio23_80ml!T91/50</f>
        <v>0.02</v>
      </c>
      <c r="U90" s="27">
        <f>rebio23_80ml!U91/50</f>
        <v>0</v>
      </c>
      <c r="V90" s="27">
        <f>rebio23_80ml!V91/50</f>
        <v>0.08</v>
      </c>
      <c r="W90" s="27">
        <f>rebio23_80ml!W91/50</f>
        <v>0</v>
      </c>
      <c r="X90" s="27">
        <f>rebio23_80ml!X91/50</f>
        <v>0</v>
      </c>
      <c r="Y90" s="27">
        <f>rebio23_80ml!Y91/50</f>
        <v>0.06</v>
      </c>
      <c r="Z90" s="27">
        <f>rebio23_80ml!Z91/50</f>
        <v>0.02</v>
      </c>
      <c r="AA90" s="27">
        <f>rebio23_80ml!AA91/50</f>
        <v>0.06</v>
      </c>
      <c r="AB90" s="27">
        <f>rebio23_80ml!AB91/50</f>
        <v>0</v>
      </c>
      <c r="AC90" s="27">
        <f>rebio23_80ml!AC91/50</f>
        <v>0</v>
      </c>
      <c r="AD90" s="27">
        <f>rebio23_80ml!AD91/50</f>
        <v>0</v>
      </c>
      <c r="AE90" s="27">
        <f>rebio23_80ml!AE91/50</f>
        <v>0</v>
      </c>
      <c r="AF90" s="27">
        <f>rebio23_80ml!AF91/50</f>
        <v>0</v>
      </c>
      <c r="AG90" s="27">
        <f>rebio23_80ml!AG91/50</f>
        <v>0</v>
      </c>
      <c r="AH90" s="27">
        <f>rebio23_80ml!AH91/50</f>
        <v>0</v>
      </c>
      <c r="AI90" s="27">
        <f>rebio23_80ml!AI91/50</f>
        <v>0</v>
      </c>
      <c r="AJ90" s="27">
        <f>rebio23_80ml!AJ91/50</f>
        <v>0</v>
      </c>
      <c r="AK90" s="27">
        <f>rebio23_80ml!AK91/50</f>
        <v>0</v>
      </c>
      <c r="AL90" s="27">
        <f>rebio23_80ml!AL91/50</f>
        <v>0.06</v>
      </c>
      <c r="AM90" s="27">
        <f>rebio23_80ml!AM91/50</f>
        <v>0</v>
      </c>
      <c r="AN90" s="27">
        <f>rebio23_80ml!AN91/50</f>
        <v>0</v>
      </c>
      <c r="AO90" s="27">
        <f>rebio23_80ml!AO91/50</f>
        <v>0</v>
      </c>
      <c r="AP90" s="27">
        <f>rebio23_80ml!AP91/50</f>
        <v>0</v>
      </c>
      <c r="AQ90" s="27">
        <f>rebio23_80ml!AQ91/50</f>
        <v>0.02</v>
      </c>
      <c r="AR90" s="27">
        <f>rebio23_80ml!AR91/50</f>
        <v>0</v>
      </c>
      <c r="AS90" s="27">
        <f>rebio23_80ml!AS91/50</f>
        <v>0</v>
      </c>
      <c r="AT90" s="27">
        <f>rebio23_80ml!AT91/50</f>
        <v>0</v>
      </c>
      <c r="AU90" s="27">
        <f>rebio23_80ml!AU91/50</f>
        <v>0</v>
      </c>
      <c r="AV90" s="27">
        <f>rebio23_80ml!AV91/50</f>
        <v>0.82</v>
      </c>
      <c r="AW90" s="27">
        <f>rebio23_80ml!AW91/50</f>
        <v>0.02</v>
      </c>
      <c r="AX90" s="27">
        <f>rebio23_80ml!AX91/50</f>
        <v>0.24</v>
      </c>
      <c r="AY90" s="27">
        <f>rebio23_80ml!AY91/50</f>
        <v>0.08</v>
      </c>
      <c r="AZ90" s="27">
        <f>rebio23_80ml!AZ91/50</f>
        <v>0</v>
      </c>
      <c r="BA90" s="27">
        <f>rebio23_80ml!BA91/50</f>
        <v>0</v>
      </c>
      <c r="BB90" s="27">
        <f>rebio23_80ml!BB91/50</f>
        <v>0</v>
      </c>
      <c r="BC90" s="27">
        <f>rebio23_80ml!BC91/50</f>
        <v>0</v>
      </c>
      <c r="BD90" s="27">
        <f>rebio23_80ml!BD91/50</f>
        <v>0</v>
      </c>
      <c r="BE90" s="27">
        <f>rebio23_80ml!BE91/50</f>
        <v>0</v>
      </c>
      <c r="BF90" s="27">
        <f>rebio23_80ml!BF91/50</f>
        <v>0</v>
      </c>
      <c r="BG90" s="27">
        <f>rebio23_80ml!BG91/50</f>
        <v>0</v>
      </c>
    </row>
    <row r="91" spans="1:59" ht="12.75" customHeight="1" x14ac:dyDescent="0.25">
      <c r="A91" s="15" t="str">
        <f>rebio23_80ml!A92</f>
        <v>C-C-P18-H3</v>
      </c>
      <c r="B91" s="27">
        <f>rebio23_80ml!B92/50</f>
        <v>0.14000000000000001</v>
      </c>
      <c r="C91" s="27">
        <f>rebio23_80ml!C92/50</f>
        <v>0</v>
      </c>
      <c r="D91" s="27">
        <f>rebio23_80ml!D92/50</f>
        <v>0</v>
      </c>
      <c r="E91" s="27">
        <f>rebio23_80ml!E92/50</f>
        <v>0.78</v>
      </c>
      <c r="F91" s="27">
        <f>rebio23_80ml!F92/50</f>
        <v>0.02</v>
      </c>
      <c r="G91" s="27">
        <f>rebio23_80ml!G92/50</f>
        <v>0</v>
      </c>
      <c r="H91" s="27">
        <f>rebio23_80ml!H92/50</f>
        <v>0</v>
      </c>
      <c r="I91" s="27">
        <f>rebio23_80ml!I92/50</f>
        <v>0.98</v>
      </c>
      <c r="J91" s="27">
        <f>rebio23_80ml!J92/50</f>
        <v>0.04</v>
      </c>
      <c r="K91" s="27">
        <f>rebio23_80ml!K92/50</f>
        <v>0</v>
      </c>
      <c r="L91" s="27">
        <f>rebio23_80ml!L92/50</f>
        <v>0.18</v>
      </c>
      <c r="M91" s="27">
        <f>rebio23_80ml!M92/50</f>
        <v>0</v>
      </c>
      <c r="N91" s="27">
        <f>rebio23_80ml!N92/50</f>
        <v>0</v>
      </c>
      <c r="O91" s="27">
        <f>rebio23_80ml!O92/50</f>
        <v>0</v>
      </c>
      <c r="P91" s="27">
        <f>rebio23_80ml!P92/50</f>
        <v>0</v>
      </c>
      <c r="Q91" s="27">
        <f>rebio23_80ml!Q92/50</f>
        <v>0</v>
      </c>
      <c r="R91" s="27">
        <f>rebio23_80ml!R92/50</f>
        <v>0.02</v>
      </c>
      <c r="S91" s="27">
        <f>rebio23_80ml!S92/50</f>
        <v>0</v>
      </c>
      <c r="T91" s="27">
        <f>rebio23_80ml!T92/50</f>
        <v>0.04</v>
      </c>
      <c r="U91" s="27">
        <f>rebio23_80ml!U92/50</f>
        <v>0</v>
      </c>
      <c r="V91" s="27">
        <f>rebio23_80ml!V92/50</f>
        <v>0.04</v>
      </c>
      <c r="W91" s="27">
        <f>rebio23_80ml!W92/50</f>
        <v>0</v>
      </c>
      <c r="X91" s="27">
        <f>rebio23_80ml!X92/50</f>
        <v>0</v>
      </c>
      <c r="Y91" s="27">
        <f>rebio23_80ml!Y92/50</f>
        <v>0.04</v>
      </c>
      <c r="Z91" s="27">
        <f>rebio23_80ml!Z92/50</f>
        <v>0</v>
      </c>
      <c r="AA91" s="27">
        <f>rebio23_80ml!AA92/50</f>
        <v>0.04</v>
      </c>
      <c r="AB91" s="27">
        <f>rebio23_80ml!AB92/50</f>
        <v>0</v>
      </c>
      <c r="AC91" s="27">
        <f>rebio23_80ml!AC92/50</f>
        <v>0</v>
      </c>
      <c r="AD91" s="27">
        <f>rebio23_80ml!AD92/50</f>
        <v>0.02</v>
      </c>
      <c r="AE91" s="27">
        <f>rebio23_80ml!AE92/50</f>
        <v>0</v>
      </c>
      <c r="AF91" s="27">
        <f>rebio23_80ml!AF92/50</f>
        <v>0</v>
      </c>
      <c r="AG91" s="27">
        <f>rebio23_80ml!AG92/50</f>
        <v>0</v>
      </c>
      <c r="AH91" s="27">
        <f>rebio23_80ml!AH92/50</f>
        <v>0</v>
      </c>
      <c r="AI91" s="27">
        <f>rebio23_80ml!AI92/50</f>
        <v>0</v>
      </c>
      <c r="AJ91" s="27">
        <f>rebio23_80ml!AJ92/50</f>
        <v>0</v>
      </c>
      <c r="AK91" s="27">
        <f>rebio23_80ml!AK92/50</f>
        <v>0</v>
      </c>
      <c r="AL91" s="27">
        <f>rebio23_80ml!AL92/50</f>
        <v>0</v>
      </c>
      <c r="AM91" s="27">
        <f>rebio23_80ml!AM92/50</f>
        <v>0</v>
      </c>
      <c r="AN91" s="27">
        <f>rebio23_80ml!AN92/50</f>
        <v>0</v>
      </c>
      <c r="AO91" s="27">
        <f>rebio23_80ml!AO92/50</f>
        <v>0</v>
      </c>
      <c r="AP91" s="27">
        <f>rebio23_80ml!AP92/50</f>
        <v>0</v>
      </c>
      <c r="AQ91" s="27">
        <f>rebio23_80ml!AQ92/50</f>
        <v>0.04</v>
      </c>
      <c r="AR91" s="27">
        <f>rebio23_80ml!AR92/50</f>
        <v>0</v>
      </c>
      <c r="AS91" s="27">
        <f>rebio23_80ml!AS92/50</f>
        <v>0</v>
      </c>
      <c r="AT91" s="27">
        <f>rebio23_80ml!AT92/50</f>
        <v>0</v>
      </c>
      <c r="AU91" s="27">
        <f>rebio23_80ml!AU92/50</f>
        <v>0</v>
      </c>
      <c r="AV91" s="27">
        <f>rebio23_80ml!AV92/50</f>
        <v>0.42</v>
      </c>
      <c r="AW91" s="27">
        <f>rebio23_80ml!AW92/50</f>
        <v>0.32</v>
      </c>
      <c r="AX91" s="27">
        <f>rebio23_80ml!AX92/50</f>
        <v>0.04</v>
      </c>
      <c r="AY91" s="27">
        <f>rebio23_80ml!AY92/50</f>
        <v>0.08</v>
      </c>
      <c r="AZ91" s="27">
        <f>rebio23_80ml!AZ92/50</f>
        <v>0</v>
      </c>
      <c r="BA91" s="27">
        <f>rebio23_80ml!BA92/50</f>
        <v>0.02</v>
      </c>
      <c r="BB91" s="27">
        <f>rebio23_80ml!BB92/50</f>
        <v>0</v>
      </c>
      <c r="BC91" s="27">
        <f>rebio23_80ml!BC92/50</f>
        <v>0</v>
      </c>
      <c r="BD91" s="27">
        <f>rebio23_80ml!BD92/50</f>
        <v>0.02</v>
      </c>
      <c r="BE91" s="27">
        <f>rebio23_80ml!BE92/50</f>
        <v>0.02</v>
      </c>
      <c r="BF91" s="27">
        <f>rebio23_80ml!BF92/50</f>
        <v>0</v>
      </c>
      <c r="BG91" s="27">
        <f>rebio23_80ml!BG92/50</f>
        <v>0</v>
      </c>
    </row>
    <row r="92" spans="1:59" ht="12.75" customHeight="1" x14ac:dyDescent="0.25">
      <c r="A92" s="15" t="str">
        <f>rebio23_80ml!A93</f>
        <v>C-C-P19-H1</v>
      </c>
      <c r="B92" s="27">
        <f>rebio23_80ml!B93/50</f>
        <v>0.02</v>
      </c>
      <c r="C92" s="27">
        <f>rebio23_80ml!C93/50</f>
        <v>0.04</v>
      </c>
      <c r="D92" s="27">
        <f>rebio23_80ml!D93/50</f>
        <v>0</v>
      </c>
      <c r="E92" s="27">
        <f>rebio23_80ml!E93/50</f>
        <v>2.1</v>
      </c>
      <c r="F92" s="27">
        <f>rebio23_80ml!F93/50</f>
        <v>0</v>
      </c>
      <c r="G92" s="27">
        <f>rebio23_80ml!G93/50</f>
        <v>0</v>
      </c>
      <c r="H92" s="27">
        <f>rebio23_80ml!H93/50</f>
        <v>0</v>
      </c>
      <c r="I92" s="27">
        <f>rebio23_80ml!I93/50</f>
        <v>0.06</v>
      </c>
      <c r="J92" s="27">
        <f>rebio23_80ml!J93/50</f>
        <v>0</v>
      </c>
      <c r="K92" s="27">
        <f>rebio23_80ml!K93/50</f>
        <v>0</v>
      </c>
      <c r="L92" s="27">
        <f>rebio23_80ml!L93/50</f>
        <v>0</v>
      </c>
      <c r="M92" s="27">
        <f>rebio23_80ml!M93/50</f>
        <v>0</v>
      </c>
      <c r="N92" s="27">
        <f>rebio23_80ml!N93/50</f>
        <v>0</v>
      </c>
      <c r="O92" s="27">
        <f>rebio23_80ml!O93/50</f>
        <v>0</v>
      </c>
      <c r="P92" s="27">
        <f>rebio23_80ml!P93/50</f>
        <v>0</v>
      </c>
      <c r="Q92" s="27">
        <f>rebio23_80ml!Q93/50</f>
        <v>0</v>
      </c>
      <c r="R92" s="27">
        <f>rebio23_80ml!R93/50</f>
        <v>0</v>
      </c>
      <c r="S92" s="27">
        <f>rebio23_80ml!S93/50</f>
        <v>0</v>
      </c>
      <c r="T92" s="27">
        <f>rebio23_80ml!T93/50</f>
        <v>0</v>
      </c>
      <c r="U92" s="27">
        <f>rebio23_80ml!U93/50</f>
        <v>0</v>
      </c>
      <c r="V92" s="27">
        <f>rebio23_80ml!V93/50</f>
        <v>0</v>
      </c>
      <c r="W92" s="27">
        <f>rebio23_80ml!W93/50</f>
        <v>0</v>
      </c>
      <c r="X92" s="27">
        <f>rebio23_80ml!X93/50</f>
        <v>0</v>
      </c>
      <c r="Y92" s="27">
        <f>rebio23_80ml!Y93/50</f>
        <v>0.02</v>
      </c>
      <c r="Z92" s="27">
        <f>rebio23_80ml!Z93/50</f>
        <v>0</v>
      </c>
      <c r="AA92" s="27">
        <f>rebio23_80ml!AA93/50</f>
        <v>0</v>
      </c>
      <c r="AB92" s="27">
        <f>rebio23_80ml!AB93/50</f>
        <v>0</v>
      </c>
      <c r="AC92" s="27">
        <f>rebio23_80ml!AC93/50</f>
        <v>0</v>
      </c>
      <c r="AD92" s="27">
        <f>rebio23_80ml!AD93/50</f>
        <v>0</v>
      </c>
      <c r="AE92" s="27">
        <f>rebio23_80ml!AE93/50</f>
        <v>0</v>
      </c>
      <c r="AF92" s="27">
        <f>rebio23_80ml!AF93/50</f>
        <v>0</v>
      </c>
      <c r="AG92" s="27">
        <f>rebio23_80ml!AG93/50</f>
        <v>0</v>
      </c>
      <c r="AH92" s="27">
        <f>rebio23_80ml!AH93/50</f>
        <v>0</v>
      </c>
      <c r="AI92" s="27">
        <f>rebio23_80ml!AI93/50</f>
        <v>0</v>
      </c>
      <c r="AJ92" s="27">
        <f>rebio23_80ml!AJ93/50</f>
        <v>0</v>
      </c>
      <c r="AK92" s="27">
        <f>rebio23_80ml!AK93/50</f>
        <v>0</v>
      </c>
      <c r="AL92" s="27">
        <f>rebio23_80ml!AL93/50</f>
        <v>0</v>
      </c>
      <c r="AM92" s="27">
        <f>rebio23_80ml!AM93/50</f>
        <v>0</v>
      </c>
      <c r="AN92" s="27">
        <f>rebio23_80ml!AN93/50</f>
        <v>0</v>
      </c>
      <c r="AO92" s="27">
        <f>rebio23_80ml!AO93/50</f>
        <v>0</v>
      </c>
      <c r="AP92" s="27">
        <f>rebio23_80ml!AP93/50</f>
        <v>0</v>
      </c>
      <c r="AQ92" s="27">
        <f>rebio23_80ml!AQ93/50</f>
        <v>0</v>
      </c>
      <c r="AR92" s="27">
        <f>rebio23_80ml!AR93/50</f>
        <v>0</v>
      </c>
      <c r="AS92" s="27">
        <f>rebio23_80ml!AS93/50</f>
        <v>0</v>
      </c>
      <c r="AT92" s="27">
        <f>rebio23_80ml!AT93/50</f>
        <v>0</v>
      </c>
      <c r="AU92" s="27">
        <f>rebio23_80ml!AU93/50</f>
        <v>0</v>
      </c>
      <c r="AV92" s="27">
        <f>rebio23_80ml!AV93/50</f>
        <v>0.06</v>
      </c>
      <c r="AW92" s="27">
        <f>rebio23_80ml!AW93/50</f>
        <v>0</v>
      </c>
      <c r="AX92" s="27">
        <f>rebio23_80ml!AX93/50</f>
        <v>0</v>
      </c>
      <c r="AY92" s="27">
        <f>rebio23_80ml!AY93/50</f>
        <v>0</v>
      </c>
      <c r="AZ92" s="27">
        <f>rebio23_80ml!AZ93/50</f>
        <v>0</v>
      </c>
      <c r="BA92" s="27">
        <f>rebio23_80ml!BA93/50</f>
        <v>0</v>
      </c>
      <c r="BB92" s="27">
        <f>rebio23_80ml!BB93/50</f>
        <v>0</v>
      </c>
      <c r="BC92" s="27">
        <f>rebio23_80ml!BC93/50</f>
        <v>0</v>
      </c>
      <c r="BD92" s="27">
        <f>rebio23_80ml!BD93/50</f>
        <v>0</v>
      </c>
      <c r="BE92" s="27">
        <f>rebio23_80ml!BE93/50</f>
        <v>0</v>
      </c>
      <c r="BF92" s="27">
        <f>rebio23_80ml!BF93/50</f>
        <v>0</v>
      </c>
      <c r="BG92" s="27">
        <f>rebio23_80ml!BG93/50</f>
        <v>0</v>
      </c>
    </row>
    <row r="93" spans="1:59" ht="12.75" customHeight="1" x14ac:dyDescent="0.25">
      <c r="A93" s="15" t="str">
        <f>rebio23_80ml!A94</f>
        <v>C-C-P19-H2</v>
      </c>
      <c r="B93" s="27">
        <f>rebio23_80ml!B94/50</f>
        <v>0</v>
      </c>
      <c r="C93" s="27">
        <f>rebio23_80ml!C94/50</f>
        <v>0.06</v>
      </c>
      <c r="D93" s="27">
        <f>rebio23_80ml!D94/50</f>
        <v>0</v>
      </c>
      <c r="E93" s="27">
        <f>rebio23_80ml!E94/50</f>
        <v>0.74</v>
      </c>
      <c r="F93" s="27">
        <f>rebio23_80ml!F94/50</f>
        <v>0</v>
      </c>
      <c r="G93" s="27">
        <f>rebio23_80ml!G94/50</f>
        <v>0</v>
      </c>
      <c r="H93" s="27">
        <f>rebio23_80ml!H94/50</f>
        <v>0</v>
      </c>
      <c r="I93" s="27">
        <f>rebio23_80ml!I94/50</f>
        <v>0.02</v>
      </c>
      <c r="J93" s="27">
        <f>rebio23_80ml!J94/50</f>
        <v>0</v>
      </c>
      <c r="K93" s="27">
        <f>rebio23_80ml!K94/50</f>
        <v>0</v>
      </c>
      <c r="L93" s="27">
        <f>rebio23_80ml!L94/50</f>
        <v>0</v>
      </c>
      <c r="M93" s="27">
        <f>rebio23_80ml!M94/50</f>
        <v>0</v>
      </c>
      <c r="N93" s="27">
        <f>rebio23_80ml!N94/50</f>
        <v>0</v>
      </c>
      <c r="O93" s="27">
        <f>rebio23_80ml!O94/50</f>
        <v>0</v>
      </c>
      <c r="P93" s="27">
        <f>rebio23_80ml!P94/50</f>
        <v>0</v>
      </c>
      <c r="Q93" s="27">
        <f>rebio23_80ml!Q94/50</f>
        <v>0</v>
      </c>
      <c r="R93" s="27">
        <f>rebio23_80ml!R94/50</f>
        <v>0</v>
      </c>
      <c r="S93" s="27">
        <f>rebio23_80ml!S94/50</f>
        <v>0</v>
      </c>
      <c r="T93" s="27">
        <f>rebio23_80ml!T94/50</f>
        <v>0</v>
      </c>
      <c r="U93" s="27">
        <f>rebio23_80ml!U94/50</f>
        <v>0</v>
      </c>
      <c r="V93" s="27">
        <f>rebio23_80ml!V94/50</f>
        <v>0</v>
      </c>
      <c r="W93" s="27">
        <f>rebio23_80ml!W94/50</f>
        <v>0</v>
      </c>
      <c r="X93" s="27">
        <f>rebio23_80ml!X94/50</f>
        <v>0</v>
      </c>
      <c r="Y93" s="27">
        <f>rebio23_80ml!Y94/50</f>
        <v>0</v>
      </c>
      <c r="Z93" s="27">
        <f>rebio23_80ml!Z94/50</f>
        <v>0</v>
      </c>
      <c r="AA93" s="27">
        <f>rebio23_80ml!AA94/50</f>
        <v>0</v>
      </c>
      <c r="AB93" s="27">
        <f>rebio23_80ml!AB94/50</f>
        <v>0</v>
      </c>
      <c r="AC93" s="27">
        <f>rebio23_80ml!AC94/50</f>
        <v>0</v>
      </c>
      <c r="AD93" s="27">
        <f>rebio23_80ml!AD94/50</f>
        <v>0</v>
      </c>
      <c r="AE93" s="27">
        <f>rebio23_80ml!AE94/50</f>
        <v>0</v>
      </c>
      <c r="AF93" s="27">
        <f>rebio23_80ml!AF94/50</f>
        <v>0</v>
      </c>
      <c r="AG93" s="27">
        <f>rebio23_80ml!AG94/50</f>
        <v>0</v>
      </c>
      <c r="AH93" s="27">
        <f>rebio23_80ml!AH94/50</f>
        <v>0</v>
      </c>
      <c r="AI93" s="27">
        <f>rebio23_80ml!AI94/50</f>
        <v>0</v>
      </c>
      <c r="AJ93" s="27">
        <f>rebio23_80ml!AJ94/50</f>
        <v>0</v>
      </c>
      <c r="AK93" s="27">
        <f>rebio23_80ml!AK94/50</f>
        <v>0</v>
      </c>
      <c r="AL93" s="27">
        <f>rebio23_80ml!AL94/50</f>
        <v>0</v>
      </c>
      <c r="AM93" s="27">
        <f>rebio23_80ml!AM94/50</f>
        <v>0</v>
      </c>
      <c r="AN93" s="27">
        <f>rebio23_80ml!AN94/50</f>
        <v>0</v>
      </c>
      <c r="AO93" s="27">
        <f>rebio23_80ml!AO94/50</f>
        <v>0</v>
      </c>
      <c r="AP93" s="27">
        <f>rebio23_80ml!AP94/50</f>
        <v>0</v>
      </c>
      <c r="AQ93" s="27">
        <f>rebio23_80ml!AQ94/50</f>
        <v>0</v>
      </c>
      <c r="AR93" s="27">
        <f>rebio23_80ml!AR94/50</f>
        <v>0</v>
      </c>
      <c r="AS93" s="27">
        <f>rebio23_80ml!AS94/50</f>
        <v>0</v>
      </c>
      <c r="AT93" s="27">
        <f>rebio23_80ml!AT94/50</f>
        <v>0</v>
      </c>
      <c r="AU93" s="27">
        <f>rebio23_80ml!AU94/50</f>
        <v>0</v>
      </c>
      <c r="AV93" s="27">
        <f>rebio23_80ml!AV94/50</f>
        <v>0.04</v>
      </c>
      <c r="AW93" s="27">
        <f>rebio23_80ml!AW94/50</f>
        <v>0</v>
      </c>
      <c r="AX93" s="27">
        <f>rebio23_80ml!AX94/50</f>
        <v>0</v>
      </c>
      <c r="AY93" s="27">
        <f>rebio23_80ml!AY94/50</f>
        <v>0</v>
      </c>
      <c r="AZ93" s="27">
        <f>rebio23_80ml!AZ94/50</f>
        <v>0</v>
      </c>
      <c r="BA93" s="27">
        <f>rebio23_80ml!BA94/50</f>
        <v>0</v>
      </c>
      <c r="BB93" s="27">
        <f>rebio23_80ml!BB94/50</f>
        <v>0</v>
      </c>
      <c r="BC93" s="27">
        <f>rebio23_80ml!BC94/50</f>
        <v>0</v>
      </c>
      <c r="BD93" s="27">
        <f>rebio23_80ml!BD94/50</f>
        <v>0</v>
      </c>
      <c r="BE93" s="27">
        <f>rebio23_80ml!BE94/50</f>
        <v>0</v>
      </c>
      <c r="BF93" s="27">
        <f>rebio23_80ml!BF94/50</f>
        <v>0</v>
      </c>
      <c r="BG93" s="27">
        <f>rebio23_80ml!BG94/50</f>
        <v>0</v>
      </c>
    </row>
    <row r="94" spans="1:59" ht="12.75" customHeight="1" x14ac:dyDescent="0.25">
      <c r="A94" s="15" t="str">
        <f>rebio23_80ml!A95</f>
        <v>C-C-P19-H3</v>
      </c>
      <c r="B94" s="27">
        <f>rebio23_80ml!B95/50</f>
        <v>0</v>
      </c>
      <c r="C94" s="27">
        <f>rebio23_80ml!C95/50</f>
        <v>0.1</v>
      </c>
      <c r="D94" s="27">
        <f>rebio23_80ml!D95/50</f>
        <v>0</v>
      </c>
      <c r="E94" s="27">
        <f>rebio23_80ml!E95/50</f>
        <v>0.72</v>
      </c>
      <c r="F94" s="27">
        <f>rebio23_80ml!F95/50</f>
        <v>0</v>
      </c>
      <c r="G94" s="27">
        <f>rebio23_80ml!G95/50</f>
        <v>0</v>
      </c>
      <c r="H94" s="27">
        <f>rebio23_80ml!H95/50</f>
        <v>0</v>
      </c>
      <c r="I94" s="27">
        <f>rebio23_80ml!I95/50</f>
        <v>0.02</v>
      </c>
      <c r="J94" s="27">
        <f>rebio23_80ml!J95/50</f>
        <v>0</v>
      </c>
      <c r="K94" s="27">
        <f>rebio23_80ml!K95/50</f>
        <v>0</v>
      </c>
      <c r="L94" s="27">
        <f>rebio23_80ml!L95/50</f>
        <v>0</v>
      </c>
      <c r="M94" s="27">
        <f>rebio23_80ml!M95/50</f>
        <v>0</v>
      </c>
      <c r="N94" s="27">
        <f>rebio23_80ml!N95/50</f>
        <v>0</v>
      </c>
      <c r="O94" s="27">
        <f>rebio23_80ml!O95/50</f>
        <v>0</v>
      </c>
      <c r="P94" s="27">
        <f>rebio23_80ml!P95/50</f>
        <v>0</v>
      </c>
      <c r="Q94" s="27">
        <f>rebio23_80ml!Q95/50</f>
        <v>0</v>
      </c>
      <c r="R94" s="27">
        <f>rebio23_80ml!R95/50</f>
        <v>0</v>
      </c>
      <c r="S94" s="27">
        <f>rebio23_80ml!S95/50</f>
        <v>0</v>
      </c>
      <c r="T94" s="27">
        <f>rebio23_80ml!T95/50</f>
        <v>0</v>
      </c>
      <c r="U94" s="27">
        <f>rebio23_80ml!U95/50</f>
        <v>0</v>
      </c>
      <c r="V94" s="27">
        <f>rebio23_80ml!V95/50</f>
        <v>0</v>
      </c>
      <c r="W94" s="27">
        <f>rebio23_80ml!W95/50</f>
        <v>0</v>
      </c>
      <c r="X94" s="27">
        <f>rebio23_80ml!X95/50</f>
        <v>0</v>
      </c>
      <c r="Y94" s="27">
        <f>rebio23_80ml!Y95/50</f>
        <v>0</v>
      </c>
      <c r="Z94" s="27">
        <f>rebio23_80ml!Z95/50</f>
        <v>0</v>
      </c>
      <c r="AA94" s="27">
        <f>rebio23_80ml!AA95/50</f>
        <v>0</v>
      </c>
      <c r="AB94" s="27">
        <f>rebio23_80ml!AB95/50</f>
        <v>0</v>
      </c>
      <c r="AC94" s="27">
        <f>rebio23_80ml!AC95/50</f>
        <v>0</v>
      </c>
      <c r="AD94" s="27">
        <f>rebio23_80ml!AD95/50</f>
        <v>0</v>
      </c>
      <c r="AE94" s="27">
        <f>rebio23_80ml!AE95/50</f>
        <v>0</v>
      </c>
      <c r="AF94" s="27">
        <f>rebio23_80ml!AF95/50</f>
        <v>0</v>
      </c>
      <c r="AG94" s="27">
        <f>rebio23_80ml!AG95/50</f>
        <v>0</v>
      </c>
      <c r="AH94" s="27">
        <f>rebio23_80ml!AH95/50</f>
        <v>0</v>
      </c>
      <c r="AI94" s="27">
        <f>rebio23_80ml!AI95/50</f>
        <v>0</v>
      </c>
      <c r="AJ94" s="27">
        <f>rebio23_80ml!AJ95/50</f>
        <v>0</v>
      </c>
      <c r="AK94" s="27">
        <f>rebio23_80ml!AK95/50</f>
        <v>0</v>
      </c>
      <c r="AL94" s="27">
        <f>rebio23_80ml!AL95/50</f>
        <v>0</v>
      </c>
      <c r="AM94" s="27">
        <f>rebio23_80ml!AM95/50</f>
        <v>0</v>
      </c>
      <c r="AN94" s="27">
        <f>rebio23_80ml!AN95/50</f>
        <v>0</v>
      </c>
      <c r="AO94" s="27">
        <f>rebio23_80ml!AO95/50</f>
        <v>0</v>
      </c>
      <c r="AP94" s="27">
        <f>rebio23_80ml!AP95/50</f>
        <v>0</v>
      </c>
      <c r="AQ94" s="27">
        <f>rebio23_80ml!AQ95/50</f>
        <v>0</v>
      </c>
      <c r="AR94" s="27">
        <f>rebio23_80ml!AR95/50</f>
        <v>0</v>
      </c>
      <c r="AS94" s="27">
        <f>rebio23_80ml!AS95/50</f>
        <v>0</v>
      </c>
      <c r="AT94" s="27">
        <f>rebio23_80ml!AT95/50</f>
        <v>0</v>
      </c>
      <c r="AU94" s="27">
        <f>rebio23_80ml!AU95/50</f>
        <v>0</v>
      </c>
      <c r="AV94" s="27">
        <f>rebio23_80ml!AV95/50</f>
        <v>0.04</v>
      </c>
      <c r="AW94" s="27">
        <f>rebio23_80ml!AW95/50</f>
        <v>0</v>
      </c>
      <c r="AX94" s="27">
        <f>rebio23_80ml!AX95/50</f>
        <v>0</v>
      </c>
      <c r="AY94" s="27">
        <f>rebio23_80ml!AY95/50</f>
        <v>0</v>
      </c>
      <c r="AZ94" s="27">
        <f>rebio23_80ml!AZ95/50</f>
        <v>0</v>
      </c>
      <c r="BA94" s="27">
        <f>rebio23_80ml!BA95/50</f>
        <v>0</v>
      </c>
      <c r="BB94" s="27">
        <f>rebio23_80ml!BB95/50</f>
        <v>0</v>
      </c>
      <c r="BC94" s="27">
        <f>rebio23_80ml!BC95/50</f>
        <v>0</v>
      </c>
      <c r="BD94" s="27">
        <f>rebio23_80ml!BD95/50</f>
        <v>0</v>
      </c>
      <c r="BE94" s="27">
        <f>rebio23_80ml!BE95/50</f>
        <v>0</v>
      </c>
      <c r="BF94" s="27">
        <f>rebio23_80ml!BF95/50</f>
        <v>0</v>
      </c>
      <c r="BG94" s="27">
        <f>rebio23_80ml!BG95/50</f>
        <v>0</v>
      </c>
    </row>
    <row r="95" spans="1:59" ht="12.75" customHeight="1" x14ac:dyDescent="0.25">
      <c r="A95" s="15" t="str">
        <f>rebio23_80ml!A96</f>
        <v>C-C-P20-H1</v>
      </c>
      <c r="B95" s="27">
        <f>rebio23_80ml!B96/50</f>
        <v>0.02</v>
      </c>
      <c r="C95" s="27">
        <f>rebio23_80ml!C96/50</f>
        <v>0</v>
      </c>
      <c r="D95" s="27">
        <f>rebio23_80ml!D96/50</f>
        <v>0</v>
      </c>
      <c r="E95" s="27">
        <f>rebio23_80ml!E96/50</f>
        <v>0.7</v>
      </c>
      <c r="F95" s="27">
        <f>rebio23_80ml!F96/50</f>
        <v>0</v>
      </c>
      <c r="G95" s="27">
        <f>rebio23_80ml!G96/50</f>
        <v>0</v>
      </c>
      <c r="H95" s="27">
        <f>rebio23_80ml!H96/50</f>
        <v>0</v>
      </c>
      <c r="I95" s="27">
        <f>rebio23_80ml!I96/50</f>
        <v>0.02</v>
      </c>
      <c r="J95" s="27">
        <f>rebio23_80ml!J96/50</f>
        <v>0.04</v>
      </c>
      <c r="K95" s="27">
        <f>rebio23_80ml!K96/50</f>
        <v>0</v>
      </c>
      <c r="L95" s="27">
        <f>rebio23_80ml!L96/50</f>
        <v>0</v>
      </c>
      <c r="M95" s="27">
        <f>rebio23_80ml!M96/50</f>
        <v>0</v>
      </c>
      <c r="N95" s="27">
        <f>rebio23_80ml!N96/50</f>
        <v>0</v>
      </c>
      <c r="O95" s="27">
        <f>rebio23_80ml!O96/50</f>
        <v>0</v>
      </c>
      <c r="P95" s="27">
        <f>rebio23_80ml!P96/50</f>
        <v>0</v>
      </c>
      <c r="Q95" s="27">
        <f>rebio23_80ml!Q96/50</f>
        <v>0</v>
      </c>
      <c r="R95" s="27">
        <f>rebio23_80ml!R96/50</f>
        <v>0</v>
      </c>
      <c r="S95" s="27">
        <f>rebio23_80ml!S96/50</f>
        <v>0</v>
      </c>
      <c r="T95" s="27">
        <f>rebio23_80ml!T96/50</f>
        <v>0</v>
      </c>
      <c r="U95" s="27">
        <f>rebio23_80ml!U96/50</f>
        <v>0</v>
      </c>
      <c r="V95" s="27">
        <f>rebio23_80ml!V96/50</f>
        <v>0</v>
      </c>
      <c r="W95" s="27">
        <f>rebio23_80ml!W96/50</f>
        <v>0</v>
      </c>
      <c r="X95" s="27">
        <f>rebio23_80ml!X96/50</f>
        <v>0</v>
      </c>
      <c r="Y95" s="27">
        <f>rebio23_80ml!Y96/50</f>
        <v>0</v>
      </c>
      <c r="Z95" s="27">
        <f>rebio23_80ml!Z96/50</f>
        <v>0</v>
      </c>
      <c r="AA95" s="27">
        <f>rebio23_80ml!AA96/50</f>
        <v>0</v>
      </c>
      <c r="AB95" s="27">
        <f>rebio23_80ml!AB96/50</f>
        <v>0</v>
      </c>
      <c r="AC95" s="27">
        <f>rebio23_80ml!AC96/50</f>
        <v>0</v>
      </c>
      <c r="AD95" s="27">
        <f>rebio23_80ml!AD96/50</f>
        <v>0</v>
      </c>
      <c r="AE95" s="27">
        <f>rebio23_80ml!AE96/50</f>
        <v>0</v>
      </c>
      <c r="AF95" s="27">
        <f>rebio23_80ml!AF96/50</f>
        <v>0</v>
      </c>
      <c r="AG95" s="27">
        <f>rebio23_80ml!AG96/50</f>
        <v>0</v>
      </c>
      <c r="AH95" s="27">
        <f>rebio23_80ml!AH96/50</f>
        <v>0</v>
      </c>
      <c r="AI95" s="27">
        <f>rebio23_80ml!AI96/50</f>
        <v>0</v>
      </c>
      <c r="AJ95" s="27">
        <f>rebio23_80ml!AJ96/50</f>
        <v>0</v>
      </c>
      <c r="AK95" s="27">
        <f>rebio23_80ml!AK96/50</f>
        <v>0</v>
      </c>
      <c r="AL95" s="27">
        <f>rebio23_80ml!AL96/50</f>
        <v>0</v>
      </c>
      <c r="AM95" s="27">
        <f>rebio23_80ml!AM96/50</f>
        <v>0</v>
      </c>
      <c r="AN95" s="27">
        <f>rebio23_80ml!AN96/50</f>
        <v>0</v>
      </c>
      <c r="AO95" s="27">
        <f>rebio23_80ml!AO96/50</f>
        <v>0</v>
      </c>
      <c r="AP95" s="27">
        <f>rebio23_80ml!AP96/50</f>
        <v>0.02</v>
      </c>
      <c r="AQ95" s="27">
        <f>rebio23_80ml!AQ96/50</f>
        <v>0</v>
      </c>
      <c r="AR95" s="27">
        <f>rebio23_80ml!AR96/50</f>
        <v>0</v>
      </c>
      <c r="AS95" s="27">
        <f>rebio23_80ml!AS96/50</f>
        <v>0</v>
      </c>
      <c r="AT95" s="27">
        <f>rebio23_80ml!AT96/50</f>
        <v>0</v>
      </c>
      <c r="AU95" s="27">
        <f>rebio23_80ml!AU96/50</f>
        <v>0</v>
      </c>
      <c r="AV95" s="27">
        <f>rebio23_80ml!AV96/50</f>
        <v>0.02</v>
      </c>
      <c r="AW95" s="27">
        <f>rebio23_80ml!AW96/50</f>
        <v>0</v>
      </c>
      <c r="AX95" s="27">
        <f>rebio23_80ml!AX96/50</f>
        <v>0</v>
      </c>
      <c r="AY95" s="27">
        <f>rebio23_80ml!AY96/50</f>
        <v>0</v>
      </c>
      <c r="AZ95" s="27">
        <f>rebio23_80ml!AZ96/50</f>
        <v>0</v>
      </c>
      <c r="BA95" s="27">
        <f>rebio23_80ml!BA96/50</f>
        <v>0</v>
      </c>
      <c r="BB95" s="27">
        <f>rebio23_80ml!BB96/50</f>
        <v>0</v>
      </c>
      <c r="BC95" s="27">
        <f>rebio23_80ml!BC96/50</f>
        <v>0</v>
      </c>
      <c r="BD95" s="27">
        <f>rebio23_80ml!BD96/50</f>
        <v>0</v>
      </c>
      <c r="BE95" s="27">
        <f>rebio23_80ml!BE96/50</f>
        <v>0</v>
      </c>
      <c r="BF95" s="27">
        <f>rebio23_80ml!BF96/50</f>
        <v>0</v>
      </c>
      <c r="BG95" s="27">
        <f>rebio23_80ml!BG96/50</f>
        <v>0</v>
      </c>
    </row>
    <row r="96" spans="1:59" ht="12.75" customHeight="1" x14ac:dyDescent="0.25">
      <c r="A96" s="15" t="str">
        <f>rebio23_80ml!A97</f>
        <v>C-C-P20-H2</v>
      </c>
      <c r="B96" s="27">
        <f>rebio23_80ml!B97/50</f>
        <v>0</v>
      </c>
      <c r="C96" s="27">
        <f>rebio23_80ml!C97/50</f>
        <v>0.02</v>
      </c>
      <c r="D96" s="27">
        <f>rebio23_80ml!D97/50</f>
        <v>0</v>
      </c>
      <c r="E96" s="27">
        <f>rebio23_80ml!E97/50</f>
        <v>0.78</v>
      </c>
      <c r="F96" s="27">
        <f>rebio23_80ml!F97/50</f>
        <v>0</v>
      </c>
      <c r="G96" s="27">
        <f>rebio23_80ml!G97/50</f>
        <v>0</v>
      </c>
      <c r="H96" s="27">
        <f>rebio23_80ml!H97/50</f>
        <v>0</v>
      </c>
      <c r="I96" s="27">
        <f>rebio23_80ml!I97/50</f>
        <v>0</v>
      </c>
      <c r="J96" s="27">
        <f>rebio23_80ml!J97/50</f>
        <v>0</v>
      </c>
      <c r="K96" s="27">
        <f>rebio23_80ml!K97/50</f>
        <v>0</v>
      </c>
      <c r="L96" s="27">
        <f>rebio23_80ml!L97/50</f>
        <v>0</v>
      </c>
      <c r="M96" s="27">
        <f>rebio23_80ml!M97/50</f>
        <v>0</v>
      </c>
      <c r="N96" s="27">
        <f>rebio23_80ml!N97/50</f>
        <v>0</v>
      </c>
      <c r="O96" s="27">
        <f>rebio23_80ml!O97/50</f>
        <v>0</v>
      </c>
      <c r="P96" s="27">
        <f>rebio23_80ml!P97/50</f>
        <v>0</v>
      </c>
      <c r="Q96" s="27">
        <f>rebio23_80ml!Q97/50</f>
        <v>0</v>
      </c>
      <c r="R96" s="27">
        <f>rebio23_80ml!R97/50</f>
        <v>0</v>
      </c>
      <c r="S96" s="27">
        <f>rebio23_80ml!S97/50</f>
        <v>0</v>
      </c>
      <c r="T96" s="27">
        <f>rebio23_80ml!T97/50</f>
        <v>0</v>
      </c>
      <c r="U96" s="27">
        <f>rebio23_80ml!U97/50</f>
        <v>0</v>
      </c>
      <c r="V96" s="27">
        <f>rebio23_80ml!V97/50</f>
        <v>0</v>
      </c>
      <c r="W96" s="27">
        <f>rebio23_80ml!W97/50</f>
        <v>0</v>
      </c>
      <c r="X96" s="27">
        <f>rebio23_80ml!X97/50</f>
        <v>0</v>
      </c>
      <c r="Y96" s="27">
        <f>rebio23_80ml!Y97/50</f>
        <v>0</v>
      </c>
      <c r="Z96" s="27">
        <f>rebio23_80ml!Z97/50</f>
        <v>0</v>
      </c>
      <c r="AA96" s="27">
        <f>rebio23_80ml!AA97/50</f>
        <v>0.02</v>
      </c>
      <c r="AB96" s="27">
        <f>rebio23_80ml!AB97/50</f>
        <v>0</v>
      </c>
      <c r="AC96" s="27">
        <f>rebio23_80ml!AC97/50</f>
        <v>0</v>
      </c>
      <c r="AD96" s="27">
        <f>rebio23_80ml!AD97/50</f>
        <v>0</v>
      </c>
      <c r="AE96" s="27">
        <f>rebio23_80ml!AE97/50</f>
        <v>0</v>
      </c>
      <c r="AF96" s="27">
        <f>rebio23_80ml!AF97/50</f>
        <v>0</v>
      </c>
      <c r="AG96" s="27">
        <f>rebio23_80ml!AG97/50</f>
        <v>0</v>
      </c>
      <c r="AH96" s="27">
        <f>rebio23_80ml!AH97/50</f>
        <v>0</v>
      </c>
      <c r="AI96" s="27">
        <f>rebio23_80ml!AI97/50</f>
        <v>0</v>
      </c>
      <c r="AJ96" s="27">
        <f>rebio23_80ml!AJ97/50</f>
        <v>0</v>
      </c>
      <c r="AK96" s="27">
        <f>rebio23_80ml!AK97/50</f>
        <v>0</v>
      </c>
      <c r="AL96" s="27">
        <f>rebio23_80ml!AL97/50</f>
        <v>0</v>
      </c>
      <c r="AM96" s="27">
        <f>rebio23_80ml!AM97/50</f>
        <v>0</v>
      </c>
      <c r="AN96" s="27">
        <f>rebio23_80ml!AN97/50</f>
        <v>0</v>
      </c>
      <c r="AO96" s="27">
        <f>rebio23_80ml!AO97/50</f>
        <v>0</v>
      </c>
      <c r="AP96" s="27">
        <f>rebio23_80ml!AP97/50</f>
        <v>0</v>
      </c>
      <c r="AQ96" s="27">
        <f>rebio23_80ml!AQ97/50</f>
        <v>0</v>
      </c>
      <c r="AR96" s="27">
        <f>rebio23_80ml!AR97/50</f>
        <v>0</v>
      </c>
      <c r="AS96" s="27">
        <f>rebio23_80ml!AS97/50</f>
        <v>0</v>
      </c>
      <c r="AT96" s="27">
        <f>rebio23_80ml!AT97/50</f>
        <v>0</v>
      </c>
      <c r="AU96" s="27">
        <f>rebio23_80ml!AU97/50</f>
        <v>0</v>
      </c>
      <c r="AV96" s="27">
        <f>rebio23_80ml!AV97/50</f>
        <v>0.02</v>
      </c>
      <c r="AW96" s="27">
        <f>rebio23_80ml!AW97/50</f>
        <v>0</v>
      </c>
      <c r="AX96" s="27">
        <f>rebio23_80ml!AX97/50</f>
        <v>0</v>
      </c>
      <c r="AY96" s="27">
        <f>rebio23_80ml!AY97/50</f>
        <v>0.02</v>
      </c>
      <c r="AZ96" s="27">
        <f>rebio23_80ml!AZ97/50</f>
        <v>0</v>
      </c>
      <c r="BA96" s="27">
        <f>rebio23_80ml!BA97/50</f>
        <v>0</v>
      </c>
      <c r="BB96" s="27">
        <f>rebio23_80ml!BB97/50</f>
        <v>0</v>
      </c>
      <c r="BC96" s="27">
        <f>rebio23_80ml!BC97/50</f>
        <v>0</v>
      </c>
      <c r="BD96" s="27">
        <f>rebio23_80ml!BD97/50</f>
        <v>0.02</v>
      </c>
      <c r="BE96" s="27">
        <f>rebio23_80ml!BE97/50</f>
        <v>0</v>
      </c>
      <c r="BF96" s="27">
        <f>rebio23_80ml!BF97/50</f>
        <v>0.04</v>
      </c>
      <c r="BG96" s="27">
        <f>rebio23_80ml!BG97/50</f>
        <v>0</v>
      </c>
    </row>
    <row r="97" spans="1:59" ht="12.75" customHeight="1" x14ac:dyDescent="0.25">
      <c r="A97" s="15" t="str">
        <f>rebio23_80ml!A98</f>
        <v>C-C-P20-H3</v>
      </c>
      <c r="B97" s="27">
        <f>rebio23_80ml!B98/50</f>
        <v>0</v>
      </c>
      <c r="C97" s="27">
        <f>rebio23_80ml!C98/50</f>
        <v>0</v>
      </c>
      <c r="D97" s="27">
        <f>rebio23_80ml!D98/50</f>
        <v>0</v>
      </c>
      <c r="E97" s="27">
        <f>rebio23_80ml!E98/50</f>
        <v>1</v>
      </c>
      <c r="F97" s="27">
        <f>rebio23_80ml!F98/50</f>
        <v>0</v>
      </c>
      <c r="G97" s="27">
        <f>rebio23_80ml!G98/50</f>
        <v>0</v>
      </c>
      <c r="H97" s="27">
        <f>rebio23_80ml!H98/50</f>
        <v>0</v>
      </c>
      <c r="I97" s="27">
        <f>rebio23_80ml!I98/50</f>
        <v>0.02</v>
      </c>
      <c r="J97" s="27">
        <f>rebio23_80ml!J98/50</f>
        <v>0</v>
      </c>
      <c r="K97" s="27">
        <f>rebio23_80ml!K98/50</f>
        <v>0</v>
      </c>
      <c r="L97" s="27">
        <f>rebio23_80ml!L98/50</f>
        <v>0</v>
      </c>
      <c r="M97" s="27">
        <f>rebio23_80ml!M98/50</f>
        <v>0</v>
      </c>
      <c r="N97" s="27">
        <f>rebio23_80ml!N98/50</f>
        <v>0</v>
      </c>
      <c r="O97" s="27">
        <f>rebio23_80ml!O98/50</f>
        <v>0</v>
      </c>
      <c r="P97" s="27">
        <f>rebio23_80ml!P98/50</f>
        <v>0</v>
      </c>
      <c r="Q97" s="27">
        <f>rebio23_80ml!Q98/50</f>
        <v>0</v>
      </c>
      <c r="R97" s="27">
        <f>rebio23_80ml!R98/50</f>
        <v>0</v>
      </c>
      <c r="S97" s="27">
        <f>rebio23_80ml!S98/50</f>
        <v>0</v>
      </c>
      <c r="T97" s="27">
        <f>rebio23_80ml!T98/50</f>
        <v>0</v>
      </c>
      <c r="U97" s="27">
        <f>rebio23_80ml!U98/50</f>
        <v>0</v>
      </c>
      <c r="V97" s="27">
        <f>rebio23_80ml!V98/50</f>
        <v>0</v>
      </c>
      <c r="W97" s="27">
        <f>rebio23_80ml!W98/50</f>
        <v>0</v>
      </c>
      <c r="X97" s="27">
        <f>rebio23_80ml!X98/50</f>
        <v>0</v>
      </c>
      <c r="Y97" s="27">
        <f>rebio23_80ml!Y98/50</f>
        <v>0</v>
      </c>
      <c r="Z97" s="27">
        <f>rebio23_80ml!Z98/50</f>
        <v>0</v>
      </c>
      <c r="AA97" s="27">
        <f>rebio23_80ml!AA98/50</f>
        <v>0</v>
      </c>
      <c r="AB97" s="27">
        <f>rebio23_80ml!AB98/50</f>
        <v>0</v>
      </c>
      <c r="AC97" s="27">
        <f>rebio23_80ml!AC98/50</f>
        <v>0</v>
      </c>
      <c r="AD97" s="27">
        <f>rebio23_80ml!AD98/50</f>
        <v>0</v>
      </c>
      <c r="AE97" s="27">
        <f>rebio23_80ml!AE98/50</f>
        <v>0</v>
      </c>
      <c r="AF97" s="27">
        <f>rebio23_80ml!AF98/50</f>
        <v>0</v>
      </c>
      <c r="AG97" s="27">
        <f>rebio23_80ml!AG98/50</f>
        <v>0</v>
      </c>
      <c r="AH97" s="27">
        <f>rebio23_80ml!AH98/50</f>
        <v>0</v>
      </c>
      <c r="AI97" s="27">
        <f>rebio23_80ml!AI98/50</f>
        <v>0</v>
      </c>
      <c r="AJ97" s="27">
        <f>rebio23_80ml!AJ98/50</f>
        <v>0</v>
      </c>
      <c r="AK97" s="27">
        <f>rebio23_80ml!AK98/50</f>
        <v>0</v>
      </c>
      <c r="AL97" s="27">
        <f>rebio23_80ml!AL98/50</f>
        <v>0</v>
      </c>
      <c r="AM97" s="27">
        <f>rebio23_80ml!AM98/50</f>
        <v>0</v>
      </c>
      <c r="AN97" s="27">
        <f>rebio23_80ml!AN98/50</f>
        <v>0</v>
      </c>
      <c r="AO97" s="27">
        <f>rebio23_80ml!AO98/50</f>
        <v>0</v>
      </c>
      <c r="AP97" s="27">
        <f>rebio23_80ml!AP98/50</f>
        <v>0</v>
      </c>
      <c r="AQ97" s="27">
        <f>rebio23_80ml!AQ98/50</f>
        <v>0</v>
      </c>
      <c r="AR97" s="27">
        <f>rebio23_80ml!AR98/50</f>
        <v>0</v>
      </c>
      <c r="AS97" s="27">
        <f>rebio23_80ml!AS98/50</f>
        <v>0</v>
      </c>
      <c r="AT97" s="27">
        <f>rebio23_80ml!AT98/50</f>
        <v>0</v>
      </c>
      <c r="AU97" s="27">
        <f>rebio23_80ml!AU98/50</f>
        <v>0</v>
      </c>
      <c r="AV97" s="27">
        <f>rebio23_80ml!AV98/50</f>
        <v>0</v>
      </c>
      <c r="AW97" s="27">
        <f>rebio23_80ml!AW98/50</f>
        <v>0</v>
      </c>
      <c r="AX97" s="27">
        <f>rebio23_80ml!AX98/50</f>
        <v>0</v>
      </c>
      <c r="AY97" s="27">
        <f>rebio23_80ml!AY98/50</f>
        <v>0</v>
      </c>
      <c r="AZ97" s="27">
        <f>rebio23_80ml!AZ98/50</f>
        <v>0</v>
      </c>
      <c r="BA97" s="27">
        <f>rebio23_80ml!BA98/50</f>
        <v>0</v>
      </c>
      <c r="BB97" s="27">
        <f>rebio23_80ml!BB98/50</f>
        <v>0</v>
      </c>
      <c r="BC97" s="27">
        <f>rebio23_80ml!BC98/50</f>
        <v>0</v>
      </c>
      <c r="BD97" s="27">
        <f>rebio23_80ml!BD98/50</f>
        <v>0</v>
      </c>
      <c r="BE97" s="27">
        <f>rebio23_80ml!BE98/50</f>
        <v>0</v>
      </c>
      <c r="BF97" s="27">
        <f>rebio23_80ml!BF98/50</f>
        <v>0</v>
      </c>
      <c r="BG97" s="27">
        <f>rebio23_80ml!BG98/50</f>
        <v>0</v>
      </c>
    </row>
    <row r="98" spans="1:59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59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59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59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59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59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59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59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59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59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59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59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59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59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59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2.3250000000000002" bottom="2.3250000000000002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000"/>
  <sheetViews>
    <sheetView zoomScale="60" zoomScaleNormal="60" workbookViewId="0"/>
  </sheetViews>
  <sheetFormatPr defaultColWidth="11.5703125" defaultRowHeight="15" customHeight="1" x14ac:dyDescent="0.25"/>
  <cols>
    <col min="1" max="1" width="8.42578125" customWidth="1"/>
    <col min="2" max="1024" width="9.42578125" customWidth="1"/>
  </cols>
  <sheetData>
    <row r="1" spans="1:67" ht="12.75" customHeight="1" x14ac:dyDescent="0.25">
      <c r="A1" s="26"/>
      <c r="B1" s="3" t="str">
        <f>rebio23_80ml!B2</f>
        <v>Alo.dadayi</v>
      </c>
      <c r="C1" s="3" t="str">
        <f>rebio23_80ml!C2</f>
        <v>Alo.hamulata</v>
      </c>
      <c r="D1" s="3" t="str">
        <f>rebio23_80ml!D2</f>
        <v>Alonella.sp</v>
      </c>
      <c r="E1" s="3" t="str">
        <f>rebio23_80ml!E2</f>
        <v>Bdelloidea</v>
      </c>
      <c r="F1" s="3" t="str">
        <f>rebio23_80ml!F2</f>
        <v>Bra.patulus</v>
      </c>
      <c r="G1" s="3" t="str">
        <f>rebio23_80ml!G2</f>
        <v>Cephalodella.sp</v>
      </c>
      <c r="H1" s="3" t="str">
        <f>rebio23_80ml!H2</f>
        <v>Colurella.sp</v>
      </c>
      <c r="I1" s="3" t="str">
        <f>rebio23_80ml!I2</f>
        <v>Copepodite</v>
      </c>
      <c r="J1" s="3" t="str">
        <f>rebio23_80ml!J2</f>
        <v>Chydorus.sp</v>
      </c>
      <c r="K1" s="3" t="str">
        <f>rebio23_80ml!K2</f>
        <v>Dicranophoroides.sp</v>
      </c>
      <c r="L1" s="3" t="str">
        <f>rebio23_80ml!L2</f>
        <v>Dia.birgei</v>
      </c>
      <c r="M1" s="3" t="str">
        <f>rebio23_80ml!M2</f>
        <v>Dia.spinulosum</v>
      </c>
      <c r="N1" s="3" t="str">
        <f>rebio23_80ml!N2</f>
        <v>Dis.aculeata</v>
      </c>
      <c r="O1" s="3" t="str">
        <f>rebio23_80ml!O2</f>
        <v>Euc.dilatata</v>
      </c>
      <c r="P1" s="3" t="str">
        <f>rebio23_80ml!P2</f>
        <v>Fil.longiseta</v>
      </c>
      <c r="Q1" s="3" t="str">
        <f>rebio23_80ml!Q2</f>
        <v>Ily.spinifer</v>
      </c>
      <c r="R1" s="3" t="str">
        <f>rebio23_80ml!R2</f>
        <v>Lec.aculeata</v>
      </c>
      <c r="S1" s="3" t="str">
        <f>rebio23_80ml!S2</f>
        <v>Lec.bulla</v>
      </c>
      <c r="T1" s="3" t="str">
        <f>rebio23_80ml!T2</f>
        <v>Lec.cornuta</v>
      </c>
      <c r="U1" s="3" t="str">
        <f>rebio23_80ml!U2</f>
        <v>Lec.crepida</v>
      </c>
      <c r="V1" s="3" t="str">
        <f>rebio23_80ml!V2</f>
        <v>Lec.curvicornis</v>
      </c>
      <c r="W1" s="3" t="str">
        <f>rebio23_80ml!W2</f>
        <v>Lec.furcata</v>
      </c>
      <c r="X1" s="3" t="str">
        <f>rebio23_80ml!X2</f>
        <v>Lecane.sp1</v>
      </c>
      <c r="Y1" s="3" t="str">
        <f>rebio23_80ml!Y2</f>
        <v>Lec.leontina</v>
      </c>
      <c r="Z1" s="3" t="str">
        <f>rebio23_80ml!Z2</f>
        <v>Lec.lunaris</v>
      </c>
      <c r="AA1" s="3" t="str">
        <f>rebio23_80ml!AA2</f>
        <v>Lec.luna</v>
      </c>
      <c r="AB1" s="3" t="str">
        <f>rebio23_80ml!AB2</f>
        <v>Lec.monostyla</v>
      </c>
      <c r="AC1" s="3" t="str">
        <f>rebio23_80ml!AC2</f>
        <v>Lecane.sp2</v>
      </c>
      <c r="AD1" s="3" t="str">
        <f>rebio23_80ml!AD2</f>
        <v>Lec.papuana</v>
      </c>
      <c r="AE1" s="3" t="str">
        <f>rebio23_80ml!AE2</f>
        <v>Lec.quadridentata</v>
      </c>
      <c r="AF1" s="3" t="str">
        <f>rebio23_80ml!AF2</f>
        <v>Lecane.sp3</v>
      </c>
      <c r="AG1" s="3" t="str">
        <f>rebio23_80ml!AG2</f>
        <v>Leydigia.sp</v>
      </c>
      <c r="AH1" s="3" t="str">
        <f>rebio23_80ml!AH2</f>
        <v>Lepadella.sp1</v>
      </c>
      <c r="AI1" s="3" t="str">
        <f>rebio23_80ml!AI2</f>
        <v>Lepadella.sp2</v>
      </c>
      <c r="AJ1" s="3" t="str">
        <f>rebio23_80ml!AJ2</f>
        <v>Lep.ovalis</v>
      </c>
      <c r="AK1" s="3" t="str">
        <f>rebio23_80ml!AK2</f>
        <v>Lep.patella</v>
      </c>
      <c r="AL1" s="3" t="str">
        <f>rebio23_80ml!AL2</f>
        <v>Mesocyclops.sp</v>
      </c>
      <c r="AM1" s="3" t="str">
        <f>rebio23_80ml!AM2</f>
        <v>Macrocyclops.sp</v>
      </c>
      <c r="AN1" s="3" t="str">
        <f>rebio23_80ml!AN2</f>
        <v>Macrochaetus.sp</v>
      </c>
      <c r="AO1" s="3" t="str">
        <f>rebio23_80ml!AO2</f>
        <v>Macrothrix.sp</v>
      </c>
      <c r="AP1" s="3" t="str">
        <f>rebio23_80ml!AP2</f>
        <v>Mac.mira</v>
      </c>
      <c r="AQ1" s="3" t="str">
        <f>rebio23_80ml!AQ2</f>
        <v>Mac.laticornis</v>
      </c>
      <c r="AR1" s="3" t="str">
        <f>rebio23_80ml!AR2</f>
        <v>Moi.minuta</v>
      </c>
      <c r="AS1" s="3" t="str">
        <f>rebio23_80ml!AS2</f>
        <v>Myt.crassipes</v>
      </c>
      <c r="AT1" s="3" t="str">
        <f>rebio23_80ml!AT2</f>
        <v>Mytilina.sp</v>
      </c>
      <c r="AU1" s="3" t="str">
        <f>rebio23_80ml!AU2</f>
        <v>Myt.bisulcata</v>
      </c>
      <c r="AV1" s="3" t="str">
        <f>rebio23_80ml!AV2</f>
        <v>Nauplii</v>
      </c>
      <c r="AW1" s="3" t="str">
        <f>rebio23_80ml!AW2</f>
        <v>Notodiaptomus.sp</v>
      </c>
      <c r="AX1" s="3" t="str">
        <f>rebio23_80ml!AX2</f>
        <v>Paracyclops.sp</v>
      </c>
      <c r="AY1" s="3" t="str">
        <f>rebio23_80ml!AY2</f>
        <v>Pla.quadricornis</v>
      </c>
      <c r="AZ1" s="3" t="str">
        <f>rebio23_80ml!AZ2</f>
        <v>Polyarthra.sp</v>
      </c>
      <c r="BA1" s="3" t="str">
        <f>rebio23_80ml!BA2</f>
        <v>Pol.bicerca</v>
      </c>
      <c r="BB1" s="3" t="str">
        <f>rebio23_80ml!BB2</f>
        <v>Pol.dolichoptera</v>
      </c>
      <c r="BC1" s="3" t="str">
        <f>rebio23_80ml!BC2</f>
        <v>Pol.vulgaris</v>
      </c>
      <c r="BD1" s="3" t="str">
        <f>rebio23_80ml!BD2</f>
        <v>Tes.patina</v>
      </c>
      <c r="BE1" s="3" t="str">
        <f>rebio23_80ml!BE2</f>
        <v>Tes.mucronata</v>
      </c>
      <c r="BF1" s="3" t="str">
        <f>rebio23_80ml!BF2</f>
        <v>Trichocerca.sp</v>
      </c>
      <c r="BG1" s="3" t="str">
        <f>rebio23_80ml!BG2</f>
        <v>Tri.tetractis</v>
      </c>
      <c r="BI1" s="3"/>
      <c r="BJ1" s="3"/>
      <c r="BK1" s="3"/>
      <c r="BL1" s="3"/>
      <c r="BM1" s="3"/>
      <c r="BN1" s="3"/>
      <c r="BO1" s="3"/>
    </row>
    <row r="2" spans="1:67" ht="12.75" customHeight="1" x14ac:dyDescent="0.25">
      <c r="A2" s="4" t="s">
        <v>305</v>
      </c>
      <c r="B2" s="28">
        <f>AVERAGE(densidade_hab_indL!B2:B4)</f>
        <v>0</v>
      </c>
      <c r="C2" s="28">
        <f>AVERAGE(densidade_hab_indL!C2:C4)</f>
        <v>0</v>
      </c>
      <c r="D2" s="28">
        <f>AVERAGE(densidade_hab_indL!D2:D4)</f>
        <v>0</v>
      </c>
      <c r="E2" s="28">
        <f>AVERAGE(densidade_hab_indL!E2:E4)</f>
        <v>0.61333333333333329</v>
      </c>
      <c r="F2" s="28">
        <f>AVERAGE(densidade_hab_indL!F2:F4)</f>
        <v>0</v>
      </c>
      <c r="G2" s="28">
        <f>AVERAGE(densidade_hab_indL!G2:G4)</f>
        <v>0</v>
      </c>
      <c r="H2" s="28">
        <f>AVERAGE(densidade_hab_indL!H2:H4)</f>
        <v>0</v>
      </c>
      <c r="I2" s="28">
        <f>AVERAGE(densidade_hab_indL!I2:I4)</f>
        <v>0.04</v>
      </c>
      <c r="J2" s="28">
        <f>AVERAGE(densidade_hab_indL!J2:J4)</f>
        <v>0</v>
      </c>
      <c r="K2" s="28">
        <f>AVERAGE(densidade_hab_indL!K2:K4)</f>
        <v>0</v>
      </c>
      <c r="L2" s="28">
        <f>AVERAGE(densidade_hab_indL!L2:L4)</f>
        <v>0</v>
      </c>
      <c r="M2" s="28">
        <f>AVERAGE(densidade_hab_indL!M2:M4)</f>
        <v>0</v>
      </c>
      <c r="N2" s="28">
        <f>AVERAGE(densidade_hab_indL!N2:N4)</f>
        <v>0</v>
      </c>
      <c r="O2" s="28">
        <f>AVERAGE(densidade_hab_indL!O2:O4)</f>
        <v>0</v>
      </c>
      <c r="P2" s="28">
        <f>AVERAGE(densidade_hab_indL!P2:P4)</f>
        <v>0</v>
      </c>
      <c r="Q2" s="28">
        <f>AVERAGE(densidade_hab_indL!Q2:Q4)</f>
        <v>0</v>
      </c>
      <c r="R2" s="28">
        <f>AVERAGE(densidade_hab_indL!R2:R4)</f>
        <v>0</v>
      </c>
      <c r="S2" s="28">
        <f>AVERAGE(densidade_hab_indL!S2:S4)</f>
        <v>0.02</v>
      </c>
      <c r="T2" s="28">
        <f>AVERAGE(densidade_hab_indL!T2:T4)</f>
        <v>0</v>
      </c>
      <c r="U2" s="28">
        <f>AVERAGE(densidade_hab_indL!U2:U4)</f>
        <v>0</v>
      </c>
      <c r="V2" s="28">
        <f>AVERAGE(densidade_hab_indL!V2:V4)</f>
        <v>0</v>
      </c>
      <c r="W2" s="28">
        <f>AVERAGE(densidade_hab_indL!W2:W4)</f>
        <v>0</v>
      </c>
      <c r="X2" s="28">
        <f>AVERAGE(densidade_hab_indL!X2:X4)</f>
        <v>0</v>
      </c>
      <c r="Y2" s="28">
        <f>AVERAGE(densidade_hab_indL!Y2:Y4)</f>
        <v>0</v>
      </c>
      <c r="Z2" s="28">
        <f>AVERAGE(densidade_hab_indL!Z2:Z4)</f>
        <v>0</v>
      </c>
      <c r="AA2" s="28">
        <f>AVERAGE(densidade_hab_indL!AA2:AA4)</f>
        <v>0</v>
      </c>
      <c r="AB2" s="28">
        <f>AVERAGE(densidade_hab_indL!AB2:AB4)</f>
        <v>0</v>
      </c>
      <c r="AC2" s="28">
        <f>AVERAGE(densidade_hab_indL!AC2:AC4)</f>
        <v>0</v>
      </c>
      <c r="AD2" s="28">
        <f>AVERAGE(densidade_hab_indL!AD2:AD4)</f>
        <v>0</v>
      </c>
      <c r="AE2" s="28">
        <f>AVERAGE(densidade_hab_indL!AE2:AE4)</f>
        <v>0</v>
      </c>
      <c r="AF2" s="28">
        <f>AVERAGE(densidade_hab_indL!AF2:AF4)</f>
        <v>0</v>
      </c>
      <c r="AG2" s="28">
        <f>AVERAGE(densidade_hab_indL!AG2:AG4)</f>
        <v>0</v>
      </c>
      <c r="AH2" s="28">
        <f>AVERAGE(densidade_hab_indL!AH2:AH4)</f>
        <v>0</v>
      </c>
      <c r="AI2" s="28">
        <f>AVERAGE(densidade_hab_indL!AI2:AI4)</f>
        <v>0</v>
      </c>
      <c r="AJ2" s="28">
        <f>AVERAGE(densidade_hab_indL!AJ2:AJ4)</f>
        <v>0</v>
      </c>
      <c r="AK2" s="28">
        <f>AVERAGE(densidade_hab_indL!AK2:AK4)</f>
        <v>0</v>
      </c>
      <c r="AL2" s="28">
        <f>AVERAGE(densidade_hab_indL!AL2:AL4)</f>
        <v>0</v>
      </c>
      <c r="AM2" s="28">
        <f>AVERAGE(densidade_hab_indL!AM2:AM4)</f>
        <v>0</v>
      </c>
      <c r="AN2" s="28">
        <f>AVERAGE(densidade_hab_indL!AN2:AN4)</f>
        <v>0</v>
      </c>
      <c r="AO2" s="28">
        <f>AVERAGE(densidade_hab_indL!AO2:AO4)</f>
        <v>6.6666666666666671E-3</v>
      </c>
      <c r="AP2" s="28">
        <f>AVERAGE(densidade_hab_indL!AP2:AP4)</f>
        <v>0</v>
      </c>
      <c r="AQ2" s="28">
        <f>AVERAGE(densidade_hab_indL!AQ2:AQ4)</f>
        <v>0</v>
      </c>
      <c r="AR2" s="28">
        <f>AVERAGE(densidade_hab_indL!AR2:AR4)</f>
        <v>0</v>
      </c>
      <c r="AS2" s="28">
        <f>AVERAGE(densidade_hab_indL!AS2:AS4)</f>
        <v>0</v>
      </c>
      <c r="AT2" s="28">
        <f>AVERAGE(densidade_hab_indL!AT2:AT4)</f>
        <v>0</v>
      </c>
      <c r="AU2" s="28">
        <f>AVERAGE(densidade_hab_indL!AU2:AU4)</f>
        <v>0</v>
      </c>
      <c r="AV2" s="28">
        <f>AVERAGE(densidade_hab_indL!AV2:AV4)</f>
        <v>0.06</v>
      </c>
      <c r="AW2" s="28">
        <f>AVERAGE(densidade_hab_indL!AW2:AW4)</f>
        <v>0</v>
      </c>
      <c r="AX2" s="28">
        <f>AVERAGE(densidade_hab_indL!AX2:AX4)</f>
        <v>1.3333333333333334E-2</v>
      </c>
      <c r="AY2" s="28">
        <f>AVERAGE(densidade_hab_indL!AY2:AY4)</f>
        <v>0</v>
      </c>
      <c r="AZ2" s="28">
        <f>AVERAGE(densidade_hab_indL!AZ2:AZ4)</f>
        <v>6.6666666666666671E-3</v>
      </c>
      <c r="BA2" s="28">
        <f>AVERAGE(densidade_hab_indL!BA2:BA4)</f>
        <v>0</v>
      </c>
      <c r="BB2" s="28">
        <f>AVERAGE(densidade_hab_indL!BB2:BB4)</f>
        <v>6.6666666666666671E-3</v>
      </c>
      <c r="BC2" s="28">
        <f>AVERAGE(densidade_hab_indL!BC2:BC4)</f>
        <v>0</v>
      </c>
      <c r="BD2" s="28">
        <f>AVERAGE(densidade_hab_indL!BD2:BD4)</f>
        <v>0</v>
      </c>
      <c r="BE2" s="28">
        <f>AVERAGE(densidade_hab_indL!BE2:BE4)</f>
        <v>0</v>
      </c>
      <c r="BF2" s="28">
        <f>AVERAGE(densidade_hab_indL!BF2:BF4)</f>
        <v>0</v>
      </c>
      <c r="BG2" s="28">
        <f>AVERAGE(densidade_hab_indL!BG2:BG4)</f>
        <v>0</v>
      </c>
    </row>
    <row r="3" spans="1:67" ht="12.75" customHeight="1" x14ac:dyDescent="0.25">
      <c r="A3" s="4" t="s">
        <v>306</v>
      </c>
      <c r="B3" s="28">
        <f>AVERAGE(densidade_hab_indL!B5:B7)</f>
        <v>6.6666666666666671E-3</v>
      </c>
      <c r="C3" s="28">
        <f>AVERAGE(densidade_hab_indL!C5:C7)</f>
        <v>0</v>
      </c>
      <c r="D3" s="28">
        <f>AVERAGE(densidade_hab_indL!D5:D7)</f>
        <v>0</v>
      </c>
      <c r="E3" s="28">
        <f>AVERAGE(densidade_hab_indL!E5:E7)</f>
        <v>1.1533333333333333</v>
      </c>
      <c r="F3" s="28">
        <f>AVERAGE(densidade_hab_indL!F5:F7)</f>
        <v>0</v>
      </c>
      <c r="G3" s="28">
        <f>AVERAGE(densidade_hab_indL!G5:G7)</f>
        <v>0</v>
      </c>
      <c r="H3" s="28">
        <f>AVERAGE(densidade_hab_indL!H5:H7)</f>
        <v>0</v>
      </c>
      <c r="I3" s="28">
        <f>AVERAGE(densidade_hab_indL!I5:I7)</f>
        <v>6.6666666666666671E-3</v>
      </c>
      <c r="J3" s="28">
        <f>AVERAGE(densidade_hab_indL!J5:J7)</f>
        <v>0</v>
      </c>
      <c r="K3" s="28">
        <f>AVERAGE(densidade_hab_indL!K5:K7)</f>
        <v>0</v>
      </c>
      <c r="L3" s="28">
        <f>AVERAGE(densidade_hab_indL!L5:L7)</f>
        <v>0</v>
      </c>
      <c r="M3" s="28">
        <f>AVERAGE(densidade_hab_indL!M5:M7)</f>
        <v>0</v>
      </c>
      <c r="N3" s="28">
        <f>AVERAGE(densidade_hab_indL!N5:N7)</f>
        <v>0</v>
      </c>
      <c r="O3" s="28">
        <f>AVERAGE(densidade_hab_indL!O5:O7)</f>
        <v>0</v>
      </c>
      <c r="P3" s="28">
        <f>AVERAGE(densidade_hab_indL!P5:P7)</f>
        <v>0</v>
      </c>
      <c r="Q3" s="28">
        <f>AVERAGE(densidade_hab_indL!Q5:Q7)</f>
        <v>0</v>
      </c>
      <c r="R3" s="28">
        <f>AVERAGE(densidade_hab_indL!R5:R7)</f>
        <v>0</v>
      </c>
      <c r="S3" s="28">
        <f>AVERAGE(densidade_hab_indL!S5:S7)</f>
        <v>0</v>
      </c>
      <c r="T3" s="28">
        <f>AVERAGE(densidade_hab_indL!T5:T7)</f>
        <v>0</v>
      </c>
      <c r="U3" s="28">
        <f>AVERAGE(densidade_hab_indL!U5:U7)</f>
        <v>0</v>
      </c>
      <c r="V3" s="28">
        <f>AVERAGE(densidade_hab_indL!V5:V7)</f>
        <v>0</v>
      </c>
      <c r="W3" s="28">
        <f>AVERAGE(densidade_hab_indL!W5:W7)</f>
        <v>0</v>
      </c>
      <c r="X3" s="28">
        <f>AVERAGE(densidade_hab_indL!X5:X7)</f>
        <v>0</v>
      </c>
      <c r="Y3" s="28">
        <f>AVERAGE(densidade_hab_indL!Y5:Y7)</f>
        <v>0</v>
      </c>
      <c r="Z3" s="28">
        <f>AVERAGE(densidade_hab_indL!Z5:Z7)</f>
        <v>0</v>
      </c>
      <c r="AA3" s="28">
        <f>AVERAGE(densidade_hab_indL!AA5:AA7)</f>
        <v>0</v>
      </c>
      <c r="AB3" s="28">
        <f>AVERAGE(densidade_hab_indL!AB5:AB7)</f>
        <v>0</v>
      </c>
      <c r="AC3" s="28">
        <f>AVERAGE(densidade_hab_indL!AC5:AC7)</f>
        <v>0</v>
      </c>
      <c r="AD3" s="28">
        <f>AVERAGE(densidade_hab_indL!AD5:AD7)</f>
        <v>0</v>
      </c>
      <c r="AE3" s="28">
        <f>AVERAGE(densidade_hab_indL!AE5:AE7)</f>
        <v>0</v>
      </c>
      <c r="AF3" s="28">
        <f>AVERAGE(densidade_hab_indL!AF5:AF7)</f>
        <v>0</v>
      </c>
      <c r="AG3" s="28">
        <f>AVERAGE(densidade_hab_indL!AG5:AG7)</f>
        <v>0</v>
      </c>
      <c r="AH3" s="28">
        <f>AVERAGE(densidade_hab_indL!AH5:AH7)</f>
        <v>0</v>
      </c>
      <c r="AI3" s="28">
        <f>AVERAGE(densidade_hab_indL!AI5:AI7)</f>
        <v>0</v>
      </c>
      <c r="AJ3" s="28">
        <f>AVERAGE(densidade_hab_indL!AJ5:AJ7)</f>
        <v>0</v>
      </c>
      <c r="AK3" s="28">
        <f>AVERAGE(densidade_hab_indL!AK5:AK7)</f>
        <v>0</v>
      </c>
      <c r="AL3" s="28">
        <f>AVERAGE(densidade_hab_indL!AL5:AL7)</f>
        <v>0</v>
      </c>
      <c r="AM3" s="28">
        <f>AVERAGE(densidade_hab_indL!AM5:AM7)</f>
        <v>0</v>
      </c>
      <c r="AN3" s="28">
        <f>AVERAGE(densidade_hab_indL!AN5:AN7)</f>
        <v>0</v>
      </c>
      <c r="AO3" s="28">
        <f>AVERAGE(densidade_hab_indL!AO5:AO7)</f>
        <v>0</v>
      </c>
      <c r="AP3" s="28">
        <f>AVERAGE(densidade_hab_indL!AP5:AP7)</f>
        <v>0</v>
      </c>
      <c r="AQ3" s="28">
        <f>AVERAGE(densidade_hab_indL!AQ5:AQ7)</f>
        <v>0</v>
      </c>
      <c r="AR3" s="28">
        <f>AVERAGE(densidade_hab_indL!AR5:AR7)</f>
        <v>0</v>
      </c>
      <c r="AS3" s="28">
        <f>AVERAGE(densidade_hab_indL!AS5:AS7)</f>
        <v>0</v>
      </c>
      <c r="AT3" s="28">
        <f>AVERAGE(densidade_hab_indL!AT5:AT7)</f>
        <v>0</v>
      </c>
      <c r="AU3" s="28">
        <f>AVERAGE(densidade_hab_indL!AU5:AU7)</f>
        <v>0</v>
      </c>
      <c r="AV3" s="28">
        <f>AVERAGE(densidade_hab_indL!AV5:AV7)</f>
        <v>2.6666666666666668E-2</v>
      </c>
      <c r="AW3" s="28">
        <f>AVERAGE(densidade_hab_indL!AW5:AW7)</f>
        <v>0</v>
      </c>
      <c r="AX3" s="28">
        <f>AVERAGE(densidade_hab_indL!AX5:AX7)</f>
        <v>0</v>
      </c>
      <c r="AY3" s="28">
        <f>AVERAGE(densidade_hab_indL!AY5:AY7)</f>
        <v>0</v>
      </c>
      <c r="AZ3" s="28">
        <f>AVERAGE(densidade_hab_indL!AZ5:AZ7)</f>
        <v>0</v>
      </c>
      <c r="BA3" s="28">
        <f>AVERAGE(densidade_hab_indL!BA5:BA7)</f>
        <v>0</v>
      </c>
      <c r="BB3" s="28">
        <f>AVERAGE(densidade_hab_indL!BB5:BB7)</f>
        <v>0</v>
      </c>
      <c r="BC3" s="28">
        <f>AVERAGE(densidade_hab_indL!BC5:BC7)</f>
        <v>0</v>
      </c>
      <c r="BD3" s="28">
        <f>AVERAGE(densidade_hab_indL!BD5:BD7)</f>
        <v>0</v>
      </c>
      <c r="BE3" s="28">
        <f>AVERAGE(densidade_hab_indL!BE5:BE7)</f>
        <v>0</v>
      </c>
      <c r="BF3" s="28">
        <f>AVERAGE(densidade_hab_indL!BF5:BF7)</f>
        <v>0</v>
      </c>
      <c r="BG3" s="28">
        <f>AVERAGE(densidade_hab_indL!BG5:BG7)</f>
        <v>0</v>
      </c>
    </row>
    <row r="4" spans="1:67" ht="12.75" customHeight="1" x14ac:dyDescent="0.25">
      <c r="A4" s="4" t="s">
        <v>307</v>
      </c>
      <c r="B4" s="28">
        <f>AVERAGE(densidade_hab_indL!B8:B10)</f>
        <v>0</v>
      </c>
      <c r="C4" s="28">
        <f>AVERAGE(densidade_hab_indL!C8:C10)</f>
        <v>0</v>
      </c>
      <c r="D4" s="28">
        <f>AVERAGE(densidade_hab_indL!D8:D10)</f>
        <v>0</v>
      </c>
      <c r="E4" s="28">
        <f>AVERAGE(densidade_hab_indL!E8:E10)</f>
        <v>0.97333333333333327</v>
      </c>
      <c r="F4" s="28">
        <f>AVERAGE(densidade_hab_indL!F8:F10)</f>
        <v>0</v>
      </c>
      <c r="G4" s="28">
        <f>AVERAGE(densidade_hab_indL!G8:G10)</f>
        <v>0</v>
      </c>
      <c r="H4" s="28">
        <f>AVERAGE(densidade_hab_indL!H8:H10)</f>
        <v>0</v>
      </c>
      <c r="I4" s="28">
        <f>AVERAGE(densidade_hab_indL!I8:I10)</f>
        <v>1.3333333333333334E-2</v>
      </c>
      <c r="J4" s="28">
        <f>AVERAGE(densidade_hab_indL!J8:J10)</f>
        <v>0</v>
      </c>
      <c r="K4" s="28">
        <f>AVERAGE(densidade_hab_indL!K8:K10)</f>
        <v>0</v>
      </c>
      <c r="L4" s="28">
        <f>AVERAGE(densidade_hab_indL!L8:L10)</f>
        <v>0</v>
      </c>
      <c r="M4" s="28">
        <f>AVERAGE(densidade_hab_indL!M8:M10)</f>
        <v>0</v>
      </c>
      <c r="N4" s="28">
        <f>AVERAGE(densidade_hab_indL!N8:N10)</f>
        <v>0</v>
      </c>
      <c r="O4" s="28">
        <f>AVERAGE(densidade_hab_indL!O8:O10)</f>
        <v>0</v>
      </c>
      <c r="P4" s="28">
        <f>AVERAGE(densidade_hab_indL!P8:P10)</f>
        <v>0</v>
      </c>
      <c r="Q4" s="28">
        <f>AVERAGE(densidade_hab_indL!Q8:Q10)</f>
        <v>0</v>
      </c>
      <c r="R4" s="28">
        <f>AVERAGE(densidade_hab_indL!R8:R10)</f>
        <v>0</v>
      </c>
      <c r="S4" s="28">
        <f>AVERAGE(densidade_hab_indL!S8:S10)</f>
        <v>6.6666666666666671E-3</v>
      </c>
      <c r="T4" s="28">
        <f>AVERAGE(densidade_hab_indL!T8:T10)</f>
        <v>0</v>
      </c>
      <c r="U4" s="28">
        <f>AVERAGE(densidade_hab_indL!U8:U10)</f>
        <v>0</v>
      </c>
      <c r="V4" s="28">
        <f>AVERAGE(densidade_hab_indL!V8:V10)</f>
        <v>0</v>
      </c>
      <c r="W4" s="28">
        <f>AVERAGE(densidade_hab_indL!W8:W10)</f>
        <v>0</v>
      </c>
      <c r="X4" s="28">
        <f>AVERAGE(densidade_hab_indL!X8:X10)</f>
        <v>0</v>
      </c>
      <c r="Y4" s="28">
        <f>AVERAGE(densidade_hab_indL!Y8:Y10)</f>
        <v>0</v>
      </c>
      <c r="Z4" s="28">
        <f>AVERAGE(densidade_hab_indL!Z8:Z10)</f>
        <v>0</v>
      </c>
      <c r="AA4" s="28">
        <f>AVERAGE(densidade_hab_indL!AA8:AA10)</f>
        <v>0</v>
      </c>
      <c r="AB4" s="28">
        <f>AVERAGE(densidade_hab_indL!AB8:AB10)</f>
        <v>0</v>
      </c>
      <c r="AC4" s="28">
        <f>AVERAGE(densidade_hab_indL!AC8:AC10)</f>
        <v>0</v>
      </c>
      <c r="AD4" s="28">
        <f>AVERAGE(densidade_hab_indL!AD8:AD10)</f>
        <v>0</v>
      </c>
      <c r="AE4" s="28">
        <f>AVERAGE(densidade_hab_indL!AE8:AE10)</f>
        <v>0</v>
      </c>
      <c r="AF4" s="28">
        <f>AVERAGE(densidade_hab_indL!AF8:AF10)</f>
        <v>6.6666666666666671E-3</v>
      </c>
      <c r="AG4" s="28">
        <f>AVERAGE(densidade_hab_indL!AG8:AG10)</f>
        <v>0</v>
      </c>
      <c r="AH4" s="28">
        <f>AVERAGE(densidade_hab_indL!AH8:AH10)</f>
        <v>0</v>
      </c>
      <c r="AI4" s="28">
        <f>AVERAGE(densidade_hab_indL!AI8:AI10)</f>
        <v>0</v>
      </c>
      <c r="AJ4" s="28">
        <f>AVERAGE(densidade_hab_indL!AJ8:AJ10)</f>
        <v>0</v>
      </c>
      <c r="AK4" s="28">
        <f>AVERAGE(densidade_hab_indL!AK8:AK10)</f>
        <v>0</v>
      </c>
      <c r="AL4" s="28">
        <f>AVERAGE(densidade_hab_indL!AL8:AL10)</f>
        <v>0</v>
      </c>
      <c r="AM4" s="28">
        <f>AVERAGE(densidade_hab_indL!AM8:AM10)</f>
        <v>0</v>
      </c>
      <c r="AN4" s="28">
        <f>AVERAGE(densidade_hab_indL!AN8:AN10)</f>
        <v>0</v>
      </c>
      <c r="AO4" s="28">
        <f>AVERAGE(densidade_hab_indL!AO8:AO10)</f>
        <v>0</v>
      </c>
      <c r="AP4" s="28">
        <f>AVERAGE(densidade_hab_indL!AP8:AP10)</f>
        <v>0</v>
      </c>
      <c r="AQ4" s="28">
        <f>AVERAGE(densidade_hab_indL!AQ8:AQ10)</f>
        <v>0</v>
      </c>
      <c r="AR4" s="28">
        <f>AVERAGE(densidade_hab_indL!AR8:AR10)</f>
        <v>0</v>
      </c>
      <c r="AS4" s="28">
        <f>AVERAGE(densidade_hab_indL!AS8:AS10)</f>
        <v>0</v>
      </c>
      <c r="AT4" s="28">
        <f>AVERAGE(densidade_hab_indL!AT8:AT10)</f>
        <v>0</v>
      </c>
      <c r="AU4" s="28">
        <f>AVERAGE(densidade_hab_indL!AU8:AU10)</f>
        <v>0</v>
      </c>
      <c r="AV4" s="28">
        <f>AVERAGE(densidade_hab_indL!AV8:AV10)</f>
        <v>4.6666666666666669E-2</v>
      </c>
      <c r="AW4" s="28">
        <f>AVERAGE(densidade_hab_indL!AW8:AW10)</f>
        <v>0</v>
      </c>
      <c r="AX4" s="28">
        <f>AVERAGE(densidade_hab_indL!AX8:AX10)</f>
        <v>6.6666666666666671E-3</v>
      </c>
      <c r="AY4" s="28">
        <f>AVERAGE(densidade_hab_indL!AY8:AY10)</f>
        <v>0</v>
      </c>
      <c r="AZ4" s="28">
        <f>AVERAGE(densidade_hab_indL!AZ8:AZ10)</f>
        <v>1.3333333333333334E-2</v>
      </c>
      <c r="BA4" s="28">
        <f>AVERAGE(densidade_hab_indL!BA8:BA10)</f>
        <v>0</v>
      </c>
      <c r="BB4" s="28">
        <f>AVERAGE(densidade_hab_indL!BB8:BB10)</f>
        <v>0</v>
      </c>
      <c r="BC4" s="28">
        <f>AVERAGE(densidade_hab_indL!BC8:BC10)</f>
        <v>0</v>
      </c>
      <c r="BD4" s="28">
        <f>AVERAGE(densidade_hab_indL!BD8:BD10)</f>
        <v>0</v>
      </c>
      <c r="BE4" s="28">
        <f>AVERAGE(densidade_hab_indL!BE8:BE10)</f>
        <v>0</v>
      </c>
      <c r="BF4" s="28">
        <f>AVERAGE(densidade_hab_indL!BF8:BF10)</f>
        <v>0</v>
      </c>
      <c r="BG4" s="28">
        <f>AVERAGE(densidade_hab_indL!BG8:BG10)</f>
        <v>0</v>
      </c>
    </row>
    <row r="5" spans="1:67" ht="12.75" customHeight="1" x14ac:dyDescent="0.25">
      <c r="A5" s="4" t="s">
        <v>308</v>
      </c>
      <c r="B5" s="28">
        <f>AVERAGE(densidade_hab_indL!B11:B13)</f>
        <v>5.3333333333333323E-2</v>
      </c>
      <c r="C5" s="28">
        <f>AVERAGE(densidade_hab_indL!C11:C13)</f>
        <v>0</v>
      </c>
      <c r="D5" s="28">
        <f>AVERAGE(densidade_hab_indL!D11:D13)</f>
        <v>0</v>
      </c>
      <c r="E5" s="28">
        <f>AVERAGE(densidade_hab_indL!E11:E13)</f>
        <v>1.1333333333333333</v>
      </c>
      <c r="F5" s="28">
        <f>AVERAGE(densidade_hab_indL!F11:F13)</f>
        <v>0</v>
      </c>
      <c r="G5" s="28">
        <f>AVERAGE(densidade_hab_indL!G11:G13)</f>
        <v>0</v>
      </c>
      <c r="H5" s="28">
        <f>AVERAGE(densidade_hab_indL!H11:H13)</f>
        <v>6.6666666666666671E-3</v>
      </c>
      <c r="I5" s="28">
        <f>AVERAGE(densidade_hab_indL!I11:I13)</f>
        <v>1.04</v>
      </c>
      <c r="J5" s="28">
        <f>AVERAGE(densidade_hab_indL!J11:J13)</f>
        <v>0</v>
      </c>
      <c r="K5" s="28">
        <f>AVERAGE(densidade_hab_indL!K11:K13)</f>
        <v>0</v>
      </c>
      <c r="L5" s="28">
        <f>AVERAGE(densidade_hab_indL!L11:L13)</f>
        <v>0</v>
      </c>
      <c r="M5" s="28">
        <f>AVERAGE(densidade_hab_indL!M11:M13)</f>
        <v>0</v>
      </c>
      <c r="N5" s="28">
        <f>AVERAGE(densidade_hab_indL!N11:N13)</f>
        <v>0</v>
      </c>
      <c r="O5" s="28">
        <f>AVERAGE(densidade_hab_indL!O11:O13)</f>
        <v>0</v>
      </c>
      <c r="P5" s="28">
        <f>AVERAGE(densidade_hab_indL!P11:P13)</f>
        <v>6.6666666666666671E-3</v>
      </c>
      <c r="Q5" s="28">
        <f>AVERAGE(densidade_hab_indL!Q11:Q13)</f>
        <v>6.6666666666666671E-3</v>
      </c>
      <c r="R5" s="28">
        <f>AVERAGE(densidade_hab_indL!R11:R13)</f>
        <v>0</v>
      </c>
      <c r="S5" s="28">
        <f>AVERAGE(densidade_hab_indL!S11:S13)</f>
        <v>6.6666666666666666E-2</v>
      </c>
      <c r="T5" s="28">
        <f>AVERAGE(densidade_hab_indL!T11:T13)</f>
        <v>0</v>
      </c>
      <c r="U5" s="28">
        <f>AVERAGE(densidade_hab_indL!U11:U13)</f>
        <v>3.3333333333333333E-2</v>
      </c>
      <c r="V5" s="28">
        <f>AVERAGE(densidade_hab_indL!V11:V13)</f>
        <v>6.6666666666666671E-3</v>
      </c>
      <c r="W5" s="28">
        <f>AVERAGE(densidade_hab_indL!W11:W13)</f>
        <v>0</v>
      </c>
      <c r="X5" s="28">
        <f>AVERAGE(densidade_hab_indL!X11:X13)</f>
        <v>6.6666666666666671E-3</v>
      </c>
      <c r="Y5" s="28">
        <f>AVERAGE(densidade_hab_indL!Y11:Y13)</f>
        <v>6.6666666666666671E-3</v>
      </c>
      <c r="Z5" s="28">
        <f>AVERAGE(densidade_hab_indL!Z11:Z13)</f>
        <v>1.3333333333333334E-2</v>
      </c>
      <c r="AA5" s="28">
        <f>AVERAGE(densidade_hab_indL!AA11:AA13)</f>
        <v>6.6666666666666666E-2</v>
      </c>
      <c r="AB5" s="28">
        <f>AVERAGE(densidade_hab_indL!AB11:AB13)</f>
        <v>6.6666666666666671E-3</v>
      </c>
      <c r="AC5" s="28">
        <f>AVERAGE(densidade_hab_indL!AC11:AC13)</f>
        <v>0</v>
      </c>
      <c r="AD5" s="28">
        <f>AVERAGE(densidade_hab_indL!AD11:AD13)</f>
        <v>1.3333333333333334E-2</v>
      </c>
      <c r="AE5" s="28">
        <f>AVERAGE(densidade_hab_indL!AE11:AE13)</f>
        <v>1.3333333333333334E-2</v>
      </c>
      <c r="AF5" s="28">
        <f>AVERAGE(densidade_hab_indL!AF11:AF13)</f>
        <v>0</v>
      </c>
      <c r="AG5" s="28">
        <f>AVERAGE(densidade_hab_indL!AG11:AG13)</f>
        <v>0</v>
      </c>
      <c r="AH5" s="28">
        <f>AVERAGE(densidade_hab_indL!AH11:AH13)</f>
        <v>0</v>
      </c>
      <c r="AI5" s="28">
        <f>AVERAGE(densidade_hab_indL!AI11:AI13)</f>
        <v>0</v>
      </c>
      <c r="AJ5" s="28">
        <f>AVERAGE(densidade_hab_indL!AJ11:AJ13)</f>
        <v>1.3333333333333334E-2</v>
      </c>
      <c r="AK5" s="28">
        <f>AVERAGE(densidade_hab_indL!AK11:AK13)</f>
        <v>0</v>
      </c>
      <c r="AL5" s="28">
        <f>AVERAGE(densidade_hab_indL!AL11:AL13)</f>
        <v>2.6666666666666668E-2</v>
      </c>
      <c r="AM5" s="28">
        <f>AVERAGE(densidade_hab_indL!AM11:AM13)</f>
        <v>1.3333333333333334E-2</v>
      </c>
      <c r="AN5" s="28">
        <f>AVERAGE(densidade_hab_indL!AN11:AN13)</f>
        <v>0</v>
      </c>
      <c r="AO5" s="28">
        <f>AVERAGE(densidade_hab_indL!AO11:AO13)</f>
        <v>0</v>
      </c>
      <c r="AP5" s="28">
        <f>AVERAGE(densidade_hab_indL!AP11:AP13)</f>
        <v>6.6666666666666671E-3</v>
      </c>
      <c r="AQ5" s="28">
        <f>AVERAGE(densidade_hab_indL!AQ11:AQ13)</f>
        <v>0</v>
      </c>
      <c r="AR5" s="28">
        <f>AVERAGE(densidade_hab_indL!AR11:AR13)</f>
        <v>0</v>
      </c>
      <c r="AS5" s="28">
        <f>AVERAGE(densidade_hab_indL!AS11:AS13)</f>
        <v>0</v>
      </c>
      <c r="AT5" s="28">
        <f>AVERAGE(densidade_hab_indL!AT11:AT13)</f>
        <v>0</v>
      </c>
      <c r="AU5" s="28">
        <f>AVERAGE(densidade_hab_indL!AU11:AU13)</f>
        <v>6.6666666666666671E-3</v>
      </c>
      <c r="AV5" s="28">
        <f>AVERAGE(densidade_hab_indL!AV11:AV13)</f>
        <v>0.6</v>
      </c>
      <c r="AW5" s="28">
        <f>AVERAGE(densidade_hab_indL!AW11:AW13)</f>
        <v>0</v>
      </c>
      <c r="AX5" s="28">
        <f>AVERAGE(densidade_hab_indL!AX11:AX13)</f>
        <v>9.3333333333333338E-2</v>
      </c>
      <c r="AY5" s="28">
        <f>AVERAGE(densidade_hab_indL!AY11:AY13)</f>
        <v>0</v>
      </c>
      <c r="AZ5" s="28">
        <f>AVERAGE(densidade_hab_indL!AZ11:AZ13)</f>
        <v>0</v>
      </c>
      <c r="BA5" s="28">
        <f>AVERAGE(densidade_hab_indL!BA11:BA13)</f>
        <v>0</v>
      </c>
      <c r="BB5" s="28">
        <f>AVERAGE(densidade_hab_indL!BB11:BB13)</f>
        <v>6.6666666666666671E-3</v>
      </c>
      <c r="BC5" s="28">
        <f>AVERAGE(densidade_hab_indL!BC11:BC13)</f>
        <v>0</v>
      </c>
      <c r="BD5" s="28">
        <f>AVERAGE(densidade_hab_indL!BD11:BD13)</f>
        <v>0</v>
      </c>
      <c r="BE5" s="28">
        <f>AVERAGE(densidade_hab_indL!BE11:BE13)</f>
        <v>0</v>
      </c>
      <c r="BF5" s="28">
        <f>AVERAGE(densidade_hab_indL!BF11:BF13)</f>
        <v>0</v>
      </c>
      <c r="BG5" s="28">
        <f>AVERAGE(densidade_hab_indL!BG11:BG13)</f>
        <v>0</v>
      </c>
    </row>
    <row r="6" spans="1:67" ht="12.75" customHeight="1" x14ac:dyDescent="0.25">
      <c r="A6" s="4" t="s">
        <v>309</v>
      </c>
      <c r="B6" s="28">
        <f>AVERAGE(densidade_hab_indL!B14:B16)</f>
        <v>0</v>
      </c>
      <c r="C6" s="28">
        <f>AVERAGE(densidade_hab_indL!C14:C16)</f>
        <v>0</v>
      </c>
      <c r="D6" s="28">
        <f>AVERAGE(densidade_hab_indL!D14:D16)</f>
        <v>0</v>
      </c>
      <c r="E6" s="28">
        <f>AVERAGE(densidade_hab_indL!E14:E16)</f>
        <v>1.4866666666666666</v>
      </c>
      <c r="F6" s="28">
        <f>AVERAGE(densidade_hab_indL!F14:F16)</f>
        <v>0</v>
      </c>
      <c r="G6" s="28">
        <f>AVERAGE(densidade_hab_indL!G14:G16)</f>
        <v>0</v>
      </c>
      <c r="H6" s="28">
        <f>AVERAGE(densidade_hab_indL!H14:H16)</f>
        <v>1.3333333333333334E-2</v>
      </c>
      <c r="I6" s="28">
        <f>AVERAGE(densidade_hab_indL!I14:I16)</f>
        <v>6.6666666666666671E-3</v>
      </c>
      <c r="J6" s="28">
        <f>AVERAGE(densidade_hab_indL!J14:J16)</f>
        <v>6.6666666666666671E-3</v>
      </c>
      <c r="K6" s="28">
        <f>AVERAGE(densidade_hab_indL!K14:K16)</f>
        <v>0</v>
      </c>
      <c r="L6" s="28">
        <f>AVERAGE(densidade_hab_indL!L14:L16)</f>
        <v>0</v>
      </c>
      <c r="M6" s="28">
        <f>AVERAGE(densidade_hab_indL!M14:M16)</f>
        <v>0</v>
      </c>
      <c r="N6" s="28">
        <f>AVERAGE(densidade_hab_indL!N14:N16)</f>
        <v>0</v>
      </c>
      <c r="O6" s="28">
        <f>AVERAGE(densidade_hab_indL!O14:O16)</f>
        <v>0</v>
      </c>
      <c r="P6" s="28">
        <f>AVERAGE(densidade_hab_indL!P14:P16)</f>
        <v>0</v>
      </c>
      <c r="Q6" s="28">
        <f>AVERAGE(densidade_hab_indL!Q14:Q16)</f>
        <v>0</v>
      </c>
      <c r="R6" s="28">
        <f>AVERAGE(densidade_hab_indL!R14:R16)</f>
        <v>0</v>
      </c>
      <c r="S6" s="28">
        <f>AVERAGE(densidade_hab_indL!S14:S16)</f>
        <v>4.6666666666666669E-2</v>
      </c>
      <c r="T6" s="28">
        <f>AVERAGE(densidade_hab_indL!T14:T16)</f>
        <v>1.3333333333333334E-2</v>
      </c>
      <c r="U6" s="28">
        <f>AVERAGE(densidade_hab_indL!U14:U16)</f>
        <v>6.6666666666666671E-3</v>
      </c>
      <c r="V6" s="28">
        <f>AVERAGE(densidade_hab_indL!V14:V16)</f>
        <v>0</v>
      </c>
      <c r="W6" s="28">
        <f>AVERAGE(densidade_hab_indL!W14:W16)</f>
        <v>0</v>
      </c>
      <c r="X6" s="28">
        <f>AVERAGE(densidade_hab_indL!X14:X16)</f>
        <v>0</v>
      </c>
      <c r="Y6" s="28">
        <f>AVERAGE(densidade_hab_indL!Y14:Y16)</f>
        <v>6.6666666666666671E-3</v>
      </c>
      <c r="Z6" s="28">
        <f>AVERAGE(densidade_hab_indL!Z14:Z16)</f>
        <v>0.02</v>
      </c>
      <c r="AA6" s="28">
        <f>AVERAGE(densidade_hab_indL!AA14:AA16)</f>
        <v>0</v>
      </c>
      <c r="AB6" s="28">
        <f>AVERAGE(densidade_hab_indL!AB14:AB16)</f>
        <v>0</v>
      </c>
      <c r="AC6" s="28">
        <f>AVERAGE(densidade_hab_indL!AC14:AC16)</f>
        <v>0</v>
      </c>
      <c r="AD6" s="28">
        <f>AVERAGE(densidade_hab_indL!AD14:AD16)</f>
        <v>0</v>
      </c>
      <c r="AE6" s="28">
        <f>AVERAGE(densidade_hab_indL!AE14:AE16)</f>
        <v>0</v>
      </c>
      <c r="AF6" s="28">
        <f>AVERAGE(densidade_hab_indL!AF14:AF16)</f>
        <v>0</v>
      </c>
      <c r="AG6" s="28">
        <f>AVERAGE(densidade_hab_indL!AG14:AG16)</f>
        <v>0</v>
      </c>
      <c r="AH6" s="28">
        <f>AVERAGE(densidade_hab_indL!AH14:AH16)</f>
        <v>0</v>
      </c>
      <c r="AI6" s="28">
        <f>AVERAGE(densidade_hab_indL!AI14:AI16)</f>
        <v>0</v>
      </c>
      <c r="AJ6" s="28">
        <f>AVERAGE(densidade_hab_indL!AJ14:AJ16)</f>
        <v>0.02</v>
      </c>
      <c r="AK6" s="28">
        <f>AVERAGE(densidade_hab_indL!AK14:AK16)</f>
        <v>6.6666666666666671E-3</v>
      </c>
      <c r="AL6" s="28">
        <f>AVERAGE(densidade_hab_indL!AL14:AL16)</f>
        <v>0</v>
      </c>
      <c r="AM6" s="28">
        <f>AVERAGE(densidade_hab_indL!AM14:AM16)</f>
        <v>0</v>
      </c>
      <c r="AN6" s="28">
        <f>AVERAGE(densidade_hab_indL!AN14:AN16)</f>
        <v>0</v>
      </c>
      <c r="AO6" s="28">
        <f>AVERAGE(densidade_hab_indL!AO14:AO16)</f>
        <v>0</v>
      </c>
      <c r="AP6" s="28">
        <f>AVERAGE(densidade_hab_indL!AP14:AP16)</f>
        <v>0</v>
      </c>
      <c r="AQ6" s="28">
        <f>AVERAGE(densidade_hab_indL!AQ14:AQ16)</f>
        <v>0</v>
      </c>
      <c r="AR6" s="28">
        <f>AVERAGE(densidade_hab_indL!AR14:AR16)</f>
        <v>0</v>
      </c>
      <c r="AS6" s="28">
        <f>AVERAGE(densidade_hab_indL!AS14:AS16)</f>
        <v>0</v>
      </c>
      <c r="AT6" s="28">
        <f>AVERAGE(densidade_hab_indL!AT14:AT16)</f>
        <v>0</v>
      </c>
      <c r="AU6" s="28">
        <f>AVERAGE(densidade_hab_indL!AU14:AU16)</f>
        <v>0</v>
      </c>
      <c r="AV6" s="28">
        <f>AVERAGE(densidade_hab_indL!AV14:AV16)</f>
        <v>0.06</v>
      </c>
      <c r="AW6" s="28">
        <f>AVERAGE(densidade_hab_indL!AW14:AW16)</f>
        <v>0</v>
      </c>
      <c r="AX6" s="28">
        <f>AVERAGE(densidade_hab_indL!AX14:AX16)</f>
        <v>0</v>
      </c>
      <c r="AY6" s="28">
        <f>AVERAGE(densidade_hab_indL!AY14:AY16)</f>
        <v>6.6666666666666671E-3</v>
      </c>
      <c r="AZ6" s="28">
        <f>AVERAGE(densidade_hab_indL!AZ14:AZ16)</f>
        <v>3.3333333333333333E-2</v>
      </c>
      <c r="BA6" s="28">
        <f>AVERAGE(densidade_hab_indL!BA14:BA16)</f>
        <v>0</v>
      </c>
      <c r="BB6" s="28">
        <f>AVERAGE(densidade_hab_indL!BB14:BB16)</f>
        <v>0</v>
      </c>
      <c r="BC6" s="28">
        <f>AVERAGE(densidade_hab_indL!BC14:BC16)</f>
        <v>0</v>
      </c>
      <c r="BD6" s="28">
        <f>AVERAGE(densidade_hab_indL!BD14:BD16)</f>
        <v>6.6666666666666671E-3</v>
      </c>
      <c r="BE6" s="28">
        <f>AVERAGE(densidade_hab_indL!BE14:BE16)</f>
        <v>0</v>
      </c>
      <c r="BF6" s="28">
        <f>AVERAGE(densidade_hab_indL!BF14:BF16)</f>
        <v>0</v>
      </c>
      <c r="BG6" s="28">
        <f>AVERAGE(densidade_hab_indL!BG14:BG16)</f>
        <v>0</v>
      </c>
    </row>
    <row r="7" spans="1:67" ht="12.75" customHeight="1" x14ac:dyDescent="0.25">
      <c r="A7" s="4" t="s">
        <v>310</v>
      </c>
      <c r="B7" s="28">
        <f>AVERAGE(densidade_hab_indL!B17:B19)</f>
        <v>2.6666666666666668E-2</v>
      </c>
      <c r="C7" s="28">
        <f>AVERAGE(densidade_hab_indL!C17:C19)</f>
        <v>0</v>
      </c>
      <c r="D7" s="28">
        <f>AVERAGE(densidade_hab_indL!D17:D19)</f>
        <v>0</v>
      </c>
      <c r="E7" s="28">
        <f>AVERAGE(densidade_hab_indL!E17:E19)</f>
        <v>1.2666666666666666</v>
      </c>
      <c r="F7" s="28">
        <f>AVERAGE(densidade_hab_indL!F17:F19)</f>
        <v>0.02</v>
      </c>
      <c r="G7" s="28">
        <f>AVERAGE(densidade_hab_indL!G17:G19)</f>
        <v>1.3333333333333334E-2</v>
      </c>
      <c r="H7" s="28">
        <f>AVERAGE(densidade_hab_indL!H17:H19)</f>
        <v>3.3333333333333333E-2</v>
      </c>
      <c r="I7" s="28">
        <f>AVERAGE(densidade_hab_indL!I17:I19)</f>
        <v>6.6666666666666671E-3</v>
      </c>
      <c r="J7" s="28">
        <f>AVERAGE(densidade_hab_indL!J17:J19)</f>
        <v>6.6666666666666671E-3</v>
      </c>
      <c r="K7" s="28">
        <f>AVERAGE(densidade_hab_indL!K17:K19)</f>
        <v>0</v>
      </c>
      <c r="L7" s="28">
        <f>AVERAGE(densidade_hab_indL!L17:L19)</f>
        <v>0</v>
      </c>
      <c r="M7" s="28">
        <f>AVERAGE(densidade_hab_indL!M17:M19)</f>
        <v>0</v>
      </c>
      <c r="N7" s="28">
        <f>AVERAGE(densidade_hab_indL!N17:N19)</f>
        <v>0</v>
      </c>
      <c r="O7" s="28">
        <f>AVERAGE(densidade_hab_indL!O17:O19)</f>
        <v>0</v>
      </c>
      <c r="P7" s="28">
        <f>AVERAGE(densidade_hab_indL!P17:P19)</f>
        <v>0</v>
      </c>
      <c r="Q7" s="28">
        <f>AVERAGE(densidade_hab_indL!Q17:Q19)</f>
        <v>0</v>
      </c>
      <c r="R7" s="28">
        <f>AVERAGE(densidade_hab_indL!R17:R19)</f>
        <v>6.6666666666666671E-3</v>
      </c>
      <c r="S7" s="28">
        <f>AVERAGE(densidade_hab_indL!S17:S19)</f>
        <v>0.26</v>
      </c>
      <c r="T7" s="28">
        <f>AVERAGE(densidade_hab_indL!T17:T19)</f>
        <v>1.3333333333333334E-2</v>
      </c>
      <c r="U7" s="28">
        <f>AVERAGE(densidade_hab_indL!U17:U19)</f>
        <v>4.6666666666666669E-2</v>
      </c>
      <c r="V7" s="28">
        <f>AVERAGE(densidade_hab_indL!V17:V19)</f>
        <v>0</v>
      </c>
      <c r="W7" s="28">
        <f>AVERAGE(densidade_hab_indL!W17:W19)</f>
        <v>6.6666666666666671E-3</v>
      </c>
      <c r="X7" s="28">
        <f>AVERAGE(densidade_hab_indL!X17:X19)</f>
        <v>0</v>
      </c>
      <c r="Y7" s="28">
        <f>AVERAGE(densidade_hab_indL!Y17:Y19)</f>
        <v>6.6666666666666671E-3</v>
      </c>
      <c r="Z7" s="28">
        <f>AVERAGE(densidade_hab_indL!Z17:Z19)</f>
        <v>1.3333333333333334E-2</v>
      </c>
      <c r="AA7" s="28">
        <f>AVERAGE(densidade_hab_indL!AA17:AA19)</f>
        <v>0.02</v>
      </c>
      <c r="AB7" s="28">
        <f>AVERAGE(densidade_hab_indL!AB17:AB19)</f>
        <v>0</v>
      </c>
      <c r="AC7" s="28">
        <f>AVERAGE(densidade_hab_indL!AC17:AC19)</f>
        <v>0</v>
      </c>
      <c r="AD7" s="28">
        <f>AVERAGE(densidade_hab_indL!AD17:AD19)</f>
        <v>0</v>
      </c>
      <c r="AE7" s="28">
        <f>AVERAGE(densidade_hab_indL!AE17:AE19)</f>
        <v>0</v>
      </c>
      <c r="AF7" s="28">
        <f>AVERAGE(densidade_hab_indL!AF17:AF19)</f>
        <v>0</v>
      </c>
      <c r="AG7" s="28">
        <f>AVERAGE(densidade_hab_indL!AG17:AG19)</f>
        <v>0</v>
      </c>
      <c r="AH7" s="28">
        <f>AVERAGE(densidade_hab_indL!AH17:AH19)</f>
        <v>0</v>
      </c>
      <c r="AI7" s="28">
        <f>AVERAGE(densidade_hab_indL!AI17:AI19)</f>
        <v>0</v>
      </c>
      <c r="AJ7" s="28">
        <f>AVERAGE(densidade_hab_indL!AJ17:AJ19)</f>
        <v>0.08</v>
      </c>
      <c r="AK7" s="28">
        <f>AVERAGE(densidade_hab_indL!AK17:AK19)</f>
        <v>6.6666666666666671E-3</v>
      </c>
      <c r="AL7" s="28">
        <f>AVERAGE(densidade_hab_indL!AL17:AL19)</f>
        <v>0</v>
      </c>
      <c r="AM7" s="28">
        <f>AVERAGE(densidade_hab_indL!AM17:AM19)</f>
        <v>0</v>
      </c>
      <c r="AN7" s="28">
        <f>AVERAGE(densidade_hab_indL!AN17:AN19)</f>
        <v>1.3333333333333334E-2</v>
      </c>
      <c r="AO7" s="28">
        <f>AVERAGE(densidade_hab_indL!AO17:AO19)</f>
        <v>1.3333333333333334E-2</v>
      </c>
      <c r="AP7" s="28">
        <f>AVERAGE(densidade_hab_indL!AP17:AP19)</f>
        <v>0</v>
      </c>
      <c r="AQ7" s="28">
        <f>AVERAGE(densidade_hab_indL!AQ17:AQ19)</f>
        <v>0</v>
      </c>
      <c r="AR7" s="28">
        <f>AVERAGE(densidade_hab_indL!AR17:AR19)</f>
        <v>0</v>
      </c>
      <c r="AS7" s="28">
        <f>AVERAGE(densidade_hab_indL!AS17:AS19)</f>
        <v>0</v>
      </c>
      <c r="AT7" s="28">
        <f>AVERAGE(densidade_hab_indL!AT17:AT19)</f>
        <v>6.6666666666666671E-3</v>
      </c>
      <c r="AU7" s="28">
        <f>AVERAGE(densidade_hab_indL!AU17:AU19)</f>
        <v>0</v>
      </c>
      <c r="AV7" s="28">
        <f>AVERAGE(densidade_hab_indL!AV17:AV19)</f>
        <v>0.24666666666666667</v>
      </c>
      <c r="AW7" s="28">
        <f>AVERAGE(densidade_hab_indL!AW17:AW19)</f>
        <v>0</v>
      </c>
      <c r="AX7" s="28">
        <f>AVERAGE(densidade_hab_indL!AX17:AX19)</f>
        <v>0</v>
      </c>
      <c r="AY7" s="28">
        <f>AVERAGE(densidade_hab_indL!AY17:AY19)</f>
        <v>3.3333333333333333E-2</v>
      </c>
      <c r="AZ7" s="28">
        <f>AVERAGE(densidade_hab_indL!AZ17:AZ19)</f>
        <v>0</v>
      </c>
      <c r="BA7" s="28">
        <f>AVERAGE(densidade_hab_indL!BA17:BA19)</f>
        <v>0</v>
      </c>
      <c r="BB7" s="28">
        <f>AVERAGE(densidade_hab_indL!BB17:BB19)</f>
        <v>0</v>
      </c>
      <c r="BC7" s="28">
        <f>AVERAGE(densidade_hab_indL!BC17:BC19)</f>
        <v>0</v>
      </c>
      <c r="BD7" s="28">
        <f>AVERAGE(densidade_hab_indL!BD17:BD19)</f>
        <v>0.02</v>
      </c>
      <c r="BE7" s="28">
        <f>AVERAGE(densidade_hab_indL!BE17:BE19)</f>
        <v>0</v>
      </c>
      <c r="BF7" s="28">
        <f>AVERAGE(densidade_hab_indL!BF17:BF19)</f>
        <v>0</v>
      </c>
      <c r="BG7" s="28">
        <f>AVERAGE(densidade_hab_indL!BG17:BG19)</f>
        <v>1.3333333333333334E-2</v>
      </c>
    </row>
    <row r="8" spans="1:67" ht="12.75" customHeight="1" x14ac:dyDescent="0.25">
      <c r="A8" s="4" t="s">
        <v>311</v>
      </c>
      <c r="B8" s="28" t="s">
        <v>304</v>
      </c>
      <c r="C8" s="28" t="s">
        <v>304</v>
      </c>
      <c r="D8" s="28" t="s">
        <v>304</v>
      </c>
      <c r="E8" s="28" t="s">
        <v>304</v>
      </c>
      <c r="F8" s="28" t="s">
        <v>304</v>
      </c>
      <c r="G8" s="28" t="s">
        <v>304</v>
      </c>
      <c r="H8" s="28" t="s">
        <v>304</v>
      </c>
      <c r="I8" s="28" t="s">
        <v>304</v>
      </c>
      <c r="J8" s="28" t="s">
        <v>304</v>
      </c>
      <c r="K8" s="28" t="s">
        <v>304</v>
      </c>
      <c r="L8" s="28" t="s">
        <v>304</v>
      </c>
      <c r="M8" s="28" t="s">
        <v>304</v>
      </c>
      <c r="N8" s="28" t="s">
        <v>304</v>
      </c>
      <c r="O8" s="28" t="s">
        <v>304</v>
      </c>
      <c r="P8" s="28" t="s">
        <v>304</v>
      </c>
      <c r="Q8" s="28" t="s">
        <v>304</v>
      </c>
      <c r="R8" s="28" t="s">
        <v>304</v>
      </c>
      <c r="S8" s="28" t="s">
        <v>304</v>
      </c>
      <c r="T8" s="28" t="s">
        <v>304</v>
      </c>
      <c r="U8" s="28" t="s">
        <v>304</v>
      </c>
      <c r="V8" s="28" t="s">
        <v>304</v>
      </c>
      <c r="W8" s="28" t="s">
        <v>304</v>
      </c>
      <c r="X8" s="28" t="s">
        <v>304</v>
      </c>
      <c r="Y8" s="28" t="s">
        <v>304</v>
      </c>
      <c r="Z8" s="28" t="s">
        <v>304</v>
      </c>
      <c r="AA8" s="28" t="s">
        <v>304</v>
      </c>
      <c r="AB8" s="28" t="s">
        <v>304</v>
      </c>
      <c r="AC8" s="28" t="s">
        <v>304</v>
      </c>
      <c r="AD8" s="28" t="s">
        <v>304</v>
      </c>
      <c r="AE8" s="28" t="s">
        <v>304</v>
      </c>
      <c r="AF8" s="28" t="s">
        <v>304</v>
      </c>
      <c r="AG8" s="28" t="s">
        <v>304</v>
      </c>
      <c r="AH8" s="28" t="s">
        <v>304</v>
      </c>
      <c r="AI8" s="28" t="s">
        <v>304</v>
      </c>
      <c r="AJ8" s="28" t="s">
        <v>304</v>
      </c>
      <c r="AK8" s="28" t="s">
        <v>304</v>
      </c>
      <c r="AL8" s="28" t="s">
        <v>304</v>
      </c>
      <c r="AM8" s="28" t="s">
        <v>304</v>
      </c>
      <c r="AN8" s="28" t="s">
        <v>304</v>
      </c>
      <c r="AO8" s="28" t="s">
        <v>304</v>
      </c>
      <c r="AP8" s="28" t="s">
        <v>304</v>
      </c>
      <c r="AQ8" s="28" t="s">
        <v>304</v>
      </c>
      <c r="AR8" s="28" t="s">
        <v>304</v>
      </c>
      <c r="AS8" s="28" t="s">
        <v>304</v>
      </c>
      <c r="AT8" s="28" t="s">
        <v>304</v>
      </c>
      <c r="AU8" s="28" t="s">
        <v>304</v>
      </c>
      <c r="AV8" s="28" t="s">
        <v>304</v>
      </c>
      <c r="AW8" s="28" t="s">
        <v>304</v>
      </c>
      <c r="AX8" s="28" t="s">
        <v>304</v>
      </c>
      <c r="AY8" s="28" t="s">
        <v>304</v>
      </c>
      <c r="AZ8" s="28" t="s">
        <v>304</v>
      </c>
      <c r="BA8" s="28" t="s">
        <v>304</v>
      </c>
      <c r="BB8" s="28" t="s">
        <v>304</v>
      </c>
      <c r="BC8" s="28" t="s">
        <v>304</v>
      </c>
      <c r="BD8" s="28" t="s">
        <v>304</v>
      </c>
      <c r="BE8" s="28" t="s">
        <v>304</v>
      </c>
      <c r="BF8" s="28" t="s">
        <v>304</v>
      </c>
      <c r="BG8" s="28" t="s">
        <v>304</v>
      </c>
    </row>
    <row r="9" spans="1:67" ht="12.75" customHeight="1" x14ac:dyDescent="0.25">
      <c r="A9" s="4" t="s">
        <v>312</v>
      </c>
      <c r="B9" s="28">
        <f>AVERAGE(densidade_hab_indL!B23:B25)</f>
        <v>2.6666666666666668E-2</v>
      </c>
      <c r="C9" s="28">
        <f>AVERAGE(densidade_hab_indL!C23:C25)</f>
        <v>0</v>
      </c>
      <c r="D9" s="28">
        <f>AVERAGE(densidade_hab_indL!D23:D25)</f>
        <v>0</v>
      </c>
      <c r="E9" s="28">
        <f>AVERAGE(densidade_hab_indL!E23:E25)</f>
        <v>0.44666666666666671</v>
      </c>
      <c r="F9" s="28">
        <f>AVERAGE(densidade_hab_indL!F23:F25)</f>
        <v>0</v>
      </c>
      <c r="G9" s="28">
        <f>AVERAGE(densidade_hab_indL!G23:G25)</f>
        <v>0</v>
      </c>
      <c r="H9" s="28">
        <f>AVERAGE(densidade_hab_indL!H23:H25)</f>
        <v>0</v>
      </c>
      <c r="I9" s="28">
        <f>AVERAGE(densidade_hab_indL!I23:I25)</f>
        <v>6.6666666666666666E-2</v>
      </c>
      <c r="J9" s="28">
        <f>AVERAGE(densidade_hab_indL!J23:J25)</f>
        <v>0</v>
      </c>
      <c r="K9" s="28">
        <f>AVERAGE(densidade_hab_indL!K23:K25)</f>
        <v>0</v>
      </c>
      <c r="L9" s="28">
        <f>AVERAGE(densidade_hab_indL!L23:L25)</f>
        <v>0</v>
      </c>
      <c r="M9" s="28">
        <f>AVERAGE(densidade_hab_indL!M23:M25)</f>
        <v>0</v>
      </c>
      <c r="N9" s="28">
        <f>AVERAGE(densidade_hab_indL!N23:N25)</f>
        <v>0</v>
      </c>
      <c r="O9" s="28">
        <f>AVERAGE(densidade_hab_indL!O23:O25)</f>
        <v>0</v>
      </c>
      <c r="P9" s="28">
        <f>AVERAGE(densidade_hab_indL!P23:P25)</f>
        <v>0</v>
      </c>
      <c r="Q9" s="28">
        <f>AVERAGE(densidade_hab_indL!Q23:Q25)</f>
        <v>0</v>
      </c>
      <c r="R9" s="28">
        <f>AVERAGE(densidade_hab_indL!R23:R25)</f>
        <v>0</v>
      </c>
      <c r="S9" s="28">
        <f>AVERAGE(densidade_hab_indL!S23:S25)</f>
        <v>5.3333333333333337E-2</v>
      </c>
      <c r="T9" s="28">
        <f>AVERAGE(densidade_hab_indL!T23:T25)</f>
        <v>1.3333333333333334E-2</v>
      </c>
      <c r="U9" s="28">
        <f>AVERAGE(densidade_hab_indL!U23:U25)</f>
        <v>6.6666666666666671E-3</v>
      </c>
      <c r="V9" s="28">
        <f>AVERAGE(densidade_hab_indL!V23:V25)</f>
        <v>0</v>
      </c>
      <c r="W9" s="28">
        <f>AVERAGE(densidade_hab_indL!W23:W25)</f>
        <v>0</v>
      </c>
      <c r="X9" s="28">
        <f>AVERAGE(densidade_hab_indL!X23:X25)</f>
        <v>6.6666666666666671E-3</v>
      </c>
      <c r="Y9" s="28">
        <f>AVERAGE(densidade_hab_indL!Y23:Y25)</f>
        <v>0</v>
      </c>
      <c r="Z9" s="28">
        <f>AVERAGE(densidade_hab_indL!Z23:Z25)</f>
        <v>6.6666666666666671E-3</v>
      </c>
      <c r="AA9" s="28">
        <f>AVERAGE(densidade_hab_indL!AA23:AA25)</f>
        <v>0.02</v>
      </c>
      <c r="AB9" s="28">
        <f>AVERAGE(densidade_hab_indL!AB23:AB25)</f>
        <v>0</v>
      </c>
      <c r="AC9" s="28">
        <f>AVERAGE(densidade_hab_indL!AC23:AC25)</f>
        <v>1.3333333333333334E-2</v>
      </c>
      <c r="AD9" s="28">
        <f>AVERAGE(densidade_hab_indL!AD23:AD25)</f>
        <v>6.6666666666666671E-3</v>
      </c>
      <c r="AE9" s="28">
        <f>AVERAGE(densidade_hab_indL!AE23:AE25)</f>
        <v>0</v>
      </c>
      <c r="AF9" s="28">
        <f>AVERAGE(densidade_hab_indL!AF23:AF25)</f>
        <v>0</v>
      </c>
      <c r="AG9" s="28">
        <f>AVERAGE(densidade_hab_indL!AG23:AG25)</f>
        <v>0</v>
      </c>
      <c r="AH9" s="28">
        <f>AVERAGE(densidade_hab_indL!AH23:AH25)</f>
        <v>6.6666666666666671E-3</v>
      </c>
      <c r="AI9" s="28">
        <f>AVERAGE(densidade_hab_indL!AI23:AI25)</f>
        <v>6.6666666666666671E-3</v>
      </c>
      <c r="AJ9" s="28">
        <f>AVERAGE(densidade_hab_indL!AJ23:AJ25)</f>
        <v>6.6666666666666671E-3</v>
      </c>
      <c r="AK9" s="28">
        <f>AVERAGE(densidade_hab_indL!AK23:AK25)</f>
        <v>0</v>
      </c>
      <c r="AL9" s="28">
        <f>AVERAGE(densidade_hab_indL!AL23:AL25)</f>
        <v>6.6666666666666671E-3</v>
      </c>
      <c r="AM9" s="28">
        <f>AVERAGE(densidade_hab_indL!AM23:AM25)</f>
        <v>0</v>
      </c>
      <c r="AN9" s="28">
        <f>AVERAGE(densidade_hab_indL!AN23:AN25)</f>
        <v>0</v>
      </c>
      <c r="AO9" s="28">
        <f>AVERAGE(densidade_hab_indL!AO23:AO25)</f>
        <v>0</v>
      </c>
      <c r="AP9" s="28">
        <f>AVERAGE(densidade_hab_indL!AP23:AP25)</f>
        <v>0</v>
      </c>
      <c r="AQ9" s="28">
        <f>AVERAGE(densidade_hab_indL!AQ23:AQ25)</f>
        <v>0</v>
      </c>
      <c r="AR9" s="28">
        <f>AVERAGE(densidade_hab_indL!AR23:AR25)</f>
        <v>0</v>
      </c>
      <c r="AS9" s="28">
        <f>AVERAGE(densidade_hab_indL!AS23:AS25)</f>
        <v>0</v>
      </c>
      <c r="AT9" s="28">
        <f>AVERAGE(densidade_hab_indL!AT23:AT25)</f>
        <v>0</v>
      </c>
      <c r="AU9" s="28">
        <f>AVERAGE(densidade_hab_indL!AU23:AU25)</f>
        <v>0</v>
      </c>
      <c r="AV9" s="28">
        <f>AVERAGE(densidade_hab_indL!AV23:AV25)</f>
        <v>0.12666666666666668</v>
      </c>
      <c r="AW9" s="28">
        <f>AVERAGE(densidade_hab_indL!AW23:AW25)</f>
        <v>0</v>
      </c>
      <c r="AX9" s="28">
        <f>AVERAGE(densidade_hab_indL!AX23:AX25)</f>
        <v>6.6666666666666671E-3</v>
      </c>
      <c r="AY9" s="28">
        <f>AVERAGE(densidade_hab_indL!AY23:AY25)</f>
        <v>0</v>
      </c>
      <c r="AZ9" s="28">
        <f>AVERAGE(densidade_hab_indL!AZ23:AZ25)</f>
        <v>0</v>
      </c>
      <c r="BA9" s="28">
        <f>AVERAGE(densidade_hab_indL!BA23:BA25)</f>
        <v>0</v>
      </c>
      <c r="BB9" s="28">
        <f>AVERAGE(densidade_hab_indL!BB23:BB25)</f>
        <v>0</v>
      </c>
      <c r="BC9" s="28">
        <f>AVERAGE(densidade_hab_indL!BC23:BC25)</f>
        <v>0</v>
      </c>
      <c r="BD9" s="28">
        <f>AVERAGE(densidade_hab_indL!BD23:BD25)</f>
        <v>0</v>
      </c>
      <c r="BE9" s="28">
        <f>AVERAGE(densidade_hab_indL!BE23:BE25)</f>
        <v>0</v>
      </c>
      <c r="BF9" s="28">
        <f>AVERAGE(densidade_hab_indL!BF23:BF25)</f>
        <v>0</v>
      </c>
      <c r="BG9" s="28">
        <f>AVERAGE(densidade_hab_indL!BG23:BG25)</f>
        <v>0</v>
      </c>
    </row>
    <row r="10" spans="1:67" ht="12.75" customHeight="1" x14ac:dyDescent="0.25">
      <c r="A10" s="4" t="s">
        <v>313</v>
      </c>
      <c r="B10" s="28">
        <f>AVERAGE(densidade_hab_indL!B26:B28)</f>
        <v>0</v>
      </c>
      <c r="C10" s="28">
        <f>AVERAGE(densidade_hab_indL!C26:C28)</f>
        <v>0</v>
      </c>
      <c r="D10" s="28">
        <f>AVERAGE(densidade_hab_indL!D26:D28)</f>
        <v>0</v>
      </c>
      <c r="E10" s="28">
        <f>AVERAGE(densidade_hab_indL!E26:E28)</f>
        <v>0.3666666666666667</v>
      </c>
      <c r="F10" s="28">
        <f>AVERAGE(densidade_hab_indL!F26:F28)</f>
        <v>0</v>
      </c>
      <c r="G10" s="28">
        <f>AVERAGE(densidade_hab_indL!G26:G28)</f>
        <v>0</v>
      </c>
      <c r="H10" s="28">
        <f>AVERAGE(densidade_hab_indL!H26:H28)</f>
        <v>0</v>
      </c>
      <c r="I10" s="28">
        <f>AVERAGE(densidade_hab_indL!I26:I28)</f>
        <v>0</v>
      </c>
      <c r="J10" s="28">
        <f>AVERAGE(densidade_hab_indL!J26:J28)</f>
        <v>0</v>
      </c>
      <c r="K10" s="28">
        <f>AVERAGE(densidade_hab_indL!K26:K28)</f>
        <v>0</v>
      </c>
      <c r="L10" s="28">
        <f>AVERAGE(densidade_hab_indL!L26:L28)</f>
        <v>0</v>
      </c>
      <c r="M10" s="28">
        <f>AVERAGE(densidade_hab_indL!M26:M28)</f>
        <v>0</v>
      </c>
      <c r="N10" s="28">
        <f>AVERAGE(densidade_hab_indL!N26:N28)</f>
        <v>0</v>
      </c>
      <c r="O10" s="28">
        <f>AVERAGE(densidade_hab_indL!O26:O28)</f>
        <v>0</v>
      </c>
      <c r="P10" s="28">
        <f>AVERAGE(densidade_hab_indL!P26:P28)</f>
        <v>0</v>
      </c>
      <c r="Q10" s="28">
        <f>AVERAGE(densidade_hab_indL!Q26:Q28)</f>
        <v>0</v>
      </c>
      <c r="R10" s="28">
        <f>AVERAGE(densidade_hab_indL!R26:R28)</f>
        <v>0</v>
      </c>
      <c r="S10" s="28">
        <f>AVERAGE(densidade_hab_indL!S26:S28)</f>
        <v>1.3333333333333334E-2</v>
      </c>
      <c r="T10" s="28">
        <f>AVERAGE(densidade_hab_indL!T26:T28)</f>
        <v>0</v>
      </c>
      <c r="U10" s="28">
        <f>AVERAGE(densidade_hab_indL!U26:U28)</f>
        <v>0</v>
      </c>
      <c r="V10" s="28">
        <f>AVERAGE(densidade_hab_indL!V26:V28)</f>
        <v>0</v>
      </c>
      <c r="W10" s="28">
        <f>AVERAGE(densidade_hab_indL!W26:W28)</f>
        <v>0</v>
      </c>
      <c r="X10" s="28">
        <f>AVERAGE(densidade_hab_indL!X26:X28)</f>
        <v>0</v>
      </c>
      <c r="Y10" s="28">
        <f>AVERAGE(densidade_hab_indL!Y26:Y28)</f>
        <v>0</v>
      </c>
      <c r="Z10" s="28">
        <f>AVERAGE(densidade_hab_indL!Z26:Z28)</f>
        <v>0</v>
      </c>
      <c r="AA10" s="28">
        <f>AVERAGE(densidade_hab_indL!AA26:AA28)</f>
        <v>0</v>
      </c>
      <c r="AB10" s="28">
        <f>AVERAGE(densidade_hab_indL!AB26:AB28)</f>
        <v>0</v>
      </c>
      <c r="AC10" s="28">
        <f>AVERAGE(densidade_hab_indL!AC26:AC28)</f>
        <v>0</v>
      </c>
      <c r="AD10" s="28">
        <f>AVERAGE(densidade_hab_indL!AD26:AD28)</f>
        <v>0</v>
      </c>
      <c r="AE10" s="28">
        <f>AVERAGE(densidade_hab_indL!AE26:AE28)</f>
        <v>0</v>
      </c>
      <c r="AF10" s="28">
        <f>AVERAGE(densidade_hab_indL!AF26:AF28)</f>
        <v>0</v>
      </c>
      <c r="AG10" s="28">
        <f>AVERAGE(densidade_hab_indL!AG26:AG28)</f>
        <v>0</v>
      </c>
      <c r="AH10" s="28">
        <f>AVERAGE(densidade_hab_indL!AH26:AH28)</f>
        <v>0</v>
      </c>
      <c r="AI10" s="28">
        <f>AVERAGE(densidade_hab_indL!AI26:AI28)</f>
        <v>0</v>
      </c>
      <c r="AJ10" s="28">
        <f>AVERAGE(densidade_hab_indL!AJ26:AJ28)</f>
        <v>0</v>
      </c>
      <c r="AK10" s="28">
        <f>AVERAGE(densidade_hab_indL!AK26:AK28)</f>
        <v>0</v>
      </c>
      <c r="AL10" s="28">
        <f>AVERAGE(densidade_hab_indL!AL26:AL28)</f>
        <v>0</v>
      </c>
      <c r="AM10" s="28">
        <f>AVERAGE(densidade_hab_indL!AM26:AM28)</f>
        <v>0</v>
      </c>
      <c r="AN10" s="28">
        <f>AVERAGE(densidade_hab_indL!AN26:AN28)</f>
        <v>0</v>
      </c>
      <c r="AO10" s="28">
        <f>AVERAGE(densidade_hab_indL!AO26:AO28)</f>
        <v>0</v>
      </c>
      <c r="AP10" s="28">
        <f>AVERAGE(densidade_hab_indL!AP26:AP28)</f>
        <v>0</v>
      </c>
      <c r="AQ10" s="28">
        <f>AVERAGE(densidade_hab_indL!AQ26:AQ28)</f>
        <v>0</v>
      </c>
      <c r="AR10" s="28">
        <f>AVERAGE(densidade_hab_indL!AR26:AR28)</f>
        <v>0</v>
      </c>
      <c r="AS10" s="28">
        <f>AVERAGE(densidade_hab_indL!AS26:AS28)</f>
        <v>0</v>
      </c>
      <c r="AT10" s="28">
        <f>AVERAGE(densidade_hab_indL!AT26:AT28)</f>
        <v>0</v>
      </c>
      <c r="AU10" s="28">
        <f>AVERAGE(densidade_hab_indL!AU26:AU28)</f>
        <v>0</v>
      </c>
      <c r="AV10" s="28">
        <f>AVERAGE(densidade_hab_indL!AV26:AV28)</f>
        <v>0.02</v>
      </c>
      <c r="AW10" s="28">
        <f>AVERAGE(densidade_hab_indL!AW26:AW28)</f>
        <v>0</v>
      </c>
      <c r="AX10" s="28">
        <f>AVERAGE(densidade_hab_indL!AX26:AX28)</f>
        <v>0</v>
      </c>
      <c r="AY10" s="28">
        <f>AVERAGE(densidade_hab_indL!AY26:AY28)</f>
        <v>0</v>
      </c>
      <c r="AZ10" s="28">
        <f>AVERAGE(densidade_hab_indL!AZ26:AZ28)</f>
        <v>0</v>
      </c>
      <c r="BA10" s="28">
        <f>AVERAGE(densidade_hab_indL!BA26:BA28)</f>
        <v>0</v>
      </c>
      <c r="BB10" s="28">
        <f>AVERAGE(densidade_hab_indL!BB26:BB28)</f>
        <v>0</v>
      </c>
      <c r="BC10" s="28">
        <f>AVERAGE(densidade_hab_indL!BC26:BC28)</f>
        <v>0</v>
      </c>
      <c r="BD10" s="28">
        <f>AVERAGE(densidade_hab_indL!BD26:BD28)</f>
        <v>0</v>
      </c>
      <c r="BE10" s="28">
        <f>AVERAGE(densidade_hab_indL!BE26:BE28)</f>
        <v>0</v>
      </c>
      <c r="BF10" s="28">
        <f>AVERAGE(densidade_hab_indL!BF26:BF28)</f>
        <v>0</v>
      </c>
      <c r="BG10" s="28">
        <f>AVERAGE(densidade_hab_indL!BG26:BG28)</f>
        <v>0</v>
      </c>
    </row>
    <row r="11" spans="1:67" ht="12.75" customHeight="1" x14ac:dyDescent="0.25">
      <c r="A11" s="4" t="s">
        <v>314</v>
      </c>
      <c r="B11" s="28">
        <f>AVERAGE(densidade_hab_indL!B29:B31)</f>
        <v>0</v>
      </c>
      <c r="C11" s="28">
        <f>AVERAGE(densidade_hab_indL!C29:C31)</f>
        <v>0</v>
      </c>
      <c r="D11" s="28">
        <f>AVERAGE(densidade_hab_indL!D29:D31)</f>
        <v>0</v>
      </c>
      <c r="E11" s="28">
        <f>AVERAGE(densidade_hab_indL!E29:E31)</f>
        <v>0.6</v>
      </c>
      <c r="F11" s="28">
        <f>AVERAGE(densidade_hab_indL!F29:F31)</f>
        <v>0</v>
      </c>
      <c r="G11" s="28">
        <f>AVERAGE(densidade_hab_indL!G29:G31)</f>
        <v>0</v>
      </c>
      <c r="H11" s="28">
        <f>AVERAGE(densidade_hab_indL!H29:H31)</f>
        <v>0</v>
      </c>
      <c r="I11" s="28">
        <f>AVERAGE(densidade_hab_indL!I29:I31)</f>
        <v>1.3333333333333334E-2</v>
      </c>
      <c r="J11" s="28">
        <f>AVERAGE(densidade_hab_indL!J29:J31)</f>
        <v>0</v>
      </c>
      <c r="K11" s="28">
        <f>AVERAGE(densidade_hab_indL!K29:K31)</f>
        <v>0</v>
      </c>
      <c r="L11" s="28">
        <f>AVERAGE(densidade_hab_indL!L29:L31)</f>
        <v>0</v>
      </c>
      <c r="M11" s="28">
        <f>AVERAGE(densidade_hab_indL!M29:M31)</f>
        <v>0</v>
      </c>
      <c r="N11" s="28">
        <f>AVERAGE(densidade_hab_indL!N29:N31)</f>
        <v>0</v>
      </c>
      <c r="O11" s="28">
        <f>AVERAGE(densidade_hab_indL!O29:O31)</f>
        <v>0</v>
      </c>
      <c r="P11" s="28">
        <f>AVERAGE(densidade_hab_indL!P29:P31)</f>
        <v>0</v>
      </c>
      <c r="Q11" s="28">
        <f>AVERAGE(densidade_hab_indL!Q29:Q31)</f>
        <v>0</v>
      </c>
      <c r="R11" s="28">
        <f>AVERAGE(densidade_hab_indL!R29:R31)</f>
        <v>0</v>
      </c>
      <c r="S11" s="28">
        <f>AVERAGE(densidade_hab_indL!S29:S31)</f>
        <v>6.6666666666666671E-3</v>
      </c>
      <c r="T11" s="28">
        <f>AVERAGE(densidade_hab_indL!T29:T31)</f>
        <v>0</v>
      </c>
      <c r="U11" s="28">
        <f>AVERAGE(densidade_hab_indL!U29:U31)</f>
        <v>0</v>
      </c>
      <c r="V11" s="28">
        <f>AVERAGE(densidade_hab_indL!V29:V31)</f>
        <v>0</v>
      </c>
      <c r="W11" s="28">
        <f>AVERAGE(densidade_hab_indL!W29:W31)</f>
        <v>0</v>
      </c>
      <c r="X11" s="28">
        <f>AVERAGE(densidade_hab_indL!X29:X31)</f>
        <v>0</v>
      </c>
      <c r="Y11" s="28">
        <f>AVERAGE(densidade_hab_indL!Y29:Y31)</f>
        <v>0</v>
      </c>
      <c r="Z11" s="28">
        <f>AVERAGE(densidade_hab_indL!Z29:Z31)</f>
        <v>6.6666666666666671E-3</v>
      </c>
      <c r="AA11" s="28">
        <f>AVERAGE(densidade_hab_indL!AA29:AA31)</f>
        <v>6.6666666666666671E-3</v>
      </c>
      <c r="AB11" s="28">
        <f>AVERAGE(densidade_hab_indL!AB29:AB31)</f>
        <v>0</v>
      </c>
      <c r="AC11" s="28">
        <f>AVERAGE(densidade_hab_indL!AC29:AC31)</f>
        <v>0</v>
      </c>
      <c r="AD11" s="28">
        <f>AVERAGE(densidade_hab_indL!AD29:AD31)</f>
        <v>0</v>
      </c>
      <c r="AE11" s="28">
        <f>AVERAGE(densidade_hab_indL!AE29:AE31)</f>
        <v>0</v>
      </c>
      <c r="AF11" s="28">
        <f>AVERAGE(densidade_hab_indL!AF29:AF31)</f>
        <v>0</v>
      </c>
      <c r="AG11" s="28">
        <f>AVERAGE(densidade_hab_indL!AG29:AG31)</f>
        <v>0</v>
      </c>
      <c r="AH11" s="28">
        <f>AVERAGE(densidade_hab_indL!AH29:AH31)</f>
        <v>0</v>
      </c>
      <c r="AI11" s="28">
        <f>AVERAGE(densidade_hab_indL!AI29:AI31)</f>
        <v>0</v>
      </c>
      <c r="AJ11" s="28">
        <f>AVERAGE(densidade_hab_indL!AJ29:AJ31)</f>
        <v>6.6666666666666671E-3</v>
      </c>
      <c r="AK11" s="28">
        <f>AVERAGE(densidade_hab_indL!AK29:AK31)</f>
        <v>0</v>
      </c>
      <c r="AL11" s="28">
        <f>AVERAGE(densidade_hab_indL!AL29:AL31)</f>
        <v>0</v>
      </c>
      <c r="AM11" s="28">
        <f>AVERAGE(densidade_hab_indL!AM29:AM31)</f>
        <v>0</v>
      </c>
      <c r="AN11" s="28">
        <f>AVERAGE(densidade_hab_indL!AN29:AN31)</f>
        <v>0</v>
      </c>
      <c r="AO11" s="28">
        <f>AVERAGE(densidade_hab_indL!AO29:AO31)</f>
        <v>0</v>
      </c>
      <c r="AP11" s="28">
        <f>AVERAGE(densidade_hab_indL!AP29:AP31)</f>
        <v>0</v>
      </c>
      <c r="AQ11" s="28">
        <f>AVERAGE(densidade_hab_indL!AQ29:AQ31)</f>
        <v>0</v>
      </c>
      <c r="AR11" s="28">
        <f>AVERAGE(densidade_hab_indL!AR29:AR31)</f>
        <v>0</v>
      </c>
      <c r="AS11" s="28">
        <f>AVERAGE(densidade_hab_indL!AS29:AS31)</f>
        <v>0</v>
      </c>
      <c r="AT11" s="28">
        <f>AVERAGE(densidade_hab_indL!AT29:AT31)</f>
        <v>0</v>
      </c>
      <c r="AU11" s="28">
        <f>AVERAGE(densidade_hab_indL!AU29:AU31)</f>
        <v>0</v>
      </c>
      <c r="AV11" s="28">
        <f>AVERAGE(densidade_hab_indL!AV29:AV31)</f>
        <v>6.6666666666666666E-2</v>
      </c>
      <c r="AW11" s="28">
        <f>AVERAGE(densidade_hab_indL!AW29:AW31)</f>
        <v>0</v>
      </c>
      <c r="AX11" s="28">
        <f>AVERAGE(densidade_hab_indL!AX29:AX31)</f>
        <v>0</v>
      </c>
      <c r="AY11" s="28">
        <f>AVERAGE(densidade_hab_indL!AY29:AY31)</f>
        <v>0</v>
      </c>
      <c r="AZ11" s="28">
        <f>AVERAGE(densidade_hab_indL!AZ29:AZ31)</f>
        <v>0</v>
      </c>
      <c r="BA11" s="28">
        <f>AVERAGE(densidade_hab_indL!BA29:BA31)</f>
        <v>0</v>
      </c>
      <c r="BB11" s="28">
        <f>AVERAGE(densidade_hab_indL!BB29:BB31)</f>
        <v>0</v>
      </c>
      <c r="BC11" s="28">
        <f>AVERAGE(densidade_hab_indL!BC29:BC31)</f>
        <v>0</v>
      </c>
      <c r="BD11" s="28">
        <f>AVERAGE(densidade_hab_indL!BD29:BD31)</f>
        <v>0</v>
      </c>
      <c r="BE11" s="28">
        <f>AVERAGE(densidade_hab_indL!BE29:BE31)</f>
        <v>0</v>
      </c>
      <c r="BF11" s="28">
        <f>AVERAGE(densidade_hab_indL!BF29:BF31)</f>
        <v>0</v>
      </c>
      <c r="BG11" s="28">
        <f>AVERAGE(densidade_hab_indL!BG29:BG31)</f>
        <v>0</v>
      </c>
    </row>
    <row r="12" spans="1:67" ht="12.75" customHeight="1" x14ac:dyDescent="0.25">
      <c r="A12" s="4" t="s">
        <v>315</v>
      </c>
      <c r="B12" s="28">
        <f>AVERAGE(densidade_hab_indL!B32:B34)</f>
        <v>0</v>
      </c>
      <c r="C12" s="28">
        <f>AVERAGE(densidade_hab_indL!C32:C34)</f>
        <v>0</v>
      </c>
      <c r="D12" s="28">
        <f>AVERAGE(densidade_hab_indL!D32:D34)</f>
        <v>0</v>
      </c>
      <c r="E12" s="28">
        <f>AVERAGE(densidade_hab_indL!E32:E34)</f>
        <v>0.3666666666666667</v>
      </c>
      <c r="F12" s="28">
        <f>AVERAGE(densidade_hab_indL!F32:F34)</f>
        <v>0</v>
      </c>
      <c r="G12" s="28">
        <f>AVERAGE(densidade_hab_indL!G32:G34)</f>
        <v>0</v>
      </c>
      <c r="H12" s="28">
        <f>AVERAGE(densidade_hab_indL!H32:H34)</f>
        <v>0</v>
      </c>
      <c r="I12" s="28">
        <f>AVERAGE(densidade_hab_indL!I32:I34)</f>
        <v>0.13333333333333333</v>
      </c>
      <c r="J12" s="28">
        <f>AVERAGE(densidade_hab_indL!J32:J34)</f>
        <v>0</v>
      </c>
      <c r="K12" s="28">
        <f>AVERAGE(densidade_hab_indL!K32:K34)</f>
        <v>0</v>
      </c>
      <c r="L12" s="28">
        <f>AVERAGE(densidade_hab_indL!L32:L34)</f>
        <v>0</v>
      </c>
      <c r="M12" s="28">
        <f>AVERAGE(densidade_hab_indL!M32:M34)</f>
        <v>0</v>
      </c>
      <c r="N12" s="28">
        <f>AVERAGE(densidade_hab_indL!N32:N34)</f>
        <v>0</v>
      </c>
      <c r="O12" s="28">
        <f>AVERAGE(densidade_hab_indL!O32:O34)</f>
        <v>0</v>
      </c>
      <c r="P12" s="28">
        <f>AVERAGE(densidade_hab_indL!P32:P34)</f>
        <v>0</v>
      </c>
      <c r="Q12" s="28">
        <f>AVERAGE(densidade_hab_indL!Q32:Q34)</f>
        <v>0</v>
      </c>
      <c r="R12" s="28">
        <f>AVERAGE(densidade_hab_indL!R32:R34)</f>
        <v>0</v>
      </c>
      <c r="S12" s="28">
        <f>AVERAGE(densidade_hab_indL!S32:S34)</f>
        <v>0</v>
      </c>
      <c r="T12" s="28">
        <f>AVERAGE(densidade_hab_indL!T32:T34)</f>
        <v>0</v>
      </c>
      <c r="U12" s="28">
        <f>AVERAGE(densidade_hab_indL!U32:U34)</f>
        <v>0</v>
      </c>
      <c r="V12" s="28">
        <f>AVERAGE(densidade_hab_indL!V32:V34)</f>
        <v>0</v>
      </c>
      <c r="W12" s="28">
        <f>AVERAGE(densidade_hab_indL!W32:W34)</f>
        <v>0</v>
      </c>
      <c r="X12" s="28">
        <f>AVERAGE(densidade_hab_indL!X32:X34)</f>
        <v>0</v>
      </c>
      <c r="Y12" s="28">
        <f>AVERAGE(densidade_hab_indL!Y32:Y34)</f>
        <v>0</v>
      </c>
      <c r="Z12" s="28">
        <f>AVERAGE(densidade_hab_indL!Z32:Z34)</f>
        <v>0</v>
      </c>
      <c r="AA12" s="28">
        <f>AVERAGE(densidade_hab_indL!AA32:AA34)</f>
        <v>0</v>
      </c>
      <c r="AB12" s="28">
        <f>AVERAGE(densidade_hab_indL!AB32:AB34)</f>
        <v>0</v>
      </c>
      <c r="AC12" s="28">
        <f>AVERAGE(densidade_hab_indL!AC32:AC34)</f>
        <v>0</v>
      </c>
      <c r="AD12" s="28">
        <f>AVERAGE(densidade_hab_indL!AD32:AD34)</f>
        <v>0</v>
      </c>
      <c r="AE12" s="28">
        <f>AVERAGE(densidade_hab_indL!AE32:AE34)</f>
        <v>0</v>
      </c>
      <c r="AF12" s="28">
        <f>AVERAGE(densidade_hab_indL!AF32:AF34)</f>
        <v>0</v>
      </c>
      <c r="AG12" s="28">
        <f>AVERAGE(densidade_hab_indL!AG32:AG34)</f>
        <v>0</v>
      </c>
      <c r="AH12" s="28">
        <f>AVERAGE(densidade_hab_indL!AH32:AH34)</f>
        <v>0</v>
      </c>
      <c r="AI12" s="28">
        <f>AVERAGE(densidade_hab_indL!AI32:AI34)</f>
        <v>0</v>
      </c>
      <c r="AJ12" s="28">
        <f>AVERAGE(densidade_hab_indL!AJ32:AJ34)</f>
        <v>6.6666666666666671E-3</v>
      </c>
      <c r="AK12" s="28">
        <f>AVERAGE(densidade_hab_indL!AK32:AK34)</f>
        <v>0</v>
      </c>
      <c r="AL12" s="28">
        <f>AVERAGE(densidade_hab_indL!AL32:AL34)</f>
        <v>0</v>
      </c>
      <c r="AM12" s="28">
        <f>AVERAGE(densidade_hab_indL!AM32:AM34)</f>
        <v>0</v>
      </c>
      <c r="AN12" s="28">
        <f>AVERAGE(densidade_hab_indL!AN32:AN34)</f>
        <v>0</v>
      </c>
      <c r="AO12" s="28">
        <f>AVERAGE(densidade_hab_indL!AO32:AO34)</f>
        <v>0</v>
      </c>
      <c r="AP12" s="28">
        <f>AVERAGE(densidade_hab_indL!AP32:AP34)</f>
        <v>0</v>
      </c>
      <c r="AQ12" s="28">
        <f>AVERAGE(densidade_hab_indL!AQ32:AQ34)</f>
        <v>6.6666666666666671E-3</v>
      </c>
      <c r="AR12" s="28">
        <f>AVERAGE(densidade_hab_indL!AR32:AR34)</f>
        <v>0</v>
      </c>
      <c r="AS12" s="28">
        <f>AVERAGE(densidade_hab_indL!AS32:AS34)</f>
        <v>0</v>
      </c>
      <c r="AT12" s="28">
        <f>AVERAGE(densidade_hab_indL!AT32:AT34)</f>
        <v>0</v>
      </c>
      <c r="AU12" s="28">
        <f>AVERAGE(densidade_hab_indL!AU32:AU34)</f>
        <v>0</v>
      </c>
      <c r="AV12" s="28">
        <f>AVERAGE(densidade_hab_indL!AV32:AV34)</f>
        <v>0.11333333333333333</v>
      </c>
      <c r="AW12" s="28">
        <f>AVERAGE(densidade_hab_indL!AW32:AW34)</f>
        <v>0</v>
      </c>
      <c r="AX12" s="28">
        <f>AVERAGE(densidade_hab_indL!AX32:AX34)</f>
        <v>2.6666666666666668E-2</v>
      </c>
      <c r="AY12" s="28">
        <f>AVERAGE(densidade_hab_indL!AY32:AY34)</f>
        <v>0</v>
      </c>
      <c r="AZ12" s="28">
        <f>AVERAGE(densidade_hab_indL!AZ32:AZ34)</f>
        <v>0</v>
      </c>
      <c r="BA12" s="28">
        <f>AVERAGE(densidade_hab_indL!BA32:BA34)</f>
        <v>0</v>
      </c>
      <c r="BB12" s="28">
        <f>AVERAGE(densidade_hab_indL!BB32:BB34)</f>
        <v>0</v>
      </c>
      <c r="BC12" s="28">
        <f>AVERAGE(densidade_hab_indL!BC32:BC34)</f>
        <v>0</v>
      </c>
      <c r="BD12" s="28">
        <f>AVERAGE(densidade_hab_indL!BD32:BD34)</f>
        <v>0</v>
      </c>
      <c r="BE12" s="28">
        <f>AVERAGE(densidade_hab_indL!BE32:BE34)</f>
        <v>0</v>
      </c>
      <c r="BF12" s="28">
        <f>AVERAGE(densidade_hab_indL!BF32:BF34)</f>
        <v>0</v>
      </c>
      <c r="BG12" s="28">
        <f>AVERAGE(densidade_hab_indL!BG32:BG34)</f>
        <v>0</v>
      </c>
    </row>
    <row r="13" spans="1:67" ht="12.75" customHeight="1" x14ac:dyDescent="0.25">
      <c r="A13" s="4" t="s">
        <v>316</v>
      </c>
      <c r="B13" s="28">
        <f>AVERAGE(densidade_hab_indL!B35:B37)</f>
        <v>0.02</v>
      </c>
      <c r="C13" s="28">
        <f>AVERAGE(densidade_hab_indL!C35:C37)</f>
        <v>0</v>
      </c>
      <c r="D13" s="28">
        <f>AVERAGE(densidade_hab_indL!D35:D37)</f>
        <v>0.02</v>
      </c>
      <c r="E13" s="28">
        <f>AVERAGE(densidade_hab_indL!E35:E37)</f>
        <v>0.52666666666666673</v>
      </c>
      <c r="F13" s="28">
        <f>AVERAGE(densidade_hab_indL!F35:F37)</f>
        <v>0</v>
      </c>
      <c r="G13" s="28">
        <f>AVERAGE(densidade_hab_indL!G35:G37)</f>
        <v>2.6666666666666668E-2</v>
      </c>
      <c r="H13" s="28">
        <f>AVERAGE(densidade_hab_indL!H35:H37)</f>
        <v>0</v>
      </c>
      <c r="I13" s="28">
        <f>AVERAGE(densidade_hab_indL!I35:I37)</f>
        <v>1.1133333333333333</v>
      </c>
      <c r="J13" s="28">
        <f>AVERAGE(densidade_hab_indL!J35:J37)</f>
        <v>0</v>
      </c>
      <c r="K13" s="28">
        <f>AVERAGE(densidade_hab_indL!K35:K37)</f>
        <v>6.6666666666666671E-3</v>
      </c>
      <c r="L13" s="28">
        <f>AVERAGE(densidade_hab_indL!L35:L37)</f>
        <v>0.22</v>
      </c>
      <c r="M13" s="28">
        <f>AVERAGE(densidade_hab_indL!M35:M37)</f>
        <v>0.12000000000000001</v>
      </c>
      <c r="N13" s="28">
        <f>AVERAGE(densidade_hab_indL!N35:N37)</f>
        <v>1.3333333333333334E-2</v>
      </c>
      <c r="O13" s="28">
        <f>AVERAGE(densidade_hab_indL!O35:O37)</f>
        <v>0</v>
      </c>
      <c r="P13" s="28">
        <f>AVERAGE(densidade_hab_indL!P35:P37)</f>
        <v>0</v>
      </c>
      <c r="Q13" s="28">
        <f>AVERAGE(densidade_hab_indL!Q35:Q37)</f>
        <v>0</v>
      </c>
      <c r="R13" s="28">
        <f>AVERAGE(densidade_hab_indL!R35:R37)</f>
        <v>0</v>
      </c>
      <c r="S13" s="28">
        <f>AVERAGE(densidade_hab_indL!S35:S37)</f>
        <v>5.3333333333333337E-2</v>
      </c>
      <c r="T13" s="28">
        <f>AVERAGE(densidade_hab_indL!T35:T37)</f>
        <v>0.02</v>
      </c>
      <c r="U13" s="28">
        <f>AVERAGE(densidade_hab_indL!U35:U37)</f>
        <v>6.6666666666666671E-3</v>
      </c>
      <c r="V13" s="28">
        <f>AVERAGE(densidade_hab_indL!V35:V37)</f>
        <v>2.6666666666666668E-2</v>
      </c>
      <c r="W13" s="28">
        <f>AVERAGE(densidade_hab_indL!W35:W37)</f>
        <v>0</v>
      </c>
      <c r="X13" s="28">
        <f>AVERAGE(densidade_hab_indL!X35:X37)</f>
        <v>0</v>
      </c>
      <c r="Y13" s="28">
        <f>AVERAGE(densidade_hab_indL!Y35:Y37)</f>
        <v>0.02</v>
      </c>
      <c r="Z13" s="28">
        <f>AVERAGE(densidade_hab_indL!Z35:Z37)</f>
        <v>0</v>
      </c>
      <c r="AA13" s="28">
        <f>AVERAGE(densidade_hab_indL!AA35:AA37)</f>
        <v>0.02</v>
      </c>
      <c r="AB13" s="28">
        <f>AVERAGE(densidade_hab_indL!AB35:AB37)</f>
        <v>6.6666666666666671E-3</v>
      </c>
      <c r="AC13" s="28">
        <f>AVERAGE(densidade_hab_indL!AC35:AC37)</f>
        <v>6.6666666666666671E-3</v>
      </c>
      <c r="AD13" s="28">
        <f>AVERAGE(densidade_hab_indL!AD35:AD37)</f>
        <v>6.6666666666666671E-3</v>
      </c>
      <c r="AE13" s="28">
        <f>AVERAGE(densidade_hab_indL!AE35:AE37)</f>
        <v>0</v>
      </c>
      <c r="AF13" s="28">
        <f>AVERAGE(densidade_hab_indL!AF35:AF37)</f>
        <v>0</v>
      </c>
      <c r="AG13" s="28">
        <f>AVERAGE(densidade_hab_indL!AG35:AG37)</f>
        <v>0</v>
      </c>
      <c r="AH13" s="28">
        <f>AVERAGE(densidade_hab_indL!AH35:AH37)</f>
        <v>0</v>
      </c>
      <c r="AI13" s="28">
        <f>AVERAGE(densidade_hab_indL!AI35:AI37)</f>
        <v>0</v>
      </c>
      <c r="AJ13" s="28">
        <f>AVERAGE(densidade_hab_indL!AJ35:AJ37)</f>
        <v>0</v>
      </c>
      <c r="AK13" s="28">
        <f>AVERAGE(densidade_hab_indL!AK35:AK37)</f>
        <v>0</v>
      </c>
      <c r="AL13" s="28">
        <f>AVERAGE(densidade_hab_indL!AL35:AL37)</f>
        <v>0</v>
      </c>
      <c r="AM13" s="28">
        <f>AVERAGE(densidade_hab_indL!AM35:AM37)</f>
        <v>0.02</v>
      </c>
      <c r="AN13" s="28">
        <f>AVERAGE(densidade_hab_indL!AN35:AN37)</f>
        <v>1.3333333333333334E-2</v>
      </c>
      <c r="AO13" s="28">
        <f>AVERAGE(densidade_hab_indL!AO35:AO37)</f>
        <v>2.6666666666666668E-2</v>
      </c>
      <c r="AP13" s="28">
        <f>AVERAGE(densidade_hab_indL!AP35:AP37)</f>
        <v>1.3333333333333334E-2</v>
      </c>
      <c r="AQ13" s="28">
        <f>AVERAGE(densidade_hab_indL!AQ35:AQ37)</f>
        <v>0.04</v>
      </c>
      <c r="AR13" s="28">
        <f>AVERAGE(densidade_hab_indL!AR35:AR37)</f>
        <v>0</v>
      </c>
      <c r="AS13" s="28">
        <f>AVERAGE(densidade_hab_indL!AS35:AS37)</f>
        <v>0</v>
      </c>
      <c r="AT13" s="28">
        <f>AVERAGE(densidade_hab_indL!AT35:AT37)</f>
        <v>0</v>
      </c>
      <c r="AU13" s="28">
        <f>AVERAGE(densidade_hab_indL!AU35:AU37)</f>
        <v>0</v>
      </c>
      <c r="AV13" s="28">
        <f>AVERAGE(densidade_hab_indL!AV35:AV37)</f>
        <v>6.3533333333333326</v>
      </c>
      <c r="AW13" s="28">
        <f>AVERAGE(densidade_hab_indL!AW35:AW37)</f>
        <v>0.32</v>
      </c>
      <c r="AX13" s="28">
        <f>AVERAGE(densidade_hab_indL!AX35:AX37)</f>
        <v>7.3333333333333348E-2</v>
      </c>
      <c r="AY13" s="28">
        <f>AVERAGE(densidade_hab_indL!AY35:AY37)</f>
        <v>0</v>
      </c>
      <c r="AZ13" s="28">
        <f>AVERAGE(densidade_hab_indL!AZ35:AZ37)</f>
        <v>0</v>
      </c>
      <c r="BA13" s="28">
        <f>AVERAGE(densidade_hab_indL!BA35:BA37)</f>
        <v>0.24000000000000002</v>
      </c>
      <c r="BB13" s="28">
        <f>AVERAGE(densidade_hab_indL!BB35:BB37)</f>
        <v>0</v>
      </c>
      <c r="BC13" s="28">
        <f>AVERAGE(densidade_hab_indL!BC35:BC37)</f>
        <v>0.96666666666666667</v>
      </c>
      <c r="BD13" s="28">
        <f>AVERAGE(densidade_hab_indL!BD35:BD37)</f>
        <v>7.333333333333332E-2</v>
      </c>
      <c r="BE13" s="28">
        <f>AVERAGE(densidade_hab_indL!BE35:BE37)</f>
        <v>0.02</v>
      </c>
      <c r="BF13" s="28">
        <f>AVERAGE(densidade_hab_indL!BF35:BF37)</f>
        <v>6.6666666666666671E-3</v>
      </c>
      <c r="BG13" s="28">
        <f>AVERAGE(densidade_hab_indL!BG35:BG37)</f>
        <v>0</v>
      </c>
    </row>
    <row r="14" spans="1:67" ht="12.75" customHeight="1" x14ac:dyDescent="0.25">
      <c r="A14" s="4" t="s">
        <v>317</v>
      </c>
      <c r="B14" s="28">
        <f>AVERAGE(densidade_hab_indL!B38:B40)</f>
        <v>0.02</v>
      </c>
      <c r="C14" s="28">
        <f>AVERAGE(densidade_hab_indL!C38:C40)</f>
        <v>0</v>
      </c>
      <c r="D14" s="28">
        <f>AVERAGE(densidade_hab_indL!D38:D40)</f>
        <v>0</v>
      </c>
      <c r="E14" s="28">
        <f>AVERAGE(densidade_hab_indL!E38:E40)</f>
        <v>0.77999999999999992</v>
      </c>
      <c r="F14" s="28">
        <f>AVERAGE(densidade_hab_indL!F38:F40)</f>
        <v>0</v>
      </c>
      <c r="G14" s="28">
        <f>AVERAGE(densidade_hab_indL!G38:G40)</f>
        <v>0</v>
      </c>
      <c r="H14" s="28">
        <f>AVERAGE(densidade_hab_indL!H38:H40)</f>
        <v>0</v>
      </c>
      <c r="I14" s="28">
        <f>AVERAGE(densidade_hab_indL!I38:I40)</f>
        <v>1.3133333333333332</v>
      </c>
      <c r="J14" s="28">
        <f>AVERAGE(densidade_hab_indL!J38:J40)</f>
        <v>0</v>
      </c>
      <c r="K14" s="28">
        <f>AVERAGE(densidade_hab_indL!K38:K40)</f>
        <v>6.6666666666666671E-3</v>
      </c>
      <c r="L14" s="28">
        <f>AVERAGE(densidade_hab_indL!L38:L40)</f>
        <v>0</v>
      </c>
      <c r="M14" s="28">
        <f>AVERAGE(densidade_hab_indL!M38:M40)</f>
        <v>0</v>
      </c>
      <c r="N14" s="28">
        <f>AVERAGE(densidade_hab_indL!N38:N40)</f>
        <v>0</v>
      </c>
      <c r="O14" s="28">
        <f>AVERAGE(densidade_hab_indL!O38:O40)</f>
        <v>6.6666666666666671E-3</v>
      </c>
      <c r="P14" s="28">
        <f>AVERAGE(densidade_hab_indL!P38:P40)</f>
        <v>6.6666666666666671E-3</v>
      </c>
      <c r="Q14" s="28">
        <f>AVERAGE(densidade_hab_indL!Q38:Q40)</f>
        <v>0.02</v>
      </c>
      <c r="R14" s="28">
        <f>AVERAGE(densidade_hab_indL!R38:R40)</f>
        <v>0</v>
      </c>
      <c r="S14" s="28">
        <f>AVERAGE(densidade_hab_indL!S38:S40)</f>
        <v>6.6666666666666671E-3</v>
      </c>
      <c r="T14" s="28">
        <f>AVERAGE(densidade_hab_indL!T38:T40)</f>
        <v>0</v>
      </c>
      <c r="U14" s="28">
        <f>AVERAGE(densidade_hab_indL!U38:U40)</f>
        <v>0</v>
      </c>
      <c r="V14" s="28">
        <f>AVERAGE(densidade_hab_indL!V38:V40)</f>
        <v>0</v>
      </c>
      <c r="W14" s="28">
        <f>AVERAGE(densidade_hab_indL!W38:W40)</f>
        <v>0</v>
      </c>
      <c r="X14" s="28">
        <f>AVERAGE(densidade_hab_indL!X38:X40)</f>
        <v>0</v>
      </c>
      <c r="Y14" s="28">
        <f>AVERAGE(densidade_hab_indL!Y38:Y40)</f>
        <v>6.6666666666666671E-3</v>
      </c>
      <c r="Z14" s="28">
        <f>AVERAGE(densidade_hab_indL!Z38:Z40)</f>
        <v>0</v>
      </c>
      <c r="AA14" s="28">
        <f>AVERAGE(densidade_hab_indL!AA38:AA40)</f>
        <v>0</v>
      </c>
      <c r="AB14" s="28">
        <f>AVERAGE(densidade_hab_indL!AB38:AB40)</f>
        <v>0</v>
      </c>
      <c r="AC14" s="28">
        <f>AVERAGE(densidade_hab_indL!AC38:AC40)</f>
        <v>0</v>
      </c>
      <c r="AD14" s="28">
        <f>AVERAGE(densidade_hab_indL!AD38:AD40)</f>
        <v>6.6666666666666671E-3</v>
      </c>
      <c r="AE14" s="28">
        <f>AVERAGE(densidade_hab_indL!AE38:AE40)</f>
        <v>0</v>
      </c>
      <c r="AF14" s="28">
        <f>AVERAGE(densidade_hab_indL!AF38:AF40)</f>
        <v>0</v>
      </c>
      <c r="AG14" s="28">
        <f>AVERAGE(densidade_hab_indL!AG38:AG40)</f>
        <v>6.6666666666666671E-3</v>
      </c>
      <c r="AH14" s="28">
        <f>AVERAGE(densidade_hab_indL!AH38:AH40)</f>
        <v>0</v>
      </c>
      <c r="AI14" s="28">
        <f>AVERAGE(densidade_hab_indL!AI38:AI40)</f>
        <v>0</v>
      </c>
      <c r="AJ14" s="28">
        <f>AVERAGE(densidade_hab_indL!AJ38:AJ40)</f>
        <v>0</v>
      </c>
      <c r="AK14" s="28">
        <f>AVERAGE(densidade_hab_indL!AK38:AK40)</f>
        <v>0</v>
      </c>
      <c r="AL14" s="28">
        <f>AVERAGE(densidade_hab_indL!AL38:AL40)</f>
        <v>0</v>
      </c>
      <c r="AM14" s="28">
        <f>AVERAGE(densidade_hab_indL!AM38:AM40)</f>
        <v>1.3333333333333334E-2</v>
      </c>
      <c r="AN14" s="28">
        <f>AVERAGE(densidade_hab_indL!AN38:AN40)</f>
        <v>0</v>
      </c>
      <c r="AO14" s="28">
        <f>AVERAGE(densidade_hab_indL!AO38:AO40)</f>
        <v>0.02</v>
      </c>
      <c r="AP14" s="28">
        <f>AVERAGE(densidade_hab_indL!AP38:AP40)</f>
        <v>0</v>
      </c>
      <c r="AQ14" s="28">
        <f>AVERAGE(densidade_hab_indL!AQ38:AQ40)</f>
        <v>6.6666666666666671E-3</v>
      </c>
      <c r="AR14" s="28">
        <f>AVERAGE(densidade_hab_indL!AR38:AR40)</f>
        <v>2.6666666666666668E-2</v>
      </c>
      <c r="AS14" s="28">
        <f>AVERAGE(densidade_hab_indL!AS38:AS40)</f>
        <v>6.6666666666666671E-3</v>
      </c>
      <c r="AT14" s="28">
        <f>AVERAGE(densidade_hab_indL!AT38:AT40)</f>
        <v>6.6666666666666671E-3</v>
      </c>
      <c r="AU14" s="28">
        <f>AVERAGE(densidade_hab_indL!AU38:AU40)</f>
        <v>0</v>
      </c>
      <c r="AV14" s="28">
        <f>AVERAGE(densidade_hab_indL!AV38:AV40)</f>
        <v>0.56666666666666665</v>
      </c>
      <c r="AW14" s="28">
        <f>AVERAGE(densidade_hab_indL!AW38:AW40)</f>
        <v>0.23333333333333336</v>
      </c>
      <c r="AX14" s="28">
        <f>AVERAGE(densidade_hab_indL!AX38:AX40)</f>
        <v>0.19999999999999998</v>
      </c>
      <c r="AY14" s="28">
        <f>AVERAGE(densidade_hab_indL!AY38:AY40)</f>
        <v>0</v>
      </c>
      <c r="AZ14" s="28">
        <f>AVERAGE(densidade_hab_indL!AZ38:AZ40)</f>
        <v>0</v>
      </c>
      <c r="BA14" s="28">
        <f>AVERAGE(densidade_hab_indL!BA38:BA40)</f>
        <v>0</v>
      </c>
      <c r="BB14" s="28">
        <f>AVERAGE(densidade_hab_indL!BB38:BB40)</f>
        <v>0</v>
      </c>
      <c r="BC14" s="28">
        <f>AVERAGE(densidade_hab_indL!BC38:BC40)</f>
        <v>0</v>
      </c>
      <c r="BD14" s="28">
        <f>AVERAGE(densidade_hab_indL!BD38:BD40)</f>
        <v>0</v>
      </c>
      <c r="BE14" s="28">
        <f>AVERAGE(densidade_hab_indL!BE38:BE40)</f>
        <v>0</v>
      </c>
      <c r="BF14" s="28">
        <f>AVERAGE(densidade_hab_indL!BF38:BF40)</f>
        <v>6.6666666666666671E-3</v>
      </c>
      <c r="BG14" s="28">
        <f>AVERAGE(densidade_hab_indL!BG38:BG40)</f>
        <v>0</v>
      </c>
    </row>
    <row r="15" spans="1:67" ht="12.75" customHeight="1" x14ac:dyDescent="0.25">
      <c r="A15" s="4" t="s">
        <v>318</v>
      </c>
      <c r="B15" s="28">
        <f>AVERAGE(densidade_hab_indL!B41:B43)</f>
        <v>0.02</v>
      </c>
      <c r="C15" s="28">
        <f>AVERAGE(densidade_hab_indL!C41:C43)</f>
        <v>0</v>
      </c>
      <c r="D15" s="28">
        <f>AVERAGE(densidade_hab_indL!D41:D43)</f>
        <v>0</v>
      </c>
      <c r="E15" s="28">
        <f>AVERAGE(densidade_hab_indL!E41:E43)</f>
        <v>0.3133333333333333</v>
      </c>
      <c r="F15" s="28">
        <f>AVERAGE(densidade_hab_indL!F41:F43)</f>
        <v>0</v>
      </c>
      <c r="G15" s="28">
        <f>AVERAGE(densidade_hab_indL!G41:G43)</f>
        <v>0.02</v>
      </c>
      <c r="H15" s="28">
        <f>AVERAGE(densidade_hab_indL!H41:H43)</f>
        <v>0</v>
      </c>
      <c r="I15" s="28">
        <f>AVERAGE(densidade_hab_indL!I41:I43)</f>
        <v>0.15333333333333335</v>
      </c>
      <c r="J15" s="28">
        <f>AVERAGE(densidade_hab_indL!J41:J43)</f>
        <v>0</v>
      </c>
      <c r="K15" s="28">
        <f>AVERAGE(densidade_hab_indL!K41:K43)</f>
        <v>0</v>
      </c>
      <c r="L15" s="28">
        <f>AVERAGE(densidade_hab_indL!L41:L43)</f>
        <v>0</v>
      </c>
      <c r="M15" s="28">
        <f>AVERAGE(densidade_hab_indL!M41:M43)</f>
        <v>0</v>
      </c>
      <c r="N15" s="28">
        <f>AVERAGE(densidade_hab_indL!N41:N43)</f>
        <v>0</v>
      </c>
      <c r="O15" s="28">
        <f>AVERAGE(densidade_hab_indL!O41:O43)</f>
        <v>0</v>
      </c>
      <c r="P15" s="28">
        <f>AVERAGE(densidade_hab_indL!P41:P43)</f>
        <v>0</v>
      </c>
      <c r="Q15" s="28">
        <f>AVERAGE(densidade_hab_indL!Q41:Q43)</f>
        <v>6.6666666666666671E-3</v>
      </c>
      <c r="R15" s="28">
        <f>AVERAGE(densidade_hab_indL!R41:R43)</f>
        <v>0</v>
      </c>
      <c r="S15" s="28">
        <f>AVERAGE(densidade_hab_indL!S41:S43)</f>
        <v>0</v>
      </c>
      <c r="T15" s="28">
        <f>AVERAGE(densidade_hab_indL!T41:T43)</f>
        <v>0</v>
      </c>
      <c r="U15" s="28">
        <f>AVERAGE(densidade_hab_indL!U41:U43)</f>
        <v>0</v>
      </c>
      <c r="V15" s="28">
        <f>AVERAGE(densidade_hab_indL!V41:V43)</f>
        <v>1.3333333333333334E-2</v>
      </c>
      <c r="W15" s="28">
        <f>AVERAGE(densidade_hab_indL!W41:W43)</f>
        <v>0</v>
      </c>
      <c r="X15" s="28">
        <f>AVERAGE(densidade_hab_indL!X41:X43)</f>
        <v>0</v>
      </c>
      <c r="Y15" s="28">
        <f>AVERAGE(densidade_hab_indL!Y41:Y43)</f>
        <v>0.02</v>
      </c>
      <c r="Z15" s="28">
        <f>AVERAGE(densidade_hab_indL!Z41:Z43)</f>
        <v>0</v>
      </c>
      <c r="AA15" s="28">
        <f>AVERAGE(densidade_hab_indL!AA41:AA43)</f>
        <v>0</v>
      </c>
      <c r="AB15" s="28">
        <f>AVERAGE(densidade_hab_indL!AB41:AB43)</f>
        <v>0</v>
      </c>
      <c r="AC15" s="28">
        <f>AVERAGE(densidade_hab_indL!AC41:AC43)</f>
        <v>0</v>
      </c>
      <c r="AD15" s="28">
        <f>AVERAGE(densidade_hab_indL!AD41:AD43)</f>
        <v>0</v>
      </c>
      <c r="AE15" s="28">
        <f>AVERAGE(densidade_hab_indL!AE41:AE43)</f>
        <v>0</v>
      </c>
      <c r="AF15" s="28">
        <f>AVERAGE(densidade_hab_indL!AF41:AF43)</f>
        <v>0</v>
      </c>
      <c r="AG15" s="28">
        <f>AVERAGE(densidade_hab_indL!AG41:AG43)</f>
        <v>0</v>
      </c>
      <c r="AH15" s="28">
        <f>AVERAGE(densidade_hab_indL!AH41:AH43)</f>
        <v>0</v>
      </c>
      <c r="AI15" s="28">
        <f>AVERAGE(densidade_hab_indL!AI41:AI43)</f>
        <v>0</v>
      </c>
      <c r="AJ15" s="28">
        <f>AVERAGE(densidade_hab_indL!AJ41:AJ43)</f>
        <v>0</v>
      </c>
      <c r="AK15" s="28">
        <f>AVERAGE(densidade_hab_indL!AK41:AK43)</f>
        <v>0</v>
      </c>
      <c r="AL15" s="28">
        <f>AVERAGE(densidade_hab_indL!AL41:AL43)</f>
        <v>0</v>
      </c>
      <c r="AM15" s="28">
        <f>AVERAGE(densidade_hab_indL!AM41:AM43)</f>
        <v>0</v>
      </c>
      <c r="AN15" s="28">
        <f>AVERAGE(densidade_hab_indL!AN41:AN43)</f>
        <v>0</v>
      </c>
      <c r="AO15" s="28">
        <f>AVERAGE(densidade_hab_indL!AO41:AO43)</f>
        <v>0</v>
      </c>
      <c r="AP15" s="28">
        <f>AVERAGE(densidade_hab_indL!AP41:AP43)</f>
        <v>0</v>
      </c>
      <c r="AQ15" s="28">
        <f>AVERAGE(densidade_hab_indL!AQ41:AQ43)</f>
        <v>0</v>
      </c>
      <c r="AR15" s="28">
        <f>AVERAGE(densidade_hab_indL!AR41:AR43)</f>
        <v>0</v>
      </c>
      <c r="AS15" s="28">
        <f>AVERAGE(densidade_hab_indL!AS41:AS43)</f>
        <v>0</v>
      </c>
      <c r="AT15" s="28">
        <f>AVERAGE(densidade_hab_indL!AT41:AT43)</f>
        <v>0</v>
      </c>
      <c r="AU15" s="28">
        <f>AVERAGE(densidade_hab_indL!AU41:AU43)</f>
        <v>0</v>
      </c>
      <c r="AV15" s="28">
        <f>AVERAGE(densidade_hab_indL!AV41:AV43)</f>
        <v>8.666666666666667E-2</v>
      </c>
      <c r="AW15" s="28">
        <f>AVERAGE(densidade_hab_indL!AW41:AW43)</f>
        <v>0</v>
      </c>
      <c r="AX15" s="28">
        <f>AVERAGE(densidade_hab_indL!AX41:AX43)</f>
        <v>0.02</v>
      </c>
      <c r="AY15" s="28">
        <f>AVERAGE(densidade_hab_indL!AY41:AY43)</f>
        <v>0</v>
      </c>
      <c r="AZ15" s="28">
        <f>AVERAGE(densidade_hab_indL!AZ41:AZ43)</f>
        <v>0</v>
      </c>
      <c r="BA15" s="28">
        <f>AVERAGE(densidade_hab_indL!BA41:BA43)</f>
        <v>0</v>
      </c>
      <c r="BB15" s="28">
        <f>AVERAGE(densidade_hab_indL!BB41:BB43)</f>
        <v>0</v>
      </c>
      <c r="BC15" s="28">
        <f>AVERAGE(densidade_hab_indL!BC41:BC43)</f>
        <v>0</v>
      </c>
      <c r="BD15" s="28">
        <f>AVERAGE(densidade_hab_indL!BD41:BD43)</f>
        <v>0</v>
      </c>
      <c r="BE15" s="28">
        <f>AVERAGE(densidade_hab_indL!BE41:BE43)</f>
        <v>0</v>
      </c>
      <c r="BF15" s="28">
        <f>AVERAGE(densidade_hab_indL!BF41:BF43)</f>
        <v>0</v>
      </c>
      <c r="BG15" s="28">
        <f>AVERAGE(densidade_hab_indL!BG41:BG43)</f>
        <v>0</v>
      </c>
    </row>
    <row r="16" spans="1:67" ht="12.75" customHeight="1" x14ac:dyDescent="0.25">
      <c r="A16" s="4" t="s">
        <v>319</v>
      </c>
      <c r="B16" s="28">
        <f>AVERAGE(densidade_hab_indL!B44:B46)</f>
        <v>0</v>
      </c>
      <c r="C16" s="28">
        <f>AVERAGE(densidade_hab_indL!C44:C46)</f>
        <v>1.3333333333333334E-2</v>
      </c>
      <c r="D16" s="28">
        <f>AVERAGE(densidade_hab_indL!D44:D46)</f>
        <v>0</v>
      </c>
      <c r="E16" s="28">
        <f>AVERAGE(densidade_hab_indL!E44:E46)</f>
        <v>1.0133333333333334</v>
      </c>
      <c r="F16" s="28">
        <f>AVERAGE(densidade_hab_indL!F44:F46)</f>
        <v>0</v>
      </c>
      <c r="G16" s="28">
        <f>AVERAGE(densidade_hab_indL!G44:G46)</f>
        <v>6.6666666666666671E-3</v>
      </c>
      <c r="H16" s="28">
        <f>AVERAGE(densidade_hab_indL!H44:H46)</f>
        <v>0</v>
      </c>
      <c r="I16" s="28">
        <f>AVERAGE(densidade_hab_indL!I44:I46)</f>
        <v>0.02</v>
      </c>
      <c r="J16" s="28">
        <f>AVERAGE(densidade_hab_indL!J44:J46)</f>
        <v>0</v>
      </c>
      <c r="K16" s="28">
        <f>AVERAGE(densidade_hab_indL!K44:K46)</f>
        <v>0</v>
      </c>
      <c r="L16" s="28">
        <f>AVERAGE(densidade_hab_indL!L44:L46)</f>
        <v>0</v>
      </c>
      <c r="M16" s="28">
        <f>AVERAGE(densidade_hab_indL!M44:M46)</f>
        <v>0</v>
      </c>
      <c r="N16" s="28">
        <f>AVERAGE(densidade_hab_indL!N44:N46)</f>
        <v>0</v>
      </c>
      <c r="O16" s="28">
        <f>AVERAGE(densidade_hab_indL!O44:O46)</f>
        <v>0</v>
      </c>
      <c r="P16" s="28">
        <f>AVERAGE(densidade_hab_indL!P44:P46)</f>
        <v>0</v>
      </c>
      <c r="Q16" s="28">
        <f>AVERAGE(densidade_hab_indL!Q44:Q46)</f>
        <v>6.6666666666666671E-3</v>
      </c>
      <c r="R16" s="28">
        <f>AVERAGE(densidade_hab_indL!R44:R46)</f>
        <v>0</v>
      </c>
      <c r="S16" s="28">
        <f>AVERAGE(densidade_hab_indL!S44:S46)</f>
        <v>0</v>
      </c>
      <c r="T16" s="28">
        <f>AVERAGE(densidade_hab_indL!T44:T46)</f>
        <v>0</v>
      </c>
      <c r="U16" s="28">
        <f>AVERAGE(densidade_hab_indL!U44:U46)</f>
        <v>0</v>
      </c>
      <c r="V16" s="28">
        <f>AVERAGE(densidade_hab_indL!V44:V46)</f>
        <v>0</v>
      </c>
      <c r="W16" s="28">
        <f>AVERAGE(densidade_hab_indL!W44:W46)</f>
        <v>0</v>
      </c>
      <c r="X16" s="28">
        <f>AVERAGE(densidade_hab_indL!X44:X46)</f>
        <v>0</v>
      </c>
      <c r="Y16" s="28">
        <f>AVERAGE(densidade_hab_indL!Y44:Y46)</f>
        <v>0</v>
      </c>
      <c r="Z16" s="28">
        <f>AVERAGE(densidade_hab_indL!Z44:Z46)</f>
        <v>0</v>
      </c>
      <c r="AA16" s="28">
        <f>AVERAGE(densidade_hab_indL!AA44:AA46)</f>
        <v>0</v>
      </c>
      <c r="AB16" s="28">
        <f>AVERAGE(densidade_hab_indL!AB44:AB46)</f>
        <v>0</v>
      </c>
      <c r="AC16" s="28">
        <f>AVERAGE(densidade_hab_indL!AC44:AC46)</f>
        <v>0</v>
      </c>
      <c r="AD16" s="28">
        <f>AVERAGE(densidade_hab_indL!AD44:AD46)</f>
        <v>0</v>
      </c>
      <c r="AE16" s="28">
        <f>AVERAGE(densidade_hab_indL!AE44:AE46)</f>
        <v>0</v>
      </c>
      <c r="AF16" s="28">
        <f>AVERAGE(densidade_hab_indL!AF44:AF46)</f>
        <v>0</v>
      </c>
      <c r="AG16" s="28">
        <f>AVERAGE(densidade_hab_indL!AG44:AG46)</f>
        <v>0</v>
      </c>
      <c r="AH16" s="28">
        <f>AVERAGE(densidade_hab_indL!AH44:AH46)</f>
        <v>0</v>
      </c>
      <c r="AI16" s="28">
        <f>AVERAGE(densidade_hab_indL!AI44:AI46)</f>
        <v>0</v>
      </c>
      <c r="AJ16" s="28">
        <f>AVERAGE(densidade_hab_indL!AJ44:AJ46)</f>
        <v>0</v>
      </c>
      <c r="AK16" s="28">
        <f>AVERAGE(densidade_hab_indL!AK44:AK46)</f>
        <v>0</v>
      </c>
      <c r="AL16" s="28">
        <f>AVERAGE(densidade_hab_indL!AL44:AL46)</f>
        <v>0</v>
      </c>
      <c r="AM16" s="28">
        <f>AVERAGE(densidade_hab_indL!AM44:AM46)</f>
        <v>0</v>
      </c>
      <c r="AN16" s="28">
        <f>AVERAGE(densidade_hab_indL!AN44:AN46)</f>
        <v>0</v>
      </c>
      <c r="AO16" s="28">
        <f>AVERAGE(densidade_hab_indL!AO44:AO46)</f>
        <v>0</v>
      </c>
      <c r="AP16" s="28">
        <f>AVERAGE(densidade_hab_indL!AP44:AP46)</f>
        <v>0</v>
      </c>
      <c r="AQ16" s="28">
        <f>AVERAGE(densidade_hab_indL!AQ44:AQ46)</f>
        <v>0</v>
      </c>
      <c r="AR16" s="28">
        <f>AVERAGE(densidade_hab_indL!AR44:AR46)</f>
        <v>0</v>
      </c>
      <c r="AS16" s="28">
        <f>AVERAGE(densidade_hab_indL!AS44:AS46)</f>
        <v>0</v>
      </c>
      <c r="AT16" s="28">
        <f>AVERAGE(densidade_hab_indL!AT44:AT46)</f>
        <v>0</v>
      </c>
      <c r="AU16" s="28">
        <f>AVERAGE(densidade_hab_indL!AU44:AU46)</f>
        <v>0</v>
      </c>
      <c r="AV16" s="28">
        <f>AVERAGE(densidade_hab_indL!AV44:AV46)</f>
        <v>6.6666666666666671E-3</v>
      </c>
      <c r="AW16" s="28">
        <f>AVERAGE(densidade_hab_indL!AW44:AW46)</f>
        <v>0</v>
      </c>
      <c r="AX16" s="28">
        <f>AVERAGE(densidade_hab_indL!AX44:AX46)</f>
        <v>0</v>
      </c>
      <c r="AY16" s="28">
        <f>AVERAGE(densidade_hab_indL!AY44:AY46)</f>
        <v>0</v>
      </c>
      <c r="AZ16" s="28">
        <f>AVERAGE(densidade_hab_indL!AZ44:AZ46)</f>
        <v>0</v>
      </c>
      <c r="BA16" s="28">
        <f>AVERAGE(densidade_hab_indL!BA44:BA46)</f>
        <v>0</v>
      </c>
      <c r="BB16" s="28">
        <f>AVERAGE(densidade_hab_indL!BB44:BB46)</f>
        <v>0</v>
      </c>
      <c r="BC16" s="28">
        <f>AVERAGE(densidade_hab_indL!BC44:BC46)</f>
        <v>0</v>
      </c>
      <c r="BD16" s="28">
        <f>AVERAGE(densidade_hab_indL!BD44:BD46)</f>
        <v>0</v>
      </c>
      <c r="BE16" s="28">
        <f>AVERAGE(densidade_hab_indL!BE44:BE46)</f>
        <v>0</v>
      </c>
      <c r="BF16" s="28">
        <f>AVERAGE(densidade_hab_indL!BF44:BF46)</f>
        <v>0</v>
      </c>
      <c r="BG16" s="28">
        <f>AVERAGE(densidade_hab_indL!BG44:BG46)</f>
        <v>0</v>
      </c>
    </row>
    <row r="17" spans="1:59" ht="12.75" customHeight="1" x14ac:dyDescent="0.25">
      <c r="A17" s="4" t="s">
        <v>320</v>
      </c>
      <c r="B17" s="28">
        <f>AVERAGE(densidade_hab_indL!B47:B49)</f>
        <v>0</v>
      </c>
      <c r="C17" s="28">
        <f>AVERAGE(densidade_hab_indL!C47:C49)</f>
        <v>1.3333333333333334E-2</v>
      </c>
      <c r="D17" s="28">
        <f>AVERAGE(densidade_hab_indL!D47:D49)</f>
        <v>0</v>
      </c>
      <c r="E17" s="28">
        <f>AVERAGE(densidade_hab_indL!E47:E49)</f>
        <v>1.1533333333333333</v>
      </c>
      <c r="F17" s="28">
        <f>AVERAGE(densidade_hab_indL!F47:F49)</f>
        <v>0</v>
      </c>
      <c r="G17" s="28">
        <f>AVERAGE(densidade_hab_indL!G47:G49)</f>
        <v>0</v>
      </c>
      <c r="H17" s="28">
        <f>AVERAGE(densidade_hab_indL!H47:H49)</f>
        <v>0</v>
      </c>
      <c r="I17" s="28">
        <f>AVERAGE(densidade_hab_indL!I47:I49)</f>
        <v>0.04</v>
      </c>
      <c r="J17" s="28">
        <f>AVERAGE(densidade_hab_indL!J47:J49)</f>
        <v>0</v>
      </c>
      <c r="K17" s="28">
        <f>AVERAGE(densidade_hab_indL!K47:K49)</f>
        <v>0</v>
      </c>
      <c r="L17" s="28">
        <f>AVERAGE(densidade_hab_indL!L47:L49)</f>
        <v>0</v>
      </c>
      <c r="M17" s="28">
        <f>AVERAGE(densidade_hab_indL!M47:M49)</f>
        <v>0</v>
      </c>
      <c r="N17" s="28">
        <f>AVERAGE(densidade_hab_indL!N47:N49)</f>
        <v>0</v>
      </c>
      <c r="O17" s="28">
        <f>AVERAGE(densidade_hab_indL!O47:O49)</f>
        <v>0</v>
      </c>
      <c r="P17" s="28">
        <f>AVERAGE(densidade_hab_indL!P47:P49)</f>
        <v>0</v>
      </c>
      <c r="Q17" s="28">
        <f>AVERAGE(densidade_hab_indL!Q47:Q49)</f>
        <v>1.3333333333333334E-2</v>
      </c>
      <c r="R17" s="28">
        <f>AVERAGE(densidade_hab_indL!R47:R49)</f>
        <v>0</v>
      </c>
      <c r="S17" s="28">
        <f>AVERAGE(densidade_hab_indL!S47:S49)</f>
        <v>0</v>
      </c>
      <c r="T17" s="28">
        <f>AVERAGE(densidade_hab_indL!T47:T49)</f>
        <v>0</v>
      </c>
      <c r="U17" s="28">
        <f>AVERAGE(densidade_hab_indL!U47:U49)</f>
        <v>0</v>
      </c>
      <c r="V17" s="28">
        <f>AVERAGE(densidade_hab_indL!V47:V49)</f>
        <v>0</v>
      </c>
      <c r="W17" s="28">
        <f>AVERAGE(densidade_hab_indL!W47:W49)</f>
        <v>0</v>
      </c>
      <c r="X17" s="28">
        <f>AVERAGE(densidade_hab_indL!X47:X49)</f>
        <v>0</v>
      </c>
      <c r="Y17" s="28">
        <f>AVERAGE(densidade_hab_indL!Y47:Y49)</f>
        <v>0</v>
      </c>
      <c r="Z17" s="28">
        <f>AVERAGE(densidade_hab_indL!Z47:Z49)</f>
        <v>1.3333333333333334E-2</v>
      </c>
      <c r="AA17" s="28">
        <f>AVERAGE(densidade_hab_indL!AA47:AA49)</f>
        <v>6.6666666666666671E-3</v>
      </c>
      <c r="AB17" s="28">
        <f>AVERAGE(densidade_hab_indL!AB47:AB49)</f>
        <v>0</v>
      </c>
      <c r="AC17" s="28">
        <f>AVERAGE(densidade_hab_indL!AC47:AC49)</f>
        <v>0</v>
      </c>
      <c r="AD17" s="28">
        <f>AVERAGE(densidade_hab_indL!AD47:AD49)</f>
        <v>0</v>
      </c>
      <c r="AE17" s="28">
        <f>AVERAGE(densidade_hab_indL!AE47:AE49)</f>
        <v>0</v>
      </c>
      <c r="AF17" s="28">
        <f>AVERAGE(densidade_hab_indL!AF47:AF49)</f>
        <v>0</v>
      </c>
      <c r="AG17" s="28">
        <f>AVERAGE(densidade_hab_indL!AG47:AG49)</f>
        <v>0</v>
      </c>
      <c r="AH17" s="28">
        <f>AVERAGE(densidade_hab_indL!AH47:AH49)</f>
        <v>0</v>
      </c>
      <c r="AI17" s="28">
        <f>AVERAGE(densidade_hab_indL!AI47:AI49)</f>
        <v>0</v>
      </c>
      <c r="AJ17" s="28">
        <f>AVERAGE(densidade_hab_indL!AJ47:AJ49)</f>
        <v>0</v>
      </c>
      <c r="AK17" s="28">
        <f>AVERAGE(densidade_hab_indL!AK47:AK49)</f>
        <v>0</v>
      </c>
      <c r="AL17" s="28">
        <f>AVERAGE(densidade_hab_indL!AL47:AL49)</f>
        <v>0</v>
      </c>
      <c r="AM17" s="28">
        <f>AVERAGE(densidade_hab_indL!AM47:AM49)</f>
        <v>0</v>
      </c>
      <c r="AN17" s="28">
        <f>AVERAGE(densidade_hab_indL!AN47:AN49)</f>
        <v>0</v>
      </c>
      <c r="AO17" s="28">
        <f>AVERAGE(densidade_hab_indL!AO47:AO49)</f>
        <v>0</v>
      </c>
      <c r="AP17" s="28">
        <f>AVERAGE(densidade_hab_indL!AP47:AP49)</f>
        <v>0</v>
      </c>
      <c r="AQ17" s="28">
        <f>AVERAGE(densidade_hab_indL!AQ47:AQ49)</f>
        <v>1.3333333333333334E-2</v>
      </c>
      <c r="AR17" s="28">
        <f>AVERAGE(densidade_hab_indL!AR47:AR49)</f>
        <v>0</v>
      </c>
      <c r="AS17" s="28">
        <f>AVERAGE(densidade_hab_indL!AS47:AS49)</f>
        <v>0</v>
      </c>
      <c r="AT17" s="28">
        <f>AVERAGE(densidade_hab_indL!AT47:AT49)</f>
        <v>0</v>
      </c>
      <c r="AU17" s="28">
        <f>AVERAGE(densidade_hab_indL!AU47:AU49)</f>
        <v>0</v>
      </c>
      <c r="AV17" s="28">
        <f>AVERAGE(densidade_hab_indL!AV47:AV49)</f>
        <v>0.02</v>
      </c>
      <c r="AW17" s="28">
        <f>AVERAGE(densidade_hab_indL!AW47:AW49)</f>
        <v>6.6666666666666671E-3</v>
      </c>
      <c r="AX17" s="28">
        <f>AVERAGE(densidade_hab_indL!AX47:AX49)</f>
        <v>6.6666666666666671E-3</v>
      </c>
      <c r="AY17" s="28">
        <f>AVERAGE(densidade_hab_indL!AY47:AY49)</f>
        <v>1.3333333333333334E-2</v>
      </c>
      <c r="AZ17" s="28">
        <f>AVERAGE(densidade_hab_indL!AZ47:AZ49)</f>
        <v>0</v>
      </c>
      <c r="BA17" s="28">
        <f>AVERAGE(densidade_hab_indL!BA47:BA49)</f>
        <v>0</v>
      </c>
      <c r="BB17" s="28">
        <f>AVERAGE(densidade_hab_indL!BB47:BB49)</f>
        <v>0</v>
      </c>
      <c r="BC17" s="28">
        <f>AVERAGE(densidade_hab_indL!BC47:BC49)</f>
        <v>0</v>
      </c>
      <c r="BD17" s="28">
        <f>AVERAGE(densidade_hab_indL!BD47:BD49)</f>
        <v>0</v>
      </c>
      <c r="BE17" s="28">
        <f>AVERAGE(densidade_hab_indL!BE47:BE49)</f>
        <v>0</v>
      </c>
      <c r="BF17" s="28">
        <f>AVERAGE(densidade_hab_indL!BF47:BF49)</f>
        <v>0</v>
      </c>
      <c r="BG17" s="28">
        <f>AVERAGE(densidade_hab_indL!BG47:BG49)</f>
        <v>0</v>
      </c>
    </row>
    <row r="18" spans="1:59" ht="12.75" customHeight="1" x14ac:dyDescent="0.25">
      <c r="A18" s="4" t="s">
        <v>321</v>
      </c>
      <c r="B18" s="29">
        <f>AVERAGE(densidade_hab_indL!B50:B52)</f>
        <v>6.6666666666666671E-3</v>
      </c>
      <c r="C18" s="29">
        <f>AVERAGE(densidade_hab_indL!C50:C52)</f>
        <v>0</v>
      </c>
      <c r="D18" s="29">
        <f>AVERAGE(densidade_hab_indL!D50:D52)</f>
        <v>0</v>
      </c>
      <c r="E18" s="29">
        <f>AVERAGE(densidade_hab_indL!E50:E52)</f>
        <v>1.6666666666666667</v>
      </c>
      <c r="F18" s="29">
        <f>AVERAGE(densidade_hab_indL!F50:F52)</f>
        <v>0</v>
      </c>
      <c r="G18" s="29">
        <f>AVERAGE(densidade_hab_indL!G50:G52)</f>
        <v>0</v>
      </c>
      <c r="H18" s="29">
        <f>AVERAGE(densidade_hab_indL!H50:H52)</f>
        <v>0</v>
      </c>
      <c r="I18" s="29">
        <f>AVERAGE(densidade_hab_indL!I50:I52)</f>
        <v>0.54666666666666675</v>
      </c>
      <c r="J18" s="29">
        <f>AVERAGE(densidade_hab_indL!J50:J52)</f>
        <v>0</v>
      </c>
      <c r="K18" s="29">
        <f>AVERAGE(densidade_hab_indL!K50:K52)</f>
        <v>0</v>
      </c>
      <c r="L18" s="29">
        <f>AVERAGE(densidade_hab_indL!L50:L52)</f>
        <v>0</v>
      </c>
      <c r="M18" s="29">
        <f>AVERAGE(densidade_hab_indL!M50:M52)</f>
        <v>0</v>
      </c>
      <c r="N18" s="29">
        <f>AVERAGE(densidade_hab_indL!N50:N52)</f>
        <v>0</v>
      </c>
      <c r="O18" s="29">
        <f>AVERAGE(densidade_hab_indL!O50:O52)</f>
        <v>0</v>
      </c>
      <c r="P18" s="29">
        <f>AVERAGE(densidade_hab_indL!P50:P52)</f>
        <v>0</v>
      </c>
      <c r="Q18" s="29">
        <f>AVERAGE(densidade_hab_indL!Q50:Q52)</f>
        <v>0</v>
      </c>
      <c r="R18" s="29">
        <f>AVERAGE(densidade_hab_indL!R50:R52)</f>
        <v>0</v>
      </c>
      <c r="S18" s="29">
        <f>AVERAGE(densidade_hab_indL!S50:S52)</f>
        <v>0</v>
      </c>
      <c r="T18" s="29">
        <f>AVERAGE(densidade_hab_indL!T50:T52)</f>
        <v>0</v>
      </c>
      <c r="U18" s="29">
        <f>AVERAGE(densidade_hab_indL!U50:U52)</f>
        <v>0</v>
      </c>
      <c r="V18" s="29">
        <f>AVERAGE(densidade_hab_indL!V50:V52)</f>
        <v>0</v>
      </c>
      <c r="W18" s="29">
        <f>AVERAGE(densidade_hab_indL!W50:W52)</f>
        <v>0</v>
      </c>
      <c r="X18" s="29">
        <f>AVERAGE(densidade_hab_indL!X50:X52)</f>
        <v>0</v>
      </c>
      <c r="Y18" s="29">
        <f>AVERAGE(densidade_hab_indL!Y50:Y52)</f>
        <v>0</v>
      </c>
      <c r="Z18" s="29">
        <f>AVERAGE(densidade_hab_indL!Z50:Z52)</f>
        <v>0</v>
      </c>
      <c r="AA18" s="29">
        <f>AVERAGE(densidade_hab_indL!AA50:AA52)</f>
        <v>0</v>
      </c>
      <c r="AB18" s="29">
        <f>AVERAGE(densidade_hab_indL!AB50:AB52)</f>
        <v>0</v>
      </c>
      <c r="AC18" s="29">
        <f>AVERAGE(densidade_hab_indL!AC50:AC52)</f>
        <v>0</v>
      </c>
      <c r="AD18" s="29">
        <f>AVERAGE(densidade_hab_indL!AD50:AD52)</f>
        <v>0</v>
      </c>
      <c r="AE18" s="29">
        <f>AVERAGE(densidade_hab_indL!AE50:AE52)</f>
        <v>0</v>
      </c>
      <c r="AF18" s="29">
        <f>AVERAGE(densidade_hab_indL!AF50:AF52)</f>
        <v>0</v>
      </c>
      <c r="AG18" s="29">
        <f>AVERAGE(densidade_hab_indL!AG50:AG52)</f>
        <v>0</v>
      </c>
      <c r="AH18" s="29">
        <f>AVERAGE(densidade_hab_indL!AH50:AH52)</f>
        <v>0</v>
      </c>
      <c r="AI18" s="29">
        <f>AVERAGE(densidade_hab_indL!AI50:AI52)</f>
        <v>0</v>
      </c>
      <c r="AJ18" s="29">
        <f>AVERAGE(densidade_hab_indL!AJ50:AJ52)</f>
        <v>0</v>
      </c>
      <c r="AK18" s="29">
        <f>AVERAGE(densidade_hab_indL!AK50:AK52)</f>
        <v>0</v>
      </c>
      <c r="AL18" s="29">
        <f>AVERAGE(densidade_hab_indL!AL50:AL52)</f>
        <v>1.3333333333333334E-2</v>
      </c>
      <c r="AM18" s="29">
        <f>AVERAGE(densidade_hab_indL!AM50:AM52)</f>
        <v>0</v>
      </c>
      <c r="AN18" s="29">
        <f>AVERAGE(densidade_hab_indL!AN50:AN52)</f>
        <v>0</v>
      </c>
      <c r="AO18" s="29">
        <f>AVERAGE(densidade_hab_indL!AO50:AO52)</f>
        <v>0</v>
      </c>
      <c r="AP18" s="29">
        <f>AVERAGE(densidade_hab_indL!AP50:AP52)</f>
        <v>0</v>
      </c>
      <c r="AQ18" s="29">
        <f>AVERAGE(densidade_hab_indL!AQ50:AQ52)</f>
        <v>0</v>
      </c>
      <c r="AR18" s="29">
        <f>AVERAGE(densidade_hab_indL!AR50:AR52)</f>
        <v>0</v>
      </c>
      <c r="AS18" s="29">
        <f>AVERAGE(densidade_hab_indL!AS50:AS52)</f>
        <v>0</v>
      </c>
      <c r="AT18" s="29">
        <f>AVERAGE(densidade_hab_indL!AT50:AT52)</f>
        <v>0</v>
      </c>
      <c r="AU18" s="29">
        <f>AVERAGE(densidade_hab_indL!AU50:AU52)</f>
        <v>0</v>
      </c>
      <c r="AV18" s="29">
        <f>AVERAGE(densidade_hab_indL!AV50:AV52)</f>
        <v>0.16666666666666666</v>
      </c>
      <c r="AW18" s="29">
        <f>AVERAGE(densidade_hab_indL!AW50:AW52)</f>
        <v>0</v>
      </c>
      <c r="AX18" s="29">
        <f>AVERAGE(densidade_hab_indL!AX50:AX52)</f>
        <v>1.3333333333333334E-2</v>
      </c>
      <c r="AY18" s="29">
        <f>AVERAGE(densidade_hab_indL!AY50:AY52)</f>
        <v>0</v>
      </c>
      <c r="AZ18" s="29">
        <f>AVERAGE(densidade_hab_indL!AZ50:AZ52)</f>
        <v>0</v>
      </c>
      <c r="BA18" s="29">
        <f>AVERAGE(densidade_hab_indL!BA50:BA52)</f>
        <v>0</v>
      </c>
      <c r="BB18" s="29">
        <f>AVERAGE(densidade_hab_indL!BB50:BB52)</f>
        <v>0</v>
      </c>
      <c r="BC18" s="29">
        <f>AVERAGE(densidade_hab_indL!BC50:BC52)</f>
        <v>0</v>
      </c>
      <c r="BD18" s="29">
        <f>AVERAGE(densidade_hab_indL!BD50:BD52)</f>
        <v>0</v>
      </c>
      <c r="BE18" s="29">
        <f>AVERAGE(densidade_hab_indL!BE50:BE52)</f>
        <v>0</v>
      </c>
      <c r="BF18" s="29">
        <f>AVERAGE(densidade_hab_indL!BF50:BF52)</f>
        <v>0</v>
      </c>
      <c r="BG18" s="29">
        <f>AVERAGE(densidade_hab_indL!BG50:BG52)</f>
        <v>0</v>
      </c>
    </row>
    <row r="19" spans="1:59" ht="12.75" customHeight="1" x14ac:dyDescent="0.25">
      <c r="A19" s="4" t="s">
        <v>322</v>
      </c>
      <c r="B19" s="29">
        <f>AVERAGE(densidade_hab_indL!B53:B55)</f>
        <v>2.6666666666666668E-2</v>
      </c>
      <c r="C19" s="29">
        <f>AVERAGE(densidade_hab_indL!C53:C55)</f>
        <v>0</v>
      </c>
      <c r="D19" s="29">
        <f>AVERAGE(densidade_hab_indL!D53:D55)</f>
        <v>0</v>
      </c>
      <c r="E19" s="29">
        <f>AVERAGE(densidade_hab_indL!E53:E55)</f>
        <v>1.3266666666666669</v>
      </c>
      <c r="F19" s="29">
        <f>AVERAGE(densidade_hab_indL!F53:F55)</f>
        <v>0</v>
      </c>
      <c r="G19" s="29">
        <f>AVERAGE(densidade_hab_indL!G53:G55)</f>
        <v>0</v>
      </c>
      <c r="H19" s="29">
        <f>AVERAGE(densidade_hab_indL!H53:H55)</f>
        <v>0</v>
      </c>
      <c r="I19" s="29">
        <f>AVERAGE(densidade_hab_indL!I53:I55)</f>
        <v>6.0000000000000005E-2</v>
      </c>
      <c r="J19" s="29">
        <f>AVERAGE(densidade_hab_indL!J53:J55)</f>
        <v>0</v>
      </c>
      <c r="K19" s="29">
        <f>AVERAGE(densidade_hab_indL!K53:K55)</f>
        <v>0</v>
      </c>
      <c r="L19" s="29">
        <f>AVERAGE(densidade_hab_indL!L53:L55)</f>
        <v>0</v>
      </c>
      <c r="M19" s="29">
        <f>AVERAGE(densidade_hab_indL!M53:M55)</f>
        <v>0</v>
      </c>
      <c r="N19" s="29">
        <f>AVERAGE(densidade_hab_indL!N53:N55)</f>
        <v>0</v>
      </c>
      <c r="O19" s="29">
        <f>AVERAGE(densidade_hab_indL!O53:O55)</f>
        <v>0</v>
      </c>
      <c r="P19" s="29">
        <f>AVERAGE(densidade_hab_indL!P53:P55)</f>
        <v>0</v>
      </c>
      <c r="Q19" s="29">
        <f>AVERAGE(densidade_hab_indL!Q53:Q55)</f>
        <v>0</v>
      </c>
      <c r="R19" s="29">
        <f>AVERAGE(densidade_hab_indL!R53:R55)</f>
        <v>0</v>
      </c>
      <c r="S19" s="29">
        <f>AVERAGE(densidade_hab_indL!S53:S55)</f>
        <v>0</v>
      </c>
      <c r="T19" s="29">
        <f>AVERAGE(densidade_hab_indL!T53:T55)</f>
        <v>0</v>
      </c>
      <c r="U19" s="29">
        <f>AVERAGE(densidade_hab_indL!U53:U55)</f>
        <v>0</v>
      </c>
      <c r="V19" s="29">
        <f>AVERAGE(densidade_hab_indL!V53:V55)</f>
        <v>0</v>
      </c>
      <c r="W19" s="29">
        <f>AVERAGE(densidade_hab_indL!W53:W55)</f>
        <v>0</v>
      </c>
      <c r="X19" s="29">
        <f>AVERAGE(densidade_hab_indL!X53:X55)</f>
        <v>0</v>
      </c>
      <c r="Y19" s="29">
        <f>AVERAGE(densidade_hab_indL!Y53:Y55)</f>
        <v>1.3333333333333334E-2</v>
      </c>
      <c r="Z19" s="29">
        <f>AVERAGE(densidade_hab_indL!Z53:Z55)</f>
        <v>0</v>
      </c>
      <c r="AA19" s="29">
        <f>AVERAGE(densidade_hab_indL!AA53:AA55)</f>
        <v>0</v>
      </c>
      <c r="AB19" s="29">
        <f>AVERAGE(densidade_hab_indL!AB53:AB55)</f>
        <v>0</v>
      </c>
      <c r="AC19" s="29">
        <f>AVERAGE(densidade_hab_indL!AC53:AC55)</f>
        <v>0</v>
      </c>
      <c r="AD19" s="29">
        <f>AVERAGE(densidade_hab_indL!AD53:AD55)</f>
        <v>0</v>
      </c>
      <c r="AE19" s="29">
        <f>AVERAGE(densidade_hab_indL!AE53:AE55)</f>
        <v>0</v>
      </c>
      <c r="AF19" s="29">
        <f>AVERAGE(densidade_hab_indL!AF53:AF55)</f>
        <v>0</v>
      </c>
      <c r="AG19" s="29">
        <f>AVERAGE(densidade_hab_indL!AG53:AG55)</f>
        <v>0</v>
      </c>
      <c r="AH19" s="29">
        <f>AVERAGE(densidade_hab_indL!AH53:AH55)</f>
        <v>0</v>
      </c>
      <c r="AI19" s="29">
        <f>AVERAGE(densidade_hab_indL!AI53:AI55)</f>
        <v>0</v>
      </c>
      <c r="AJ19" s="29">
        <f>AVERAGE(densidade_hab_indL!AJ53:AJ55)</f>
        <v>0</v>
      </c>
      <c r="AK19" s="29">
        <f>AVERAGE(densidade_hab_indL!AK53:AK55)</f>
        <v>0</v>
      </c>
      <c r="AL19" s="29">
        <f>AVERAGE(densidade_hab_indL!AL53:AL55)</f>
        <v>0</v>
      </c>
      <c r="AM19" s="29">
        <f>AVERAGE(densidade_hab_indL!AM53:AM55)</f>
        <v>0</v>
      </c>
      <c r="AN19" s="29">
        <f>AVERAGE(densidade_hab_indL!AN53:AN55)</f>
        <v>0</v>
      </c>
      <c r="AO19" s="29">
        <f>AVERAGE(densidade_hab_indL!AO53:AO55)</f>
        <v>0</v>
      </c>
      <c r="AP19" s="29">
        <f>AVERAGE(densidade_hab_indL!AP53:AP55)</f>
        <v>0</v>
      </c>
      <c r="AQ19" s="29">
        <f>AVERAGE(densidade_hab_indL!AQ53:AQ55)</f>
        <v>0</v>
      </c>
      <c r="AR19" s="29">
        <f>AVERAGE(densidade_hab_indL!AR53:AR55)</f>
        <v>0</v>
      </c>
      <c r="AS19" s="29">
        <f>AVERAGE(densidade_hab_indL!AS53:AS55)</f>
        <v>0</v>
      </c>
      <c r="AT19" s="29">
        <f>AVERAGE(densidade_hab_indL!AT53:AT55)</f>
        <v>0</v>
      </c>
      <c r="AU19" s="29">
        <f>AVERAGE(densidade_hab_indL!AU53:AU55)</f>
        <v>0</v>
      </c>
      <c r="AV19" s="29">
        <f>AVERAGE(densidade_hab_indL!AV53:AV55)</f>
        <v>0.06</v>
      </c>
      <c r="AW19" s="29">
        <f>AVERAGE(densidade_hab_indL!AW53:AW55)</f>
        <v>0</v>
      </c>
      <c r="AX19" s="29">
        <f>AVERAGE(densidade_hab_indL!AX53:AX55)</f>
        <v>6.6666666666666671E-3</v>
      </c>
      <c r="AY19" s="29">
        <f>AVERAGE(densidade_hab_indL!AY53:AY55)</f>
        <v>0</v>
      </c>
      <c r="AZ19" s="29">
        <f>AVERAGE(densidade_hab_indL!AZ53:AZ55)</f>
        <v>0</v>
      </c>
      <c r="BA19" s="29">
        <f>AVERAGE(densidade_hab_indL!BA53:BA55)</f>
        <v>0</v>
      </c>
      <c r="BB19" s="29">
        <f>AVERAGE(densidade_hab_indL!BB53:BB55)</f>
        <v>0</v>
      </c>
      <c r="BC19" s="29">
        <f>AVERAGE(densidade_hab_indL!BC53:BC55)</f>
        <v>0</v>
      </c>
      <c r="BD19" s="29">
        <f>AVERAGE(densidade_hab_indL!BD53:BD55)</f>
        <v>6.6666666666666671E-3</v>
      </c>
      <c r="BE19" s="29">
        <f>AVERAGE(densidade_hab_indL!BE53:BE55)</f>
        <v>0</v>
      </c>
      <c r="BF19" s="29">
        <f>AVERAGE(densidade_hab_indL!BF53:BF55)</f>
        <v>0</v>
      </c>
      <c r="BG19" s="29">
        <f>AVERAGE(densidade_hab_indL!BG53:BG55)</f>
        <v>0</v>
      </c>
    </row>
    <row r="20" spans="1:59" ht="12.75" customHeight="1" x14ac:dyDescent="0.25">
      <c r="A20" s="4" t="s">
        <v>323</v>
      </c>
      <c r="B20" s="29">
        <f>AVERAGE(densidade_hab_indL!B56:B58)</f>
        <v>1.3333333333333334E-2</v>
      </c>
      <c r="C20" s="29">
        <f>AVERAGE(densidade_hab_indL!C56:C58)</f>
        <v>0</v>
      </c>
      <c r="D20" s="29">
        <f>AVERAGE(densidade_hab_indL!D56:D58)</f>
        <v>0</v>
      </c>
      <c r="E20" s="29">
        <f>AVERAGE(densidade_hab_indL!E56:E58)</f>
        <v>1.5266666666666666</v>
      </c>
      <c r="F20" s="29">
        <f>AVERAGE(densidade_hab_indL!F56:F58)</f>
        <v>0</v>
      </c>
      <c r="G20" s="29">
        <f>AVERAGE(densidade_hab_indL!G56:G58)</f>
        <v>0</v>
      </c>
      <c r="H20" s="29">
        <f>AVERAGE(densidade_hab_indL!H56:H58)</f>
        <v>0</v>
      </c>
      <c r="I20" s="29">
        <f>AVERAGE(densidade_hab_indL!I56:I58)</f>
        <v>9.3333333333333338E-2</v>
      </c>
      <c r="J20" s="29">
        <f>AVERAGE(densidade_hab_indL!J56:J58)</f>
        <v>0</v>
      </c>
      <c r="K20" s="29">
        <f>AVERAGE(densidade_hab_indL!K56:K58)</f>
        <v>0</v>
      </c>
      <c r="L20" s="29">
        <f>AVERAGE(densidade_hab_indL!L56:L58)</f>
        <v>0</v>
      </c>
      <c r="M20" s="29">
        <f>AVERAGE(densidade_hab_indL!M56:M58)</f>
        <v>0</v>
      </c>
      <c r="N20" s="29">
        <f>AVERAGE(densidade_hab_indL!N56:N58)</f>
        <v>0</v>
      </c>
      <c r="O20" s="29">
        <f>AVERAGE(densidade_hab_indL!O56:O58)</f>
        <v>0</v>
      </c>
      <c r="P20" s="29">
        <f>AVERAGE(densidade_hab_indL!P56:P58)</f>
        <v>0</v>
      </c>
      <c r="Q20" s="29">
        <f>AVERAGE(densidade_hab_indL!Q56:Q58)</f>
        <v>0</v>
      </c>
      <c r="R20" s="29">
        <f>AVERAGE(densidade_hab_indL!R56:R58)</f>
        <v>0</v>
      </c>
      <c r="S20" s="29">
        <f>AVERAGE(densidade_hab_indL!S56:S58)</f>
        <v>0</v>
      </c>
      <c r="T20" s="29">
        <f>AVERAGE(densidade_hab_indL!T56:T58)</f>
        <v>0</v>
      </c>
      <c r="U20" s="29">
        <f>AVERAGE(densidade_hab_indL!U56:U58)</f>
        <v>0</v>
      </c>
      <c r="V20" s="29">
        <f>AVERAGE(densidade_hab_indL!V56:V58)</f>
        <v>0</v>
      </c>
      <c r="W20" s="29">
        <f>AVERAGE(densidade_hab_indL!W56:W58)</f>
        <v>0</v>
      </c>
      <c r="X20" s="29">
        <f>AVERAGE(densidade_hab_indL!X56:X58)</f>
        <v>0</v>
      </c>
      <c r="Y20" s="29">
        <f>AVERAGE(densidade_hab_indL!Y56:Y58)</f>
        <v>0</v>
      </c>
      <c r="Z20" s="29">
        <f>AVERAGE(densidade_hab_indL!Z56:Z58)</f>
        <v>0</v>
      </c>
      <c r="AA20" s="29">
        <f>AVERAGE(densidade_hab_indL!AA56:AA58)</f>
        <v>0</v>
      </c>
      <c r="AB20" s="29">
        <f>AVERAGE(densidade_hab_indL!AB56:AB58)</f>
        <v>0</v>
      </c>
      <c r="AC20" s="29">
        <f>AVERAGE(densidade_hab_indL!AC56:AC58)</f>
        <v>0</v>
      </c>
      <c r="AD20" s="29">
        <f>AVERAGE(densidade_hab_indL!AD56:AD58)</f>
        <v>0</v>
      </c>
      <c r="AE20" s="29">
        <f>AVERAGE(densidade_hab_indL!AE56:AE58)</f>
        <v>0</v>
      </c>
      <c r="AF20" s="29">
        <f>AVERAGE(densidade_hab_indL!AF56:AF58)</f>
        <v>0</v>
      </c>
      <c r="AG20" s="29">
        <f>AVERAGE(densidade_hab_indL!AG56:AG58)</f>
        <v>0</v>
      </c>
      <c r="AH20" s="29">
        <f>AVERAGE(densidade_hab_indL!AH56:AH58)</f>
        <v>0</v>
      </c>
      <c r="AI20" s="29">
        <f>AVERAGE(densidade_hab_indL!AI56:AI58)</f>
        <v>0</v>
      </c>
      <c r="AJ20" s="29">
        <f>AVERAGE(densidade_hab_indL!AJ56:AJ58)</f>
        <v>0</v>
      </c>
      <c r="AK20" s="29">
        <f>AVERAGE(densidade_hab_indL!AK56:AK58)</f>
        <v>0</v>
      </c>
      <c r="AL20" s="29">
        <f>AVERAGE(densidade_hab_indL!AL56:AL58)</f>
        <v>0</v>
      </c>
      <c r="AM20" s="29">
        <f>AVERAGE(densidade_hab_indL!AM56:AM58)</f>
        <v>0</v>
      </c>
      <c r="AN20" s="29">
        <f>AVERAGE(densidade_hab_indL!AN56:AN58)</f>
        <v>0</v>
      </c>
      <c r="AO20" s="29">
        <f>AVERAGE(densidade_hab_indL!AO56:AO58)</f>
        <v>0</v>
      </c>
      <c r="AP20" s="29">
        <f>AVERAGE(densidade_hab_indL!AP56:AP58)</f>
        <v>0</v>
      </c>
      <c r="AQ20" s="29">
        <f>AVERAGE(densidade_hab_indL!AQ56:AQ58)</f>
        <v>0</v>
      </c>
      <c r="AR20" s="29">
        <f>AVERAGE(densidade_hab_indL!AR56:AR58)</f>
        <v>0</v>
      </c>
      <c r="AS20" s="29">
        <f>AVERAGE(densidade_hab_indL!AS56:AS58)</f>
        <v>0</v>
      </c>
      <c r="AT20" s="29">
        <f>AVERAGE(densidade_hab_indL!AT56:AT58)</f>
        <v>0</v>
      </c>
      <c r="AU20" s="29">
        <f>AVERAGE(densidade_hab_indL!AU56:AU58)</f>
        <v>0</v>
      </c>
      <c r="AV20" s="29">
        <f>AVERAGE(densidade_hab_indL!AV56:AV58)</f>
        <v>0.13333333333333333</v>
      </c>
      <c r="AW20" s="29">
        <f>AVERAGE(densidade_hab_indL!AW56:AW58)</f>
        <v>0</v>
      </c>
      <c r="AX20" s="29">
        <f>AVERAGE(densidade_hab_indL!AX56:AX58)</f>
        <v>0</v>
      </c>
      <c r="AY20" s="29">
        <f>AVERAGE(densidade_hab_indL!AY56:AY58)</f>
        <v>0</v>
      </c>
      <c r="AZ20" s="29">
        <f>AVERAGE(densidade_hab_indL!AZ56:AZ58)</f>
        <v>0</v>
      </c>
      <c r="BA20" s="29">
        <f>AVERAGE(densidade_hab_indL!BA56:BA58)</f>
        <v>0</v>
      </c>
      <c r="BB20" s="29">
        <f>AVERAGE(densidade_hab_indL!BB56:BB58)</f>
        <v>0</v>
      </c>
      <c r="BC20" s="29">
        <f>AVERAGE(densidade_hab_indL!BC56:BC58)</f>
        <v>0</v>
      </c>
      <c r="BD20" s="29">
        <f>AVERAGE(densidade_hab_indL!BD56:BD58)</f>
        <v>0</v>
      </c>
      <c r="BE20" s="29">
        <f>AVERAGE(densidade_hab_indL!BE56:BE58)</f>
        <v>0</v>
      </c>
      <c r="BF20" s="29">
        <f>AVERAGE(densidade_hab_indL!BF56:BF58)</f>
        <v>0</v>
      </c>
      <c r="BG20" s="29">
        <f>AVERAGE(densidade_hab_indL!BG56:BG58)</f>
        <v>0</v>
      </c>
    </row>
    <row r="21" spans="1:59" ht="12.75" customHeight="1" x14ac:dyDescent="0.25">
      <c r="A21" s="4" t="s">
        <v>324</v>
      </c>
      <c r="B21" s="29">
        <f>AVERAGE(densidade_hab_indL!B59:B61)</f>
        <v>5.2866666666666662</v>
      </c>
      <c r="C21" s="29">
        <f>AVERAGE(densidade_hab_indL!C59:C61)</f>
        <v>1.0533333333333335</v>
      </c>
      <c r="D21" s="29">
        <f>AVERAGE(densidade_hab_indL!D59:D61)</f>
        <v>0.37999999999999995</v>
      </c>
      <c r="E21" s="29">
        <f>AVERAGE(densidade_hab_indL!E59:E61)</f>
        <v>3.4</v>
      </c>
      <c r="F21" s="29">
        <f>AVERAGE(densidade_hab_indL!F59:F61)</f>
        <v>6.6666666666666671E-3</v>
      </c>
      <c r="G21" s="29">
        <f>AVERAGE(densidade_hab_indL!G59:G61)</f>
        <v>0</v>
      </c>
      <c r="H21" s="29">
        <f>AVERAGE(densidade_hab_indL!H59:H61)</f>
        <v>0</v>
      </c>
      <c r="I21" s="29">
        <f>AVERAGE(densidade_hab_indL!I59:I61)</f>
        <v>12.146666666666668</v>
      </c>
      <c r="J21" s="29">
        <f>AVERAGE(densidade_hab_indL!J59:J61)</f>
        <v>3.1933333333333334</v>
      </c>
      <c r="K21" s="29">
        <f>AVERAGE(densidade_hab_indL!K59:K61)</f>
        <v>0</v>
      </c>
      <c r="L21" s="29">
        <f>AVERAGE(densidade_hab_indL!L59:L61)</f>
        <v>9.3333333333333338E-2</v>
      </c>
      <c r="M21" s="29">
        <f>AVERAGE(densidade_hab_indL!M59:M61)</f>
        <v>0</v>
      </c>
      <c r="N21" s="29">
        <f>AVERAGE(densidade_hab_indL!N59:N61)</f>
        <v>0</v>
      </c>
      <c r="O21" s="29">
        <f>AVERAGE(densidade_hab_indL!O59:O61)</f>
        <v>0</v>
      </c>
      <c r="P21" s="29">
        <f>AVERAGE(densidade_hab_indL!P59:P61)</f>
        <v>0</v>
      </c>
      <c r="Q21" s="29">
        <f>AVERAGE(densidade_hab_indL!Q59:Q61)</f>
        <v>6.6666666666666671E-3</v>
      </c>
      <c r="R21" s="29">
        <f>AVERAGE(densidade_hab_indL!R59:R61)</f>
        <v>0</v>
      </c>
      <c r="S21" s="29">
        <f>AVERAGE(densidade_hab_indL!S59:S61)</f>
        <v>4.6666666666666662E-2</v>
      </c>
      <c r="T21" s="29">
        <f>AVERAGE(densidade_hab_indL!T59:T61)</f>
        <v>2.6666666666666668E-2</v>
      </c>
      <c r="U21" s="29">
        <f>AVERAGE(densidade_hab_indL!U59:U61)</f>
        <v>0</v>
      </c>
      <c r="V21" s="29">
        <f>AVERAGE(densidade_hab_indL!V59:V61)</f>
        <v>6.6666666666666671E-3</v>
      </c>
      <c r="W21" s="29">
        <f>AVERAGE(densidade_hab_indL!W59:W61)</f>
        <v>0</v>
      </c>
      <c r="X21" s="29">
        <f>AVERAGE(densidade_hab_indL!X59:X61)</f>
        <v>0</v>
      </c>
      <c r="Y21" s="29">
        <f>AVERAGE(densidade_hab_indL!Y59:Y61)</f>
        <v>0.49333333333333335</v>
      </c>
      <c r="Z21" s="29">
        <f>AVERAGE(densidade_hab_indL!Z59:Z61)</f>
        <v>1.3333333333333334E-2</v>
      </c>
      <c r="AA21" s="29">
        <f>AVERAGE(densidade_hab_indL!AA59:AA61)</f>
        <v>1.3333333333333334E-2</v>
      </c>
      <c r="AB21" s="29">
        <f>AVERAGE(densidade_hab_indL!AB59:AB61)</f>
        <v>0</v>
      </c>
      <c r="AC21" s="29">
        <f>AVERAGE(densidade_hab_indL!AC59:AC61)</f>
        <v>0</v>
      </c>
      <c r="AD21" s="29">
        <f>AVERAGE(densidade_hab_indL!AD59:AD61)</f>
        <v>0</v>
      </c>
      <c r="AE21" s="29">
        <f>AVERAGE(densidade_hab_indL!AE59:AE61)</f>
        <v>0</v>
      </c>
      <c r="AF21" s="29">
        <f>AVERAGE(densidade_hab_indL!AF59:AF61)</f>
        <v>0</v>
      </c>
      <c r="AG21" s="29">
        <f>AVERAGE(densidade_hab_indL!AG59:AG61)</f>
        <v>0</v>
      </c>
      <c r="AH21" s="29">
        <f>AVERAGE(densidade_hab_indL!AH59:AH61)</f>
        <v>0</v>
      </c>
      <c r="AI21" s="29">
        <f>AVERAGE(densidade_hab_indL!AI59:AI61)</f>
        <v>0</v>
      </c>
      <c r="AJ21" s="29">
        <f>AVERAGE(densidade_hab_indL!AJ59:AJ61)</f>
        <v>3.3333333333333333E-2</v>
      </c>
      <c r="AK21" s="29">
        <f>AVERAGE(densidade_hab_indL!AK59:AK61)</f>
        <v>0.02</v>
      </c>
      <c r="AL21" s="29">
        <f>AVERAGE(densidade_hab_indL!AL59:AL61)</f>
        <v>0.57999999999999996</v>
      </c>
      <c r="AM21" s="29">
        <f>AVERAGE(densidade_hab_indL!AM59:AM61)</f>
        <v>0.15333333333333335</v>
      </c>
      <c r="AN21" s="29">
        <f>AVERAGE(densidade_hab_indL!AN59:AN61)</f>
        <v>0.16666666666666666</v>
      </c>
      <c r="AO21" s="29">
        <f>AVERAGE(densidade_hab_indL!AO59:AO61)</f>
        <v>0.02</v>
      </c>
      <c r="AP21" s="29">
        <f>AVERAGE(densidade_hab_indL!AP59:AP61)</f>
        <v>0.22666666666666666</v>
      </c>
      <c r="AQ21" s="29">
        <f>AVERAGE(densidade_hab_indL!AQ59:AQ61)</f>
        <v>0.08</v>
      </c>
      <c r="AR21" s="29">
        <f>AVERAGE(densidade_hab_indL!AR59:AR61)</f>
        <v>2.6666666666666668E-2</v>
      </c>
      <c r="AS21" s="29">
        <f>AVERAGE(densidade_hab_indL!AS59:AS61)</f>
        <v>0</v>
      </c>
      <c r="AT21" s="29">
        <f>AVERAGE(densidade_hab_indL!AT59:AT61)</f>
        <v>0</v>
      </c>
      <c r="AU21" s="29">
        <f>AVERAGE(densidade_hab_indL!AU59:AU61)</f>
        <v>0</v>
      </c>
      <c r="AV21" s="29">
        <f>AVERAGE(densidade_hab_indL!AV59:AV61)</f>
        <v>3.1666666666666665</v>
      </c>
      <c r="AW21" s="29">
        <f>AVERAGE(densidade_hab_indL!AW59:AW61)</f>
        <v>0</v>
      </c>
      <c r="AX21" s="29">
        <f>AVERAGE(densidade_hab_indL!AX59:AX61)</f>
        <v>0.7466666666666667</v>
      </c>
      <c r="AY21" s="29">
        <f>AVERAGE(densidade_hab_indL!AY59:AY61)</f>
        <v>0</v>
      </c>
      <c r="AZ21" s="29">
        <f>AVERAGE(densidade_hab_indL!AZ59:AZ61)</f>
        <v>0</v>
      </c>
      <c r="BA21" s="29">
        <f>AVERAGE(densidade_hab_indL!BA59:BA61)</f>
        <v>6.6666666666666671E-3</v>
      </c>
      <c r="BB21" s="29">
        <f>AVERAGE(densidade_hab_indL!BB59:BB61)</f>
        <v>0</v>
      </c>
      <c r="BC21" s="29">
        <f>AVERAGE(densidade_hab_indL!BC59:BC61)</f>
        <v>6.6666666666666671E-3</v>
      </c>
      <c r="BD21" s="29">
        <f>AVERAGE(densidade_hab_indL!BD59:BD61)</f>
        <v>0</v>
      </c>
      <c r="BE21" s="29">
        <f>AVERAGE(densidade_hab_indL!BE59:BE61)</f>
        <v>0</v>
      </c>
      <c r="BF21" s="29">
        <f>AVERAGE(densidade_hab_indL!BF59:BF61)</f>
        <v>0</v>
      </c>
      <c r="BG21" s="29">
        <f>AVERAGE(densidade_hab_indL!BG59:BG61)</f>
        <v>0</v>
      </c>
    </row>
    <row r="22" spans="1:59" ht="12.75" customHeight="1" x14ac:dyDescent="0.25">
      <c r="A22" s="4" t="s">
        <v>325</v>
      </c>
      <c r="B22" s="29">
        <f>AVERAGE(densidade_hab_indL!B62:B64)</f>
        <v>1.3333333333333334E-2</v>
      </c>
      <c r="C22" s="29">
        <f>AVERAGE(densidade_hab_indL!C62:C64)</f>
        <v>1.3333333333333334E-2</v>
      </c>
      <c r="D22" s="29">
        <f>AVERAGE(densidade_hab_indL!D62:D64)</f>
        <v>0</v>
      </c>
      <c r="E22" s="29">
        <f>AVERAGE(densidade_hab_indL!E62:E64)</f>
        <v>2.0066666666666664</v>
      </c>
      <c r="F22" s="29">
        <f>AVERAGE(densidade_hab_indL!F62:F64)</f>
        <v>0</v>
      </c>
      <c r="G22" s="29">
        <f>AVERAGE(densidade_hab_indL!G62:G64)</f>
        <v>0</v>
      </c>
      <c r="H22" s="29">
        <f>AVERAGE(densidade_hab_indL!H62:H64)</f>
        <v>0</v>
      </c>
      <c r="I22" s="29">
        <f>AVERAGE(densidade_hab_indL!I62:I64)</f>
        <v>0</v>
      </c>
      <c r="J22" s="29">
        <f>AVERAGE(densidade_hab_indL!J62:J64)</f>
        <v>0</v>
      </c>
      <c r="K22" s="29">
        <f>AVERAGE(densidade_hab_indL!K62:K64)</f>
        <v>0</v>
      </c>
      <c r="L22" s="29">
        <f>AVERAGE(densidade_hab_indL!L62:L64)</f>
        <v>0</v>
      </c>
      <c r="M22" s="29">
        <f>AVERAGE(densidade_hab_indL!M62:M64)</f>
        <v>0</v>
      </c>
      <c r="N22" s="29">
        <f>AVERAGE(densidade_hab_indL!N62:N64)</f>
        <v>0</v>
      </c>
      <c r="O22" s="29">
        <f>AVERAGE(densidade_hab_indL!O62:O64)</f>
        <v>0</v>
      </c>
      <c r="P22" s="29">
        <f>AVERAGE(densidade_hab_indL!P62:P64)</f>
        <v>0</v>
      </c>
      <c r="Q22" s="29">
        <f>AVERAGE(densidade_hab_indL!Q62:Q64)</f>
        <v>0</v>
      </c>
      <c r="R22" s="29">
        <f>AVERAGE(densidade_hab_indL!R62:R64)</f>
        <v>0</v>
      </c>
      <c r="S22" s="29">
        <f>AVERAGE(densidade_hab_indL!S62:S64)</f>
        <v>1.3333333333333334E-2</v>
      </c>
      <c r="T22" s="29">
        <f>AVERAGE(densidade_hab_indL!T62:T64)</f>
        <v>0</v>
      </c>
      <c r="U22" s="29">
        <f>AVERAGE(densidade_hab_indL!U62:U64)</f>
        <v>0</v>
      </c>
      <c r="V22" s="29">
        <f>AVERAGE(densidade_hab_indL!V62:V64)</f>
        <v>0</v>
      </c>
      <c r="W22" s="29">
        <f>AVERAGE(densidade_hab_indL!W62:W64)</f>
        <v>0</v>
      </c>
      <c r="X22" s="29">
        <f>AVERAGE(densidade_hab_indL!X62:X64)</f>
        <v>0</v>
      </c>
      <c r="Y22" s="29">
        <f>AVERAGE(densidade_hab_indL!Y62:Y64)</f>
        <v>6.6666666666666671E-3</v>
      </c>
      <c r="Z22" s="29">
        <f>AVERAGE(densidade_hab_indL!Z62:Z64)</f>
        <v>0</v>
      </c>
      <c r="AA22" s="29">
        <f>AVERAGE(densidade_hab_indL!AA62:AA64)</f>
        <v>0</v>
      </c>
      <c r="AB22" s="29">
        <f>AVERAGE(densidade_hab_indL!AB62:AB64)</f>
        <v>0</v>
      </c>
      <c r="AC22" s="29">
        <f>AVERAGE(densidade_hab_indL!AC62:AC64)</f>
        <v>0</v>
      </c>
      <c r="AD22" s="29">
        <f>AVERAGE(densidade_hab_indL!AD62:AD64)</f>
        <v>0</v>
      </c>
      <c r="AE22" s="29">
        <f>AVERAGE(densidade_hab_indL!AE62:AE64)</f>
        <v>0</v>
      </c>
      <c r="AF22" s="29">
        <f>AVERAGE(densidade_hab_indL!AF62:AF64)</f>
        <v>0</v>
      </c>
      <c r="AG22" s="29">
        <f>AVERAGE(densidade_hab_indL!AG62:AG64)</f>
        <v>0</v>
      </c>
      <c r="AH22" s="29">
        <f>AVERAGE(densidade_hab_indL!AH62:AH64)</f>
        <v>0</v>
      </c>
      <c r="AI22" s="29">
        <f>AVERAGE(densidade_hab_indL!AI62:AI64)</f>
        <v>0</v>
      </c>
      <c r="AJ22" s="29">
        <f>AVERAGE(densidade_hab_indL!AJ62:AJ64)</f>
        <v>0</v>
      </c>
      <c r="AK22" s="29">
        <f>AVERAGE(densidade_hab_indL!AK62:AK64)</f>
        <v>0</v>
      </c>
      <c r="AL22" s="29">
        <f>AVERAGE(densidade_hab_indL!AL62:AL64)</f>
        <v>0</v>
      </c>
      <c r="AM22" s="29">
        <f>AVERAGE(densidade_hab_indL!AM62:AM64)</f>
        <v>0</v>
      </c>
      <c r="AN22" s="29">
        <f>AVERAGE(densidade_hab_indL!AN62:AN64)</f>
        <v>0</v>
      </c>
      <c r="AO22" s="29">
        <f>AVERAGE(densidade_hab_indL!AO62:AO64)</f>
        <v>0</v>
      </c>
      <c r="AP22" s="29">
        <f>AVERAGE(densidade_hab_indL!AP62:AP64)</f>
        <v>0</v>
      </c>
      <c r="AQ22" s="29">
        <f>AVERAGE(densidade_hab_indL!AQ62:AQ64)</f>
        <v>0</v>
      </c>
      <c r="AR22" s="29">
        <f>AVERAGE(densidade_hab_indL!AR62:AR64)</f>
        <v>0</v>
      </c>
      <c r="AS22" s="29">
        <f>AVERAGE(densidade_hab_indL!AS62:AS64)</f>
        <v>0</v>
      </c>
      <c r="AT22" s="29">
        <f>AVERAGE(densidade_hab_indL!AT62:AT64)</f>
        <v>0</v>
      </c>
      <c r="AU22" s="29">
        <f>AVERAGE(densidade_hab_indL!AU62:AU64)</f>
        <v>0</v>
      </c>
      <c r="AV22" s="29">
        <f>AVERAGE(densidade_hab_indL!AV62:AV64)</f>
        <v>3.3333333333333333E-2</v>
      </c>
      <c r="AW22" s="29">
        <f>AVERAGE(densidade_hab_indL!AW62:AW64)</f>
        <v>0</v>
      </c>
      <c r="AX22" s="29">
        <f>AVERAGE(densidade_hab_indL!AX62:AX64)</f>
        <v>0</v>
      </c>
      <c r="AY22" s="29">
        <f>AVERAGE(densidade_hab_indL!AY62:AY64)</f>
        <v>0.02</v>
      </c>
      <c r="AZ22" s="29">
        <f>AVERAGE(densidade_hab_indL!AZ62:AZ64)</f>
        <v>0</v>
      </c>
      <c r="BA22" s="29">
        <f>AVERAGE(densidade_hab_indL!BA62:BA64)</f>
        <v>0</v>
      </c>
      <c r="BB22" s="29">
        <f>AVERAGE(densidade_hab_indL!BB62:BB64)</f>
        <v>0</v>
      </c>
      <c r="BC22" s="29">
        <f>AVERAGE(densidade_hab_indL!BC62:BC64)</f>
        <v>0</v>
      </c>
      <c r="BD22" s="29">
        <f>AVERAGE(densidade_hab_indL!BD62:BD64)</f>
        <v>6.6666666666666671E-3</v>
      </c>
      <c r="BE22" s="29">
        <f>AVERAGE(densidade_hab_indL!BE62:BE64)</f>
        <v>0</v>
      </c>
      <c r="BF22" s="29">
        <f>AVERAGE(densidade_hab_indL!BF62:BF64)</f>
        <v>0</v>
      </c>
      <c r="BG22" s="29">
        <f>AVERAGE(densidade_hab_indL!BG62:BG64)</f>
        <v>0</v>
      </c>
    </row>
    <row r="23" spans="1:59" ht="12.75" customHeight="1" x14ac:dyDescent="0.25">
      <c r="A23" s="4" t="s">
        <v>326</v>
      </c>
      <c r="B23" s="29">
        <f>AVERAGE(densidade_hab_indL!B65:B67)</f>
        <v>0.36000000000000004</v>
      </c>
      <c r="C23" s="29">
        <f>AVERAGE(densidade_hab_indL!C65:C67)</f>
        <v>0.06</v>
      </c>
      <c r="D23" s="29">
        <f>AVERAGE(densidade_hab_indL!D65:D67)</f>
        <v>4.6666666666666669E-2</v>
      </c>
      <c r="E23" s="29">
        <f>AVERAGE(densidade_hab_indL!E65:E67)</f>
        <v>2.94</v>
      </c>
      <c r="F23" s="29">
        <f>AVERAGE(densidade_hab_indL!F65:F67)</f>
        <v>1.3333333333333334E-2</v>
      </c>
      <c r="G23" s="29">
        <f>AVERAGE(densidade_hab_indL!G65:G67)</f>
        <v>5.3333333333333337E-2</v>
      </c>
      <c r="H23" s="29">
        <f>AVERAGE(densidade_hab_indL!H65:H67)</f>
        <v>0</v>
      </c>
      <c r="I23" s="29">
        <f>AVERAGE(densidade_hab_indL!I65:I67)</f>
        <v>0.53333333333333333</v>
      </c>
      <c r="J23" s="29">
        <f>AVERAGE(densidade_hab_indL!J65:J67)</f>
        <v>0.16</v>
      </c>
      <c r="K23" s="29">
        <f>AVERAGE(densidade_hab_indL!K65:K67)</f>
        <v>0</v>
      </c>
      <c r="L23" s="29">
        <f>AVERAGE(densidade_hab_indL!L65:L67)</f>
        <v>6.6666666666666666E-2</v>
      </c>
      <c r="M23" s="29">
        <f>AVERAGE(densidade_hab_indL!M65:M67)</f>
        <v>0</v>
      </c>
      <c r="N23" s="29">
        <f>AVERAGE(densidade_hab_indL!N65:N67)</f>
        <v>0</v>
      </c>
      <c r="O23" s="29">
        <f>AVERAGE(densidade_hab_indL!O65:O67)</f>
        <v>0</v>
      </c>
      <c r="P23" s="29">
        <f>AVERAGE(densidade_hab_indL!P65:P67)</f>
        <v>0</v>
      </c>
      <c r="Q23" s="29">
        <f>AVERAGE(densidade_hab_indL!Q65:Q67)</f>
        <v>0.10000000000000002</v>
      </c>
      <c r="R23" s="29">
        <f>AVERAGE(densidade_hab_indL!R65:R67)</f>
        <v>0</v>
      </c>
      <c r="S23" s="29">
        <f>AVERAGE(densidade_hab_indL!S65:S67)</f>
        <v>0</v>
      </c>
      <c r="T23" s="29">
        <f>AVERAGE(densidade_hab_indL!T65:T67)</f>
        <v>0</v>
      </c>
      <c r="U23" s="29">
        <f>AVERAGE(densidade_hab_indL!U65:U67)</f>
        <v>6.6666666666666671E-3</v>
      </c>
      <c r="V23" s="29">
        <f>AVERAGE(densidade_hab_indL!V65:V67)</f>
        <v>2.6666666666666668E-2</v>
      </c>
      <c r="W23" s="29">
        <f>AVERAGE(densidade_hab_indL!W65:W67)</f>
        <v>0</v>
      </c>
      <c r="X23" s="29">
        <f>AVERAGE(densidade_hab_indL!X65:X67)</f>
        <v>0</v>
      </c>
      <c r="Y23" s="29">
        <f>AVERAGE(densidade_hab_indL!Y65:Y67)</f>
        <v>0.04</v>
      </c>
      <c r="Z23" s="29">
        <f>AVERAGE(densidade_hab_indL!Z65:Z67)</f>
        <v>0.02</v>
      </c>
      <c r="AA23" s="29">
        <f>AVERAGE(densidade_hab_indL!AA65:AA67)</f>
        <v>1.3333333333333334E-2</v>
      </c>
      <c r="AB23" s="29">
        <f>AVERAGE(densidade_hab_indL!AB65:AB67)</f>
        <v>0</v>
      </c>
      <c r="AC23" s="29">
        <f>AVERAGE(densidade_hab_indL!AC65:AC67)</f>
        <v>0</v>
      </c>
      <c r="AD23" s="29">
        <f>AVERAGE(densidade_hab_indL!AD65:AD67)</f>
        <v>0</v>
      </c>
      <c r="AE23" s="29">
        <f>AVERAGE(densidade_hab_indL!AE65:AE67)</f>
        <v>0</v>
      </c>
      <c r="AF23" s="29">
        <f>AVERAGE(densidade_hab_indL!AF65:AF67)</f>
        <v>0</v>
      </c>
      <c r="AG23" s="29">
        <f>AVERAGE(densidade_hab_indL!AG65:AG67)</f>
        <v>0</v>
      </c>
      <c r="AH23" s="29">
        <f>AVERAGE(densidade_hab_indL!AH65:AH67)</f>
        <v>0</v>
      </c>
      <c r="AI23" s="29">
        <f>AVERAGE(densidade_hab_indL!AI65:AI67)</f>
        <v>0</v>
      </c>
      <c r="AJ23" s="29">
        <f>AVERAGE(densidade_hab_indL!AJ65:AJ67)</f>
        <v>0</v>
      </c>
      <c r="AK23" s="29">
        <f>AVERAGE(densidade_hab_indL!AK65:AK67)</f>
        <v>0</v>
      </c>
      <c r="AL23" s="29">
        <f>AVERAGE(densidade_hab_indL!AL65:AL67)</f>
        <v>3.3333333333333333E-2</v>
      </c>
      <c r="AM23" s="29">
        <f>AVERAGE(densidade_hab_indL!AM65:AM67)</f>
        <v>0</v>
      </c>
      <c r="AN23" s="29">
        <f>AVERAGE(densidade_hab_indL!AN65:AN67)</f>
        <v>0</v>
      </c>
      <c r="AO23" s="29">
        <f>AVERAGE(densidade_hab_indL!AO65:AO67)</f>
        <v>0</v>
      </c>
      <c r="AP23" s="29">
        <f>AVERAGE(densidade_hab_indL!AP65:AP67)</f>
        <v>0</v>
      </c>
      <c r="AQ23" s="29">
        <f>AVERAGE(densidade_hab_indL!AQ65:AQ67)</f>
        <v>0</v>
      </c>
      <c r="AR23" s="29">
        <f>AVERAGE(densidade_hab_indL!AR65:AR67)</f>
        <v>0</v>
      </c>
      <c r="AS23" s="29">
        <f>AVERAGE(densidade_hab_indL!AS65:AS67)</f>
        <v>0</v>
      </c>
      <c r="AT23" s="29">
        <f>AVERAGE(densidade_hab_indL!AT65:AT67)</f>
        <v>0</v>
      </c>
      <c r="AU23" s="29">
        <f>AVERAGE(densidade_hab_indL!AU65:AU67)</f>
        <v>0</v>
      </c>
      <c r="AV23" s="29">
        <f>AVERAGE(densidade_hab_indL!AV65:AV67)</f>
        <v>0.76000000000000012</v>
      </c>
      <c r="AW23" s="29">
        <f>AVERAGE(densidade_hab_indL!AW65:AW67)</f>
        <v>0</v>
      </c>
      <c r="AX23" s="29">
        <f>AVERAGE(densidade_hab_indL!AX65:AX67)</f>
        <v>6.6666666666666671E-3</v>
      </c>
      <c r="AY23" s="29">
        <f>AVERAGE(densidade_hab_indL!AY65:AY67)</f>
        <v>1.1533333333333333</v>
      </c>
      <c r="AZ23" s="29">
        <f>AVERAGE(densidade_hab_indL!AZ65:AZ67)</f>
        <v>0</v>
      </c>
      <c r="BA23" s="29">
        <f>AVERAGE(densidade_hab_indL!BA65:BA67)</f>
        <v>0</v>
      </c>
      <c r="BB23" s="29">
        <f>AVERAGE(densidade_hab_indL!BB65:BB67)</f>
        <v>0</v>
      </c>
      <c r="BC23" s="29">
        <f>AVERAGE(densidade_hab_indL!BC65:BC67)</f>
        <v>0</v>
      </c>
      <c r="BD23" s="29">
        <f>AVERAGE(densidade_hab_indL!BD65:BD67)</f>
        <v>6.6666666666666671E-3</v>
      </c>
      <c r="BE23" s="29">
        <f>AVERAGE(densidade_hab_indL!BE65:BE67)</f>
        <v>0</v>
      </c>
      <c r="BF23" s="29">
        <f>AVERAGE(densidade_hab_indL!BF65:BF67)</f>
        <v>6.6666666666666671E-3</v>
      </c>
      <c r="BG23" s="29">
        <f>AVERAGE(densidade_hab_indL!BG65:BG67)</f>
        <v>0</v>
      </c>
    </row>
    <row r="24" spans="1:59" ht="12.75" customHeight="1" x14ac:dyDescent="0.25">
      <c r="A24" s="4" t="s">
        <v>327</v>
      </c>
      <c r="B24" s="28" t="s">
        <v>304</v>
      </c>
      <c r="C24" s="28" t="s">
        <v>304</v>
      </c>
      <c r="D24" s="28" t="s">
        <v>304</v>
      </c>
      <c r="E24" s="28" t="s">
        <v>304</v>
      </c>
      <c r="F24" s="28" t="s">
        <v>304</v>
      </c>
      <c r="G24" s="28" t="s">
        <v>304</v>
      </c>
      <c r="H24" s="28" t="s">
        <v>304</v>
      </c>
      <c r="I24" s="28" t="s">
        <v>304</v>
      </c>
      <c r="J24" s="28" t="s">
        <v>304</v>
      </c>
      <c r="K24" s="28" t="s">
        <v>304</v>
      </c>
      <c r="L24" s="28" t="s">
        <v>304</v>
      </c>
      <c r="M24" s="28" t="s">
        <v>304</v>
      </c>
      <c r="N24" s="28" t="s">
        <v>304</v>
      </c>
      <c r="O24" s="28" t="s">
        <v>304</v>
      </c>
      <c r="P24" s="28" t="s">
        <v>304</v>
      </c>
      <c r="Q24" s="28" t="s">
        <v>304</v>
      </c>
      <c r="R24" s="28" t="s">
        <v>304</v>
      </c>
      <c r="S24" s="28" t="s">
        <v>304</v>
      </c>
      <c r="T24" s="28" t="s">
        <v>304</v>
      </c>
      <c r="U24" s="28" t="s">
        <v>304</v>
      </c>
      <c r="V24" s="28" t="s">
        <v>304</v>
      </c>
      <c r="W24" s="28" t="s">
        <v>304</v>
      </c>
      <c r="X24" s="28" t="s">
        <v>304</v>
      </c>
      <c r="Y24" s="28" t="s">
        <v>304</v>
      </c>
      <c r="Z24" s="28" t="s">
        <v>304</v>
      </c>
      <c r="AA24" s="28" t="s">
        <v>304</v>
      </c>
      <c r="AB24" s="28" t="s">
        <v>304</v>
      </c>
      <c r="AC24" s="28" t="s">
        <v>304</v>
      </c>
      <c r="AD24" s="28" t="s">
        <v>304</v>
      </c>
      <c r="AE24" s="28" t="s">
        <v>304</v>
      </c>
      <c r="AF24" s="28" t="s">
        <v>304</v>
      </c>
      <c r="AG24" s="28" t="s">
        <v>304</v>
      </c>
      <c r="AH24" s="28" t="s">
        <v>304</v>
      </c>
      <c r="AI24" s="28" t="s">
        <v>304</v>
      </c>
      <c r="AJ24" s="28" t="s">
        <v>304</v>
      </c>
      <c r="AK24" s="28" t="s">
        <v>304</v>
      </c>
      <c r="AL24" s="28" t="s">
        <v>304</v>
      </c>
      <c r="AM24" s="28" t="s">
        <v>304</v>
      </c>
      <c r="AN24" s="28" t="s">
        <v>304</v>
      </c>
      <c r="AO24" s="28" t="s">
        <v>304</v>
      </c>
      <c r="AP24" s="28" t="s">
        <v>304</v>
      </c>
      <c r="AQ24" s="28" t="s">
        <v>304</v>
      </c>
      <c r="AR24" s="28" t="s">
        <v>304</v>
      </c>
      <c r="AS24" s="28" t="s">
        <v>304</v>
      </c>
      <c r="AT24" s="28" t="s">
        <v>304</v>
      </c>
      <c r="AU24" s="28" t="s">
        <v>304</v>
      </c>
      <c r="AV24" s="28" t="s">
        <v>304</v>
      </c>
      <c r="AW24" s="28" t="s">
        <v>304</v>
      </c>
      <c r="AX24" s="28" t="s">
        <v>304</v>
      </c>
      <c r="AY24" s="28" t="s">
        <v>304</v>
      </c>
      <c r="AZ24" s="28" t="s">
        <v>304</v>
      </c>
      <c r="BA24" s="28" t="s">
        <v>304</v>
      </c>
      <c r="BB24" s="28" t="s">
        <v>304</v>
      </c>
      <c r="BC24" s="28" t="s">
        <v>304</v>
      </c>
      <c r="BD24" s="28" t="s">
        <v>304</v>
      </c>
      <c r="BE24" s="28" t="s">
        <v>304</v>
      </c>
      <c r="BF24" s="28" t="s">
        <v>304</v>
      </c>
      <c r="BG24" s="28" t="s">
        <v>304</v>
      </c>
    </row>
    <row r="25" spans="1:59" ht="12.75" customHeight="1" x14ac:dyDescent="0.25">
      <c r="A25" s="4" t="s">
        <v>328</v>
      </c>
      <c r="B25" s="29">
        <f>AVERAGE(densidade_hab_indL!B71:B73)</f>
        <v>6.6666666666666666E-2</v>
      </c>
      <c r="C25" s="29">
        <f>AVERAGE(densidade_hab_indL!C71:C73)</f>
        <v>0</v>
      </c>
      <c r="D25" s="29">
        <f>AVERAGE(densidade_hab_indL!D71:D73)</f>
        <v>0</v>
      </c>
      <c r="E25" s="29">
        <f>AVERAGE(densidade_hab_indL!E71:E73)</f>
        <v>3.3200000000000003</v>
      </c>
      <c r="F25" s="29">
        <f>AVERAGE(densidade_hab_indL!F71:F73)</f>
        <v>0</v>
      </c>
      <c r="G25" s="29">
        <f>AVERAGE(densidade_hab_indL!G71:G73)</f>
        <v>0</v>
      </c>
      <c r="H25" s="29">
        <f>AVERAGE(densidade_hab_indL!H71:H73)</f>
        <v>0</v>
      </c>
      <c r="I25" s="29">
        <f>AVERAGE(densidade_hab_indL!I71:I73)</f>
        <v>0.11333333333333334</v>
      </c>
      <c r="J25" s="29">
        <f>AVERAGE(densidade_hab_indL!J71:J73)</f>
        <v>0</v>
      </c>
      <c r="K25" s="29">
        <f>AVERAGE(densidade_hab_indL!K71:K73)</f>
        <v>0</v>
      </c>
      <c r="L25" s="29">
        <f>AVERAGE(densidade_hab_indL!L71:L73)</f>
        <v>0</v>
      </c>
      <c r="M25" s="29">
        <f>AVERAGE(densidade_hab_indL!M71:M73)</f>
        <v>0</v>
      </c>
      <c r="N25" s="29">
        <f>AVERAGE(densidade_hab_indL!N71:N73)</f>
        <v>0</v>
      </c>
      <c r="O25" s="29">
        <f>AVERAGE(densidade_hab_indL!O71:O73)</f>
        <v>0</v>
      </c>
      <c r="P25" s="29">
        <f>AVERAGE(densidade_hab_indL!P71:P73)</f>
        <v>0</v>
      </c>
      <c r="Q25" s="29">
        <f>AVERAGE(densidade_hab_indL!Q71:Q73)</f>
        <v>0</v>
      </c>
      <c r="R25" s="29">
        <f>AVERAGE(densidade_hab_indL!R71:R73)</f>
        <v>0</v>
      </c>
      <c r="S25" s="29">
        <f>AVERAGE(densidade_hab_indL!S71:S73)</f>
        <v>6.6666666666666671E-3</v>
      </c>
      <c r="T25" s="29">
        <f>AVERAGE(densidade_hab_indL!T71:T73)</f>
        <v>0</v>
      </c>
      <c r="U25" s="29">
        <f>AVERAGE(densidade_hab_indL!U71:U73)</f>
        <v>0</v>
      </c>
      <c r="V25" s="29">
        <f>AVERAGE(densidade_hab_indL!V71:V73)</f>
        <v>0</v>
      </c>
      <c r="W25" s="29">
        <f>AVERAGE(densidade_hab_indL!W71:W73)</f>
        <v>0</v>
      </c>
      <c r="X25" s="29">
        <f>AVERAGE(densidade_hab_indL!X71:X73)</f>
        <v>0</v>
      </c>
      <c r="Y25" s="29">
        <f>AVERAGE(densidade_hab_indL!Y71:Y73)</f>
        <v>0</v>
      </c>
      <c r="Z25" s="29">
        <f>AVERAGE(densidade_hab_indL!Z71:Z73)</f>
        <v>0.02</v>
      </c>
      <c r="AA25" s="29">
        <f>AVERAGE(densidade_hab_indL!AA71:AA73)</f>
        <v>2.6666666666666668E-2</v>
      </c>
      <c r="AB25" s="29">
        <f>AVERAGE(densidade_hab_indL!AB71:AB73)</f>
        <v>0</v>
      </c>
      <c r="AC25" s="29">
        <f>AVERAGE(densidade_hab_indL!AC71:AC73)</f>
        <v>0</v>
      </c>
      <c r="AD25" s="29">
        <f>AVERAGE(densidade_hab_indL!AD71:AD73)</f>
        <v>0</v>
      </c>
      <c r="AE25" s="29">
        <f>AVERAGE(densidade_hab_indL!AE71:AE73)</f>
        <v>0</v>
      </c>
      <c r="AF25" s="29">
        <f>AVERAGE(densidade_hab_indL!AF71:AF73)</f>
        <v>0</v>
      </c>
      <c r="AG25" s="29">
        <f>AVERAGE(densidade_hab_indL!AG71:AG73)</f>
        <v>0</v>
      </c>
      <c r="AH25" s="29">
        <f>AVERAGE(densidade_hab_indL!AH71:AH73)</f>
        <v>0</v>
      </c>
      <c r="AI25" s="29">
        <f>AVERAGE(densidade_hab_indL!AI71:AI73)</f>
        <v>0</v>
      </c>
      <c r="AJ25" s="29">
        <f>AVERAGE(densidade_hab_indL!AJ71:AJ73)</f>
        <v>0</v>
      </c>
      <c r="AK25" s="29">
        <f>AVERAGE(densidade_hab_indL!AK71:AK73)</f>
        <v>0</v>
      </c>
      <c r="AL25" s="29">
        <f>AVERAGE(densidade_hab_indL!AL71:AL73)</f>
        <v>0</v>
      </c>
      <c r="AM25" s="29">
        <f>AVERAGE(densidade_hab_indL!AM71:AM73)</f>
        <v>0</v>
      </c>
      <c r="AN25" s="29">
        <f>AVERAGE(densidade_hab_indL!AN71:AN73)</f>
        <v>0</v>
      </c>
      <c r="AO25" s="29">
        <f>AVERAGE(densidade_hab_indL!AO71:AO73)</f>
        <v>0</v>
      </c>
      <c r="AP25" s="29">
        <f>AVERAGE(densidade_hab_indL!AP71:AP73)</f>
        <v>0</v>
      </c>
      <c r="AQ25" s="29">
        <f>AVERAGE(densidade_hab_indL!AQ71:AQ73)</f>
        <v>0</v>
      </c>
      <c r="AR25" s="29">
        <f>AVERAGE(densidade_hab_indL!AR71:AR73)</f>
        <v>0</v>
      </c>
      <c r="AS25" s="29">
        <f>AVERAGE(densidade_hab_indL!AS71:AS73)</f>
        <v>0</v>
      </c>
      <c r="AT25" s="29">
        <f>AVERAGE(densidade_hab_indL!AT71:AT73)</f>
        <v>0</v>
      </c>
      <c r="AU25" s="29">
        <f>AVERAGE(densidade_hab_indL!AU71:AU73)</f>
        <v>0</v>
      </c>
      <c r="AV25" s="29">
        <f>AVERAGE(densidade_hab_indL!AV71:AV73)</f>
        <v>0.15333333333333335</v>
      </c>
      <c r="AW25" s="29">
        <f>AVERAGE(densidade_hab_indL!AW71:AW73)</f>
        <v>0</v>
      </c>
      <c r="AX25" s="29">
        <f>AVERAGE(densidade_hab_indL!AX71:AX73)</f>
        <v>0</v>
      </c>
      <c r="AY25" s="29">
        <f>AVERAGE(densidade_hab_indL!AY71:AY73)</f>
        <v>1.3333333333333334E-2</v>
      </c>
      <c r="AZ25" s="29">
        <f>AVERAGE(densidade_hab_indL!AZ71:AZ73)</f>
        <v>0</v>
      </c>
      <c r="BA25" s="29">
        <f>AVERAGE(densidade_hab_indL!BA71:BA73)</f>
        <v>0</v>
      </c>
      <c r="BB25" s="29">
        <f>AVERAGE(densidade_hab_indL!BB71:BB73)</f>
        <v>0</v>
      </c>
      <c r="BC25" s="29">
        <f>AVERAGE(densidade_hab_indL!BC71:BC73)</f>
        <v>0</v>
      </c>
      <c r="BD25" s="29">
        <f>AVERAGE(densidade_hab_indL!BD71:BD73)</f>
        <v>0</v>
      </c>
      <c r="BE25" s="29">
        <f>AVERAGE(densidade_hab_indL!BE71:BE73)</f>
        <v>0</v>
      </c>
      <c r="BF25" s="29">
        <f>AVERAGE(densidade_hab_indL!BF71:BF73)</f>
        <v>0</v>
      </c>
      <c r="BG25" s="29">
        <f>AVERAGE(densidade_hab_indL!BG71:BG73)</f>
        <v>0</v>
      </c>
    </row>
    <row r="26" spans="1:59" ht="12.75" customHeight="1" x14ac:dyDescent="0.25">
      <c r="A26" s="4" t="s">
        <v>329</v>
      </c>
      <c r="B26" s="29">
        <f>AVERAGE(densidade_hab_indL!B74:B76)</f>
        <v>0.08</v>
      </c>
      <c r="C26" s="29">
        <f>AVERAGE(densidade_hab_indL!C74:C76)</f>
        <v>1.3333333333333334E-2</v>
      </c>
      <c r="D26" s="29">
        <f>AVERAGE(densidade_hab_indL!D74:D76)</f>
        <v>0</v>
      </c>
      <c r="E26" s="29">
        <f>AVERAGE(densidade_hab_indL!E74:E76)</f>
        <v>2.4600000000000004</v>
      </c>
      <c r="F26" s="29">
        <f>AVERAGE(densidade_hab_indL!F74:F76)</f>
        <v>6.6666666666666671E-3</v>
      </c>
      <c r="G26" s="29">
        <f>AVERAGE(densidade_hab_indL!G74:G76)</f>
        <v>0</v>
      </c>
      <c r="H26" s="29">
        <f>AVERAGE(densidade_hab_indL!H74:H76)</f>
        <v>0</v>
      </c>
      <c r="I26" s="29">
        <f>AVERAGE(densidade_hab_indL!I74:I76)</f>
        <v>0.25333333333333335</v>
      </c>
      <c r="J26" s="29">
        <f>AVERAGE(densidade_hab_indL!J74:J76)</f>
        <v>6.6666666666666671E-3</v>
      </c>
      <c r="K26" s="29">
        <f>AVERAGE(densidade_hab_indL!K74:K76)</f>
        <v>0</v>
      </c>
      <c r="L26" s="29">
        <f>AVERAGE(densidade_hab_indL!L74:L76)</f>
        <v>1.3333333333333334E-2</v>
      </c>
      <c r="M26" s="29">
        <f>AVERAGE(densidade_hab_indL!M74:M76)</f>
        <v>0</v>
      </c>
      <c r="N26" s="29">
        <f>AVERAGE(densidade_hab_indL!N74:N76)</f>
        <v>0</v>
      </c>
      <c r="O26" s="29">
        <f>AVERAGE(densidade_hab_indL!O74:O76)</f>
        <v>0</v>
      </c>
      <c r="P26" s="29">
        <f>AVERAGE(densidade_hab_indL!P74:P76)</f>
        <v>0</v>
      </c>
      <c r="Q26" s="29">
        <f>AVERAGE(densidade_hab_indL!Q74:Q76)</f>
        <v>0</v>
      </c>
      <c r="R26" s="29">
        <f>AVERAGE(densidade_hab_indL!R74:R76)</f>
        <v>0</v>
      </c>
      <c r="S26" s="29">
        <f>AVERAGE(densidade_hab_indL!S74:S76)</f>
        <v>0</v>
      </c>
      <c r="T26" s="29">
        <f>AVERAGE(densidade_hab_indL!T74:T76)</f>
        <v>1.3333333333333334E-2</v>
      </c>
      <c r="U26" s="29">
        <f>AVERAGE(densidade_hab_indL!U74:U76)</f>
        <v>0</v>
      </c>
      <c r="V26" s="29">
        <f>AVERAGE(densidade_hab_indL!V74:V76)</f>
        <v>0</v>
      </c>
      <c r="W26" s="29">
        <f>AVERAGE(densidade_hab_indL!W74:W76)</f>
        <v>0</v>
      </c>
      <c r="X26" s="29">
        <f>AVERAGE(densidade_hab_indL!X74:X76)</f>
        <v>0</v>
      </c>
      <c r="Y26" s="29">
        <f>AVERAGE(densidade_hab_indL!Y74:Y76)</f>
        <v>0</v>
      </c>
      <c r="Z26" s="29">
        <f>AVERAGE(densidade_hab_indL!Z74:Z76)</f>
        <v>6.6666666666666671E-3</v>
      </c>
      <c r="AA26" s="29">
        <f>AVERAGE(densidade_hab_indL!AA74:AA76)</f>
        <v>6.6666666666666671E-3</v>
      </c>
      <c r="AB26" s="29">
        <f>AVERAGE(densidade_hab_indL!AB74:AB76)</f>
        <v>0</v>
      </c>
      <c r="AC26" s="29">
        <f>AVERAGE(densidade_hab_indL!AC74:AC76)</f>
        <v>0</v>
      </c>
      <c r="AD26" s="29">
        <f>AVERAGE(densidade_hab_indL!AD74:AD76)</f>
        <v>0</v>
      </c>
      <c r="AE26" s="29">
        <f>AVERAGE(densidade_hab_indL!AE74:AE76)</f>
        <v>0</v>
      </c>
      <c r="AF26" s="29">
        <f>AVERAGE(densidade_hab_indL!AF74:AF76)</f>
        <v>0</v>
      </c>
      <c r="AG26" s="29">
        <f>AVERAGE(densidade_hab_indL!AG74:AG76)</f>
        <v>0</v>
      </c>
      <c r="AH26" s="29">
        <f>AVERAGE(densidade_hab_indL!AH74:AH76)</f>
        <v>0</v>
      </c>
      <c r="AI26" s="29">
        <f>AVERAGE(densidade_hab_indL!AI74:AI76)</f>
        <v>0</v>
      </c>
      <c r="AJ26" s="29">
        <f>AVERAGE(densidade_hab_indL!AJ74:AJ76)</f>
        <v>0</v>
      </c>
      <c r="AK26" s="29">
        <f>AVERAGE(densidade_hab_indL!AK74:AK76)</f>
        <v>0</v>
      </c>
      <c r="AL26" s="29">
        <f>AVERAGE(densidade_hab_indL!AL74:AL76)</f>
        <v>1.3333333333333334E-2</v>
      </c>
      <c r="AM26" s="29">
        <f>AVERAGE(densidade_hab_indL!AM74:AM76)</f>
        <v>0</v>
      </c>
      <c r="AN26" s="29">
        <f>AVERAGE(densidade_hab_indL!AN74:AN76)</f>
        <v>0</v>
      </c>
      <c r="AO26" s="29">
        <f>AVERAGE(densidade_hab_indL!AO74:AO76)</f>
        <v>0</v>
      </c>
      <c r="AP26" s="29">
        <f>AVERAGE(densidade_hab_indL!AP74:AP76)</f>
        <v>0</v>
      </c>
      <c r="AQ26" s="29">
        <f>AVERAGE(densidade_hab_indL!AQ74:AQ76)</f>
        <v>0</v>
      </c>
      <c r="AR26" s="29">
        <f>AVERAGE(densidade_hab_indL!AR74:AR76)</f>
        <v>0</v>
      </c>
      <c r="AS26" s="29">
        <f>AVERAGE(densidade_hab_indL!AS74:AS76)</f>
        <v>0</v>
      </c>
      <c r="AT26" s="29">
        <f>AVERAGE(densidade_hab_indL!AT74:AT76)</f>
        <v>0</v>
      </c>
      <c r="AU26" s="29">
        <f>AVERAGE(densidade_hab_indL!AU74:AU76)</f>
        <v>0</v>
      </c>
      <c r="AV26" s="29">
        <f>AVERAGE(densidade_hab_indL!AV74:AV76)</f>
        <v>0.1466666666666667</v>
      </c>
      <c r="AW26" s="29">
        <f>AVERAGE(densidade_hab_indL!AW74:AW76)</f>
        <v>0</v>
      </c>
      <c r="AX26" s="29">
        <f>AVERAGE(densidade_hab_indL!AX74:AX76)</f>
        <v>2.6666666666666668E-2</v>
      </c>
      <c r="AY26" s="29">
        <f>AVERAGE(densidade_hab_indL!AY74:AY76)</f>
        <v>0</v>
      </c>
      <c r="AZ26" s="29">
        <f>AVERAGE(densidade_hab_indL!AZ74:AZ76)</f>
        <v>0</v>
      </c>
      <c r="BA26" s="29">
        <f>AVERAGE(densidade_hab_indL!BA74:BA76)</f>
        <v>0</v>
      </c>
      <c r="BB26" s="29">
        <f>AVERAGE(densidade_hab_indL!BB74:BB76)</f>
        <v>0</v>
      </c>
      <c r="BC26" s="29">
        <f>AVERAGE(densidade_hab_indL!BC74:BC76)</f>
        <v>0</v>
      </c>
      <c r="BD26" s="29">
        <f>AVERAGE(densidade_hab_indL!BD74:BD76)</f>
        <v>0</v>
      </c>
      <c r="BE26" s="29">
        <f>AVERAGE(densidade_hab_indL!BE74:BE76)</f>
        <v>0</v>
      </c>
      <c r="BF26" s="29">
        <f>AVERAGE(densidade_hab_indL!BF74:BF76)</f>
        <v>0</v>
      </c>
      <c r="BG26" s="29">
        <f>AVERAGE(densidade_hab_indL!BG74:BG76)</f>
        <v>0</v>
      </c>
    </row>
    <row r="27" spans="1:59" ht="12.75" customHeight="1" x14ac:dyDescent="0.25">
      <c r="A27" s="4" t="s">
        <v>330</v>
      </c>
      <c r="B27" s="29">
        <f>AVERAGE(densidade_hab_indL!B77:B79)</f>
        <v>6.6666666666666666E-2</v>
      </c>
      <c r="C27" s="29">
        <f>AVERAGE(densidade_hab_indL!C77:C79)</f>
        <v>6.6666666666666671E-3</v>
      </c>
      <c r="D27" s="29">
        <f>AVERAGE(densidade_hab_indL!D77:D79)</f>
        <v>0</v>
      </c>
      <c r="E27" s="29">
        <f>AVERAGE(densidade_hab_indL!E77:E79)</f>
        <v>1.7466666666666668</v>
      </c>
      <c r="F27" s="29">
        <f>AVERAGE(densidade_hab_indL!F77:F79)</f>
        <v>6.6666666666666671E-3</v>
      </c>
      <c r="G27" s="29">
        <f>AVERAGE(densidade_hab_indL!G77:G79)</f>
        <v>0</v>
      </c>
      <c r="H27" s="29">
        <f>AVERAGE(densidade_hab_indL!H77:H79)</f>
        <v>0</v>
      </c>
      <c r="I27" s="29">
        <f>AVERAGE(densidade_hab_indL!I77:I79)</f>
        <v>9.9999999999999992E-2</v>
      </c>
      <c r="J27" s="29">
        <f>AVERAGE(densidade_hab_indL!J77:J79)</f>
        <v>0</v>
      </c>
      <c r="K27" s="29">
        <f>AVERAGE(densidade_hab_indL!K77:K79)</f>
        <v>0</v>
      </c>
      <c r="L27" s="29">
        <f>AVERAGE(densidade_hab_indL!L77:L79)</f>
        <v>4.6666666666666669E-2</v>
      </c>
      <c r="M27" s="29">
        <f>AVERAGE(densidade_hab_indL!M77:M79)</f>
        <v>0</v>
      </c>
      <c r="N27" s="29">
        <f>AVERAGE(densidade_hab_indL!N77:N79)</f>
        <v>0</v>
      </c>
      <c r="O27" s="29">
        <f>AVERAGE(densidade_hab_indL!O77:O79)</f>
        <v>0</v>
      </c>
      <c r="P27" s="29">
        <f>AVERAGE(densidade_hab_indL!P77:P79)</f>
        <v>0</v>
      </c>
      <c r="Q27" s="29">
        <f>AVERAGE(densidade_hab_indL!Q77:Q79)</f>
        <v>6.6666666666666671E-3</v>
      </c>
      <c r="R27" s="29">
        <f>AVERAGE(densidade_hab_indL!R77:R79)</f>
        <v>0</v>
      </c>
      <c r="S27" s="29">
        <f>AVERAGE(densidade_hab_indL!S77:S79)</f>
        <v>0</v>
      </c>
      <c r="T27" s="29">
        <f>AVERAGE(densidade_hab_indL!T77:T79)</f>
        <v>0.02</v>
      </c>
      <c r="U27" s="29">
        <f>AVERAGE(densidade_hab_indL!U77:U79)</f>
        <v>0</v>
      </c>
      <c r="V27" s="29">
        <f>AVERAGE(densidade_hab_indL!V77:V79)</f>
        <v>6.6666666666666671E-3</v>
      </c>
      <c r="W27" s="29">
        <f>AVERAGE(densidade_hab_indL!W77:W79)</f>
        <v>0</v>
      </c>
      <c r="X27" s="29">
        <f>AVERAGE(densidade_hab_indL!X77:X79)</f>
        <v>0</v>
      </c>
      <c r="Y27" s="29">
        <f>AVERAGE(densidade_hab_indL!Y77:Y79)</f>
        <v>6.6666666666666671E-3</v>
      </c>
      <c r="Z27" s="29">
        <f>AVERAGE(densidade_hab_indL!Z77:Z79)</f>
        <v>3.3333333333333333E-2</v>
      </c>
      <c r="AA27" s="29">
        <f>AVERAGE(densidade_hab_indL!AA77:AA79)</f>
        <v>0</v>
      </c>
      <c r="AB27" s="29">
        <f>AVERAGE(densidade_hab_indL!AB77:AB79)</f>
        <v>0</v>
      </c>
      <c r="AC27" s="29">
        <f>AVERAGE(densidade_hab_indL!AC77:AC79)</f>
        <v>0</v>
      </c>
      <c r="AD27" s="29">
        <f>AVERAGE(densidade_hab_indL!AD77:AD79)</f>
        <v>0</v>
      </c>
      <c r="AE27" s="29">
        <f>AVERAGE(densidade_hab_indL!AE77:AE79)</f>
        <v>0</v>
      </c>
      <c r="AF27" s="29">
        <f>AVERAGE(densidade_hab_indL!AF77:AF79)</f>
        <v>0</v>
      </c>
      <c r="AG27" s="29">
        <f>AVERAGE(densidade_hab_indL!AG77:AG79)</f>
        <v>0</v>
      </c>
      <c r="AH27" s="29">
        <f>AVERAGE(densidade_hab_indL!AH77:AH79)</f>
        <v>0</v>
      </c>
      <c r="AI27" s="29">
        <f>AVERAGE(densidade_hab_indL!AI77:AI79)</f>
        <v>0</v>
      </c>
      <c r="AJ27" s="29">
        <f>AVERAGE(densidade_hab_indL!AJ77:AJ79)</f>
        <v>0</v>
      </c>
      <c r="AK27" s="29">
        <f>AVERAGE(densidade_hab_indL!AK77:AK79)</f>
        <v>0</v>
      </c>
      <c r="AL27" s="29">
        <f>AVERAGE(densidade_hab_indL!AL77:AL79)</f>
        <v>0</v>
      </c>
      <c r="AM27" s="29">
        <f>AVERAGE(densidade_hab_indL!AM77:AM79)</f>
        <v>0</v>
      </c>
      <c r="AN27" s="29">
        <f>AVERAGE(densidade_hab_indL!AN77:AN79)</f>
        <v>0</v>
      </c>
      <c r="AO27" s="29">
        <f>AVERAGE(densidade_hab_indL!AO77:AO79)</f>
        <v>0</v>
      </c>
      <c r="AP27" s="29">
        <f>AVERAGE(densidade_hab_indL!AP77:AP79)</f>
        <v>0</v>
      </c>
      <c r="AQ27" s="29">
        <f>AVERAGE(densidade_hab_indL!AQ77:AQ79)</f>
        <v>0</v>
      </c>
      <c r="AR27" s="29">
        <f>AVERAGE(densidade_hab_indL!AR77:AR79)</f>
        <v>0</v>
      </c>
      <c r="AS27" s="29">
        <f>AVERAGE(densidade_hab_indL!AS77:AS79)</f>
        <v>0</v>
      </c>
      <c r="AT27" s="29">
        <f>AVERAGE(densidade_hab_indL!AT77:AT79)</f>
        <v>0</v>
      </c>
      <c r="AU27" s="29">
        <f>AVERAGE(densidade_hab_indL!AU77:AU79)</f>
        <v>0</v>
      </c>
      <c r="AV27" s="29">
        <f>AVERAGE(densidade_hab_indL!AV77:AV79)</f>
        <v>0.13333333333333333</v>
      </c>
      <c r="AW27" s="29">
        <f>AVERAGE(densidade_hab_indL!AW77:AW79)</f>
        <v>0</v>
      </c>
      <c r="AX27" s="29">
        <f>AVERAGE(densidade_hab_indL!AX77:AX79)</f>
        <v>0</v>
      </c>
      <c r="AY27" s="29">
        <f>AVERAGE(densidade_hab_indL!AY77:AY79)</f>
        <v>0</v>
      </c>
      <c r="AZ27" s="29">
        <f>AVERAGE(densidade_hab_indL!AZ77:AZ79)</f>
        <v>0</v>
      </c>
      <c r="BA27" s="29">
        <f>AVERAGE(densidade_hab_indL!BA77:BA79)</f>
        <v>0</v>
      </c>
      <c r="BB27" s="29">
        <f>AVERAGE(densidade_hab_indL!BB77:BB79)</f>
        <v>0</v>
      </c>
      <c r="BC27" s="29">
        <f>AVERAGE(densidade_hab_indL!BC77:BC79)</f>
        <v>6.6666666666666671E-3</v>
      </c>
      <c r="BD27" s="29">
        <f>AVERAGE(densidade_hab_indL!BD77:BD79)</f>
        <v>0</v>
      </c>
      <c r="BE27" s="29">
        <f>AVERAGE(densidade_hab_indL!BE77:BE79)</f>
        <v>0</v>
      </c>
      <c r="BF27" s="29">
        <f>AVERAGE(densidade_hab_indL!BF77:BF79)</f>
        <v>0</v>
      </c>
      <c r="BG27" s="29">
        <f>AVERAGE(densidade_hab_indL!BG77:BG79)</f>
        <v>0</v>
      </c>
    </row>
    <row r="28" spans="1:59" ht="12.75" customHeight="1" x14ac:dyDescent="0.25">
      <c r="A28" s="4" t="s">
        <v>331</v>
      </c>
      <c r="B28" s="29">
        <f>AVERAGE(densidade_hab_indL!B80:B82)</f>
        <v>2.6666666666666668E-2</v>
      </c>
      <c r="C28" s="29">
        <f>AVERAGE(densidade_hab_indL!C80:C82)</f>
        <v>0</v>
      </c>
      <c r="D28" s="29">
        <f>AVERAGE(densidade_hab_indL!D80:D82)</f>
        <v>0</v>
      </c>
      <c r="E28" s="29">
        <f>AVERAGE(densidade_hab_indL!E80:E82)</f>
        <v>1.8733333333333337</v>
      </c>
      <c r="F28" s="29">
        <f>AVERAGE(densidade_hab_indL!F80:F82)</f>
        <v>0.04</v>
      </c>
      <c r="G28" s="29">
        <f>AVERAGE(densidade_hab_indL!G80:G82)</f>
        <v>0</v>
      </c>
      <c r="H28" s="29">
        <f>AVERAGE(densidade_hab_indL!H80:H82)</f>
        <v>0</v>
      </c>
      <c r="I28" s="29">
        <f>AVERAGE(densidade_hab_indL!I80:I82)</f>
        <v>0.04</v>
      </c>
      <c r="J28" s="29">
        <f>AVERAGE(densidade_hab_indL!J80:J82)</f>
        <v>0</v>
      </c>
      <c r="K28" s="29">
        <f>AVERAGE(densidade_hab_indL!K80:K82)</f>
        <v>0</v>
      </c>
      <c r="L28" s="29">
        <f>AVERAGE(densidade_hab_indL!L80:L82)</f>
        <v>0</v>
      </c>
      <c r="M28" s="29">
        <f>AVERAGE(densidade_hab_indL!M80:M82)</f>
        <v>0</v>
      </c>
      <c r="N28" s="29">
        <f>AVERAGE(densidade_hab_indL!N80:N82)</f>
        <v>0</v>
      </c>
      <c r="O28" s="29">
        <f>AVERAGE(densidade_hab_indL!O80:O82)</f>
        <v>0</v>
      </c>
      <c r="P28" s="29">
        <f>AVERAGE(densidade_hab_indL!P80:P82)</f>
        <v>0</v>
      </c>
      <c r="Q28" s="29">
        <f>AVERAGE(densidade_hab_indL!Q80:Q82)</f>
        <v>0</v>
      </c>
      <c r="R28" s="29">
        <f>AVERAGE(densidade_hab_indL!R80:R82)</f>
        <v>0</v>
      </c>
      <c r="S28" s="29">
        <f>AVERAGE(densidade_hab_indL!S80:S82)</f>
        <v>0</v>
      </c>
      <c r="T28" s="29">
        <f>AVERAGE(densidade_hab_indL!T80:T82)</f>
        <v>0</v>
      </c>
      <c r="U28" s="29">
        <f>AVERAGE(densidade_hab_indL!U80:U82)</f>
        <v>0</v>
      </c>
      <c r="V28" s="29">
        <f>AVERAGE(densidade_hab_indL!V80:V82)</f>
        <v>6.6666666666666671E-3</v>
      </c>
      <c r="W28" s="29">
        <f>AVERAGE(densidade_hab_indL!W80:W82)</f>
        <v>0</v>
      </c>
      <c r="X28" s="29">
        <f>AVERAGE(densidade_hab_indL!X80:X82)</f>
        <v>0</v>
      </c>
      <c r="Y28" s="29">
        <f>AVERAGE(densidade_hab_indL!Y80:Y82)</f>
        <v>0</v>
      </c>
      <c r="Z28" s="29">
        <f>AVERAGE(densidade_hab_indL!Z80:Z82)</f>
        <v>6.6666666666666671E-3</v>
      </c>
      <c r="AA28" s="29">
        <f>AVERAGE(densidade_hab_indL!AA80:AA82)</f>
        <v>6.6666666666666671E-3</v>
      </c>
      <c r="AB28" s="29">
        <f>AVERAGE(densidade_hab_indL!AB80:AB82)</f>
        <v>0</v>
      </c>
      <c r="AC28" s="29">
        <f>AVERAGE(densidade_hab_indL!AC80:AC82)</f>
        <v>0</v>
      </c>
      <c r="AD28" s="29">
        <f>AVERAGE(densidade_hab_indL!AD80:AD82)</f>
        <v>0</v>
      </c>
      <c r="AE28" s="29">
        <f>AVERAGE(densidade_hab_indL!AE80:AE82)</f>
        <v>0</v>
      </c>
      <c r="AF28" s="29">
        <f>AVERAGE(densidade_hab_indL!AF80:AF82)</f>
        <v>0</v>
      </c>
      <c r="AG28" s="29">
        <f>AVERAGE(densidade_hab_indL!AG80:AG82)</f>
        <v>0</v>
      </c>
      <c r="AH28" s="29">
        <f>AVERAGE(densidade_hab_indL!AH80:AH82)</f>
        <v>0</v>
      </c>
      <c r="AI28" s="29">
        <f>AVERAGE(densidade_hab_indL!AI80:AI82)</f>
        <v>0</v>
      </c>
      <c r="AJ28" s="29">
        <f>AVERAGE(densidade_hab_indL!AJ80:AJ82)</f>
        <v>0</v>
      </c>
      <c r="AK28" s="29">
        <f>AVERAGE(densidade_hab_indL!AK80:AK82)</f>
        <v>0</v>
      </c>
      <c r="AL28" s="29">
        <f>AVERAGE(densidade_hab_indL!AL80:AL82)</f>
        <v>0</v>
      </c>
      <c r="AM28" s="29">
        <f>AVERAGE(densidade_hab_indL!AM80:AM82)</f>
        <v>0</v>
      </c>
      <c r="AN28" s="29">
        <f>AVERAGE(densidade_hab_indL!AN80:AN82)</f>
        <v>0</v>
      </c>
      <c r="AO28" s="29">
        <f>AVERAGE(densidade_hab_indL!AO80:AO82)</f>
        <v>0</v>
      </c>
      <c r="AP28" s="29">
        <f>AVERAGE(densidade_hab_indL!AP80:AP82)</f>
        <v>0</v>
      </c>
      <c r="AQ28" s="29">
        <f>AVERAGE(densidade_hab_indL!AQ80:AQ82)</f>
        <v>0</v>
      </c>
      <c r="AR28" s="29">
        <f>AVERAGE(densidade_hab_indL!AR80:AR82)</f>
        <v>0</v>
      </c>
      <c r="AS28" s="29">
        <f>AVERAGE(densidade_hab_indL!AS80:AS82)</f>
        <v>0</v>
      </c>
      <c r="AT28" s="29">
        <f>AVERAGE(densidade_hab_indL!AT80:AT82)</f>
        <v>0</v>
      </c>
      <c r="AU28" s="29">
        <f>AVERAGE(densidade_hab_indL!AU80:AU82)</f>
        <v>0</v>
      </c>
      <c r="AV28" s="29">
        <f>AVERAGE(densidade_hab_indL!AV80:AV82)</f>
        <v>5.3333333333333337E-2</v>
      </c>
      <c r="AW28" s="29">
        <f>AVERAGE(densidade_hab_indL!AW80:AW82)</f>
        <v>0</v>
      </c>
      <c r="AX28" s="29">
        <f>AVERAGE(densidade_hab_indL!AX80:AX82)</f>
        <v>6.6666666666666671E-3</v>
      </c>
      <c r="AY28" s="29">
        <f>AVERAGE(densidade_hab_indL!AY80:AY82)</f>
        <v>3.3333333333333333E-2</v>
      </c>
      <c r="AZ28" s="29">
        <f>AVERAGE(densidade_hab_indL!AZ80:AZ82)</f>
        <v>0</v>
      </c>
      <c r="BA28" s="29">
        <f>AVERAGE(densidade_hab_indL!BA80:BA82)</f>
        <v>0</v>
      </c>
      <c r="BB28" s="29">
        <f>AVERAGE(densidade_hab_indL!BB80:BB82)</f>
        <v>0</v>
      </c>
      <c r="BC28" s="29">
        <f>AVERAGE(densidade_hab_indL!BC80:BC82)</f>
        <v>0</v>
      </c>
      <c r="BD28" s="29">
        <f>AVERAGE(densidade_hab_indL!BD80:BD82)</f>
        <v>1.3333333333333334E-2</v>
      </c>
      <c r="BE28" s="29">
        <f>AVERAGE(densidade_hab_indL!BE80:BE82)</f>
        <v>6.6666666666666671E-3</v>
      </c>
      <c r="BF28" s="29">
        <f>AVERAGE(densidade_hab_indL!BF80:BF82)</f>
        <v>0</v>
      </c>
      <c r="BG28" s="29">
        <f>AVERAGE(densidade_hab_indL!BG80:BG82)</f>
        <v>0</v>
      </c>
    </row>
    <row r="29" spans="1:59" ht="12.75" customHeight="1" x14ac:dyDescent="0.25">
      <c r="A29" s="4" t="s">
        <v>332</v>
      </c>
      <c r="B29" s="29">
        <f>AVERAGE(densidade_hab_indL!B83:B85)</f>
        <v>0.6333333333333333</v>
      </c>
      <c r="C29" s="29">
        <f>AVERAGE(densidade_hab_indL!C83:C85)</f>
        <v>0.22</v>
      </c>
      <c r="D29" s="29">
        <f>AVERAGE(densidade_hab_indL!D83:D85)</f>
        <v>0.20666666666666667</v>
      </c>
      <c r="E29" s="29">
        <f>AVERAGE(densidade_hab_indL!E83:E85)</f>
        <v>1.8733333333333333</v>
      </c>
      <c r="F29" s="29">
        <f>AVERAGE(densidade_hab_indL!F83:F85)</f>
        <v>1.24</v>
      </c>
      <c r="G29" s="29">
        <f>AVERAGE(densidade_hab_indL!G83:G85)</f>
        <v>0</v>
      </c>
      <c r="H29" s="29">
        <f>AVERAGE(densidade_hab_indL!H83:H85)</f>
        <v>5.3333333333333337E-2</v>
      </c>
      <c r="I29" s="29">
        <f>AVERAGE(densidade_hab_indL!I83:I85)</f>
        <v>7.873333333333334</v>
      </c>
      <c r="J29" s="29">
        <f>AVERAGE(densidade_hab_indL!J83:J85)</f>
        <v>1.8533333333333335</v>
      </c>
      <c r="K29" s="29">
        <f>AVERAGE(densidade_hab_indL!K83:K85)</f>
        <v>0</v>
      </c>
      <c r="L29" s="29">
        <f>AVERAGE(densidade_hab_indL!L83:L85)</f>
        <v>1.9133333333333333</v>
      </c>
      <c r="M29" s="29">
        <f>AVERAGE(densidade_hab_indL!M83:M85)</f>
        <v>0</v>
      </c>
      <c r="N29" s="29">
        <f>AVERAGE(densidade_hab_indL!N83:N85)</f>
        <v>0</v>
      </c>
      <c r="O29" s="29">
        <f>AVERAGE(densidade_hab_indL!O83:O85)</f>
        <v>0</v>
      </c>
      <c r="P29" s="29">
        <f>AVERAGE(densidade_hab_indL!P83:P85)</f>
        <v>0</v>
      </c>
      <c r="Q29" s="29">
        <f>AVERAGE(densidade_hab_indL!Q83:Q85)</f>
        <v>1.3133333333333332</v>
      </c>
      <c r="R29" s="29">
        <f>AVERAGE(densidade_hab_indL!R83:R85)</f>
        <v>0.29333333333333333</v>
      </c>
      <c r="S29" s="29">
        <f>AVERAGE(densidade_hab_indL!S83:S85)</f>
        <v>0.12666666666666668</v>
      </c>
      <c r="T29" s="29">
        <f>AVERAGE(densidade_hab_indL!T83:T85)</f>
        <v>0.68666666666666665</v>
      </c>
      <c r="U29" s="29">
        <f>AVERAGE(densidade_hab_indL!U83:U85)</f>
        <v>6.6666666666666666E-2</v>
      </c>
      <c r="V29" s="29">
        <f>AVERAGE(densidade_hab_indL!V83:V85)</f>
        <v>3.9866666666666668</v>
      </c>
      <c r="W29" s="29">
        <f>AVERAGE(densidade_hab_indL!W83:W85)</f>
        <v>0</v>
      </c>
      <c r="X29" s="29">
        <f>AVERAGE(densidade_hab_indL!X83:X85)</f>
        <v>0</v>
      </c>
      <c r="Y29" s="29">
        <f>AVERAGE(densidade_hab_indL!Y83:Y85)</f>
        <v>0.13333333333333333</v>
      </c>
      <c r="Z29" s="29">
        <f>AVERAGE(densidade_hab_indL!Z83:Z85)</f>
        <v>0.3666666666666667</v>
      </c>
      <c r="AA29" s="29">
        <f>AVERAGE(densidade_hab_indL!AA83:AA85)</f>
        <v>0.90666666666666662</v>
      </c>
      <c r="AB29" s="29">
        <f>AVERAGE(densidade_hab_indL!AB83:AB85)</f>
        <v>0</v>
      </c>
      <c r="AC29" s="29">
        <f>AVERAGE(densidade_hab_indL!AC83:AC85)</f>
        <v>0</v>
      </c>
      <c r="AD29" s="29">
        <f>AVERAGE(densidade_hab_indL!AD83:AD85)</f>
        <v>0.19333333333333336</v>
      </c>
      <c r="AE29" s="29">
        <f>AVERAGE(densidade_hab_indL!AE83:AE85)</f>
        <v>0</v>
      </c>
      <c r="AF29" s="29">
        <f>AVERAGE(densidade_hab_indL!AF83:AF85)</f>
        <v>0</v>
      </c>
      <c r="AG29" s="29">
        <f>AVERAGE(densidade_hab_indL!AG83:AG85)</f>
        <v>0.15333333333333332</v>
      </c>
      <c r="AH29" s="29">
        <f>AVERAGE(densidade_hab_indL!AH83:AH85)</f>
        <v>0</v>
      </c>
      <c r="AI29" s="29">
        <f>AVERAGE(densidade_hab_indL!AI83:AI85)</f>
        <v>0</v>
      </c>
      <c r="AJ29" s="29">
        <f>AVERAGE(densidade_hab_indL!AJ83:AJ85)</f>
        <v>0</v>
      </c>
      <c r="AK29" s="29">
        <f>AVERAGE(densidade_hab_indL!AK83:AK85)</f>
        <v>0</v>
      </c>
      <c r="AL29" s="29">
        <f>AVERAGE(densidade_hab_indL!AL83:AL85)</f>
        <v>0.24666666666666667</v>
      </c>
      <c r="AM29" s="29">
        <f>AVERAGE(densidade_hab_indL!AM83:AM85)</f>
        <v>0</v>
      </c>
      <c r="AN29" s="29">
        <f>AVERAGE(densidade_hab_indL!AN83:AN85)</f>
        <v>0</v>
      </c>
      <c r="AO29" s="29">
        <f>AVERAGE(densidade_hab_indL!AO83:AO85)</f>
        <v>0</v>
      </c>
      <c r="AP29" s="29">
        <f>AVERAGE(densidade_hab_indL!AP83:AP85)</f>
        <v>1.1733333333333333</v>
      </c>
      <c r="AQ29" s="29">
        <f>AVERAGE(densidade_hab_indL!AQ83:AQ85)</f>
        <v>1.42</v>
      </c>
      <c r="AR29" s="29">
        <f>AVERAGE(densidade_hab_indL!AR83:AR85)</f>
        <v>0.29333333333333333</v>
      </c>
      <c r="AS29" s="29">
        <f>AVERAGE(densidade_hab_indL!AS83:AS85)</f>
        <v>0</v>
      </c>
      <c r="AT29" s="29">
        <f>AVERAGE(densidade_hab_indL!AT83:AT85)</f>
        <v>0</v>
      </c>
      <c r="AU29" s="29">
        <f>AVERAGE(densidade_hab_indL!AU83:AU85)</f>
        <v>0</v>
      </c>
      <c r="AV29" s="29">
        <f>AVERAGE(densidade_hab_indL!AV83:AV85)</f>
        <v>2.4</v>
      </c>
      <c r="AW29" s="29">
        <f>AVERAGE(densidade_hab_indL!AW83:AW85)</f>
        <v>9.9999999999999992E-2</v>
      </c>
      <c r="AX29" s="29">
        <f>AVERAGE(densidade_hab_indL!AX83:AX85)</f>
        <v>0.19333333333333336</v>
      </c>
      <c r="AY29" s="29">
        <f>AVERAGE(densidade_hab_indL!AY83:AY85)</f>
        <v>1.2066666666666668</v>
      </c>
      <c r="AZ29" s="29">
        <f>AVERAGE(densidade_hab_indL!AZ83:AZ85)</f>
        <v>0</v>
      </c>
      <c r="BA29" s="29">
        <f>AVERAGE(densidade_hab_indL!BA83:BA85)</f>
        <v>0</v>
      </c>
      <c r="BB29" s="29">
        <f>AVERAGE(densidade_hab_indL!BB83:BB85)</f>
        <v>0</v>
      </c>
      <c r="BC29" s="29">
        <f>AVERAGE(densidade_hab_indL!BC83:BC85)</f>
        <v>0</v>
      </c>
      <c r="BD29" s="29">
        <f>AVERAGE(densidade_hab_indL!BD83:BD85)</f>
        <v>0.24666666666666667</v>
      </c>
      <c r="BE29" s="29">
        <f>AVERAGE(densidade_hab_indL!BE83:BE85)</f>
        <v>0.22</v>
      </c>
      <c r="BF29" s="29">
        <f>AVERAGE(densidade_hab_indL!BF83:BF85)</f>
        <v>0</v>
      </c>
      <c r="BG29" s="29">
        <f>AVERAGE(densidade_hab_indL!BG83:BG85)</f>
        <v>0</v>
      </c>
    </row>
    <row r="30" spans="1:59" ht="12.75" customHeight="1" x14ac:dyDescent="0.25">
      <c r="A30" s="4" t="s">
        <v>333</v>
      </c>
      <c r="B30" s="29">
        <f>AVERAGE(densidade_hab_indL!B86:B88)</f>
        <v>0.12666666666666668</v>
      </c>
      <c r="C30" s="29">
        <f>AVERAGE(densidade_hab_indL!C86:C88)</f>
        <v>0</v>
      </c>
      <c r="D30" s="29">
        <f>AVERAGE(densidade_hab_indL!D86:D88)</f>
        <v>0.02</v>
      </c>
      <c r="E30" s="29">
        <f>AVERAGE(densidade_hab_indL!E86:E88)</f>
        <v>1.54</v>
      </c>
      <c r="F30" s="29">
        <f>AVERAGE(densidade_hab_indL!F86:F88)</f>
        <v>0.13333333333333333</v>
      </c>
      <c r="G30" s="29">
        <f>AVERAGE(densidade_hab_indL!G86:G88)</f>
        <v>0</v>
      </c>
      <c r="H30" s="29">
        <f>AVERAGE(densidade_hab_indL!H86:H88)</f>
        <v>0</v>
      </c>
      <c r="I30" s="29">
        <f>AVERAGE(densidade_hab_indL!I86:I88)</f>
        <v>0.37333333333333335</v>
      </c>
      <c r="J30" s="29">
        <f>AVERAGE(densidade_hab_indL!J86:J88)</f>
        <v>0.21999999999999997</v>
      </c>
      <c r="K30" s="29">
        <f>AVERAGE(densidade_hab_indL!K86:K88)</f>
        <v>0</v>
      </c>
      <c r="L30" s="29">
        <f>AVERAGE(densidade_hab_indL!L86:L88)</f>
        <v>0.11333333333333333</v>
      </c>
      <c r="M30" s="29">
        <f>AVERAGE(densidade_hab_indL!M86:M88)</f>
        <v>0</v>
      </c>
      <c r="N30" s="29">
        <f>AVERAGE(densidade_hab_indL!N86:N88)</f>
        <v>0</v>
      </c>
      <c r="O30" s="29">
        <f>AVERAGE(densidade_hab_indL!O86:O88)</f>
        <v>0</v>
      </c>
      <c r="P30" s="29">
        <f>AVERAGE(densidade_hab_indL!P86:P88)</f>
        <v>6.6666666666666671E-3</v>
      </c>
      <c r="Q30" s="29">
        <f>AVERAGE(densidade_hab_indL!Q86:Q88)</f>
        <v>1.3333333333333334E-2</v>
      </c>
      <c r="R30" s="29">
        <f>AVERAGE(densidade_hab_indL!R86:R88)</f>
        <v>0.10666666666666667</v>
      </c>
      <c r="S30" s="29">
        <f>AVERAGE(densidade_hab_indL!S86:S88)</f>
        <v>1.3333333333333334E-2</v>
      </c>
      <c r="T30" s="29">
        <f>AVERAGE(densidade_hab_indL!T86:T88)</f>
        <v>0.06</v>
      </c>
      <c r="U30" s="29">
        <f>AVERAGE(densidade_hab_indL!U86:U88)</f>
        <v>0</v>
      </c>
      <c r="V30" s="29">
        <f>AVERAGE(densidade_hab_indL!V86:V88)</f>
        <v>5.3333333333333337E-2</v>
      </c>
      <c r="W30" s="29">
        <f>AVERAGE(densidade_hab_indL!W86:W88)</f>
        <v>0</v>
      </c>
      <c r="X30" s="29">
        <f>AVERAGE(densidade_hab_indL!X86:X88)</f>
        <v>0</v>
      </c>
      <c r="Y30" s="29">
        <f>AVERAGE(densidade_hab_indL!Y86:Y88)</f>
        <v>0</v>
      </c>
      <c r="Z30" s="29">
        <f>AVERAGE(densidade_hab_indL!Z86:Z88)</f>
        <v>5.3333333333333337E-2</v>
      </c>
      <c r="AA30" s="29">
        <f>AVERAGE(densidade_hab_indL!AA86:AA88)</f>
        <v>0.21333333333333337</v>
      </c>
      <c r="AB30" s="29">
        <f>AVERAGE(densidade_hab_indL!AB86:AB88)</f>
        <v>0</v>
      </c>
      <c r="AC30" s="29">
        <f>AVERAGE(densidade_hab_indL!AC86:AC88)</f>
        <v>0</v>
      </c>
      <c r="AD30" s="29">
        <f>AVERAGE(densidade_hab_indL!AD86:AD88)</f>
        <v>6.6666666666666671E-3</v>
      </c>
      <c r="AE30" s="29">
        <f>AVERAGE(densidade_hab_indL!AE86:AE88)</f>
        <v>0</v>
      </c>
      <c r="AF30" s="29">
        <f>AVERAGE(densidade_hab_indL!AF86:AF88)</f>
        <v>0</v>
      </c>
      <c r="AG30" s="29">
        <f>AVERAGE(densidade_hab_indL!AG86:AG88)</f>
        <v>3.3333333333333333E-2</v>
      </c>
      <c r="AH30" s="29">
        <f>AVERAGE(densidade_hab_indL!AH86:AH88)</f>
        <v>0</v>
      </c>
      <c r="AI30" s="29">
        <f>AVERAGE(densidade_hab_indL!AI86:AI88)</f>
        <v>0</v>
      </c>
      <c r="AJ30" s="29">
        <f>AVERAGE(densidade_hab_indL!AJ86:AJ88)</f>
        <v>0</v>
      </c>
      <c r="AK30" s="29">
        <f>AVERAGE(densidade_hab_indL!AK86:AK88)</f>
        <v>0</v>
      </c>
      <c r="AL30" s="29">
        <f>AVERAGE(densidade_hab_indL!AL86:AL88)</f>
        <v>0</v>
      </c>
      <c r="AM30" s="29">
        <f>AVERAGE(densidade_hab_indL!AM86:AM88)</f>
        <v>0</v>
      </c>
      <c r="AN30" s="29">
        <f>AVERAGE(densidade_hab_indL!AN86:AN88)</f>
        <v>0</v>
      </c>
      <c r="AO30" s="29">
        <f>AVERAGE(densidade_hab_indL!AO86:AO88)</f>
        <v>0</v>
      </c>
      <c r="AP30" s="29">
        <f>AVERAGE(densidade_hab_indL!AP86:AP88)</f>
        <v>0</v>
      </c>
      <c r="AQ30" s="29">
        <f>AVERAGE(densidade_hab_indL!AQ86:AQ88)</f>
        <v>9.3333333333333338E-2</v>
      </c>
      <c r="AR30" s="29">
        <f>AVERAGE(densidade_hab_indL!AR86:AR88)</f>
        <v>0</v>
      </c>
      <c r="AS30" s="29">
        <f>AVERAGE(densidade_hab_indL!AS86:AS88)</f>
        <v>0</v>
      </c>
      <c r="AT30" s="29">
        <f>AVERAGE(densidade_hab_indL!AT86:AT88)</f>
        <v>0</v>
      </c>
      <c r="AU30" s="29">
        <f>AVERAGE(densidade_hab_indL!AU86:AU88)</f>
        <v>0</v>
      </c>
      <c r="AV30" s="29">
        <f>AVERAGE(densidade_hab_indL!AV86:AV88)</f>
        <v>0.13333333333333333</v>
      </c>
      <c r="AW30" s="29">
        <f>AVERAGE(densidade_hab_indL!AW86:AW88)</f>
        <v>0</v>
      </c>
      <c r="AX30" s="29">
        <f>AVERAGE(densidade_hab_indL!AX86:AX88)</f>
        <v>0</v>
      </c>
      <c r="AY30" s="29">
        <f>AVERAGE(densidade_hab_indL!AY86:AY88)</f>
        <v>4.6666666666666662E-2</v>
      </c>
      <c r="AZ30" s="29">
        <f>AVERAGE(densidade_hab_indL!AZ86:AZ88)</f>
        <v>0</v>
      </c>
      <c r="BA30" s="29">
        <f>AVERAGE(densidade_hab_indL!BA86:BA88)</f>
        <v>0</v>
      </c>
      <c r="BB30" s="29">
        <f>AVERAGE(densidade_hab_indL!BB86:BB88)</f>
        <v>0</v>
      </c>
      <c r="BC30" s="29">
        <f>AVERAGE(densidade_hab_indL!BC86:BC88)</f>
        <v>0</v>
      </c>
      <c r="BD30" s="29">
        <f>AVERAGE(densidade_hab_indL!BD86:BD88)</f>
        <v>0.10666666666666667</v>
      </c>
      <c r="BE30" s="29">
        <f>AVERAGE(densidade_hab_indL!BE86:BE88)</f>
        <v>2.6666666666666668E-2</v>
      </c>
      <c r="BF30" s="29">
        <f>AVERAGE(densidade_hab_indL!BF86:BF88)</f>
        <v>0</v>
      </c>
      <c r="BG30" s="29">
        <f>AVERAGE(densidade_hab_indL!BG86:BG88)</f>
        <v>0</v>
      </c>
    </row>
    <row r="31" spans="1:59" ht="12.75" customHeight="1" x14ac:dyDescent="0.25">
      <c r="A31" s="4" t="s">
        <v>334</v>
      </c>
      <c r="B31" s="29">
        <f>AVERAGE(densidade_hab_indL!B89:B91)</f>
        <v>0.11333333333333334</v>
      </c>
      <c r="C31" s="29">
        <f>AVERAGE(densidade_hab_indL!C89:C91)</f>
        <v>6.6666666666666671E-3</v>
      </c>
      <c r="D31" s="29">
        <f>AVERAGE(densidade_hab_indL!D89:D91)</f>
        <v>0</v>
      </c>
      <c r="E31" s="29">
        <f>AVERAGE(densidade_hab_indL!E89:E91)</f>
        <v>1.406666666666667</v>
      </c>
      <c r="F31" s="29">
        <f>AVERAGE(densidade_hab_indL!F89:F91)</f>
        <v>4.6666666666666662E-2</v>
      </c>
      <c r="G31" s="29">
        <f>AVERAGE(densidade_hab_indL!G89:G91)</f>
        <v>0</v>
      </c>
      <c r="H31" s="29">
        <f>AVERAGE(densidade_hab_indL!H89:H91)</f>
        <v>0</v>
      </c>
      <c r="I31" s="29">
        <f>AVERAGE(densidade_hab_indL!I89:I91)</f>
        <v>0.92666666666666664</v>
      </c>
      <c r="J31" s="29">
        <f>AVERAGE(densidade_hab_indL!J89:J91)</f>
        <v>0.11333333333333333</v>
      </c>
      <c r="K31" s="29">
        <f>AVERAGE(densidade_hab_indL!K89:K91)</f>
        <v>0</v>
      </c>
      <c r="L31" s="29">
        <f>AVERAGE(densidade_hab_indL!L89:L91)</f>
        <v>0.22</v>
      </c>
      <c r="M31" s="29">
        <f>AVERAGE(densidade_hab_indL!M89:M91)</f>
        <v>0</v>
      </c>
      <c r="N31" s="29">
        <f>AVERAGE(densidade_hab_indL!N89:N91)</f>
        <v>0</v>
      </c>
      <c r="O31" s="29">
        <f>AVERAGE(densidade_hab_indL!O89:O91)</f>
        <v>0</v>
      </c>
      <c r="P31" s="29">
        <f>AVERAGE(densidade_hab_indL!P89:P91)</f>
        <v>0</v>
      </c>
      <c r="Q31" s="29">
        <f>AVERAGE(densidade_hab_indL!Q89:Q91)</f>
        <v>1.3333333333333334E-2</v>
      </c>
      <c r="R31" s="29">
        <f>AVERAGE(densidade_hab_indL!R89:R91)</f>
        <v>1.3333333333333334E-2</v>
      </c>
      <c r="S31" s="29">
        <f>AVERAGE(densidade_hab_indL!S89:S91)</f>
        <v>0</v>
      </c>
      <c r="T31" s="29">
        <f>AVERAGE(densidade_hab_indL!T89:T91)</f>
        <v>0.02</v>
      </c>
      <c r="U31" s="29">
        <f>AVERAGE(densidade_hab_indL!U89:U91)</f>
        <v>0</v>
      </c>
      <c r="V31" s="29">
        <f>AVERAGE(densidade_hab_indL!V89:V91)</f>
        <v>0.04</v>
      </c>
      <c r="W31" s="29">
        <f>AVERAGE(densidade_hab_indL!W89:W91)</f>
        <v>0</v>
      </c>
      <c r="X31" s="29">
        <f>AVERAGE(densidade_hab_indL!X89:X91)</f>
        <v>0</v>
      </c>
      <c r="Y31" s="29">
        <f>AVERAGE(densidade_hab_indL!Y89:Y91)</f>
        <v>3.3333333333333333E-2</v>
      </c>
      <c r="Z31" s="29">
        <f>AVERAGE(densidade_hab_indL!Z89:Z91)</f>
        <v>6.6666666666666671E-3</v>
      </c>
      <c r="AA31" s="29">
        <f>AVERAGE(densidade_hab_indL!AA89:AA91)</f>
        <v>0.04</v>
      </c>
      <c r="AB31" s="29">
        <f>AVERAGE(densidade_hab_indL!AB89:AB91)</f>
        <v>0</v>
      </c>
      <c r="AC31" s="29">
        <f>AVERAGE(densidade_hab_indL!AC89:AC91)</f>
        <v>0</v>
      </c>
      <c r="AD31" s="29">
        <f>AVERAGE(densidade_hab_indL!AD89:AD91)</f>
        <v>6.6666666666666671E-3</v>
      </c>
      <c r="AE31" s="29">
        <f>AVERAGE(densidade_hab_indL!AE89:AE91)</f>
        <v>0</v>
      </c>
      <c r="AF31" s="29">
        <f>AVERAGE(densidade_hab_indL!AF89:AF91)</f>
        <v>0</v>
      </c>
      <c r="AG31" s="29">
        <f>AVERAGE(densidade_hab_indL!AG89:AG91)</f>
        <v>0</v>
      </c>
      <c r="AH31" s="29">
        <f>AVERAGE(densidade_hab_indL!AH89:AH91)</f>
        <v>0</v>
      </c>
      <c r="AI31" s="29">
        <f>AVERAGE(densidade_hab_indL!AI89:AI91)</f>
        <v>0</v>
      </c>
      <c r="AJ31" s="29">
        <f>AVERAGE(densidade_hab_indL!AJ89:AJ91)</f>
        <v>0</v>
      </c>
      <c r="AK31" s="29">
        <f>AVERAGE(densidade_hab_indL!AK89:AK91)</f>
        <v>0</v>
      </c>
      <c r="AL31" s="29">
        <f>AVERAGE(densidade_hab_indL!AL89:AL91)</f>
        <v>0.02</v>
      </c>
      <c r="AM31" s="29">
        <f>AVERAGE(densidade_hab_indL!AM89:AM91)</f>
        <v>0</v>
      </c>
      <c r="AN31" s="29">
        <f>AVERAGE(densidade_hab_indL!AN89:AN91)</f>
        <v>0</v>
      </c>
      <c r="AO31" s="29">
        <f>AVERAGE(densidade_hab_indL!AO89:AO91)</f>
        <v>0</v>
      </c>
      <c r="AP31" s="29">
        <f>AVERAGE(densidade_hab_indL!AP89:AP91)</f>
        <v>0</v>
      </c>
      <c r="AQ31" s="29">
        <f>AVERAGE(densidade_hab_indL!AQ89:AQ91)</f>
        <v>3.3333333333333333E-2</v>
      </c>
      <c r="AR31" s="29">
        <f>AVERAGE(densidade_hab_indL!AR89:AR91)</f>
        <v>0</v>
      </c>
      <c r="AS31" s="29">
        <f>AVERAGE(densidade_hab_indL!AS89:AS91)</f>
        <v>0</v>
      </c>
      <c r="AT31" s="29">
        <f>AVERAGE(densidade_hab_indL!AT89:AT91)</f>
        <v>0</v>
      </c>
      <c r="AU31" s="29">
        <f>AVERAGE(densidade_hab_indL!AU89:AU91)</f>
        <v>0</v>
      </c>
      <c r="AV31" s="29">
        <f>AVERAGE(densidade_hab_indL!AV89:AV91)</f>
        <v>0.42</v>
      </c>
      <c r="AW31" s="29">
        <f>AVERAGE(densidade_hab_indL!AW89:AW91)</f>
        <v>0.11333333333333334</v>
      </c>
      <c r="AX31" s="29">
        <f>AVERAGE(densidade_hab_indL!AX89:AX91)</f>
        <v>9.3333333333333324E-2</v>
      </c>
      <c r="AY31" s="29">
        <f>AVERAGE(densidade_hab_indL!AY89:AY91)</f>
        <v>7.3333333333333348E-2</v>
      </c>
      <c r="AZ31" s="29">
        <f>AVERAGE(densidade_hab_indL!AZ89:AZ91)</f>
        <v>0</v>
      </c>
      <c r="BA31" s="29">
        <f>AVERAGE(densidade_hab_indL!BA89:BA91)</f>
        <v>6.6666666666666671E-3</v>
      </c>
      <c r="BB31" s="29">
        <f>AVERAGE(densidade_hab_indL!BB89:BB91)</f>
        <v>0</v>
      </c>
      <c r="BC31" s="29">
        <f>AVERAGE(densidade_hab_indL!BC89:BC91)</f>
        <v>0</v>
      </c>
      <c r="BD31" s="29">
        <f>AVERAGE(densidade_hab_indL!BD89:BD91)</f>
        <v>6.6666666666666671E-3</v>
      </c>
      <c r="BE31" s="29">
        <f>AVERAGE(densidade_hab_indL!BE89:BE91)</f>
        <v>6.6666666666666671E-3</v>
      </c>
      <c r="BF31" s="29">
        <f>AVERAGE(densidade_hab_indL!BF89:BF91)</f>
        <v>0</v>
      </c>
      <c r="BG31" s="29">
        <f>AVERAGE(densidade_hab_indL!BG89:BG91)</f>
        <v>0</v>
      </c>
    </row>
    <row r="32" spans="1:59" ht="12.75" customHeight="1" x14ac:dyDescent="0.25">
      <c r="A32" s="4" t="s">
        <v>335</v>
      </c>
      <c r="B32" s="29">
        <f>AVERAGE(densidade_hab_indL!B92:B94)</f>
        <v>6.6666666666666671E-3</v>
      </c>
      <c r="C32" s="29">
        <f>AVERAGE(densidade_hab_indL!C92:C94)</f>
        <v>6.6666666666666666E-2</v>
      </c>
      <c r="D32" s="29">
        <f>AVERAGE(densidade_hab_indL!D92:D94)</f>
        <v>0</v>
      </c>
      <c r="E32" s="29">
        <f>AVERAGE(densidade_hab_indL!E92:E94)</f>
        <v>1.1866666666666665</v>
      </c>
      <c r="F32" s="29">
        <f>AVERAGE(densidade_hab_indL!F92:F94)</f>
        <v>0</v>
      </c>
      <c r="G32" s="29">
        <f>AVERAGE(densidade_hab_indL!G92:G94)</f>
        <v>0</v>
      </c>
      <c r="H32" s="29">
        <f>AVERAGE(densidade_hab_indL!H92:H94)</f>
        <v>0</v>
      </c>
      <c r="I32" s="29">
        <f>AVERAGE(densidade_hab_indL!I92:I94)</f>
        <v>3.3333333333333333E-2</v>
      </c>
      <c r="J32" s="29">
        <f>AVERAGE(densidade_hab_indL!J92:J94)</f>
        <v>0</v>
      </c>
      <c r="K32" s="29">
        <f>AVERAGE(densidade_hab_indL!K92:K94)</f>
        <v>0</v>
      </c>
      <c r="L32" s="29">
        <f>AVERAGE(densidade_hab_indL!L92:L94)</f>
        <v>0</v>
      </c>
      <c r="M32" s="29">
        <f>AVERAGE(densidade_hab_indL!M92:M94)</f>
        <v>0</v>
      </c>
      <c r="N32" s="29">
        <f>AVERAGE(densidade_hab_indL!N92:N94)</f>
        <v>0</v>
      </c>
      <c r="O32" s="29">
        <f>AVERAGE(densidade_hab_indL!O92:O94)</f>
        <v>0</v>
      </c>
      <c r="P32" s="29">
        <f>AVERAGE(densidade_hab_indL!P92:P94)</f>
        <v>0</v>
      </c>
      <c r="Q32" s="29">
        <f>AVERAGE(densidade_hab_indL!Q92:Q94)</f>
        <v>0</v>
      </c>
      <c r="R32" s="29">
        <f>AVERAGE(densidade_hab_indL!R92:R94)</f>
        <v>0</v>
      </c>
      <c r="S32" s="29">
        <f>AVERAGE(densidade_hab_indL!S92:S94)</f>
        <v>0</v>
      </c>
      <c r="T32" s="29">
        <f>AVERAGE(densidade_hab_indL!T92:T94)</f>
        <v>0</v>
      </c>
      <c r="U32" s="29">
        <f>AVERAGE(densidade_hab_indL!U92:U94)</f>
        <v>0</v>
      </c>
      <c r="V32" s="29">
        <f>AVERAGE(densidade_hab_indL!V92:V94)</f>
        <v>0</v>
      </c>
      <c r="W32" s="29">
        <f>AVERAGE(densidade_hab_indL!W92:W94)</f>
        <v>0</v>
      </c>
      <c r="X32" s="29">
        <f>AVERAGE(densidade_hab_indL!X92:X94)</f>
        <v>0</v>
      </c>
      <c r="Y32" s="29">
        <f>AVERAGE(densidade_hab_indL!Y92:Y94)</f>
        <v>6.6666666666666671E-3</v>
      </c>
      <c r="Z32" s="29">
        <f>AVERAGE(densidade_hab_indL!Z92:Z94)</f>
        <v>0</v>
      </c>
      <c r="AA32" s="29">
        <f>AVERAGE(densidade_hab_indL!AA92:AA94)</f>
        <v>0</v>
      </c>
      <c r="AB32" s="29">
        <f>AVERAGE(densidade_hab_indL!AB92:AB94)</f>
        <v>0</v>
      </c>
      <c r="AC32" s="29">
        <f>AVERAGE(densidade_hab_indL!AC92:AC94)</f>
        <v>0</v>
      </c>
      <c r="AD32" s="29">
        <f>AVERAGE(densidade_hab_indL!AD92:AD94)</f>
        <v>0</v>
      </c>
      <c r="AE32" s="29">
        <f>AVERAGE(densidade_hab_indL!AE92:AE94)</f>
        <v>0</v>
      </c>
      <c r="AF32" s="29">
        <f>AVERAGE(densidade_hab_indL!AF92:AF94)</f>
        <v>0</v>
      </c>
      <c r="AG32" s="29">
        <f>AVERAGE(densidade_hab_indL!AG92:AG94)</f>
        <v>0</v>
      </c>
      <c r="AH32" s="29">
        <f>AVERAGE(densidade_hab_indL!AH92:AH94)</f>
        <v>0</v>
      </c>
      <c r="AI32" s="29">
        <f>AVERAGE(densidade_hab_indL!AI92:AI94)</f>
        <v>0</v>
      </c>
      <c r="AJ32" s="29">
        <f>AVERAGE(densidade_hab_indL!AJ92:AJ94)</f>
        <v>0</v>
      </c>
      <c r="AK32" s="29">
        <f>AVERAGE(densidade_hab_indL!AK92:AK94)</f>
        <v>0</v>
      </c>
      <c r="AL32" s="29">
        <f>AVERAGE(densidade_hab_indL!AL92:AL94)</f>
        <v>0</v>
      </c>
      <c r="AM32" s="29">
        <f>AVERAGE(densidade_hab_indL!AM92:AM94)</f>
        <v>0</v>
      </c>
      <c r="AN32" s="29">
        <f>AVERAGE(densidade_hab_indL!AN92:AN94)</f>
        <v>0</v>
      </c>
      <c r="AO32" s="29">
        <f>AVERAGE(densidade_hab_indL!AO92:AO94)</f>
        <v>0</v>
      </c>
      <c r="AP32" s="29">
        <f>AVERAGE(densidade_hab_indL!AP92:AP94)</f>
        <v>0</v>
      </c>
      <c r="AQ32" s="29">
        <f>AVERAGE(densidade_hab_indL!AQ92:AQ94)</f>
        <v>0</v>
      </c>
      <c r="AR32" s="29">
        <f>AVERAGE(densidade_hab_indL!AR92:AR94)</f>
        <v>0</v>
      </c>
      <c r="AS32" s="29">
        <f>AVERAGE(densidade_hab_indL!AS92:AS94)</f>
        <v>0</v>
      </c>
      <c r="AT32" s="29">
        <f>AVERAGE(densidade_hab_indL!AT92:AT94)</f>
        <v>0</v>
      </c>
      <c r="AU32" s="29">
        <f>AVERAGE(densidade_hab_indL!AU92:AU94)</f>
        <v>0</v>
      </c>
      <c r="AV32" s="29">
        <f>AVERAGE(densidade_hab_indL!AV92:AV94)</f>
        <v>4.6666666666666669E-2</v>
      </c>
      <c r="AW32" s="29">
        <f>AVERAGE(densidade_hab_indL!AW92:AW94)</f>
        <v>0</v>
      </c>
      <c r="AX32" s="29">
        <f>AVERAGE(densidade_hab_indL!AX92:AX94)</f>
        <v>0</v>
      </c>
      <c r="AY32" s="29">
        <f>AVERAGE(densidade_hab_indL!AY92:AY94)</f>
        <v>0</v>
      </c>
      <c r="AZ32" s="29">
        <f>AVERAGE(densidade_hab_indL!AZ92:AZ94)</f>
        <v>0</v>
      </c>
      <c r="BA32" s="29">
        <f>AVERAGE(densidade_hab_indL!BA92:BA94)</f>
        <v>0</v>
      </c>
      <c r="BB32" s="29">
        <f>AVERAGE(densidade_hab_indL!BB92:BB94)</f>
        <v>0</v>
      </c>
      <c r="BC32" s="29">
        <f>AVERAGE(densidade_hab_indL!BC92:BC94)</f>
        <v>0</v>
      </c>
      <c r="BD32" s="29">
        <f>AVERAGE(densidade_hab_indL!BD92:BD94)</f>
        <v>0</v>
      </c>
      <c r="BE32" s="29">
        <f>AVERAGE(densidade_hab_indL!BE92:BE94)</f>
        <v>0</v>
      </c>
      <c r="BF32" s="29">
        <f>AVERAGE(densidade_hab_indL!BF92:BF94)</f>
        <v>0</v>
      </c>
      <c r="BG32" s="29">
        <f>AVERAGE(densidade_hab_indL!BG92:BG94)</f>
        <v>0</v>
      </c>
    </row>
    <row r="33" spans="1:59" ht="12.75" customHeight="1" x14ac:dyDescent="0.25">
      <c r="A33" s="4" t="s">
        <v>336</v>
      </c>
      <c r="B33" s="29">
        <f>AVERAGE(densidade_hab_indL!B95:B97)</f>
        <v>6.6666666666666671E-3</v>
      </c>
      <c r="C33" s="29">
        <f>AVERAGE(densidade_hab_indL!C95:C97)</f>
        <v>6.6666666666666671E-3</v>
      </c>
      <c r="D33" s="29">
        <f>AVERAGE(densidade_hab_indL!D95:D97)</f>
        <v>0</v>
      </c>
      <c r="E33" s="29">
        <f>AVERAGE(densidade_hab_indL!E95:E97)</f>
        <v>0.82666666666666666</v>
      </c>
      <c r="F33" s="29">
        <f>AVERAGE(densidade_hab_indL!F95:F97)</f>
        <v>0</v>
      </c>
      <c r="G33" s="29">
        <f>AVERAGE(densidade_hab_indL!G95:G97)</f>
        <v>0</v>
      </c>
      <c r="H33" s="29">
        <f>AVERAGE(densidade_hab_indL!H95:H97)</f>
        <v>0</v>
      </c>
      <c r="I33" s="29">
        <f>AVERAGE(densidade_hab_indL!I95:I97)</f>
        <v>1.3333333333333334E-2</v>
      </c>
      <c r="J33" s="29">
        <f>AVERAGE(densidade_hab_indL!J95:J97)</f>
        <v>1.3333333333333334E-2</v>
      </c>
      <c r="K33" s="29">
        <f>AVERAGE(densidade_hab_indL!K95:K97)</f>
        <v>0</v>
      </c>
      <c r="L33" s="29">
        <f>AVERAGE(densidade_hab_indL!L95:L97)</f>
        <v>0</v>
      </c>
      <c r="M33" s="29">
        <f>AVERAGE(densidade_hab_indL!M95:M97)</f>
        <v>0</v>
      </c>
      <c r="N33" s="29">
        <f>AVERAGE(densidade_hab_indL!N95:N97)</f>
        <v>0</v>
      </c>
      <c r="O33" s="29">
        <f>AVERAGE(densidade_hab_indL!O95:O97)</f>
        <v>0</v>
      </c>
      <c r="P33" s="29">
        <f>AVERAGE(densidade_hab_indL!P95:P97)</f>
        <v>0</v>
      </c>
      <c r="Q33" s="29">
        <f>AVERAGE(densidade_hab_indL!Q95:Q97)</f>
        <v>0</v>
      </c>
      <c r="R33" s="29">
        <f>AVERAGE(densidade_hab_indL!R95:R97)</f>
        <v>0</v>
      </c>
      <c r="S33" s="29">
        <f>AVERAGE(densidade_hab_indL!S95:S97)</f>
        <v>0</v>
      </c>
      <c r="T33" s="29">
        <f>AVERAGE(densidade_hab_indL!T95:T97)</f>
        <v>0</v>
      </c>
      <c r="U33" s="29">
        <f>AVERAGE(densidade_hab_indL!U95:U97)</f>
        <v>0</v>
      </c>
      <c r="V33" s="29">
        <f>AVERAGE(densidade_hab_indL!V95:V97)</f>
        <v>0</v>
      </c>
      <c r="W33" s="29">
        <f>AVERAGE(densidade_hab_indL!W95:W97)</f>
        <v>0</v>
      </c>
      <c r="X33" s="29">
        <f>AVERAGE(densidade_hab_indL!X95:X97)</f>
        <v>0</v>
      </c>
      <c r="Y33" s="29">
        <f>AVERAGE(densidade_hab_indL!Y95:Y97)</f>
        <v>0</v>
      </c>
      <c r="Z33" s="29">
        <f>AVERAGE(densidade_hab_indL!Z95:Z97)</f>
        <v>0</v>
      </c>
      <c r="AA33" s="29">
        <f>AVERAGE(densidade_hab_indL!AA95:AA97)</f>
        <v>6.6666666666666671E-3</v>
      </c>
      <c r="AB33" s="29">
        <f>AVERAGE(densidade_hab_indL!AB95:AB97)</f>
        <v>0</v>
      </c>
      <c r="AC33" s="29">
        <f>AVERAGE(densidade_hab_indL!AC95:AC97)</f>
        <v>0</v>
      </c>
      <c r="AD33" s="29">
        <f>AVERAGE(densidade_hab_indL!AD95:AD97)</f>
        <v>0</v>
      </c>
      <c r="AE33" s="29">
        <f>AVERAGE(densidade_hab_indL!AE95:AE97)</f>
        <v>0</v>
      </c>
      <c r="AF33" s="29">
        <f>AVERAGE(densidade_hab_indL!AF95:AF97)</f>
        <v>0</v>
      </c>
      <c r="AG33" s="29">
        <f>AVERAGE(densidade_hab_indL!AG95:AG97)</f>
        <v>0</v>
      </c>
      <c r="AH33" s="29">
        <f>AVERAGE(densidade_hab_indL!AH95:AH97)</f>
        <v>0</v>
      </c>
      <c r="AI33" s="29">
        <f>AVERAGE(densidade_hab_indL!AI95:AI97)</f>
        <v>0</v>
      </c>
      <c r="AJ33" s="29">
        <f>AVERAGE(densidade_hab_indL!AJ95:AJ97)</f>
        <v>0</v>
      </c>
      <c r="AK33" s="29">
        <f>AVERAGE(densidade_hab_indL!AK95:AK97)</f>
        <v>0</v>
      </c>
      <c r="AL33" s="29">
        <f>AVERAGE(densidade_hab_indL!AL95:AL97)</f>
        <v>0</v>
      </c>
      <c r="AM33" s="29">
        <f>AVERAGE(densidade_hab_indL!AM95:AM97)</f>
        <v>0</v>
      </c>
      <c r="AN33" s="29">
        <f>AVERAGE(densidade_hab_indL!AN95:AN97)</f>
        <v>0</v>
      </c>
      <c r="AO33" s="29">
        <f>AVERAGE(densidade_hab_indL!AO95:AO97)</f>
        <v>0</v>
      </c>
      <c r="AP33" s="29">
        <f>AVERAGE(densidade_hab_indL!AP95:AP97)</f>
        <v>6.6666666666666671E-3</v>
      </c>
      <c r="AQ33" s="29">
        <f>AVERAGE(densidade_hab_indL!AQ95:AQ97)</f>
        <v>0</v>
      </c>
      <c r="AR33" s="29">
        <f>AVERAGE(densidade_hab_indL!AR95:AR97)</f>
        <v>0</v>
      </c>
      <c r="AS33" s="29">
        <f>AVERAGE(densidade_hab_indL!AS95:AS97)</f>
        <v>0</v>
      </c>
      <c r="AT33" s="29">
        <f>AVERAGE(densidade_hab_indL!AT95:AT97)</f>
        <v>0</v>
      </c>
      <c r="AU33" s="29">
        <f>AVERAGE(densidade_hab_indL!AU95:AU97)</f>
        <v>0</v>
      </c>
      <c r="AV33" s="29">
        <f>AVERAGE(densidade_hab_indL!AV95:AV97)</f>
        <v>1.3333333333333334E-2</v>
      </c>
      <c r="AW33" s="29">
        <f>AVERAGE(densidade_hab_indL!AW95:AW97)</f>
        <v>0</v>
      </c>
      <c r="AX33" s="29">
        <f>AVERAGE(densidade_hab_indL!AX95:AX97)</f>
        <v>0</v>
      </c>
      <c r="AY33" s="29">
        <f>AVERAGE(densidade_hab_indL!AY95:AY97)</f>
        <v>6.6666666666666671E-3</v>
      </c>
      <c r="AZ33" s="29">
        <f>AVERAGE(densidade_hab_indL!AZ95:AZ97)</f>
        <v>0</v>
      </c>
      <c r="BA33" s="29">
        <f>AVERAGE(densidade_hab_indL!BA95:BA97)</f>
        <v>0</v>
      </c>
      <c r="BB33" s="29">
        <f>AVERAGE(densidade_hab_indL!BB95:BB97)</f>
        <v>0</v>
      </c>
      <c r="BC33" s="29">
        <f>AVERAGE(densidade_hab_indL!BC95:BC97)</f>
        <v>0</v>
      </c>
      <c r="BD33" s="29">
        <f>AVERAGE(densidade_hab_indL!BD95:BD97)</f>
        <v>6.6666666666666671E-3</v>
      </c>
      <c r="BE33" s="29">
        <f>AVERAGE(densidade_hab_indL!BE95:BE97)</f>
        <v>0</v>
      </c>
      <c r="BF33" s="29">
        <f>AVERAGE(densidade_hab_indL!BF95:BF97)</f>
        <v>1.3333333333333334E-2</v>
      </c>
      <c r="BG33" s="29">
        <f>AVERAGE(densidade_hab_indL!BG95:BG97)</f>
        <v>0</v>
      </c>
    </row>
    <row r="34" spans="1:59" ht="12.75" customHeight="1" x14ac:dyDescent="0.25"/>
    <row r="35" spans="1:59" ht="12.75" customHeight="1" x14ac:dyDescent="0.25"/>
    <row r="36" spans="1:59" ht="12.75" customHeight="1" x14ac:dyDescent="0.25"/>
    <row r="37" spans="1:59" ht="12.75" customHeight="1" x14ac:dyDescent="0.25"/>
    <row r="38" spans="1:59" ht="12.75" customHeight="1" x14ac:dyDescent="0.25"/>
    <row r="39" spans="1:59" ht="12.75" customHeight="1" x14ac:dyDescent="0.25"/>
    <row r="40" spans="1:59" ht="12.75" customHeight="1" x14ac:dyDescent="0.25"/>
    <row r="41" spans="1:59" ht="12.75" customHeight="1" x14ac:dyDescent="0.25"/>
    <row r="42" spans="1:59" ht="12.75" customHeight="1" x14ac:dyDescent="0.25"/>
    <row r="43" spans="1:59" ht="12.75" customHeight="1" x14ac:dyDescent="0.25"/>
    <row r="44" spans="1:59" ht="12.75" customHeight="1" x14ac:dyDescent="0.25"/>
    <row r="45" spans="1:59" ht="12.75" customHeight="1" x14ac:dyDescent="0.25"/>
    <row r="46" spans="1:59" ht="12.75" customHeight="1" x14ac:dyDescent="0.25"/>
    <row r="47" spans="1:59" ht="12.75" customHeight="1" x14ac:dyDescent="0.25"/>
    <row r="48" spans="1:5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" bottom="0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60" zoomScaleNormal="60" workbookViewId="0"/>
  </sheetViews>
  <sheetFormatPr defaultColWidth="11.5703125" defaultRowHeight="15" customHeight="1" x14ac:dyDescent="0.25"/>
  <cols>
    <col min="1" max="5" width="20.5703125" customWidth="1"/>
    <col min="6" max="6" width="9.28515625" customWidth="1"/>
    <col min="7" max="8" width="20.5703125" customWidth="1"/>
    <col min="9" max="26" width="8.7109375" customWidth="1"/>
    <col min="27" max="1024" width="14.42578125" customWidth="1"/>
  </cols>
  <sheetData>
    <row r="1" spans="1:26" ht="14.25" customHeight="1" x14ac:dyDescent="0.25">
      <c r="A1" s="1" t="s">
        <v>337</v>
      </c>
      <c r="B1" s="3"/>
      <c r="C1" s="3"/>
      <c r="D1" s="3" t="s">
        <v>338</v>
      </c>
      <c r="E1" s="3" t="s">
        <v>339</v>
      </c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2" t="s">
        <v>340</v>
      </c>
      <c r="B2" s="2" t="s">
        <v>1</v>
      </c>
      <c r="C2" s="2" t="s">
        <v>341</v>
      </c>
      <c r="D2" s="2" t="s">
        <v>4</v>
      </c>
      <c r="E2" s="2" t="s">
        <v>342</v>
      </c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3" t="s">
        <v>343</v>
      </c>
      <c r="B3" s="3" t="s">
        <v>344</v>
      </c>
      <c r="C3" s="3" t="s">
        <v>345</v>
      </c>
      <c r="D3" s="3" t="s">
        <v>346</v>
      </c>
      <c r="E3" s="3" t="s">
        <v>347</v>
      </c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3" t="s">
        <v>348</v>
      </c>
      <c r="B4" s="3" t="s">
        <v>345</v>
      </c>
      <c r="C4" s="3" t="s">
        <v>345</v>
      </c>
      <c r="D4" s="3" t="s">
        <v>349</v>
      </c>
      <c r="E4" s="3" t="s">
        <v>350</v>
      </c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3" t="s">
        <v>351</v>
      </c>
      <c r="B5" s="3" t="s">
        <v>345</v>
      </c>
      <c r="C5" s="3" t="s">
        <v>345</v>
      </c>
      <c r="D5" s="3" t="s">
        <v>352</v>
      </c>
      <c r="E5" s="3" t="s">
        <v>353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3" t="s">
        <v>354</v>
      </c>
      <c r="B6" s="3" t="s">
        <v>345</v>
      </c>
      <c r="C6" s="3" t="s">
        <v>345</v>
      </c>
      <c r="D6" s="3" t="s">
        <v>345</v>
      </c>
      <c r="E6" s="3" t="s">
        <v>345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3" t="s">
        <v>355</v>
      </c>
      <c r="B7" s="3" t="s">
        <v>345</v>
      </c>
      <c r="C7" s="3" t="s">
        <v>345</v>
      </c>
      <c r="D7" s="3" t="s">
        <v>345</v>
      </c>
      <c r="E7" s="3" t="s">
        <v>345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25">
      <c r="A8" s="3">
        <v>40</v>
      </c>
      <c r="B8" s="3" t="s">
        <v>345</v>
      </c>
      <c r="C8" s="3" t="s">
        <v>345</v>
      </c>
      <c r="D8" s="3">
        <v>3</v>
      </c>
      <c r="E8" s="3">
        <v>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25">
      <c r="A9" s="3">
        <f>A8*1</f>
        <v>40</v>
      </c>
      <c r="B9" s="3" t="s">
        <v>345</v>
      </c>
      <c r="C9" s="3" t="s">
        <v>345</v>
      </c>
      <c r="D9" s="3">
        <f>D8*A8</f>
        <v>120</v>
      </c>
      <c r="E9" s="3">
        <f>E8*D9</f>
        <v>360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5">
      <c r="A10" s="3"/>
      <c r="B10" s="3"/>
      <c r="C10" s="3"/>
      <c r="D10" s="3"/>
      <c r="E10" s="3"/>
      <c r="F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5">
      <c r="A11" s="3"/>
      <c r="B11" s="3"/>
      <c r="C11" s="3"/>
      <c r="D11" s="3"/>
      <c r="E11" s="3"/>
      <c r="F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5">
      <c r="A12" s="3"/>
      <c r="B12" s="3"/>
      <c r="C12" s="3"/>
      <c r="D12" s="3"/>
      <c r="E12" s="3"/>
      <c r="F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5">
      <c r="A13" s="30" t="s">
        <v>356</v>
      </c>
      <c r="B13" s="3" t="s">
        <v>357</v>
      </c>
      <c r="C13" s="3"/>
      <c r="D13" s="3"/>
      <c r="E13" s="3"/>
      <c r="F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5">
      <c r="A14" s="31" t="s">
        <v>358</v>
      </c>
      <c r="B14" s="3" t="s">
        <v>359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5">
      <c r="A15" s="32" t="s">
        <v>360</v>
      </c>
      <c r="B15" s="3" t="s">
        <v>361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5">
      <c r="A16" s="33" t="s">
        <v>362</v>
      </c>
      <c r="B16" s="34" t="s">
        <v>363</v>
      </c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5">
      <c r="A17" s="3" t="s">
        <v>364</v>
      </c>
      <c r="B17" s="3" t="s">
        <v>365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0555555555596" right="0.51180555555555596" top="2.3624999999999998" bottom="2.3624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ME1000"/>
  <sheetViews>
    <sheetView topLeftCell="D1" zoomScale="60" zoomScaleNormal="60" workbookViewId="0">
      <selection activeCell="D1" sqref="D1"/>
    </sheetView>
  </sheetViews>
  <sheetFormatPr defaultColWidth="11.5703125" defaultRowHeight="15" customHeight="1" x14ac:dyDescent="0.25"/>
  <cols>
    <col min="1" max="1" width="16.28515625" style="7" customWidth="1"/>
    <col min="2" max="2" width="8.7109375" style="7" customWidth="1"/>
    <col min="3" max="3" width="36.140625" style="7" customWidth="1"/>
    <col min="4" max="9" width="8.7109375" style="7" customWidth="1"/>
    <col min="10" max="10" width="16.28515625" style="7" customWidth="1"/>
    <col min="11" max="11" width="8.7109375" style="35" customWidth="1"/>
    <col min="12" max="12" width="36.140625" style="35" customWidth="1"/>
    <col min="13" max="13" width="13.28515625" style="35" customWidth="1"/>
    <col min="14" max="14" width="8.7109375" style="35" customWidth="1"/>
    <col min="15" max="21" width="8.7109375" style="7" customWidth="1"/>
    <col min="22" max="1019" width="14.42578125" style="7" customWidth="1"/>
  </cols>
  <sheetData>
    <row r="1" spans="1:17" ht="15.75" customHeight="1" x14ac:dyDescent="0.25">
      <c r="A1" s="36" t="s">
        <v>366</v>
      </c>
      <c r="B1" s="37"/>
      <c r="C1" s="37"/>
      <c r="D1" s="37"/>
      <c r="E1" s="37"/>
      <c r="F1" s="37"/>
      <c r="G1" s="37"/>
      <c r="H1" s="37"/>
      <c r="I1" s="37"/>
      <c r="J1" s="36" t="s">
        <v>367</v>
      </c>
      <c r="L1" s="38"/>
      <c r="O1" s="37"/>
      <c r="P1" s="37"/>
      <c r="Q1" s="39" t="s">
        <v>368</v>
      </c>
    </row>
    <row r="2" spans="1:17" ht="15.75" customHeight="1" x14ac:dyDescent="0.25">
      <c r="A2" s="39" t="str">
        <f>"total = "&amp;SUM(B3:B121)</f>
        <v>total = 84</v>
      </c>
      <c r="B2" s="37"/>
      <c r="C2" s="36" t="s">
        <v>369</v>
      </c>
      <c r="D2" s="37"/>
      <c r="E2" s="37"/>
      <c r="F2" s="37"/>
      <c r="G2" s="37"/>
      <c r="H2" s="37"/>
      <c r="I2" s="37"/>
      <c r="J2" s="39" t="str">
        <f>"total = "&amp;SUM(K3:K91)</f>
        <v>total = 58</v>
      </c>
      <c r="L2" s="40" t="s">
        <v>369</v>
      </c>
      <c r="O2" s="37"/>
      <c r="P2" s="37"/>
      <c r="Q2" s="41" t="s">
        <v>370</v>
      </c>
    </row>
    <row r="3" spans="1:17" ht="15.75" customHeight="1" x14ac:dyDescent="0.25">
      <c r="A3" s="39" t="str">
        <f>"Rotifera = "&amp;SUM(B3:B88)</f>
        <v>Rotifera = 63</v>
      </c>
      <c r="B3" s="37"/>
      <c r="C3" s="36" t="s">
        <v>371</v>
      </c>
      <c r="D3" s="37"/>
      <c r="E3" s="39" t="s">
        <v>11</v>
      </c>
      <c r="F3" s="39" t="s">
        <v>36</v>
      </c>
      <c r="G3" s="39" t="s">
        <v>372</v>
      </c>
      <c r="H3" s="39" t="s">
        <v>373</v>
      </c>
      <c r="I3" s="37"/>
      <c r="J3" s="36" t="str">
        <f>"Rotifera = "&amp;SUM(K3:K59)</f>
        <v>Rotifera = 40</v>
      </c>
      <c r="L3" s="40" t="s">
        <v>371</v>
      </c>
      <c r="N3" s="15" t="str">
        <f>"N= "&amp;SUM(N4:N131)</f>
        <v>N= 4420</v>
      </c>
      <c r="O3" s="37"/>
      <c r="P3" s="37"/>
      <c r="Q3" s="41" t="s">
        <v>374</v>
      </c>
    </row>
    <row r="4" spans="1:17" ht="15.75" customHeight="1" x14ac:dyDescent="0.25">
      <c r="A4" s="39" t="str">
        <f>"Rot spp = "&amp;SUM(B6:B88)</f>
        <v>Rot spp = 62</v>
      </c>
      <c r="B4" s="39">
        <v>1</v>
      </c>
      <c r="C4" s="39" t="s">
        <v>375</v>
      </c>
      <c r="D4" s="39" t="s">
        <v>98</v>
      </c>
      <c r="E4" s="42">
        <v>1.74320987654321</v>
      </c>
      <c r="F4" s="42">
        <v>1.61975308641975</v>
      </c>
      <c r="G4" s="42">
        <v>0</v>
      </c>
      <c r="H4" s="42">
        <v>0</v>
      </c>
      <c r="I4" s="37"/>
      <c r="J4" s="36" t="str">
        <f>"Cladocera = "&amp;SUM(K61:K79)</f>
        <v>Cladocera = 12</v>
      </c>
      <c r="K4" s="15">
        <v>1</v>
      </c>
      <c r="L4" s="15" t="s">
        <v>98</v>
      </c>
      <c r="M4" s="15" t="s">
        <v>98</v>
      </c>
      <c r="N4" s="43">
        <f>SUM(rebio23_80ml!E3:E50)</f>
        <v>1829</v>
      </c>
      <c r="O4" s="42"/>
      <c r="P4" s="37"/>
      <c r="Q4" s="41" t="s">
        <v>376</v>
      </c>
    </row>
    <row r="5" spans="1:17" ht="15.75" customHeight="1" x14ac:dyDescent="0.25">
      <c r="A5" s="39" t="str">
        <f>"Cladocera = "&amp;SUM(B94:B112)</f>
        <v>Cladocera = 15</v>
      </c>
      <c r="B5" s="39">
        <v>0</v>
      </c>
      <c r="C5" s="36" t="s">
        <v>377</v>
      </c>
      <c r="D5" s="37"/>
      <c r="E5" s="42"/>
      <c r="F5" s="42"/>
      <c r="G5" s="42"/>
      <c r="H5" s="42"/>
      <c r="I5" s="37"/>
      <c r="J5" s="36" t="str">
        <f>"Copepoda = "&amp;SUM(K81:K91)</f>
        <v>Copepoda = 6</v>
      </c>
      <c r="K5" s="15">
        <v>0</v>
      </c>
      <c r="L5" s="40" t="s">
        <v>377</v>
      </c>
      <c r="N5" s="43"/>
      <c r="O5" s="42"/>
      <c r="P5" s="37"/>
      <c r="Q5" s="37"/>
    </row>
    <row r="6" spans="1:17" ht="15.75" customHeight="1" x14ac:dyDescent="0.25">
      <c r="A6" s="39" t="str">
        <f>"Copepoda = "&amp;SUM(B114:B122)</f>
        <v>Copepoda = 6</v>
      </c>
      <c r="B6" s="39">
        <v>1</v>
      </c>
      <c r="C6" s="39" t="s">
        <v>107</v>
      </c>
      <c r="D6" s="39" t="s">
        <v>163</v>
      </c>
      <c r="E6" s="42">
        <v>0</v>
      </c>
      <c r="F6" s="42">
        <v>0</v>
      </c>
      <c r="G6" s="42">
        <v>0.48</v>
      </c>
      <c r="H6" s="42">
        <v>0.35555555555555701</v>
      </c>
      <c r="I6" s="37"/>
      <c r="J6" s="39" t="str">
        <f>"Rot spp = "&amp;SUM(K5:K59)</f>
        <v>Rot spp = 39</v>
      </c>
      <c r="K6" s="15">
        <v>1</v>
      </c>
      <c r="L6" s="15" t="s">
        <v>107</v>
      </c>
      <c r="M6" s="15" t="s">
        <v>163</v>
      </c>
      <c r="N6" s="43">
        <f>SUM(rebio23_80ml!N3:N50)</f>
        <v>2</v>
      </c>
      <c r="O6" s="42"/>
      <c r="P6" s="37"/>
      <c r="Q6" s="37"/>
    </row>
    <row r="7" spans="1:17" ht="15.75" customHeight="1" x14ac:dyDescent="0.25">
      <c r="A7" s="39" t="str">
        <f>"Rot fam = "&amp;COUNTIF(B4:B88,"0")</f>
        <v>Rot fam = 19</v>
      </c>
      <c r="B7" s="39">
        <v>1</v>
      </c>
      <c r="C7" s="39" t="s">
        <v>378</v>
      </c>
      <c r="D7" s="39" t="s">
        <v>379</v>
      </c>
      <c r="E7" s="42">
        <v>0</v>
      </c>
      <c r="F7" s="42">
        <v>0</v>
      </c>
      <c r="G7" s="42">
        <v>0.16</v>
      </c>
      <c r="H7" s="42">
        <v>0</v>
      </c>
      <c r="I7" s="37"/>
      <c r="J7" s="39" t="str">
        <f>"Rot fam = "&amp;COUNTIF(K4:K59,"0")</f>
        <v>Rot fam = 14</v>
      </c>
      <c r="K7" s="15">
        <v>0</v>
      </c>
      <c r="L7" s="40" t="s">
        <v>380</v>
      </c>
      <c r="N7" s="43"/>
      <c r="O7" s="42"/>
      <c r="P7" s="37"/>
      <c r="Q7" s="37"/>
    </row>
    <row r="8" spans="1:17" ht="15.75" customHeight="1" x14ac:dyDescent="0.25">
      <c r="A8" s="39" t="str">
        <f>"Phil = "&amp;SUM(B6:B8)</f>
        <v>Phil = 3</v>
      </c>
      <c r="B8" s="39">
        <v>1</v>
      </c>
      <c r="C8" s="39" t="s">
        <v>381</v>
      </c>
      <c r="D8" s="39" t="s">
        <v>382</v>
      </c>
      <c r="E8" s="42">
        <v>0.16790123456790201</v>
      </c>
      <c r="F8" s="42">
        <v>0.31604938271604999</v>
      </c>
      <c r="G8" s="42">
        <v>3.5199999999999898</v>
      </c>
      <c r="H8" s="42">
        <v>10.133333333333301</v>
      </c>
      <c r="I8" s="37"/>
      <c r="J8" s="39" t="str">
        <f>"Phil = "&amp;SUM(K6)</f>
        <v>Phil = 1</v>
      </c>
      <c r="K8" s="15">
        <v>1</v>
      </c>
      <c r="L8" s="15" t="s">
        <v>104</v>
      </c>
      <c r="M8" s="15" t="s">
        <v>383</v>
      </c>
      <c r="N8" s="43">
        <f>SUM(rebio23_80ml!K3:K50)</f>
        <v>2</v>
      </c>
      <c r="O8" s="42"/>
      <c r="P8" s="37"/>
      <c r="Q8" s="37"/>
    </row>
    <row r="9" spans="1:17" ht="15.75" customHeight="1" x14ac:dyDescent="0.25">
      <c r="A9" s="39" t="str">
        <f>"Dicran = "&amp;SUM(B12)</f>
        <v>Dicran = 1</v>
      </c>
      <c r="B9"/>
      <c r="C9" s="36" t="s">
        <v>384</v>
      </c>
      <c r="D9"/>
      <c r="E9"/>
      <c r="F9"/>
      <c r="G9"/>
      <c r="H9"/>
      <c r="I9" s="37"/>
      <c r="J9" s="39" t="str">
        <f>"Dicran = "&amp;SUM(K8)</f>
        <v>Dicran = 1</v>
      </c>
      <c r="K9" s="38">
        <v>0</v>
      </c>
      <c r="L9" s="44" t="s">
        <v>385</v>
      </c>
      <c r="M9" s="38"/>
      <c r="N9" s="38"/>
      <c r="O9" s="42"/>
      <c r="P9" s="37"/>
      <c r="Q9" s="37"/>
    </row>
    <row r="10" spans="1:17" ht="15.75" customHeight="1" x14ac:dyDescent="0.25">
      <c r="A10" s="39" t="str">
        <f>"Lec = "&amp;SUM(B14:B31)</f>
        <v>Lec = 18</v>
      </c>
      <c r="B10"/>
      <c r="C10" s="39" t="s">
        <v>386</v>
      </c>
      <c r="D10"/>
      <c r="E10"/>
      <c r="F10"/>
      <c r="G10"/>
      <c r="H10"/>
      <c r="I10" s="37"/>
      <c r="J10" s="39" t="str">
        <f>"Lec = "&amp;SUM(K13:K28)</f>
        <v>Lec = 15</v>
      </c>
      <c r="K10" s="38">
        <v>1</v>
      </c>
      <c r="L10" s="20" t="s">
        <v>100</v>
      </c>
      <c r="M10" s="15" t="s">
        <v>157</v>
      </c>
      <c r="N10" s="43">
        <f>SUM(rebio23_80ml!G3:G50)</f>
        <v>10</v>
      </c>
      <c r="O10" s="42"/>
      <c r="P10" s="37"/>
      <c r="Q10" s="37"/>
    </row>
    <row r="11" spans="1:17" ht="15.75" customHeight="1" x14ac:dyDescent="0.25">
      <c r="A11" s="39" t="str">
        <f>"Bra = "&amp;SUM(B33:B46)</f>
        <v>Bra = 14</v>
      </c>
      <c r="B11" s="39">
        <v>0</v>
      </c>
      <c r="C11" s="36" t="s">
        <v>380</v>
      </c>
      <c r="D11" s="37"/>
      <c r="E11" s="42"/>
      <c r="F11" s="42"/>
      <c r="G11" s="42"/>
      <c r="H11" s="42"/>
      <c r="I11" s="37"/>
      <c r="J11" s="39" t="str">
        <f>"Bra = "&amp;SUM(K30:K32)</f>
        <v>Bra = 3</v>
      </c>
      <c r="L11" s="40" t="s">
        <v>384</v>
      </c>
      <c r="N11" s="43"/>
      <c r="O11" s="42"/>
      <c r="P11" s="37"/>
      <c r="Q11" s="37"/>
    </row>
    <row r="12" spans="1:17" ht="15.75" customHeight="1" x14ac:dyDescent="0.25">
      <c r="A12" s="39" t="str">
        <f>"Lep = "&amp;SUM(B48:B51)</f>
        <v>Lep = 4</v>
      </c>
      <c r="B12" s="39">
        <v>1</v>
      </c>
      <c r="C12" s="39" t="s">
        <v>104</v>
      </c>
      <c r="D12" s="39" t="s">
        <v>383</v>
      </c>
      <c r="E12" s="42">
        <v>0</v>
      </c>
      <c r="F12" s="42">
        <v>0</v>
      </c>
      <c r="G12" s="42">
        <v>6.88</v>
      </c>
      <c r="H12" s="42">
        <v>0</v>
      </c>
      <c r="I12" s="37"/>
      <c r="J12" s="39" t="str">
        <f>"Lep = "&amp;SUM(K34:K37)</f>
        <v>Lep = 4</v>
      </c>
      <c r="L12" s="40" t="s">
        <v>387</v>
      </c>
      <c r="N12" s="43"/>
      <c r="O12" s="42"/>
      <c r="P12" s="37"/>
      <c r="Q12" s="37"/>
    </row>
    <row r="13" spans="1:17" ht="15.75" customHeight="1" x14ac:dyDescent="0.25">
      <c r="A13" s="39" t="str">
        <f>"Chy = "&amp;SUM(B94:B100)</f>
        <v>Chy = 7</v>
      </c>
      <c r="B13" s="39">
        <v>0</v>
      </c>
      <c r="C13" s="36" t="s">
        <v>388</v>
      </c>
      <c r="D13" s="37"/>
      <c r="E13" s="42"/>
      <c r="F13" s="42"/>
      <c r="G13" s="42"/>
      <c r="H13" s="42"/>
      <c r="I13" s="37"/>
      <c r="J13" s="39" t="str">
        <f>"Chy = "&amp;SUM(K63:K68)</f>
        <v>Chy = 5</v>
      </c>
      <c r="K13" s="15">
        <v>0</v>
      </c>
      <c r="L13" s="40" t="s">
        <v>388</v>
      </c>
      <c r="O13" s="37"/>
      <c r="P13" s="37"/>
      <c r="Q13" s="37"/>
    </row>
    <row r="14" spans="1:17" ht="15.75" customHeight="1" x14ac:dyDescent="0.25">
      <c r="A14" s="39" t="str">
        <f>"Mac = "&amp;SUM(B102:B105)</f>
        <v>Mac = 4</v>
      </c>
      <c r="B14" s="39">
        <v>1</v>
      </c>
      <c r="C14" s="39" t="s">
        <v>389</v>
      </c>
      <c r="D14" s="39" t="s">
        <v>167</v>
      </c>
      <c r="E14" s="42">
        <v>0.148148148148148</v>
      </c>
      <c r="F14" s="42">
        <v>6.9135802469135796E-2</v>
      </c>
      <c r="G14" s="42">
        <v>0</v>
      </c>
      <c r="H14" s="42">
        <v>0</v>
      </c>
      <c r="I14" s="37"/>
      <c r="J14" s="39" t="str">
        <f>"Mac = "&amp;SUM(K69:K72)</f>
        <v>Mac = 3</v>
      </c>
      <c r="K14" s="15">
        <v>1</v>
      </c>
      <c r="L14" s="15" t="s">
        <v>389</v>
      </c>
      <c r="M14" s="15" t="s">
        <v>167</v>
      </c>
      <c r="N14" s="43">
        <f>SUM(rebio23_80ml!R3:R50)</f>
        <v>1</v>
      </c>
      <c r="O14" s="37"/>
      <c r="P14" s="37"/>
      <c r="Q14" s="37"/>
    </row>
    <row r="15" spans="1:17" ht="15.75" customHeight="1" x14ac:dyDescent="0.25">
      <c r="A15" s="39" t="str">
        <f>"Sid = "&amp;SUM(B107:B108)</f>
        <v>Sid = 2</v>
      </c>
      <c r="B15" s="39">
        <v>1</v>
      </c>
      <c r="C15" s="39" t="s">
        <v>112</v>
      </c>
      <c r="D15" s="39" t="s">
        <v>168</v>
      </c>
      <c r="E15" s="42">
        <v>0.780246913580247</v>
      </c>
      <c r="F15" s="42">
        <v>0.99753086419753101</v>
      </c>
      <c r="G15" s="42">
        <v>8.9600000000000009</v>
      </c>
      <c r="H15" s="42">
        <v>1.06666666666667</v>
      </c>
      <c r="I15" s="37"/>
      <c r="J15" s="39" t="str">
        <f>"Sid = "&amp;SUM(K74:K75)</f>
        <v>Sid = 2</v>
      </c>
      <c r="K15" s="15">
        <v>1</v>
      </c>
      <c r="L15" s="15" t="s">
        <v>112</v>
      </c>
      <c r="M15" s="15" t="s">
        <v>168</v>
      </c>
      <c r="N15" s="43">
        <f>SUM(rebio23_80ml!S3:S50)</f>
        <v>80</v>
      </c>
      <c r="O15" s="37"/>
      <c r="P15" s="37"/>
      <c r="Q15" s="37"/>
    </row>
    <row r="16" spans="1:17" ht="15.75" customHeight="1" x14ac:dyDescent="0.25">
      <c r="A16" s="39" t="str">
        <f>"Juv = "&amp;SUM(B114:B115)</f>
        <v>Juv = 2</v>
      </c>
      <c r="B16" s="39">
        <v>1</v>
      </c>
      <c r="C16" s="39" t="s">
        <v>390</v>
      </c>
      <c r="D16" s="39" t="s">
        <v>169</v>
      </c>
      <c r="E16" s="42">
        <v>2.96296296296297E-2</v>
      </c>
      <c r="F16" s="42">
        <v>4.9382716049382797E-2</v>
      </c>
      <c r="G16" s="42">
        <v>0.42666666666666703</v>
      </c>
      <c r="H16" s="42">
        <v>0</v>
      </c>
      <c r="I16" s="37"/>
      <c r="J16" s="39" t="str">
        <f>"Juv = "&amp;SUM(K81:K82)</f>
        <v>Juv = 2</v>
      </c>
      <c r="K16" s="15">
        <v>1</v>
      </c>
      <c r="L16" s="15" t="s">
        <v>390</v>
      </c>
      <c r="M16" s="15" t="s">
        <v>169</v>
      </c>
      <c r="N16" s="43">
        <f>SUM(rebio23_80ml!T3:T50)</f>
        <v>9</v>
      </c>
      <c r="O16" s="37"/>
      <c r="P16" s="37"/>
      <c r="Q16" s="37"/>
    </row>
    <row r="17" spans="1:17" ht="15.75" customHeight="1" x14ac:dyDescent="0.25">
      <c r="A17" s="39" t="str">
        <f>"Cyc = "&amp;SUM(B118:B119)</f>
        <v>Cyc = 1</v>
      </c>
      <c r="B17" s="39">
        <v>1</v>
      </c>
      <c r="C17" s="39" t="s">
        <v>391</v>
      </c>
      <c r="D17" s="39" t="s">
        <v>170</v>
      </c>
      <c r="E17" s="42">
        <v>9.8765432098765604E-3</v>
      </c>
      <c r="F17" s="42">
        <v>4.9382716049382699E-2</v>
      </c>
      <c r="G17" s="42">
        <v>5.3333333333333302E-2</v>
      </c>
      <c r="H17" s="42">
        <v>0</v>
      </c>
      <c r="I17" s="37"/>
      <c r="J17" s="39" t="str">
        <f>"Cyc = "&amp;SUM(K84:K87)</f>
        <v>Cyc = 3</v>
      </c>
      <c r="K17" s="15">
        <v>1</v>
      </c>
      <c r="L17" s="15" t="s">
        <v>391</v>
      </c>
      <c r="M17" s="15" t="s">
        <v>170</v>
      </c>
      <c r="N17" s="43">
        <f>SUM(rebio23_80ml!U3:U50)</f>
        <v>15</v>
      </c>
      <c r="O17" s="37"/>
      <c r="P17" s="37"/>
      <c r="Q17" s="37"/>
    </row>
    <row r="18" spans="1:17" ht="15.75" customHeight="1" x14ac:dyDescent="0.25">
      <c r="A18" s="39" t="str">
        <f>"Dia = "&amp;SUM(B120:B121)</f>
        <v>Dia = 1</v>
      </c>
      <c r="B18" s="39">
        <v>1</v>
      </c>
      <c r="C18" s="39" t="s">
        <v>392</v>
      </c>
      <c r="D18" s="39" t="s">
        <v>171</v>
      </c>
      <c r="E18" s="42">
        <v>9.8765432098765604E-3</v>
      </c>
      <c r="F18" s="42">
        <v>0</v>
      </c>
      <c r="G18" s="42">
        <v>0.32</v>
      </c>
      <c r="H18" s="42">
        <v>0</v>
      </c>
      <c r="I18" s="37"/>
      <c r="J18" s="39" t="str">
        <f>"Dia = "&amp;SUM(K89:K90)</f>
        <v>Dia = 1</v>
      </c>
      <c r="K18" s="15">
        <v>1</v>
      </c>
      <c r="L18" s="15" t="s">
        <v>392</v>
      </c>
      <c r="M18" s="15" t="s">
        <v>171</v>
      </c>
      <c r="N18" s="43">
        <f>SUM(rebio23_80ml!V3:V50)</f>
        <v>7</v>
      </c>
      <c r="O18" s="37"/>
      <c r="P18" s="37"/>
      <c r="Q18" s="37"/>
    </row>
    <row r="19" spans="1:17" ht="15.75" customHeight="1" x14ac:dyDescent="0.25">
      <c r="A19" s="37"/>
      <c r="B19" s="39">
        <v>1</v>
      </c>
      <c r="C19" s="39" t="s">
        <v>393</v>
      </c>
      <c r="D19" s="39" t="s">
        <v>394</v>
      </c>
      <c r="E19" s="42">
        <v>0</v>
      </c>
      <c r="F19" s="42">
        <v>9.8765432098765604E-3</v>
      </c>
      <c r="G19" s="42">
        <v>0</v>
      </c>
      <c r="H19" s="42">
        <v>0</v>
      </c>
      <c r="I19" s="37"/>
      <c r="J19" s="37"/>
      <c r="K19" s="15">
        <v>1</v>
      </c>
      <c r="L19" s="15" t="s">
        <v>395</v>
      </c>
      <c r="M19" s="15" t="s">
        <v>172</v>
      </c>
      <c r="N19" s="43">
        <f>SUM(rebio23_80ml!W3:W50)</f>
        <v>1</v>
      </c>
      <c r="O19" s="37"/>
      <c r="P19" s="37"/>
      <c r="Q19" s="37"/>
    </row>
    <row r="20" spans="1:17" ht="15.75" customHeight="1" x14ac:dyDescent="0.25">
      <c r="A20" s="37"/>
      <c r="B20" s="39">
        <v>1</v>
      </c>
      <c r="C20" s="39" t="s">
        <v>395</v>
      </c>
      <c r="D20" s="39" t="s">
        <v>172</v>
      </c>
      <c r="E20" s="42">
        <v>0</v>
      </c>
      <c r="F20" s="42">
        <v>6.9135802469136004E-2</v>
      </c>
      <c r="G20" s="42">
        <v>1.2266666666666699</v>
      </c>
      <c r="H20" s="42">
        <v>0.17777777777777801</v>
      </c>
      <c r="I20" s="37"/>
      <c r="J20" s="37"/>
      <c r="K20" s="15">
        <v>1</v>
      </c>
      <c r="L20" s="15" t="s">
        <v>396</v>
      </c>
      <c r="M20" s="15" t="s">
        <v>174</v>
      </c>
      <c r="N20" s="43">
        <f>SUM(rebio23_80ml!Y3:Y50)</f>
        <v>10</v>
      </c>
      <c r="O20" s="37"/>
      <c r="P20" s="37"/>
      <c r="Q20" s="37"/>
    </row>
    <row r="21" spans="1:17" ht="15.75" customHeight="1" x14ac:dyDescent="0.25">
      <c r="A21" s="37"/>
      <c r="B21" s="39">
        <v>1</v>
      </c>
      <c r="C21" s="39" t="s">
        <v>397</v>
      </c>
      <c r="D21" s="39" t="s">
        <v>398</v>
      </c>
      <c r="E21" s="42">
        <v>0</v>
      </c>
      <c r="F21" s="42">
        <v>9.8765432098765604E-3</v>
      </c>
      <c r="G21" s="42">
        <v>0.16</v>
      </c>
      <c r="H21" s="42">
        <v>0</v>
      </c>
      <c r="I21" s="37"/>
      <c r="J21" s="37"/>
      <c r="K21" s="15">
        <v>1</v>
      </c>
      <c r="L21" s="15" t="s">
        <v>119</v>
      </c>
      <c r="M21" s="15" t="s">
        <v>175</v>
      </c>
      <c r="N21" s="43">
        <f>SUM(rebio23_80ml!Z3:Z50)</f>
        <v>11</v>
      </c>
      <c r="O21" s="37"/>
      <c r="P21" s="37"/>
      <c r="Q21" s="37"/>
    </row>
    <row r="22" spans="1:17" ht="15.75" customHeight="1" x14ac:dyDescent="0.25">
      <c r="A22" s="37"/>
      <c r="B22" s="39">
        <v>1</v>
      </c>
      <c r="C22" s="39" t="s">
        <v>399</v>
      </c>
      <c r="D22" s="39" t="s">
        <v>400</v>
      </c>
      <c r="E22" s="42">
        <v>0</v>
      </c>
      <c r="F22" s="42">
        <v>0</v>
      </c>
      <c r="G22" s="42">
        <v>0.37333333333333302</v>
      </c>
      <c r="H22" s="42">
        <v>0</v>
      </c>
      <c r="I22" s="37"/>
      <c r="J22" s="37"/>
      <c r="K22" s="15">
        <v>1</v>
      </c>
      <c r="L22" s="15" t="s">
        <v>401</v>
      </c>
      <c r="M22" s="15" t="s">
        <v>176</v>
      </c>
      <c r="N22" s="43">
        <f>SUM(rebio23_80ml!AA3:AA50)</f>
        <v>21</v>
      </c>
      <c r="O22" s="37"/>
      <c r="P22" s="37"/>
      <c r="Q22" s="37"/>
    </row>
    <row r="23" spans="1:17" ht="15.75" customHeight="1" x14ac:dyDescent="0.25">
      <c r="A23" s="37"/>
      <c r="B23" s="39">
        <v>1</v>
      </c>
      <c r="C23" s="39" t="s">
        <v>402</v>
      </c>
      <c r="D23" s="39" t="s">
        <v>403</v>
      </c>
      <c r="E23" s="42">
        <v>9.8765432098765604E-3</v>
      </c>
      <c r="F23" s="42">
        <v>5.9259259259259303E-2</v>
      </c>
      <c r="G23" s="42">
        <v>0</v>
      </c>
      <c r="H23" s="42">
        <v>0</v>
      </c>
      <c r="I23" s="37"/>
      <c r="J23" s="37"/>
      <c r="K23" s="15">
        <v>1</v>
      </c>
      <c r="L23" s="15" t="s">
        <v>404</v>
      </c>
      <c r="M23" s="15" t="s">
        <v>177</v>
      </c>
      <c r="N23" s="43">
        <f>SUM(rebio23_80ml!AB3:AB50)</f>
        <v>2</v>
      </c>
      <c r="O23" s="37"/>
      <c r="P23" s="37"/>
      <c r="Q23" s="37"/>
    </row>
    <row r="24" spans="1:17" ht="15.75" customHeight="1" x14ac:dyDescent="0.25">
      <c r="A24" s="37"/>
      <c r="B24" s="39">
        <v>1</v>
      </c>
      <c r="C24" s="39" t="s">
        <v>396</v>
      </c>
      <c r="D24" s="39" t="s">
        <v>174</v>
      </c>
      <c r="E24" s="42">
        <v>1.97530864197531E-2</v>
      </c>
      <c r="F24" s="42">
        <v>4.9382716049382797E-2</v>
      </c>
      <c r="G24" s="42">
        <v>0.266666666666667</v>
      </c>
      <c r="H24" s="42">
        <v>0</v>
      </c>
      <c r="I24" s="37"/>
      <c r="J24" s="37"/>
      <c r="K24" s="38">
        <v>1</v>
      </c>
      <c r="L24" s="20" t="s">
        <v>123</v>
      </c>
      <c r="M24" s="15" t="s">
        <v>179</v>
      </c>
      <c r="N24" s="43">
        <f>SUM(rebio23_80ml!AD3:AD50)</f>
        <v>5</v>
      </c>
      <c r="O24" s="37"/>
      <c r="P24" s="37"/>
      <c r="Q24" s="37"/>
    </row>
    <row r="25" spans="1:17" ht="15.75" customHeight="1" x14ac:dyDescent="0.25">
      <c r="A25" s="37"/>
      <c r="B25" s="39">
        <v>1</v>
      </c>
      <c r="C25" s="39" t="s">
        <v>405</v>
      </c>
      <c r="D25" s="39" t="s">
        <v>406</v>
      </c>
      <c r="E25" s="42">
        <v>0</v>
      </c>
      <c r="F25" s="42">
        <v>8.8888888888888906E-2</v>
      </c>
      <c r="G25" s="42">
        <v>0</v>
      </c>
      <c r="H25" s="42">
        <v>0</v>
      </c>
      <c r="I25" s="37"/>
      <c r="J25" s="37"/>
      <c r="K25" s="15">
        <v>1</v>
      </c>
      <c r="L25" s="15" t="s">
        <v>407</v>
      </c>
      <c r="M25" s="15" t="s">
        <v>180</v>
      </c>
      <c r="N25" s="43">
        <f>SUM(rebio23_80ml!AE3:AE50)</f>
        <v>2</v>
      </c>
      <c r="O25" s="37"/>
      <c r="P25" s="37"/>
      <c r="Q25" s="37"/>
    </row>
    <row r="26" spans="1:17" ht="15.75" customHeight="1" x14ac:dyDescent="0.25">
      <c r="A26" s="37"/>
      <c r="B26" s="39">
        <v>1</v>
      </c>
      <c r="C26" s="39" t="s">
        <v>119</v>
      </c>
      <c r="D26" s="39" t="s">
        <v>175</v>
      </c>
      <c r="E26" s="42">
        <v>0.148148148148148</v>
      </c>
      <c r="F26" s="42">
        <v>0.108641975308642</v>
      </c>
      <c r="G26" s="42">
        <v>0.32</v>
      </c>
      <c r="H26" s="42">
        <v>0.88888888888888995</v>
      </c>
      <c r="I26" s="37"/>
      <c r="J26" s="37"/>
      <c r="K26" s="38">
        <v>1</v>
      </c>
      <c r="L26" s="45" t="s">
        <v>408</v>
      </c>
      <c r="M26" s="46" t="s">
        <v>173</v>
      </c>
      <c r="N26" s="47">
        <f>SUM(rebio23_80ml!X3:X50)</f>
        <v>2</v>
      </c>
      <c r="O26" s="37"/>
      <c r="P26" s="37"/>
      <c r="Q26" s="37"/>
    </row>
    <row r="27" spans="1:17" ht="15.75" customHeight="1" x14ac:dyDescent="0.25">
      <c r="A27" s="37"/>
      <c r="B27" s="39">
        <v>1</v>
      </c>
      <c r="C27" s="39" t="s">
        <v>401</v>
      </c>
      <c r="D27" s="39" t="s">
        <v>176</v>
      </c>
      <c r="E27" s="42">
        <v>0</v>
      </c>
      <c r="F27" s="42">
        <v>0</v>
      </c>
      <c r="G27" s="42">
        <v>0.266666666666667</v>
      </c>
      <c r="H27" s="42">
        <v>0</v>
      </c>
      <c r="I27" s="37"/>
      <c r="J27" s="37"/>
      <c r="K27" s="38">
        <v>1</v>
      </c>
      <c r="L27" s="45" t="s">
        <v>409</v>
      </c>
      <c r="M27" s="46" t="s">
        <v>178</v>
      </c>
      <c r="N27" s="48">
        <f>SUM(rebio23_80ml!AC3:AC50)</f>
        <v>3</v>
      </c>
      <c r="O27" s="37"/>
      <c r="P27" s="37"/>
      <c r="Q27" s="37"/>
    </row>
    <row r="28" spans="1:17" ht="15.75" customHeight="1" x14ac:dyDescent="0.25">
      <c r="A28" s="37"/>
      <c r="B28" s="39">
        <v>1</v>
      </c>
      <c r="C28" s="39" t="s">
        <v>404</v>
      </c>
      <c r="D28" s="39" t="s">
        <v>177</v>
      </c>
      <c r="E28" s="42">
        <v>0</v>
      </c>
      <c r="F28" s="42">
        <v>3.95061728395062E-2</v>
      </c>
      <c r="G28" s="42">
        <v>0.10666666666666701</v>
      </c>
      <c r="H28" s="42">
        <v>0</v>
      </c>
      <c r="I28" s="37"/>
      <c r="J28" s="37"/>
      <c r="K28" s="38">
        <v>1</v>
      </c>
      <c r="L28" s="45" t="s">
        <v>410</v>
      </c>
      <c r="M28" s="46" t="s">
        <v>181</v>
      </c>
      <c r="N28" s="48">
        <f>SUM(rebio23_80ml!AF3:AF50)</f>
        <v>1</v>
      </c>
      <c r="O28" s="37"/>
      <c r="P28" s="37"/>
      <c r="Q28" s="37"/>
    </row>
    <row r="29" spans="1:17" ht="15.75" customHeight="1" x14ac:dyDescent="0.25">
      <c r="A29" s="37"/>
      <c r="B29" s="39">
        <v>1</v>
      </c>
      <c r="C29" s="39" t="s">
        <v>411</v>
      </c>
      <c r="D29" s="39" t="s">
        <v>412</v>
      </c>
      <c r="E29" s="42">
        <v>1.97530864197531E-2</v>
      </c>
      <c r="F29" s="42">
        <v>9.8765432098765604E-3</v>
      </c>
      <c r="G29" s="42">
        <v>0</v>
      </c>
      <c r="H29" s="42">
        <v>0</v>
      </c>
      <c r="I29" s="37"/>
      <c r="J29" s="37"/>
      <c r="K29" s="15">
        <v>0</v>
      </c>
      <c r="L29" s="40" t="s">
        <v>413</v>
      </c>
      <c r="O29" s="37"/>
      <c r="P29" s="37"/>
      <c r="Q29" s="37"/>
    </row>
    <row r="30" spans="1:17" ht="15.75" customHeight="1" x14ac:dyDescent="0.25">
      <c r="A30" s="37"/>
      <c r="B30" s="39">
        <v>1</v>
      </c>
      <c r="C30" s="39" t="s">
        <v>407</v>
      </c>
      <c r="D30" s="39" t="s">
        <v>180</v>
      </c>
      <c r="E30" s="42">
        <v>9.8765432098765604E-3</v>
      </c>
      <c r="F30" s="42">
        <v>4.9382716049382699E-2</v>
      </c>
      <c r="G30" s="42">
        <v>0</v>
      </c>
      <c r="H30" s="42">
        <v>0.17777777777777801</v>
      </c>
      <c r="I30" s="37"/>
      <c r="J30" s="37"/>
      <c r="K30" s="38">
        <v>1</v>
      </c>
      <c r="L30" s="20" t="s">
        <v>99</v>
      </c>
      <c r="M30" s="15" t="s">
        <v>156</v>
      </c>
      <c r="N30" s="43">
        <f>SUM(rebio23_80ml!F3:F50)</f>
        <v>3</v>
      </c>
      <c r="O30" s="37"/>
      <c r="P30" s="37"/>
      <c r="Q30" s="37"/>
    </row>
    <row r="31" spans="1:17" ht="15.75" customHeight="1" x14ac:dyDescent="0.25">
      <c r="A31" s="37"/>
      <c r="B31" s="39">
        <v>1</v>
      </c>
      <c r="C31" s="39" t="s">
        <v>414</v>
      </c>
      <c r="D31" s="39" t="s">
        <v>415</v>
      </c>
      <c r="E31" s="42">
        <v>9.8765432098765604E-3</v>
      </c>
      <c r="F31" s="42">
        <v>2.96296296296296E-2</v>
      </c>
      <c r="G31" s="42">
        <v>0</v>
      </c>
      <c r="H31" s="42">
        <v>0</v>
      </c>
      <c r="I31" s="37"/>
      <c r="J31" s="37"/>
      <c r="K31" s="38">
        <v>1</v>
      </c>
      <c r="L31" s="20" t="s">
        <v>133</v>
      </c>
      <c r="M31" s="15" t="s">
        <v>189</v>
      </c>
      <c r="N31" s="43">
        <f>SUM(rebio23_80ml!AN3:AN50)</f>
        <v>4</v>
      </c>
      <c r="O31" s="37"/>
      <c r="P31" s="37"/>
      <c r="Q31" s="37"/>
    </row>
    <row r="32" spans="1:17" ht="15.75" customHeight="1" x14ac:dyDescent="0.25">
      <c r="A32" s="37"/>
      <c r="B32" s="39">
        <v>0</v>
      </c>
      <c r="C32" s="36" t="s">
        <v>413</v>
      </c>
      <c r="D32" s="37"/>
      <c r="E32" s="42"/>
      <c r="F32" s="42"/>
      <c r="G32" s="42"/>
      <c r="H32" s="42"/>
      <c r="I32" s="37"/>
      <c r="J32" s="37"/>
      <c r="K32" s="15">
        <v>1</v>
      </c>
      <c r="L32" s="15" t="s">
        <v>144</v>
      </c>
      <c r="M32" s="15" t="s">
        <v>199</v>
      </c>
      <c r="N32" s="43">
        <f>SUM(rebio23_80ml!AY3:AY50)</f>
        <v>8</v>
      </c>
      <c r="O32" s="37"/>
      <c r="P32" s="37"/>
      <c r="Q32" s="37"/>
    </row>
    <row r="33" spans="1:17" ht="15.75" customHeight="1" x14ac:dyDescent="0.25">
      <c r="A33" s="37"/>
      <c r="B33" s="39">
        <v>1</v>
      </c>
      <c r="C33" s="39" t="s">
        <v>416</v>
      </c>
      <c r="D33" s="39" t="s">
        <v>417</v>
      </c>
      <c r="E33" s="42">
        <v>9.8765432098765604E-3</v>
      </c>
      <c r="F33" s="42">
        <v>1.97530864197531E-2</v>
      </c>
      <c r="G33" s="42">
        <v>0</v>
      </c>
      <c r="H33" s="42">
        <v>0</v>
      </c>
      <c r="I33" s="37"/>
      <c r="J33" s="37"/>
      <c r="K33" s="15">
        <v>0</v>
      </c>
      <c r="L33" s="40" t="s">
        <v>418</v>
      </c>
      <c r="M33" s="38"/>
      <c r="O33" s="37"/>
      <c r="P33" s="37"/>
      <c r="Q33" s="37"/>
    </row>
    <row r="34" spans="1:17" ht="15.75" customHeight="1" x14ac:dyDescent="0.25">
      <c r="A34" s="37"/>
      <c r="B34" s="39">
        <v>1</v>
      </c>
      <c r="C34" s="39" t="s">
        <v>419</v>
      </c>
      <c r="D34" s="39" t="s">
        <v>420</v>
      </c>
      <c r="E34" s="42">
        <v>0</v>
      </c>
      <c r="F34" s="42">
        <v>9.8765432098765604E-3</v>
      </c>
      <c r="G34" s="42">
        <v>0</v>
      </c>
      <c r="H34" s="42">
        <v>0</v>
      </c>
      <c r="I34" s="37"/>
      <c r="J34" s="37"/>
      <c r="K34" s="15">
        <v>1</v>
      </c>
      <c r="L34" s="15" t="s">
        <v>421</v>
      </c>
      <c r="M34" s="15" t="s">
        <v>185</v>
      </c>
      <c r="N34" s="43">
        <f>SUM(rebio23_80ml!AJ3:AJ50)</f>
        <v>20</v>
      </c>
      <c r="O34" s="37"/>
      <c r="P34" s="37"/>
      <c r="Q34" s="37"/>
    </row>
    <row r="35" spans="1:17" ht="15.75" customHeight="1" x14ac:dyDescent="0.25">
      <c r="A35" s="37"/>
      <c r="B35" s="39">
        <v>1</v>
      </c>
      <c r="C35" s="39" t="s">
        <v>422</v>
      </c>
      <c r="D35" s="39" t="s">
        <v>423</v>
      </c>
      <c r="E35" s="42">
        <v>0</v>
      </c>
      <c r="F35" s="42">
        <v>1.97530864197531E-2</v>
      </c>
      <c r="G35" s="42">
        <v>0</v>
      </c>
      <c r="H35" s="42">
        <v>0</v>
      </c>
      <c r="I35" s="37"/>
      <c r="J35" s="37"/>
      <c r="K35" s="15">
        <v>1</v>
      </c>
      <c r="L35" s="15" t="s">
        <v>130</v>
      </c>
      <c r="M35" s="15" t="s">
        <v>186</v>
      </c>
      <c r="N35" s="43">
        <f>SUM(rebio23_80ml!AK3:AK50)</f>
        <v>2</v>
      </c>
      <c r="O35" s="37"/>
      <c r="P35" s="37"/>
      <c r="Q35" s="37"/>
    </row>
    <row r="36" spans="1:17" ht="15.75" customHeight="1" x14ac:dyDescent="0.25">
      <c r="A36" s="37"/>
      <c r="B36" s="39">
        <v>1</v>
      </c>
      <c r="C36" s="39" t="s">
        <v>424</v>
      </c>
      <c r="D36" s="39" t="s">
        <v>425</v>
      </c>
      <c r="E36" s="42">
        <v>5.9259259259259199E-2</v>
      </c>
      <c r="F36" s="42">
        <v>3.95061728395062E-2</v>
      </c>
      <c r="G36" s="42">
        <v>0</v>
      </c>
      <c r="H36" s="42">
        <v>0</v>
      </c>
      <c r="I36" s="37"/>
      <c r="J36" s="37"/>
      <c r="K36" s="38">
        <v>1</v>
      </c>
      <c r="L36" s="19" t="s">
        <v>128</v>
      </c>
      <c r="M36" s="18" t="s">
        <v>426</v>
      </c>
      <c r="N36" s="43">
        <f>SUM(rebio23_80ml!AH3:AH49)</f>
        <v>1</v>
      </c>
      <c r="O36" s="37"/>
      <c r="P36" s="37"/>
      <c r="Q36" s="37"/>
    </row>
    <row r="37" spans="1:17" ht="15.75" customHeight="1" x14ac:dyDescent="0.25">
      <c r="A37" s="37"/>
      <c r="B37" s="39">
        <v>1</v>
      </c>
      <c r="C37" s="39" t="s">
        <v>427</v>
      </c>
      <c r="D37" s="39" t="s">
        <v>428</v>
      </c>
      <c r="E37" s="42">
        <v>0</v>
      </c>
      <c r="F37" s="42">
        <v>9.8765432098765604E-3</v>
      </c>
      <c r="G37" s="42">
        <v>0</v>
      </c>
      <c r="H37" s="42">
        <v>0</v>
      </c>
      <c r="I37" s="37"/>
      <c r="J37" s="37"/>
      <c r="K37" s="15">
        <v>1</v>
      </c>
      <c r="L37" s="45" t="s">
        <v>429</v>
      </c>
      <c r="M37" s="15" t="s">
        <v>430</v>
      </c>
      <c r="N37" s="43">
        <f>SUM(rebio23_80ml!AI3:AI50)</f>
        <v>1</v>
      </c>
      <c r="O37" s="37"/>
      <c r="P37" s="37"/>
      <c r="Q37" s="37"/>
    </row>
    <row r="38" spans="1:17" ht="15.75" customHeight="1" x14ac:dyDescent="0.25">
      <c r="A38" s="37"/>
      <c r="B38" s="39">
        <v>1</v>
      </c>
      <c r="C38" s="39" t="s">
        <v>431</v>
      </c>
      <c r="D38" s="39" t="s">
        <v>432</v>
      </c>
      <c r="E38" s="42">
        <v>0</v>
      </c>
      <c r="F38" s="42">
        <v>9.8765432098765604E-3</v>
      </c>
      <c r="G38" s="42">
        <v>2.4</v>
      </c>
      <c r="H38" s="42">
        <v>0.53333333333333299</v>
      </c>
      <c r="I38" s="37"/>
      <c r="J38" s="37"/>
      <c r="K38" s="15">
        <v>0</v>
      </c>
      <c r="L38" s="40" t="s">
        <v>433</v>
      </c>
      <c r="M38" s="38"/>
      <c r="O38" s="37"/>
      <c r="P38" s="37"/>
      <c r="Q38" s="37"/>
    </row>
    <row r="39" spans="1:17" ht="15.75" customHeight="1" x14ac:dyDescent="0.25">
      <c r="A39" s="37"/>
      <c r="B39" s="39">
        <v>1</v>
      </c>
      <c r="C39" s="39" t="s">
        <v>434</v>
      </c>
      <c r="D39" s="39" t="s">
        <v>435</v>
      </c>
      <c r="E39" s="42">
        <v>0</v>
      </c>
      <c r="F39" s="42">
        <v>0</v>
      </c>
      <c r="G39" s="42">
        <v>1.0133333333333301</v>
      </c>
      <c r="H39" s="42">
        <v>0</v>
      </c>
      <c r="I39" s="37"/>
      <c r="J39" s="37"/>
      <c r="K39" s="15">
        <v>1</v>
      </c>
      <c r="L39" s="15" t="s">
        <v>108</v>
      </c>
      <c r="M39" s="15" t="s">
        <v>164</v>
      </c>
      <c r="N39" s="43">
        <f>SUM(rebio23_80ml!O3:O50)</f>
        <v>1</v>
      </c>
      <c r="O39" s="37"/>
      <c r="P39" s="37"/>
      <c r="Q39" s="37"/>
    </row>
    <row r="40" spans="1:17" ht="15.75" customHeight="1" x14ac:dyDescent="0.25">
      <c r="A40" s="37"/>
      <c r="B40" s="39">
        <v>1</v>
      </c>
      <c r="C40" s="39" t="s">
        <v>144</v>
      </c>
      <c r="D40" s="39" t="s">
        <v>199</v>
      </c>
      <c r="E40" s="42">
        <v>0</v>
      </c>
      <c r="F40" s="42">
        <v>9.8765432098765604E-3</v>
      </c>
      <c r="G40" s="42">
        <v>5.3333333333333302E-2</v>
      </c>
      <c r="H40" s="42">
        <v>0</v>
      </c>
      <c r="I40" s="37"/>
      <c r="J40" s="37"/>
      <c r="K40" s="15">
        <v>0</v>
      </c>
      <c r="L40" s="40" t="s">
        <v>436</v>
      </c>
      <c r="M40" s="38"/>
      <c r="O40" s="37"/>
      <c r="P40" s="37"/>
      <c r="Q40" s="37"/>
    </row>
    <row r="41" spans="1:17" ht="15.75" customHeight="1" x14ac:dyDescent="0.25">
      <c r="A41" s="37"/>
      <c r="B41" s="39">
        <v>1</v>
      </c>
      <c r="C41" s="39" t="s">
        <v>437</v>
      </c>
      <c r="D41" s="39" t="s">
        <v>438</v>
      </c>
      <c r="E41" s="42">
        <v>0</v>
      </c>
      <c r="F41" s="42">
        <v>9.8765432098765604E-3</v>
      </c>
      <c r="G41" s="42">
        <v>0</v>
      </c>
      <c r="H41" s="42">
        <v>0</v>
      </c>
      <c r="I41" s="37"/>
      <c r="J41" s="37"/>
      <c r="K41" s="15">
        <v>1</v>
      </c>
      <c r="L41" s="15" t="s">
        <v>439</v>
      </c>
      <c r="M41" s="15" t="s">
        <v>201</v>
      </c>
      <c r="N41" s="43">
        <f>SUM(rebio23_80ml!BA3:BA50)</f>
        <v>36</v>
      </c>
      <c r="O41" s="37"/>
      <c r="P41" s="37"/>
      <c r="Q41" s="37"/>
    </row>
    <row r="42" spans="1:17" ht="15.75" customHeight="1" x14ac:dyDescent="0.25">
      <c r="A42" s="37"/>
      <c r="B42" s="39">
        <v>1</v>
      </c>
      <c r="C42" s="39" t="s">
        <v>440</v>
      </c>
      <c r="D42" s="39" t="s">
        <v>441</v>
      </c>
      <c r="E42" s="42">
        <v>0</v>
      </c>
      <c r="F42" s="42">
        <v>9.8765432098765604E-3</v>
      </c>
      <c r="G42" s="42">
        <v>0</v>
      </c>
      <c r="H42" s="42">
        <v>0</v>
      </c>
      <c r="I42" s="37"/>
      <c r="J42" s="37"/>
      <c r="K42" s="38">
        <v>1</v>
      </c>
      <c r="L42" s="19" t="s">
        <v>147</v>
      </c>
      <c r="M42" s="18" t="s">
        <v>202</v>
      </c>
      <c r="N42" s="43">
        <f>SUM(rebio23_80ml!BB3:BB50)</f>
        <v>2</v>
      </c>
      <c r="O42" s="37"/>
      <c r="P42" s="37"/>
      <c r="Q42" s="37"/>
    </row>
    <row r="43" spans="1:17" ht="15.75" customHeight="1" x14ac:dyDescent="0.25">
      <c r="A43" s="37"/>
      <c r="B43" s="39">
        <v>1</v>
      </c>
      <c r="C43" s="39" t="s">
        <v>442</v>
      </c>
      <c r="D43" s="39" t="s">
        <v>443</v>
      </c>
      <c r="E43" s="42">
        <v>0</v>
      </c>
      <c r="F43" s="42">
        <v>3.95061728395062E-2</v>
      </c>
      <c r="G43" s="42">
        <v>0</v>
      </c>
      <c r="H43" s="42">
        <v>0</v>
      </c>
      <c r="I43" s="37"/>
      <c r="J43" s="37"/>
      <c r="K43" s="15">
        <v>1</v>
      </c>
      <c r="L43" s="15" t="s">
        <v>444</v>
      </c>
      <c r="M43" s="15" t="s">
        <v>203</v>
      </c>
      <c r="N43" s="43">
        <f>SUM(rebio23_80ml!BC3:BC50)</f>
        <v>145</v>
      </c>
      <c r="O43" s="37"/>
      <c r="P43" s="37"/>
      <c r="Q43" s="37"/>
    </row>
    <row r="44" spans="1:17" ht="15.75" customHeight="1" x14ac:dyDescent="0.25">
      <c r="A44" s="37"/>
      <c r="B44" s="39">
        <v>1</v>
      </c>
      <c r="C44" s="39" t="s">
        <v>445</v>
      </c>
      <c r="D44" s="39" t="s">
        <v>446</v>
      </c>
      <c r="E44" s="42">
        <v>0</v>
      </c>
      <c r="F44" s="42">
        <v>1.97530864197531E-2</v>
      </c>
      <c r="G44" s="42">
        <v>0</v>
      </c>
      <c r="H44" s="42">
        <v>0</v>
      </c>
      <c r="I44" s="37"/>
      <c r="J44" s="37"/>
      <c r="K44" s="15">
        <v>1</v>
      </c>
      <c r="L44" s="15" t="s">
        <v>145</v>
      </c>
      <c r="M44" s="15" t="s">
        <v>200</v>
      </c>
      <c r="N44" s="43">
        <f>SUM(rebio23_80ml!AZ3:AZ50)</f>
        <v>8</v>
      </c>
      <c r="O44" s="37"/>
      <c r="P44" s="37"/>
      <c r="Q44" s="37"/>
    </row>
    <row r="45" spans="1:17" ht="15.75" customHeight="1" x14ac:dyDescent="0.25">
      <c r="A45" s="37"/>
      <c r="B45" s="39">
        <v>1</v>
      </c>
      <c r="C45" s="39" t="s">
        <v>447</v>
      </c>
      <c r="D45" s="39" t="s">
        <v>448</v>
      </c>
      <c r="E45" s="42">
        <v>0</v>
      </c>
      <c r="F45" s="42">
        <v>2.96296296296297E-2</v>
      </c>
      <c r="G45" s="42">
        <v>0.42666666666666703</v>
      </c>
      <c r="H45" s="42">
        <v>0</v>
      </c>
      <c r="I45" s="37"/>
      <c r="J45" s="37"/>
      <c r="K45" s="15">
        <v>0</v>
      </c>
      <c r="L45" s="40" t="s">
        <v>449</v>
      </c>
      <c r="M45" s="38"/>
      <c r="O45" s="37"/>
      <c r="P45" s="37"/>
      <c r="Q45" s="37"/>
    </row>
    <row r="46" spans="1:17" ht="15.75" customHeight="1" x14ac:dyDescent="0.25">
      <c r="A46" s="37"/>
      <c r="B46" s="39">
        <v>1</v>
      </c>
      <c r="C46" s="39" t="s">
        <v>450</v>
      </c>
      <c r="D46" s="39" t="s">
        <v>451</v>
      </c>
      <c r="E46" s="42">
        <v>9.8765432098765604E-3</v>
      </c>
      <c r="F46" s="42">
        <v>0</v>
      </c>
      <c r="G46" s="42">
        <v>0</v>
      </c>
      <c r="H46" s="42">
        <v>0</v>
      </c>
      <c r="I46" s="37"/>
      <c r="J46" s="37"/>
      <c r="K46" s="15">
        <v>1</v>
      </c>
      <c r="L46" s="49" t="s">
        <v>452</v>
      </c>
      <c r="M46" s="15" t="s">
        <v>158</v>
      </c>
      <c r="N46" s="43">
        <f>SUM(rebio23_80ml!H3:H50)</f>
        <v>8</v>
      </c>
      <c r="O46" s="37"/>
      <c r="P46" s="37"/>
      <c r="Q46" s="37"/>
    </row>
    <row r="47" spans="1:17" ht="15.75" customHeight="1" x14ac:dyDescent="0.25">
      <c r="A47" s="37"/>
      <c r="B47" s="39">
        <v>0</v>
      </c>
      <c r="C47" s="36" t="s">
        <v>418</v>
      </c>
      <c r="D47" s="37"/>
      <c r="E47" s="42"/>
      <c r="F47" s="42"/>
      <c r="G47" s="42"/>
      <c r="H47" s="42"/>
      <c r="I47" s="37"/>
      <c r="J47" s="37"/>
      <c r="K47" s="15">
        <v>0</v>
      </c>
      <c r="L47" s="40" t="s">
        <v>453</v>
      </c>
      <c r="M47" s="38"/>
      <c r="O47" s="37"/>
      <c r="P47" s="37"/>
      <c r="Q47" s="37"/>
    </row>
    <row r="48" spans="1:17" ht="15.75" customHeight="1" x14ac:dyDescent="0.25">
      <c r="A48" s="37"/>
      <c r="B48" s="39">
        <v>1</v>
      </c>
      <c r="C48" s="39" t="s">
        <v>421</v>
      </c>
      <c r="D48" s="39" t="s">
        <v>185</v>
      </c>
      <c r="E48" s="42">
        <v>0</v>
      </c>
      <c r="F48" s="42">
        <v>3.95061728395062E-2</v>
      </c>
      <c r="G48" s="42">
        <v>0.16</v>
      </c>
      <c r="H48" s="42">
        <v>0</v>
      </c>
      <c r="I48" s="37"/>
      <c r="J48" s="37"/>
      <c r="K48" s="15">
        <v>1</v>
      </c>
      <c r="L48" s="15" t="s">
        <v>454</v>
      </c>
      <c r="M48" s="15" t="s">
        <v>194</v>
      </c>
      <c r="N48" s="43">
        <f>SUM(rebio23_80ml!AS3:AS50)</f>
        <v>1</v>
      </c>
      <c r="O48" s="37"/>
      <c r="P48" s="37"/>
      <c r="Q48" s="37"/>
    </row>
    <row r="49" spans="1:17" ht="15.75" customHeight="1" x14ac:dyDescent="0.25">
      <c r="A49" s="37"/>
      <c r="B49" s="39">
        <v>1</v>
      </c>
      <c r="C49" s="39" t="s">
        <v>455</v>
      </c>
      <c r="D49" s="39" t="s">
        <v>456</v>
      </c>
      <c r="E49" s="42">
        <v>0</v>
      </c>
      <c r="F49" s="42">
        <v>0.36543209876543198</v>
      </c>
      <c r="G49" s="42">
        <v>0</v>
      </c>
      <c r="H49" s="42">
        <v>0</v>
      </c>
      <c r="I49" s="37"/>
      <c r="J49" s="37"/>
      <c r="K49" s="38">
        <v>1</v>
      </c>
      <c r="L49" s="19" t="s">
        <v>140</v>
      </c>
      <c r="M49" s="35" t="s">
        <v>196</v>
      </c>
      <c r="N49" s="43">
        <f>SUM(rebio23_80ml!AU3:AU50)</f>
        <v>1</v>
      </c>
      <c r="O49" s="37"/>
      <c r="P49" s="37"/>
      <c r="Q49" s="37"/>
    </row>
    <row r="50" spans="1:17" ht="15.75" customHeight="1" x14ac:dyDescent="0.25">
      <c r="A50" s="37"/>
      <c r="B50" s="39">
        <v>1</v>
      </c>
      <c r="C50" s="39" t="s">
        <v>130</v>
      </c>
      <c r="D50" s="39" t="s">
        <v>186</v>
      </c>
      <c r="E50" s="42">
        <v>0</v>
      </c>
      <c r="F50" s="42">
        <v>8.8888888888888906E-2</v>
      </c>
      <c r="G50" s="42">
        <v>5.8133333333333397</v>
      </c>
      <c r="H50" s="42">
        <v>1.9555555555555499</v>
      </c>
      <c r="I50" s="37"/>
      <c r="J50" s="37"/>
      <c r="K50" s="15">
        <v>1</v>
      </c>
      <c r="L50" s="15" t="s">
        <v>139</v>
      </c>
      <c r="M50" s="15" t="s">
        <v>195</v>
      </c>
      <c r="N50" s="43">
        <f>SUM(rebio23_80ml!AT3:AT50)</f>
        <v>2</v>
      </c>
      <c r="O50" s="37"/>
      <c r="P50" s="37"/>
      <c r="Q50" s="37"/>
    </row>
    <row r="51" spans="1:17" ht="15.75" customHeight="1" x14ac:dyDescent="0.25">
      <c r="A51" s="37"/>
      <c r="B51" s="39">
        <v>1</v>
      </c>
      <c r="C51" s="39" t="s">
        <v>429</v>
      </c>
      <c r="D51" s="39" t="s">
        <v>430</v>
      </c>
      <c r="E51" s="42">
        <v>0.108641975308642</v>
      </c>
      <c r="F51" s="42">
        <v>0.54320987654320996</v>
      </c>
      <c r="G51" s="42">
        <v>0</v>
      </c>
      <c r="H51" s="42">
        <v>0</v>
      </c>
      <c r="I51" s="37"/>
      <c r="J51" s="37"/>
      <c r="K51" s="15">
        <v>0</v>
      </c>
      <c r="L51" s="40" t="s">
        <v>457</v>
      </c>
      <c r="M51" s="38"/>
      <c r="O51" s="37"/>
      <c r="P51" s="37"/>
      <c r="Q51" s="37"/>
    </row>
    <row r="52" spans="1:17" ht="15.75" customHeight="1" x14ac:dyDescent="0.25">
      <c r="A52" s="37"/>
      <c r="B52" s="39">
        <v>0</v>
      </c>
      <c r="C52" s="36" t="s">
        <v>433</v>
      </c>
      <c r="D52" s="37"/>
      <c r="E52" s="37"/>
      <c r="F52" s="37"/>
      <c r="G52" s="37"/>
      <c r="H52" s="37"/>
      <c r="I52" s="37"/>
      <c r="J52" s="37"/>
      <c r="K52" s="15">
        <v>1</v>
      </c>
      <c r="L52" s="15" t="s">
        <v>458</v>
      </c>
      <c r="M52" s="15" t="s">
        <v>207</v>
      </c>
      <c r="N52" s="43">
        <f>SUM(rebio23_80ml!BG3:BG50)</f>
        <v>2</v>
      </c>
      <c r="O52" s="37"/>
      <c r="P52" s="37"/>
      <c r="Q52" s="37"/>
    </row>
    <row r="53" spans="1:17" ht="15.75" customHeight="1" x14ac:dyDescent="0.25">
      <c r="A53" s="37"/>
      <c r="B53" s="39">
        <v>1</v>
      </c>
      <c r="C53" s="39" t="s">
        <v>108</v>
      </c>
      <c r="D53" s="39" t="s">
        <v>164</v>
      </c>
      <c r="E53" s="42">
        <v>0</v>
      </c>
      <c r="F53" s="42">
        <v>0</v>
      </c>
      <c r="G53" s="42">
        <v>0.10666666666666701</v>
      </c>
      <c r="H53" s="42">
        <v>0</v>
      </c>
      <c r="I53" s="37"/>
      <c r="J53" s="37"/>
      <c r="K53" s="15">
        <v>0</v>
      </c>
      <c r="L53" s="40" t="s">
        <v>459</v>
      </c>
      <c r="M53" s="38"/>
      <c r="O53" s="37"/>
      <c r="P53" s="37"/>
      <c r="Q53" s="37"/>
    </row>
    <row r="54" spans="1:17" ht="15.75" customHeight="1" x14ac:dyDescent="0.25">
      <c r="A54" s="37"/>
      <c r="B54" s="39">
        <v>1</v>
      </c>
      <c r="C54" s="39" t="s">
        <v>460</v>
      </c>
      <c r="D54" s="39" t="s">
        <v>461</v>
      </c>
      <c r="E54" s="42">
        <v>0</v>
      </c>
      <c r="F54" s="42">
        <v>0</v>
      </c>
      <c r="G54" s="42">
        <v>5.3333333333333302E-2</v>
      </c>
      <c r="H54" s="42">
        <v>0</v>
      </c>
      <c r="I54" s="37"/>
      <c r="J54" s="37"/>
      <c r="K54" s="15">
        <v>1</v>
      </c>
      <c r="L54" s="49" t="s">
        <v>109</v>
      </c>
      <c r="M54" s="15" t="s">
        <v>165</v>
      </c>
      <c r="N54" s="43">
        <f>SUM(rebio23_80ml!P3:P50)</f>
        <v>2</v>
      </c>
      <c r="O54" s="37"/>
      <c r="P54" s="37"/>
      <c r="Q54" s="37"/>
    </row>
    <row r="55" spans="1:17" ht="15.75" customHeight="1" x14ac:dyDescent="0.25">
      <c r="A55" s="37"/>
      <c r="B55" s="39">
        <v>1</v>
      </c>
      <c r="C55" s="39" t="s">
        <v>462</v>
      </c>
      <c r="D55" s="39" t="s">
        <v>463</v>
      </c>
      <c r="E55" s="42">
        <v>0</v>
      </c>
      <c r="F55" s="42">
        <v>0.148148148148148</v>
      </c>
      <c r="G55" s="42">
        <v>0</v>
      </c>
      <c r="H55" s="42">
        <v>0</v>
      </c>
      <c r="I55" s="37"/>
      <c r="J55" s="37"/>
      <c r="K55" s="15">
        <v>0</v>
      </c>
      <c r="L55" s="40" t="s">
        <v>464</v>
      </c>
      <c r="M55" s="38"/>
      <c r="O55" s="37"/>
      <c r="P55" s="37"/>
      <c r="Q55" s="37"/>
    </row>
    <row r="56" spans="1:17" ht="15.75" customHeight="1" x14ac:dyDescent="0.25">
      <c r="A56" s="37"/>
      <c r="B56" s="39">
        <v>0</v>
      </c>
      <c r="C56" s="36" t="s">
        <v>465</v>
      </c>
      <c r="D56" s="37"/>
      <c r="E56" s="42"/>
      <c r="F56" s="42"/>
      <c r="G56" s="42"/>
      <c r="H56" s="42"/>
      <c r="I56" s="37"/>
      <c r="J56" s="37"/>
      <c r="K56" s="38">
        <v>1</v>
      </c>
      <c r="L56" s="35" t="s">
        <v>150</v>
      </c>
      <c r="M56" s="35" t="s">
        <v>205</v>
      </c>
      <c r="N56" s="43">
        <f>SUM(rebio23_80ml!BE3:BE50)</f>
        <v>3</v>
      </c>
      <c r="O56" s="37"/>
      <c r="P56" s="37"/>
      <c r="Q56" s="37"/>
    </row>
    <row r="57" spans="1:17" ht="15.75" customHeight="1" x14ac:dyDescent="0.25">
      <c r="A57" s="37"/>
      <c r="B57" s="39">
        <v>1</v>
      </c>
      <c r="C57" s="39" t="s">
        <v>466</v>
      </c>
      <c r="D57" s="39" t="s">
        <v>467</v>
      </c>
      <c r="E57" s="42">
        <v>0</v>
      </c>
      <c r="F57" s="42">
        <v>9.8765432098765604E-3</v>
      </c>
      <c r="G57" s="42">
        <v>0</v>
      </c>
      <c r="H57" s="42">
        <v>0</v>
      </c>
      <c r="I57" s="37"/>
      <c r="J57" s="37"/>
      <c r="K57" s="38">
        <v>1</v>
      </c>
      <c r="L57" s="20" t="s">
        <v>149</v>
      </c>
      <c r="M57" s="15" t="s">
        <v>204</v>
      </c>
      <c r="N57" s="43">
        <f>SUM(rebio23_80ml!BD3:BD50)</f>
        <v>15</v>
      </c>
      <c r="O57" s="37"/>
      <c r="P57" s="37"/>
      <c r="Q57" s="37"/>
    </row>
    <row r="58" spans="1:17" ht="15.75" customHeight="1" x14ac:dyDescent="0.25">
      <c r="A58" s="37"/>
      <c r="B58" s="39">
        <v>1</v>
      </c>
      <c r="C58" s="39" t="s">
        <v>468</v>
      </c>
      <c r="D58" s="39" t="s">
        <v>469</v>
      </c>
      <c r="E58" s="42">
        <v>0</v>
      </c>
      <c r="F58" s="42">
        <v>0</v>
      </c>
      <c r="G58" s="42">
        <v>0.10666666666666701</v>
      </c>
      <c r="H58" s="42">
        <v>0</v>
      </c>
      <c r="I58" s="37"/>
      <c r="J58" s="37"/>
      <c r="K58" s="15">
        <v>0</v>
      </c>
      <c r="L58" s="40" t="s">
        <v>470</v>
      </c>
      <c r="M58" s="38"/>
      <c r="O58" s="37"/>
      <c r="P58" s="37"/>
      <c r="Q58" s="37"/>
    </row>
    <row r="59" spans="1:17" ht="15.75" customHeight="1" x14ac:dyDescent="0.25">
      <c r="A59" s="37"/>
      <c r="B59" s="39">
        <v>1</v>
      </c>
      <c r="C59" s="39" t="s">
        <v>471</v>
      </c>
      <c r="D59" s="39" t="s">
        <v>472</v>
      </c>
      <c r="E59" s="42">
        <v>9.8765432098765604E-3</v>
      </c>
      <c r="F59" s="42">
        <v>0</v>
      </c>
      <c r="G59" s="42">
        <v>0</v>
      </c>
      <c r="H59" s="42">
        <v>0</v>
      </c>
      <c r="I59" s="37"/>
      <c r="J59" s="37"/>
      <c r="K59" s="15">
        <v>1</v>
      </c>
      <c r="L59" s="15" t="s">
        <v>151</v>
      </c>
      <c r="M59" s="15" t="s">
        <v>206</v>
      </c>
      <c r="N59" s="43">
        <f>SUM(rebio23_80ml!BF3:BF50)</f>
        <v>2</v>
      </c>
      <c r="O59" s="37"/>
      <c r="P59" s="37"/>
      <c r="Q59" s="37"/>
    </row>
    <row r="60" spans="1:17" ht="15.75" customHeight="1" x14ac:dyDescent="0.25">
      <c r="A60" s="37"/>
      <c r="B60" s="39">
        <v>0</v>
      </c>
      <c r="C60" s="36" t="s">
        <v>436</v>
      </c>
      <c r="D60" s="37"/>
      <c r="E60" s="42"/>
      <c r="F60" s="42"/>
      <c r="G60" s="42"/>
      <c r="H60" s="42"/>
      <c r="I60" s="37"/>
      <c r="J60" s="37"/>
      <c r="L60" s="40" t="s">
        <v>473</v>
      </c>
      <c r="M60" s="38"/>
      <c r="O60" s="37"/>
      <c r="P60" s="37"/>
      <c r="Q60" s="37"/>
    </row>
    <row r="61" spans="1:17" ht="15.75" customHeight="1" x14ac:dyDescent="0.25">
      <c r="A61" s="37"/>
      <c r="B61" s="39">
        <v>1</v>
      </c>
      <c r="C61" s="39" t="s">
        <v>146</v>
      </c>
      <c r="D61" s="39" t="s">
        <v>201</v>
      </c>
      <c r="E61" s="42">
        <v>0</v>
      </c>
      <c r="F61" s="42">
        <v>0</v>
      </c>
      <c r="G61" s="42">
        <v>5.8133333333333397</v>
      </c>
      <c r="H61" s="42">
        <v>0</v>
      </c>
      <c r="I61" s="37"/>
      <c r="J61" s="37"/>
      <c r="L61" s="40" t="s">
        <v>474</v>
      </c>
      <c r="M61" s="38"/>
      <c r="O61" s="37"/>
      <c r="P61" s="37"/>
      <c r="Q61" s="37"/>
    </row>
    <row r="62" spans="1:17" ht="15.75" customHeight="1" x14ac:dyDescent="0.25">
      <c r="A62" s="37"/>
      <c r="B62" s="39">
        <v>1</v>
      </c>
      <c r="C62" s="39" t="s">
        <v>148</v>
      </c>
      <c r="D62" s="39" t="s">
        <v>203</v>
      </c>
      <c r="E62" s="42">
        <v>0</v>
      </c>
      <c r="F62" s="42">
        <v>0</v>
      </c>
      <c r="G62" s="42">
        <v>1.92</v>
      </c>
      <c r="H62" s="42">
        <v>0</v>
      </c>
      <c r="I62" s="37"/>
      <c r="J62" s="37"/>
      <c r="L62" s="40" t="s">
        <v>475</v>
      </c>
      <c r="M62" s="38"/>
      <c r="O62" s="37"/>
      <c r="P62" s="37"/>
      <c r="Q62" s="37"/>
    </row>
    <row r="63" spans="1:17" ht="15.75" customHeight="1" x14ac:dyDescent="0.25">
      <c r="A63" s="37"/>
      <c r="B63" s="39">
        <v>1</v>
      </c>
      <c r="C63" s="39" t="s">
        <v>145</v>
      </c>
      <c r="D63" s="39" t="s">
        <v>200</v>
      </c>
      <c r="E63" s="42">
        <v>0</v>
      </c>
      <c r="F63" s="42">
        <v>9.8765432098765604E-3</v>
      </c>
      <c r="G63" s="42">
        <v>0</v>
      </c>
      <c r="H63" s="42">
        <v>0</v>
      </c>
      <c r="I63" s="37"/>
      <c r="J63" s="37"/>
      <c r="K63" s="15">
        <v>0</v>
      </c>
      <c r="L63" s="40" t="s">
        <v>476</v>
      </c>
      <c r="M63" s="38"/>
      <c r="O63" s="37"/>
      <c r="P63" s="37"/>
      <c r="Q63" s="37"/>
    </row>
    <row r="64" spans="1:17" ht="15.75" customHeight="1" x14ac:dyDescent="0.25">
      <c r="A64" s="37"/>
      <c r="B64" s="39">
        <v>0</v>
      </c>
      <c r="C64" s="36" t="s">
        <v>449</v>
      </c>
      <c r="D64" s="37"/>
      <c r="E64" s="42"/>
      <c r="F64" s="42"/>
      <c r="G64" s="42"/>
      <c r="H64" s="42"/>
      <c r="I64" s="37"/>
      <c r="J64" s="37"/>
      <c r="K64" s="15">
        <v>1</v>
      </c>
      <c r="L64" s="15" t="s">
        <v>95</v>
      </c>
      <c r="M64" s="15" t="s">
        <v>153</v>
      </c>
      <c r="N64" s="43">
        <f>SUM(rebio23_80ml!B3:B50)</f>
        <v>26</v>
      </c>
      <c r="O64" s="37"/>
      <c r="P64" s="37"/>
      <c r="Q64" s="37"/>
    </row>
    <row r="65" spans="1:17" ht="15.75" customHeight="1" x14ac:dyDescent="0.25">
      <c r="A65" s="37"/>
      <c r="B65" s="39">
        <v>1</v>
      </c>
      <c r="C65" s="39" t="s">
        <v>477</v>
      </c>
      <c r="D65" s="39" t="s">
        <v>478</v>
      </c>
      <c r="E65" s="42">
        <v>0</v>
      </c>
      <c r="F65" s="42">
        <v>1.97530864197531E-2</v>
      </c>
      <c r="G65" s="42">
        <v>0</v>
      </c>
      <c r="H65" s="42">
        <v>0</v>
      </c>
      <c r="I65" s="37"/>
      <c r="J65" s="37"/>
      <c r="K65" s="15">
        <v>1</v>
      </c>
      <c r="L65" s="15" t="s">
        <v>96</v>
      </c>
      <c r="M65" s="15" t="s">
        <v>154</v>
      </c>
      <c r="N65" s="43">
        <f>SUM(rebio23_80ml!C3:C50)</f>
        <v>4</v>
      </c>
      <c r="O65"/>
      <c r="P65" s="37"/>
      <c r="Q65" s="37"/>
    </row>
    <row r="66" spans="1:17" ht="15.75" customHeight="1" x14ac:dyDescent="0.25">
      <c r="A66" s="37"/>
      <c r="B66" s="39">
        <v>1</v>
      </c>
      <c r="C66" s="39" t="s">
        <v>452</v>
      </c>
      <c r="D66" s="39" t="s">
        <v>158</v>
      </c>
      <c r="E66" s="42">
        <v>9.8765432098765604E-3</v>
      </c>
      <c r="F66" s="42">
        <v>0.42469135802469199</v>
      </c>
      <c r="G66" s="42">
        <v>0</v>
      </c>
      <c r="H66" s="42">
        <v>0</v>
      </c>
      <c r="I66" s="37"/>
      <c r="J66" s="37"/>
      <c r="K66" s="15">
        <v>1</v>
      </c>
      <c r="L66" s="15" t="s">
        <v>97</v>
      </c>
      <c r="M66" s="15" t="s">
        <v>155</v>
      </c>
      <c r="N66" s="43">
        <f>SUM(rebio23_80ml!D3:D50)</f>
        <v>3</v>
      </c>
      <c r="O66" s="37"/>
      <c r="P66" s="37"/>
      <c r="Q66" s="37"/>
    </row>
    <row r="67" spans="1:17" ht="15.75" customHeight="1" x14ac:dyDescent="0.25">
      <c r="A67" s="37"/>
      <c r="B67" s="39">
        <v>0</v>
      </c>
      <c r="C67" s="36" t="s">
        <v>453</v>
      </c>
      <c r="D67" s="37"/>
      <c r="E67" s="42"/>
      <c r="F67" s="42"/>
      <c r="G67" s="42"/>
      <c r="H67" s="42"/>
      <c r="I67" s="37"/>
      <c r="J67" s="37"/>
      <c r="K67" s="38">
        <v>1</v>
      </c>
      <c r="L67" s="15" t="s">
        <v>103</v>
      </c>
      <c r="M67" s="15" t="s">
        <v>159</v>
      </c>
      <c r="N67" s="43">
        <f>SUM(rebio23_80ml!J3:J50)</f>
        <v>2</v>
      </c>
      <c r="O67" s="37"/>
      <c r="P67" s="37"/>
      <c r="Q67" s="37"/>
    </row>
    <row r="68" spans="1:17" ht="15.75" customHeight="1" x14ac:dyDescent="0.25">
      <c r="A68" s="37"/>
      <c r="B68" s="39">
        <v>1</v>
      </c>
      <c r="C68" s="39" t="s">
        <v>454</v>
      </c>
      <c r="D68" s="39" t="s">
        <v>194</v>
      </c>
      <c r="E68" s="42">
        <v>0</v>
      </c>
      <c r="F68" s="42">
        <v>3.95061728395062E-2</v>
      </c>
      <c r="G68" s="42">
        <v>0</v>
      </c>
      <c r="H68" s="42">
        <v>0</v>
      </c>
      <c r="I68" s="37"/>
      <c r="J68" s="37"/>
      <c r="K68" s="15">
        <v>1</v>
      </c>
      <c r="L68" s="20" t="s">
        <v>126</v>
      </c>
      <c r="M68" s="15" t="s">
        <v>182</v>
      </c>
      <c r="N68" s="43">
        <f>SUM(rebio23_80ml!AG3:AG50)</f>
        <v>1</v>
      </c>
      <c r="O68" s="37"/>
      <c r="P68" s="37"/>
      <c r="Q68" s="37"/>
    </row>
    <row r="69" spans="1:17" ht="15.75" customHeight="1" x14ac:dyDescent="0.25">
      <c r="A69" s="37"/>
      <c r="B69" s="39">
        <v>1</v>
      </c>
      <c r="C69" s="39" t="s">
        <v>139</v>
      </c>
      <c r="D69" s="39" t="s">
        <v>195</v>
      </c>
      <c r="E69" s="42">
        <v>1.97530864197531E-2</v>
      </c>
      <c r="F69" s="42">
        <v>8.8888888888888906E-2</v>
      </c>
      <c r="G69" s="42">
        <v>0</v>
      </c>
      <c r="H69" s="42">
        <v>0</v>
      </c>
      <c r="I69" s="37"/>
      <c r="J69" s="37"/>
      <c r="K69" s="15">
        <v>0</v>
      </c>
      <c r="L69" s="40" t="s">
        <v>479</v>
      </c>
      <c r="O69" s="37"/>
      <c r="P69" s="37"/>
      <c r="Q69" s="37"/>
    </row>
    <row r="70" spans="1:17" ht="15.75" customHeight="1" x14ac:dyDescent="0.25">
      <c r="A70" s="37"/>
      <c r="B70" s="39">
        <v>0</v>
      </c>
      <c r="C70" s="36" t="s">
        <v>457</v>
      </c>
      <c r="D70" s="37"/>
      <c r="E70" s="42"/>
      <c r="F70" s="42"/>
      <c r="G70" s="42"/>
      <c r="H70" s="42"/>
      <c r="I70" s="37"/>
      <c r="J70" s="37"/>
      <c r="K70" s="15">
        <v>1</v>
      </c>
      <c r="L70" s="15" t="s">
        <v>480</v>
      </c>
      <c r="M70" s="15" t="s">
        <v>192</v>
      </c>
      <c r="N70" s="43">
        <f>SUM(rebio23_80ml!AQ3:AQ50)</f>
        <v>10</v>
      </c>
      <c r="O70" s="37"/>
      <c r="P70" s="37"/>
      <c r="Q70" s="37"/>
    </row>
    <row r="71" spans="1:17" ht="15.75" customHeight="1" x14ac:dyDescent="0.25">
      <c r="A71" s="37"/>
      <c r="B71" s="39">
        <v>1</v>
      </c>
      <c r="C71" s="39" t="s">
        <v>481</v>
      </c>
      <c r="D71" s="39" t="s">
        <v>482</v>
      </c>
      <c r="E71" s="42">
        <v>0</v>
      </c>
      <c r="F71" s="42">
        <v>0</v>
      </c>
      <c r="G71" s="42">
        <v>5.3333333333333302E-2</v>
      </c>
      <c r="H71" s="42">
        <v>0</v>
      </c>
      <c r="I71" s="37"/>
      <c r="J71" s="37"/>
      <c r="K71" s="15">
        <v>1</v>
      </c>
      <c r="L71" s="15" t="s">
        <v>483</v>
      </c>
      <c r="M71" s="15" t="s">
        <v>191</v>
      </c>
      <c r="N71" s="43">
        <f>SUM(rebio23_80ml!AP3:AP50)</f>
        <v>3</v>
      </c>
      <c r="O71" s="37"/>
      <c r="P71" s="37"/>
      <c r="Q71" s="37"/>
    </row>
    <row r="72" spans="1:17" ht="15.75" customHeight="1" x14ac:dyDescent="0.25">
      <c r="A72" s="37"/>
      <c r="B72" s="39">
        <v>1</v>
      </c>
      <c r="C72" s="39" t="s">
        <v>458</v>
      </c>
      <c r="D72" s="39" t="s">
        <v>207</v>
      </c>
      <c r="E72" s="42">
        <v>0</v>
      </c>
      <c r="F72" s="42">
        <v>3.95061728395062E-2</v>
      </c>
      <c r="G72" s="42">
        <v>0.16</v>
      </c>
      <c r="H72" s="42">
        <v>0</v>
      </c>
      <c r="I72" s="37"/>
      <c r="J72" s="37"/>
      <c r="K72" s="15">
        <v>1</v>
      </c>
      <c r="L72" s="15" t="s">
        <v>134</v>
      </c>
      <c r="M72" s="15" t="s">
        <v>190</v>
      </c>
      <c r="N72" s="43">
        <f>SUM(rebio23_80ml!AO3:AO50)</f>
        <v>10</v>
      </c>
      <c r="O72" s="37"/>
      <c r="P72" s="37"/>
      <c r="Q72" s="37"/>
    </row>
    <row r="73" spans="1:17" ht="15.75" customHeight="1" x14ac:dyDescent="0.25">
      <c r="A73" s="37"/>
      <c r="B73" s="39">
        <v>0</v>
      </c>
      <c r="C73" s="36" t="s">
        <v>380</v>
      </c>
      <c r="D73" s="37"/>
      <c r="E73" s="42"/>
      <c r="F73" s="42"/>
      <c r="G73" s="42"/>
      <c r="H73" s="42"/>
      <c r="I73" s="37"/>
      <c r="J73" s="37"/>
      <c r="K73" s="15">
        <v>0</v>
      </c>
      <c r="L73" s="40" t="s">
        <v>484</v>
      </c>
      <c r="M73" s="38"/>
      <c r="O73" s="37"/>
      <c r="P73" s="37"/>
      <c r="Q73" s="37"/>
    </row>
    <row r="74" spans="1:17" ht="15.75" customHeight="1" x14ac:dyDescent="0.25">
      <c r="A74" s="37"/>
      <c r="B74" s="39">
        <v>1</v>
      </c>
      <c r="C74" s="39" t="s">
        <v>485</v>
      </c>
      <c r="D74" s="39" t="s">
        <v>486</v>
      </c>
      <c r="E74" s="42">
        <v>9.8765432098765604E-3</v>
      </c>
      <c r="F74" s="42">
        <v>9.8765432098765496E-2</v>
      </c>
      <c r="G74" s="42">
        <v>0</v>
      </c>
      <c r="H74" s="42">
        <v>0</v>
      </c>
      <c r="I74" s="37"/>
      <c r="J74" s="37"/>
      <c r="K74" s="15">
        <v>1</v>
      </c>
      <c r="L74" s="15" t="s">
        <v>487</v>
      </c>
      <c r="M74" s="15" t="s">
        <v>161</v>
      </c>
      <c r="N74" s="43">
        <f>SUM(rebio23_80ml!L3:L50)</f>
        <v>33</v>
      </c>
      <c r="O74" s="37"/>
      <c r="P74" s="37"/>
      <c r="Q74" s="37"/>
    </row>
    <row r="75" spans="1:17" ht="15.75" customHeight="1" x14ac:dyDescent="0.25">
      <c r="A75" s="37"/>
      <c r="B75" s="39">
        <v>0</v>
      </c>
      <c r="C75" s="36" t="s">
        <v>488</v>
      </c>
      <c r="D75" s="37"/>
      <c r="E75" s="42"/>
      <c r="F75" s="42"/>
      <c r="G75" s="42"/>
      <c r="H75" s="42"/>
      <c r="I75" s="37"/>
      <c r="J75" s="37"/>
      <c r="K75" s="15">
        <v>1</v>
      </c>
      <c r="L75" s="15" t="s">
        <v>489</v>
      </c>
      <c r="M75" s="15" t="s">
        <v>162</v>
      </c>
      <c r="N75" s="43">
        <f>SUM(rebio23_80ml!M3:M50)</f>
        <v>18</v>
      </c>
      <c r="O75" s="37"/>
      <c r="P75" s="37"/>
      <c r="Q75" s="37"/>
    </row>
    <row r="76" spans="1:17" ht="15.75" customHeight="1" x14ac:dyDescent="0.25">
      <c r="A76" s="37"/>
      <c r="B76" s="39">
        <v>1</v>
      </c>
      <c r="C76" s="39" t="s">
        <v>490</v>
      </c>
      <c r="D76" s="39" t="s">
        <v>491</v>
      </c>
      <c r="E76" s="42">
        <v>9.8765432098765604E-3</v>
      </c>
      <c r="F76" s="42">
        <v>0</v>
      </c>
      <c r="G76" s="42">
        <v>0</v>
      </c>
      <c r="H76" s="42">
        <v>0</v>
      </c>
      <c r="I76" s="37"/>
      <c r="J76" s="37"/>
      <c r="K76" s="15">
        <v>0</v>
      </c>
      <c r="L76" s="40" t="s">
        <v>492</v>
      </c>
      <c r="M76" s="38"/>
      <c r="O76" s="37"/>
      <c r="P76" s="37"/>
      <c r="Q76" s="37"/>
    </row>
    <row r="77" spans="1:17" ht="15.75" customHeight="1" x14ac:dyDescent="0.25">
      <c r="A77" s="37"/>
      <c r="B77" s="39">
        <v>0</v>
      </c>
      <c r="C77" s="36" t="s">
        <v>493</v>
      </c>
      <c r="D77" s="37"/>
      <c r="E77" s="42"/>
      <c r="F77" s="42"/>
      <c r="G77" s="42"/>
      <c r="H77" s="42"/>
      <c r="I77" s="37"/>
      <c r="J77" s="37"/>
      <c r="K77" s="15">
        <v>1</v>
      </c>
      <c r="L77" s="15" t="s">
        <v>494</v>
      </c>
      <c r="M77" s="15" t="s">
        <v>166</v>
      </c>
      <c r="N77" s="43">
        <f>SUM(rebio23_80ml!Q3:Q50)</f>
        <v>8</v>
      </c>
      <c r="O77" s="37"/>
      <c r="P77" s="37"/>
      <c r="Q77" s="37"/>
    </row>
    <row r="78" spans="1:17" ht="15.75" customHeight="1" x14ac:dyDescent="0.25">
      <c r="A78" s="37"/>
      <c r="B78" s="39">
        <v>1</v>
      </c>
      <c r="C78" s="39" t="s">
        <v>495</v>
      </c>
      <c r="D78" s="39" t="s">
        <v>496</v>
      </c>
      <c r="E78" s="42">
        <v>0</v>
      </c>
      <c r="F78" s="42">
        <v>0</v>
      </c>
      <c r="G78" s="42">
        <v>5.3333333333333302E-2</v>
      </c>
      <c r="H78" s="42">
        <v>0</v>
      </c>
      <c r="I78" s="37"/>
      <c r="J78" s="37"/>
      <c r="K78" s="15">
        <v>0</v>
      </c>
      <c r="L78" s="40" t="s">
        <v>497</v>
      </c>
      <c r="M78" s="38"/>
      <c r="O78" s="37"/>
      <c r="P78" s="37"/>
      <c r="Q78" s="37"/>
    </row>
    <row r="79" spans="1:17" ht="15.75" customHeight="1" x14ac:dyDescent="0.25">
      <c r="A79" s="37"/>
      <c r="B79" s="39">
        <v>0</v>
      </c>
      <c r="C79" s="36" t="s">
        <v>470</v>
      </c>
      <c r="D79" s="37"/>
      <c r="E79" s="42"/>
      <c r="F79" s="42"/>
      <c r="G79" s="42"/>
      <c r="H79" s="42"/>
      <c r="I79" s="37"/>
      <c r="J79" s="37"/>
      <c r="K79" s="15">
        <v>1</v>
      </c>
      <c r="L79" s="15" t="s">
        <v>137</v>
      </c>
      <c r="M79" s="15" t="s">
        <v>193</v>
      </c>
      <c r="N79" s="43">
        <f>SUM(rebio23_80ml!AR3:AR50)</f>
        <v>4</v>
      </c>
      <c r="O79" s="37"/>
      <c r="P79" s="37"/>
      <c r="Q79" s="37"/>
    </row>
    <row r="80" spans="1:17" ht="15.75" customHeight="1" x14ac:dyDescent="0.25">
      <c r="A80" s="37"/>
      <c r="B80" s="39">
        <v>1</v>
      </c>
      <c r="C80" s="39" t="s">
        <v>151</v>
      </c>
      <c r="D80" s="39" t="s">
        <v>206</v>
      </c>
      <c r="E80" s="42">
        <v>0</v>
      </c>
      <c r="F80" s="42">
        <v>0.187654320987655</v>
      </c>
      <c r="G80" s="42">
        <v>0</v>
      </c>
      <c r="H80" s="42">
        <v>0.53333333333333299</v>
      </c>
      <c r="I80" s="37"/>
      <c r="J80" s="37"/>
      <c r="L80" s="40" t="s">
        <v>498</v>
      </c>
      <c r="M80" s="38"/>
      <c r="O80" s="37"/>
      <c r="P80" s="37"/>
      <c r="Q80" s="37"/>
    </row>
    <row r="81" spans="1:17" ht="15.75" customHeight="1" x14ac:dyDescent="0.25">
      <c r="A81" s="37"/>
      <c r="B81"/>
      <c r="C81" s="39" t="s">
        <v>499</v>
      </c>
      <c r="D81"/>
      <c r="E81"/>
      <c r="F81"/>
      <c r="G81"/>
      <c r="H81"/>
      <c r="I81" s="37"/>
      <c r="J81" s="37"/>
      <c r="K81" s="15">
        <v>1</v>
      </c>
      <c r="L81" s="15" t="s">
        <v>141</v>
      </c>
      <c r="M81" s="15" t="s">
        <v>141</v>
      </c>
      <c r="N81" s="43">
        <f>SUM(rebio23_80ml!AV3:AV50)</f>
        <v>1260</v>
      </c>
      <c r="O81" s="37"/>
      <c r="P81" s="37"/>
      <c r="Q81" s="37"/>
    </row>
    <row r="82" spans="1:17" ht="15.75" customHeight="1" x14ac:dyDescent="0.25">
      <c r="A82" s="37"/>
      <c r="B82" s="39">
        <v>0</v>
      </c>
      <c r="C82" s="36" t="s">
        <v>500</v>
      </c>
      <c r="D82" s="37"/>
      <c r="E82" s="42"/>
      <c r="F82" s="42"/>
      <c r="G82" s="42"/>
      <c r="H82" s="42"/>
      <c r="I82" s="37"/>
      <c r="J82" s="37"/>
      <c r="K82" s="15">
        <v>1</v>
      </c>
      <c r="L82" s="15" t="s">
        <v>102</v>
      </c>
      <c r="M82" s="15" t="s">
        <v>102</v>
      </c>
      <c r="N82" s="43">
        <f>SUM(rebio23_80ml!I3:I50)</f>
        <v>595</v>
      </c>
      <c r="O82" s="37"/>
      <c r="P82" s="37"/>
      <c r="Q82" s="37"/>
    </row>
    <row r="83" spans="1:17" ht="15.75" customHeight="1" x14ac:dyDescent="0.25">
      <c r="A83" s="37"/>
      <c r="B83" s="39">
        <v>1</v>
      </c>
      <c r="C83" s="39" t="s">
        <v>501</v>
      </c>
      <c r="D83" s="39" t="s">
        <v>502</v>
      </c>
      <c r="E83" s="42">
        <v>4.9382716049382699E-2</v>
      </c>
      <c r="F83" s="42">
        <v>9.8765432098765604E-3</v>
      </c>
      <c r="G83" s="42">
        <v>0</v>
      </c>
      <c r="H83" s="42">
        <v>0</v>
      </c>
      <c r="I83" s="37"/>
      <c r="J83" s="37"/>
      <c r="K83" s="15"/>
      <c r="L83" s="40" t="s">
        <v>503</v>
      </c>
      <c r="M83" s="38"/>
      <c r="N83" s="15"/>
      <c r="O83" s="37"/>
      <c r="P83" s="37"/>
      <c r="Q83" s="37"/>
    </row>
    <row r="84" spans="1:17" ht="15.75" customHeight="1" x14ac:dyDescent="0.25">
      <c r="A84" s="37"/>
      <c r="B84" s="39">
        <v>0</v>
      </c>
      <c r="C84" s="36" t="s">
        <v>459</v>
      </c>
      <c r="D84" s="37"/>
      <c r="E84" s="42"/>
      <c r="F84" s="42"/>
      <c r="G84" s="42"/>
      <c r="H84" s="42"/>
      <c r="I84" s="37"/>
      <c r="J84" s="37"/>
      <c r="K84" s="15">
        <v>0</v>
      </c>
      <c r="L84" s="40" t="s">
        <v>504</v>
      </c>
      <c r="M84" s="38"/>
      <c r="O84" s="37"/>
      <c r="P84" s="37"/>
      <c r="Q84" s="37"/>
    </row>
    <row r="85" spans="1:17" ht="15.75" customHeight="1" x14ac:dyDescent="0.25">
      <c r="A85" s="37"/>
      <c r="B85" s="39">
        <v>1</v>
      </c>
      <c r="C85" s="39" t="s">
        <v>109</v>
      </c>
      <c r="D85" s="39" t="s">
        <v>165</v>
      </c>
      <c r="E85" s="42">
        <v>0</v>
      </c>
      <c r="F85" s="42">
        <v>9.8765432098765604E-3</v>
      </c>
      <c r="G85" s="42">
        <v>0</v>
      </c>
      <c r="H85" s="42">
        <v>0</v>
      </c>
      <c r="I85" s="37"/>
      <c r="J85" s="37"/>
      <c r="K85" s="38">
        <v>1</v>
      </c>
      <c r="L85" s="20" t="s">
        <v>132</v>
      </c>
      <c r="M85" s="15" t="s">
        <v>188</v>
      </c>
      <c r="N85" s="43">
        <f>SUM(rebio23_80ml!AM3:AM50)</f>
        <v>7</v>
      </c>
      <c r="O85" s="37"/>
      <c r="P85" s="37"/>
      <c r="Q85" s="37"/>
    </row>
    <row r="86" spans="1:17" ht="15.75" customHeight="1" x14ac:dyDescent="0.25">
      <c r="A86" s="37"/>
      <c r="B86" s="39">
        <v>0</v>
      </c>
      <c r="C86" s="36" t="s">
        <v>505</v>
      </c>
      <c r="D86" s="37"/>
      <c r="E86" s="42"/>
      <c r="F86" s="42"/>
      <c r="G86" s="42"/>
      <c r="H86" s="42"/>
      <c r="I86" s="37"/>
      <c r="J86" s="37"/>
      <c r="K86" s="38">
        <v>1</v>
      </c>
      <c r="L86" s="20" t="s">
        <v>131</v>
      </c>
      <c r="M86" s="15" t="s">
        <v>187</v>
      </c>
      <c r="N86" s="43">
        <f>SUM(rebio23_80ml!AL3:AL50)</f>
        <v>5</v>
      </c>
      <c r="O86" s="37"/>
      <c r="P86" s="37"/>
      <c r="Q86" s="37"/>
    </row>
    <row r="87" spans="1:17" ht="15.75" customHeight="1" x14ac:dyDescent="0.25">
      <c r="A87" s="37"/>
      <c r="B87" s="39">
        <v>1</v>
      </c>
      <c r="C87" s="39" t="s">
        <v>506</v>
      </c>
      <c r="D87" s="39" t="s">
        <v>507</v>
      </c>
      <c r="E87" s="42">
        <v>0</v>
      </c>
      <c r="F87" s="42">
        <v>9.8765432098765604E-3</v>
      </c>
      <c r="G87" s="42">
        <v>0</v>
      </c>
      <c r="H87" s="42">
        <v>0</v>
      </c>
      <c r="I87" s="37"/>
      <c r="J87" s="37"/>
      <c r="K87" s="15">
        <v>1</v>
      </c>
      <c r="L87" s="15" t="s">
        <v>143</v>
      </c>
      <c r="M87" s="15" t="s">
        <v>198</v>
      </c>
      <c r="N87" s="43">
        <f>SUM(rebio23_80ml!AX3:AX50)</f>
        <v>67</v>
      </c>
      <c r="O87" s="37"/>
      <c r="P87" s="37"/>
      <c r="Q87" s="37"/>
    </row>
    <row r="88" spans="1:17" ht="15.75" customHeight="1" x14ac:dyDescent="0.25">
      <c r="A88" s="37"/>
      <c r="B88" s="39">
        <v>0</v>
      </c>
      <c r="C88" s="36" t="s">
        <v>464</v>
      </c>
      <c r="D88" s="37"/>
      <c r="E88" s="42"/>
      <c r="F88" s="42"/>
      <c r="G88" s="42"/>
      <c r="H88" s="42"/>
      <c r="I88" s="37"/>
      <c r="J88" s="37"/>
      <c r="L88" s="40" t="s">
        <v>508</v>
      </c>
      <c r="M88" s="38"/>
      <c r="O88" s="37"/>
      <c r="P88" s="37"/>
      <c r="Q88" s="37"/>
    </row>
    <row r="89" spans="1:17" ht="15.75" customHeight="1" x14ac:dyDescent="0.25">
      <c r="A89" s="37"/>
      <c r="B89" s="39">
        <v>1</v>
      </c>
      <c r="C89" s="39" t="s">
        <v>509</v>
      </c>
      <c r="D89" s="39" t="s">
        <v>510</v>
      </c>
      <c r="E89" s="42">
        <v>3.95061728395062E-2</v>
      </c>
      <c r="F89" s="42">
        <v>0</v>
      </c>
      <c r="G89" s="42">
        <v>0</v>
      </c>
      <c r="H89" s="42">
        <v>0</v>
      </c>
      <c r="I89" s="37"/>
      <c r="J89" s="37"/>
      <c r="K89" s="15">
        <v>0</v>
      </c>
      <c r="L89" s="40" t="s">
        <v>511</v>
      </c>
      <c r="M89" s="38"/>
      <c r="O89" s="37"/>
      <c r="P89" s="37"/>
      <c r="Q89" s="37"/>
    </row>
    <row r="90" spans="1:17" ht="15.75" customHeight="1" x14ac:dyDescent="0.25">
      <c r="A90" s="37"/>
      <c r="B90" s="37"/>
      <c r="C90" s="36" t="s">
        <v>473</v>
      </c>
      <c r="D90" s="37"/>
      <c r="E90" s="42"/>
      <c r="F90" s="42"/>
      <c r="G90" s="42"/>
      <c r="H90" s="42"/>
      <c r="I90" s="37"/>
      <c r="J90" s="37"/>
      <c r="K90" s="15">
        <v>1</v>
      </c>
      <c r="L90" s="15" t="s">
        <v>142</v>
      </c>
      <c r="M90" s="15" t="s">
        <v>197</v>
      </c>
      <c r="N90" s="43">
        <f>SUM(rebio23_80ml!AW3:AW50)</f>
        <v>84</v>
      </c>
      <c r="O90" s="37"/>
      <c r="P90" s="37"/>
      <c r="Q90" s="37"/>
    </row>
    <row r="91" spans="1:17" ht="15.75" customHeight="1" x14ac:dyDescent="0.25">
      <c r="A91" s="37"/>
      <c r="B91" s="37"/>
      <c r="C91" s="36" t="s">
        <v>474</v>
      </c>
      <c r="D91" s="37"/>
      <c r="E91" s="42"/>
      <c r="F91" s="42"/>
      <c r="G91" s="42"/>
      <c r="H91" s="42"/>
      <c r="I91" s="37"/>
      <c r="J91" s="37"/>
      <c r="K91" s="15"/>
      <c r="L91" s="40" t="s">
        <v>512</v>
      </c>
      <c r="M91" s="38"/>
      <c r="N91" s="15"/>
      <c r="O91"/>
      <c r="P91" s="37"/>
      <c r="Q91" s="37"/>
    </row>
    <row r="92" spans="1:17" ht="15.75" customHeight="1" x14ac:dyDescent="0.25">
      <c r="A92" s="37"/>
      <c r="B92" s="37"/>
      <c r="C92" s="36" t="s">
        <v>475</v>
      </c>
      <c r="D92" s="37"/>
      <c r="E92" s="42"/>
      <c r="F92" s="42"/>
      <c r="G92" s="42"/>
      <c r="H92" s="42"/>
      <c r="I92" s="37"/>
      <c r="J92" s="37"/>
      <c r="K92" s="38"/>
      <c r="L92" s="38"/>
      <c r="M92" s="38"/>
      <c r="N92" s="38"/>
      <c r="O92"/>
      <c r="P92" s="37"/>
      <c r="Q92" s="37"/>
    </row>
    <row r="93" spans="1:17" ht="15.75" customHeight="1" x14ac:dyDescent="0.25">
      <c r="A93" s="37"/>
      <c r="B93" s="39">
        <v>0</v>
      </c>
      <c r="C93" s="36" t="s">
        <v>476</v>
      </c>
      <c r="D93" s="37"/>
      <c r="E93" s="42"/>
      <c r="F93" s="42"/>
      <c r="G93" s="42"/>
      <c r="H93" s="42"/>
      <c r="I93" s="37"/>
      <c r="J93" s="37"/>
      <c r="K93" s="38"/>
      <c r="L93" s="38"/>
      <c r="M93" s="38"/>
      <c r="N93" s="38"/>
      <c r="O93" s="37"/>
      <c r="P93" s="37"/>
      <c r="Q93" s="37"/>
    </row>
    <row r="94" spans="1:17" ht="15.75" customHeight="1" x14ac:dyDescent="0.25">
      <c r="A94" s="37"/>
      <c r="B94" s="39">
        <v>1</v>
      </c>
      <c r="C94" s="39" t="s">
        <v>95</v>
      </c>
      <c r="D94" s="39" t="s">
        <v>153</v>
      </c>
      <c r="E94" s="42">
        <v>0</v>
      </c>
      <c r="F94" s="42">
        <v>8.8888888888888906E-2</v>
      </c>
      <c r="G94" s="42">
        <v>0</v>
      </c>
      <c r="H94" s="42">
        <v>0</v>
      </c>
      <c r="I94" s="37"/>
      <c r="J94" s="37"/>
      <c r="K94" s="38"/>
      <c r="L94" s="38"/>
      <c r="M94" s="38"/>
      <c r="N94" s="38"/>
      <c r="O94" s="37"/>
      <c r="P94" s="37"/>
      <c r="Q94" s="37"/>
    </row>
    <row r="95" spans="1:17" ht="15.75" customHeight="1" x14ac:dyDescent="0.25">
      <c r="A95" s="37"/>
      <c r="B95" s="39">
        <v>1</v>
      </c>
      <c r="C95" s="39" t="s">
        <v>96</v>
      </c>
      <c r="D95" s="39" t="s">
        <v>154</v>
      </c>
      <c r="E95" s="42">
        <v>0</v>
      </c>
      <c r="F95" s="42">
        <v>0</v>
      </c>
      <c r="G95" s="42">
        <v>0.10666666666666701</v>
      </c>
      <c r="H95" s="42">
        <v>0</v>
      </c>
      <c r="I95" s="37"/>
      <c r="J95" s="37"/>
      <c r="K95" s="38"/>
      <c r="L95" s="38"/>
      <c r="M95" s="38"/>
      <c r="N95" s="38"/>
      <c r="O95" s="37"/>
      <c r="P95" s="37"/>
      <c r="Q95" s="37"/>
    </row>
    <row r="96" spans="1:17" ht="15.75" customHeight="1" x14ac:dyDescent="0.25">
      <c r="A96" s="37"/>
      <c r="B96" s="39">
        <v>1</v>
      </c>
      <c r="C96" s="39" t="s">
        <v>513</v>
      </c>
      <c r="D96" s="39" t="s">
        <v>514</v>
      </c>
      <c r="E96" s="42">
        <v>0</v>
      </c>
      <c r="F96" s="42">
        <v>0</v>
      </c>
      <c r="G96" s="42">
        <v>0.37333333333333302</v>
      </c>
      <c r="H96" s="42">
        <v>0</v>
      </c>
      <c r="I96" s="37"/>
      <c r="J96" s="37"/>
      <c r="K96" s="38"/>
      <c r="L96" s="38"/>
      <c r="M96" s="38"/>
      <c r="N96" s="38"/>
      <c r="O96" s="37"/>
      <c r="P96" s="37"/>
      <c r="Q96" s="37"/>
    </row>
    <row r="97" spans="1:17" ht="15.75" customHeight="1" x14ac:dyDescent="0.25">
      <c r="A97" s="37"/>
      <c r="B97" s="39">
        <v>1</v>
      </c>
      <c r="C97" s="39" t="s">
        <v>97</v>
      </c>
      <c r="D97" s="39" t="s">
        <v>155</v>
      </c>
      <c r="E97" s="42">
        <v>4.9382716049382699E-2</v>
      </c>
      <c r="F97" s="42">
        <v>3.95061728395062E-2</v>
      </c>
      <c r="G97" s="42">
        <v>0.32</v>
      </c>
      <c r="H97" s="42">
        <v>0</v>
      </c>
      <c r="I97" s="37"/>
      <c r="J97" s="37"/>
      <c r="K97" s="38"/>
      <c r="L97" s="38"/>
      <c r="M97" s="38"/>
      <c r="N97" s="38"/>
      <c r="O97" s="37"/>
      <c r="P97" s="37"/>
      <c r="Q97" s="37"/>
    </row>
    <row r="98" spans="1:17" ht="15.75" customHeight="1" x14ac:dyDescent="0.25">
      <c r="A98" s="37"/>
      <c r="B98" s="39">
        <v>1</v>
      </c>
      <c r="C98" s="39" t="s">
        <v>515</v>
      </c>
      <c r="D98" s="39" t="s">
        <v>516</v>
      </c>
      <c r="E98" s="42">
        <v>3.95061728395062E-2</v>
      </c>
      <c r="F98" s="42">
        <v>3.95061728395062E-2</v>
      </c>
      <c r="G98" s="42">
        <v>0</v>
      </c>
      <c r="H98" s="42">
        <v>0</v>
      </c>
      <c r="I98" s="37"/>
      <c r="J98" s="37"/>
      <c r="K98" s="38"/>
      <c r="L98" s="38"/>
      <c r="M98" s="38"/>
      <c r="N98" s="38"/>
      <c r="O98" s="37"/>
      <c r="P98" s="37"/>
      <c r="Q98" s="37"/>
    </row>
    <row r="99" spans="1:17" ht="15.75" customHeight="1" x14ac:dyDescent="0.25">
      <c r="A99" s="37"/>
      <c r="B99" s="39">
        <v>1</v>
      </c>
      <c r="C99" s="39" t="s">
        <v>517</v>
      </c>
      <c r="D99" s="39" t="s">
        <v>518</v>
      </c>
      <c r="E99" s="42">
        <v>0</v>
      </c>
      <c r="F99" s="42">
        <v>0</v>
      </c>
      <c r="G99" s="42">
        <v>0.37333333333333302</v>
      </c>
      <c r="H99" s="42">
        <v>0</v>
      </c>
      <c r="I99" s="37"/>
      <c r="J99" s="37"/>
      <c r="K99" s="38"/>
      <c r="L99" s="38"/>
      <c r="M99" s="38"/>
      <c r="N99" s="38"/>
      <c r="O99" s="37"/>
      <c r="P99" s="37"/>
      <c r="Q99" s="37"/>
    </row>
    <row r="100" spans="1:17" ht="15.75" customHeight="1" x14ac:dyDescent="0.25">
      <c r="A100" s="37"/>
      <c r="B100" s="39">
        <v>1</v>
      </c>
      <c r="C100" s="39" t="s">
        <v>103</v>
      </c>
      <c r="D100" s="39" t="s">
        <v>159</v>
      </c>
      <c r="E100" s="42">
        <v>0</v>
      </c>
      <c r="F100" s="42">
        <v>0</v>
      </c>
      <c r="G100" s="42">
        <v>0.10666666666666701</v>
      </c>
      <c r="H100" s="42">
        <v>0</v>
      </c>
      <c r="I100" s="37"/>
      <c r="J100" s="37"/>
      <c r="K100" s="38"/>
      <c r="L100" s="38"/>
      <c r="M100" s="38"/>
      <c r="N100" s="38"/>
      <c r="O100" s="37"/>
      <c r="P100" s="37"/>
      <c r="Q100" s="37"/>
    </row>
    <row r="101" spans="1:17" ht="15.75" customHeight="1" x14ac:dyDescent="0.25">
      <c r="A101" s="37"/>
      <c r="B101" s="39">
        <v>0</v>
      </c>
      <c r="C101" s="36" t="s">
        <v>479</v>
      </c>
      <c r="D101" s="37"/>
      <c r="E101" s="42"/>
      <c r="F101" s="42"/>
      <c r="G101" s="42"/>
      <c r="H101" s="42"/>
      <c r="I101" s="37"/>
      <c r="J101" s="37"/>
      <c r="K101" s="38"/>
      <c r="L101" s="38"/>
      <c r="M101" s="38"/>
      <c r="N101" s="38"/>
      <c r="O101" s="37"/>
      <c r="P101" s="37"/>
      <c r="Q101" s="37"/>
    </row>
    <row r="102" spans="1:17" ht="15.75" customHeight="1" x14ac:dyDescent="0.25">
      <c r="A102" s="37"/>
      <c r="B102" s="39">
        <v>1</v>
      </c>
      <c r="C102" s="39" t="s">
        <v>519</v>
      </c>
      <c r="D102" s="39" t="s">
        <v>520</v>
      </c>
      <c r="E102" s="42">
        <v>0</v>
      </c>
      <c r="F102" s="42">
        <v>0</v>
      </c>
      <c r="G102" s="42">
        <v>5.3333333333333302E-2</v>
      </c>
      <c r="H102" s="42">
        <v>0</v>
      </c>
      <c r="I102" s="37"/>
      <c r="J102" s="37"/>
      <c r="K102" s="38"/>
      <c r="L102" s="38"/>
      <c r="M102" s="38"/>
      <c r="N102" s="38"/>
      <c r="O102" s="37"/>
      <c r="P102" s="37"/>
      <c r="Q102" s="37"/>
    </row>
    <row r="103" spans="1:17" ht="15.75" customHeight="1" x14ac:dyDescent="0.25">
      <c r="A103" s="37"/>
      <c r="B103" s="39">
        <v>1</v>
      </c>
      <c r="C103" s="39" t="s">
        <v>480</v>
      </c>
      <c r="D103" s="39" t="s">
        <v>192</v>
      </c>
      <c r="E103" s="42">
        <v>0</v>
      </c>
      <c r="F103" s="42">
        <v>0</v>
      </c>
      <c r="G103" s="42">
        <v>0.266666666666667</v>
      </c>
      <c r="H103" s="42">
        <v>0</v>
      </c>
      <c r="I103" s="37"/>
      <c r="J103" s="37"/>
      <c r="K103" s="38"/>
      <c r="L103" s="38"/>
      <c r="M103" s="38"/>
      <c r="N103" s="38"/>
      <c r="O103" s="37"/>
      <c r="P103" s="37"/>
      <c r="Q103" s="37"/>
    </row>
    <row r="104" spans="1:17" ht="15.75" customHeight="1" x14ac:dyDescent="0.25">
      <c r="A104" s="37"/>
      <c r="B104" s="39">
        <v>1</v>
      </c>
      <c r="C104" s="39" t="s">
        <v>483</v>
      </c>
      <c r="D104" s="39" t="s">
        <v>191</v>
      </c>
      <c r="E104" s="42">
        <v>0</v>
      </c>
      <c r="F104" s="42">
        <v>0</v>
      </c>
      <c r="G104" s="42">
        <v>0.21333333333333299</v>
      </c>
      <c r="H104" s="42">
        <v>0</v>
      </c>
      <c r="I104" s="37"/>
      <c r="J104" s="37"/>
      <c r="K104" s="38"/>
      <c r="L104" s="38"/>
      <c r="M104" s="38"/>
      <c r="N104" s="38"/>
      <c r="O104" s="37"/>
      <c r="P104" s="37"/>
      <c r="Q104" s="37"/>
    </row>
    <row r="105" spans="1:17" ht="15.75" customHeight="1" x14ac:dyDescent="0.25">
      <c r="A105" s="37"/>
      <c r="B105" s="39">
        <v>1</v>
      </c>
      <c r="C105" s="39" t="s">
        <v>134</v>
      </c>
      <c r="D105" s="39" t="s">
        <v>190</v>
      </c>
      <c r="E105" s="42">
        <v>9.8765432098765604E-3</v>
      </c>
      <c r="F105" s="42">
        <v>9.8765432098765604E-3</v>
      </c>
      <c r="G105" s="42">
        <v>0.16</v>
      </c>
      <c r="H105" s="42">
        <v>0</v>
      </c>
      <c r="I105" s="37"/>
      <c r="J105" s="37"/>
      <c r="K105" s="38"/>
      <c r="L105" s="38"/>
      <c r="M105" s="38"/>
      <c r="N105" s="38"/>
      <c r="O105" s="37"/>
      <c r="P105" s="37"/>
      <c r="Q105" s="37"/>
    </row>
    <row r="106" spans="1:17" ht="15.75" customHeight="1" x14ac:dyDescent="0.25">
      <c r="A106" s="37"/>
      <c r="B106" s="39">
        <v>0</v>
      </c>
      <c r="C106" s="36" t="s">
        <v>484</v>
      </c>
      <c r="D106" s="37"/>
      <c r="E106" s="42"/>
      <c r="F106" s="42"/>
      <c r="G106" s="42"/>
      <c r="H106" s="42"/>
      <c r="I106" s="37"/>
      <c r="J106" s="37"/>
      <c r="K106" s="38"/>
      <c r="L106" s="38"/>
      <c r="M106" s="38"/>
      <c r="N106" s="38"/>
      <c r="O106" s="37"/>
      <c r="P106" s="37"/>
      <c r="Q106" s="37"/>
    </row>
    <row r="107" spans="1:17" ht="15.75" customHeight="1" x14ac:dyDescent="0.25">
      <c r="A107" s="37"/>
      <c r="B107" s="39">
        <v>1</v>
      </c>
      <c r="C107" s="39" t="s">
        <v>105</v>
      </c>
      <c r="D107" s="39" t="s">
        <v>161</v>
      </c>
      <c r="E107" s="42">
        <v>0</v>
      </c>
      <c r="F107" s="42">
        <v>0</v>
      </c>
      <c r="G107" s="42">
        <v>0.21333333333333299</v>
      </c>
      <c r="H107" s="42">
        <v>0</v>
      </c>
      <c r="I107" s="37"/>
      <c r="J107" s="37"/>
      <c r="K107" s="38"/>
      <c r="L107" s="38"/>
      <c r="M107" s="38"/>
      <c r="N107" s="38"/>
      <c r="O107" s="37"/>
      <c r="P107" s="37"/>
      <c r="Q107" s="37"/>
    </row>
    <row r="108" spans="1:17" ht="15.75" customHeight="1" x14ac:dyDescent="0.25">
      <c r="A108" s="37"/>
      <c r="B108" s="39">
        <v>1</v>
      </c>
      <c r="C108" s="39" t="s">
        <v>106</v>
      </c>
      <c r="D108" s="39" t="s">
        <v>162</v>
      </c>
      <c r="E108" s="42">
        <v>0</v>
      </c>
      <c r="F108" s="42">
        <v>0</v>
      </c>
      <c r="G108" s="42">
        <v>0.16</v>
      </c>
      <c r="H108" s="42">
        <v>0</v>
      </c>
      <c r="I108" s="37"/>
      <c r="J108" s="37"/>
      <c r="K108" s="38"/>
      <c r="L108" s="38"/>
      <c r="M108" s="38"/>
      <c r="N108" s="38"/>
      <c r="O108" s="37"/>
      <c r="P108" s="37"/>
      <c r="Q108" s="37"/>
    </row>
    <row r="109" spans="1:17" ht="15.75" customHeight="1" x14ac:dyDescent="0.25">
      <c r="A109" s="37"/>
      <c r="B109" s="39">
        <v>0</v>
      </c>
      <c r="C109" s="36" t="s">
        <v>492</v>
      </c>
      <c r="D109" s="37"/>
      <c r="E109" s="42"/>
      <c r="F109" s="42"/>
      <c r="G109" s="42"/>
      <c r="H109" s="42"/>
      <c r="I109" s="37"/>
      <c r="J109" s="37"/>
      <c r="K109" s="38"/>
      <c r="L109" s="38"/>
      <c r="M109" s="38"/>
      <c r="N109" s="38"/>
      <c r="O109" s="37"/>
      <c r="P109" s="37"/>
      <c r="Q109" s="37"/>
    </row>
    <row r="110" spans="1:17" ht="15.75" customHeight="1" x14ac:dyDescent="0.25">
      <c r="A110" s="37"/>
      <c r="B110" s="39">
        <v>1</v>
      </c>
      <c r="C110" s="39" t="s">
        <v>494</v>
      </c>
      <c r="D110" s="39" t="s">
        <v>166</v>
      </c>
      <c r="E110" s="42">
        <v>0</v>
      </c>
      <c r="F110" s="42">
        <v>0</v>
      </c>
      <c r="G110" s="42">
        <v>0.37333333333333302</v>
      </c>
      <c r="H110" s="42">
        <v>0</v>
      </c>
      <c r="I110" s="37"/>
      <c r="J110" s="37"/>
      <c r="K110" s="38"/>
      <c r="L110" s="38"/>
      <c r="M110" s="38"/>
      <c r="N110" s="38"/>
      <c r="O110" s="37"/>
      <c r="P110" s="37"/>
      <c r="Q110" s="37"/>
    </row>
    <row r="111" spans="1:17" ht="15.75" customHeight="1" x14ac:dyDescent="0.25">
      <c r="A111" s="37"/>
      <c r="B111" s="39">
        <v>0</v>
      </c>
      <c r="C111" s="36" t="s">
        <v>497</v>
      </c>
      <c r="D111" s="37"/>
      <c r="E111" s="42"/>
      <c r="F111" s="42"/>
      <c r="G111" s="42"/>
      <c r="H111" s="42"/>
      <c r="I111" s="37"/>
      <c r="J111" s="37"/>
      <c r="K111" s="38"/>
      <c r="L111" s="38"/>
      <c r="M111" s="38"/>
      <c r="N111" s="38"/>
      <c r="O111" s="37"/>
      <c r="P111" s="37"/>
      <c r="Q111" s="37"/>
    </row>
    <row r="112" spans="1:17" ht="15.75" customHeight="1" x14ac:dyDescent="0.25">
      <c r="A112" s="37"/>
      <c r="B112" s="39">
        <v>1</v>
      </c>
      <c r="C112" s="39" t="s">
        <v>137</v>
      </c>
      <c r="D112" s="39" t="s">
        <v>193</v>
      </c>
      <c r="E112" s="42">
        <v>0</v>
      </c>
      <c r="F112" s="42">
        <v>0</v>
      </c>
      <c r="G112" s="42">
        <v>0.266666666666666</v>
      </c>
      <c r="H112" s="42">
        <v>0</v>
      </c>
      <c r="I112" s="37"/>
      <c r="J112" s="37"/>
      <c r="K112" s="38"/>
      <c r="L112" s="38"/>
      <c r="M112" s="38"/>
      <c r="N112" s="38"/>
      <c r="O112" s="37"/>
      <c r="P112" s="37"/>
      <c r="Q112" s="37"/>
    </row>
    <row r="113" spans="1:17" ht="15.75" customHeight="1" x14ac:dyDescent="0.25">
      <c r="A113" s="37"/>
      <c r="B113" s="37"/>
      <c r="C113" s="36" t="s">
        <v>498</v>
      </c>
      <c r="D113" s="37"/>
      <c r="E113" s="42"/>
      <c r="F113" s="42"/>
      <c r="G113" s="42"/>
      <c r="H113" s="42"/>
      <c r="I113" s="37"/>
      <c r="J113" s="37"/>
      <c r="K113" s="38"/>
      <c r="L113" s="38"/>
      <c r="M113" s="38"/>
      <c r="N113" s="38"/>
      <c r="O113" s="37"/>
      <c r="P113" s="37"/>
      <c r="Q113" s="37"/>
    </row>
    <row r="114" spans="1:17" ht="15.75" customHeight="1" x14ac:dyDescent="0.25">
      <c r="A114" s="37"/>
      <c r="B114" s="39">
        <v>1</v>
      </c>
      <c r="C114" s="39" t="s">
        <v>521</v>
      </c>
      <c r="D114" s="39" t="s">
        <v>141</v>
      </c>
      <c r="E114" s="42">
        <v>0.59753086419753099</v>
      </c>
      <c r="F114" s="42">
        <v>2.5975308641975299</v>
      </c>
      <c r="G114" s="42">
        <v>17.0133333333333</v>
      </c>
      <c r="H114" s="42">
        <v>2.1333333333333302</v>
      </c>
      <c r="I114" s="37"/>
      <c r="J114" s="37"/>
      <c r="K114" s="38"/>
      <c r="L114" s="38"/>
      <c r="M114" s="38"/>
      <c r="N114" s="38"/>
      <c r="O114" s="37"/>
      <c r="P114" s="37"/>
      <c r="Q114" s="37"/>
    </row>
    <row r="115" spans="1:17" ht="15.75" customHeight="1" x14ac:dyDescent="0.25">
      <c r="A115" s="37"/>
      <c r="B115" s="39">
        <v>1</v>
      </c>
      <c r="C115" s="39" t="s">
        <v>102</v>
      </c>
      <c r="D115" s="39" t="s">
        <v>102</v>
      </c>
      <c r="E115" s="42">
        <v>8.8888888888888906E-2</v>
      </c>
      <c r="F115" s="42">
        <v>0.43456790123456801</v>
      </c>
      <c r="G115" s="42">
        <v>1.17333333333333</v>
      </c>
      <c r="H115" s="42">
        <v>0.71111111111111103</v>
      </c>
      <c r="I115" s="37"/>
      <c r="J115" s="37"/>
      <c r="K115" s="38"/>
      <c r="L115" s="38"/>
      <c r="M115" s="38"/>
      <c r="N115" s="38"/>
      <c r="O115" s="37"/>
      <c r="P115" s="37"/>
      <c r="Q115" s="37"/>
    </row>
    <row r="116" spans="1:17" ht="15.75" customHeight="1" x14ac:dyDescent="0.25">
      <c r="A116" s="37"/>
      <c r="B116" s="39">
        <v>1</v>
      </c>
      <c r="C116" s="36" t="s">
        <v>503</v>
      </c>
      <c r="D116" s="39" t="s">
        <v>522</v>
      </c>
      <c r="E116" s="42">
        <v>1.97530864197531E-2</v>
      </c>
      <c r="F116" s="42">
        <v>0.15802469135802499</v>
      </c>
      <c r="G116" s="42">
        <v>0.42666666666666703</v>
      </c>
      <c r="H116" s="42">
        <v>0</v>
      </c>
      <c r="I116" s="37"/>
      <c r="J116" s="37"/>
      <c r="K116" s="38"/>
      <c r="L116" s="38"/>
      <c r="M116" s="38"/>
      <c r="N116" s="38"/>
      <c r="O116" s="37"/>
      <c r="P116" s="37"/>
      <c r="Q116" s="37"/>
    </row>
    <row r="117" spans="1:17" ht="15.75" customHeight="1" x14ac:dyDescent="0.25">
      <c r="A117" s="37"/>
      <c r="B117" s="39">
        <v>0</v>
      </c>
      <c r="C117" s="36" t="s">
        <v>504</v>
      </c>
      <c r="D117" s="37"/>
      <c r="E117" s="42"/>
      <c r="F117" s="42"/>
      <c r="G117" s="42"/>
      <c r="H117" s="42"/>
      <c r="I117" s="37"/>
      <c r="J117" s="37"/>
      <c r="K117" s="38"/>
      <c r="L117" s="38"/>
      <c r="M117" s="38"/>
      <c r="N117" s="38"/>
      <c r="O117" s="37"/>
      <c r="P117" s="37"/>
      <c r="Q117" s="37"/>
    </row>
    <row r="118" spans="1:17" ht="15.75" customHeight="1" x14ac:dyDescent="0.25">
      <c r="A118" s="37"/>
      <c r="B118" s="39">
        <v>1</v>
      </c>
      <c r="C118" s="39" t="s">
        <v>143</v>
      </c>
      <c r="D118" s="39" t="s">
        <v>198</v>
      </c>
      <c r="E118" s="42">
        <v>0</v>
      </c>
      <c r="F118" s="42">
        <v>1.97530864197531E-2</v>
      </c>
      <c r="G118" s="42">
        <v>0</v>
      </c>
      <c r="H118" s="42">
        <v>0</v>
      </c>
      <c r="I118" s="37"/>
      <c r="J118" s="37"/>
      <c r="K118" s="38"/>
      <c r="L118" s="38"/>
      <c r="M118" s="38"/>
      <c r="N118" s="38"/>
      <c r="O118" s="37"/>
      <c r="P118" s="37"/>
      <c r="Q118" s="37"/>
    </row>
    <row r="119" spans="1:17" ht="15.75" customHeight="1" x14ac:dyDescent="0.25">
      <c r="A119" s="37"/>
      <c r="B119" s="37"/>
      <c r="C119" s="36" t="s">
        <v>508</v>
      </c>
      <c r="D119" s="37"/>
      <c r="E119" s="42"/>
      <c r="F119" s="42"/>
      <c r="G119" s="42"/>
      <c r="H119" s="42"/>
      <c r="I119" s="37"/>
      <c r="J119" s="37"/>
      <c r="K119" s="38"/>
      <c r="L119" s="38"/>
      <c r="M119" s="38"/>
      <c r="N119" s="38"/>
      <c r="O119" s="37"/>
      <c r="P119" s="37"/>
      <c r="Q119" s="37"/>
    </row>
    <row r="120" spans="1:17" ht="15.75" customHeight="1" x14ac:dyDescent="0.25">
      <c r="A120" s="37"/>
      <c r="B120" s="39">
        <v>0</v>
      </c>
      <c r="C120" s="36" t="s">
        <v>511</v>
      </c>
      <c r="D120" s="37"/>
      <c r="E120" s="42"/>
      <c r="F120" s="42"/>
      <c r="G120" s="42"/>
      <c r="H120" s="42"/>
      <c r="I120" s="37"/>
      <c r="J120" s="37"/>
      <c r="K120" s="38"/>
      <c r="L120" s="38"/>
      <c r="M120" s="38"/>
      <c r="N120" s="38"/>
      <c r="O120" s="37"/>
      <c r="P120" s="37"/>
      <c r="Q120" s="37"/>
    </row>
    <row r="121" spans="1:17" ht="15.75" customHeight="1" x14ac:dyDescent="0.25">
      <c r="A121" s="37"/>
      <c r="B121" s="39">
        <v>1</v>
      </c>
      <c r="C121" s="39" t="s">
        <v>142</v>
      </c>
      <c r="D121" s="39" t="s">
        <v>197</v>
      </c>
      <c r="E121" s="42">
        <v>0</v>
      </c>
      <c r="F121" s="42">
        <v>1.97530864197531E-2</v>
      </c>
      <c r="G121" s="42">
        <v>0</v>
      </c>
      <c r="H121" s="42">
        <v>0</v>
      </c>
      <c r="I121" s="37"/>
      <c r="J121" s="37"/>
      <c r="K121" s="38"/>
      <c r="L121" s="38"/>
      <c r="M121" s="38"/>
      <c r="N121" s="38"/>
      <c r="O121" s="37"/>
      <c r="P121" s="37"/>
      <c r="Q121" s="37"/>
    </row>
    <row r="122" spans="1:17" ht="15.75" customHeight="1" x14ac:dyDescent="0.25">
      <c r="A122" s="37"/>
      <c r="B122" s="39">
        <v>1</v>
      </c>
      <c r="C122" s="36" t="s">
        <v>512</v>
      </c>
      <c r="D122" s="39" t="s">
        <v>523</v>
      </c>
      <c r="E122" s="42">
        <v>9.8765432098765604E-3</v>
      </c>
      <c r="F122" s="42">
        <v>0</v>
      </c>
      <c r="G122" s="42">
        <v>0</v>
      </c>
      <c r="H122" s="42">
        <v>0</v>
      </c>
      <c r="I122" s="37"/>
      <c r="J122" s="37"/>
      <c r="K122" s="38"/>
      <c r="L122" s="38"/>
      <c r="M122" s="38"/>
      <c r="N122" s="38"/>
      <c r="O122" s="37"/>
      <c r="P122" s="37"/>
      <c r="Q122" s="37"/>
    </row>
    <row r="123" spans="1:17" ht="15.75" customHeight="1" x14ac:dyDescent="0.25">
      <c r="A123" s="37"/>
      <c r="B123"/>
      <c r="C123"/>
      <c r="D123"/>
      <c r="E123"/>
      <c r="F123"/>
      <c r="G123"/>
      <c r="H123"/>
      <c r="I123" s="37"/>
      <c r="J123" s="37"/>
      <c r="K123" s="38"/>
      <c r="L123" s="38"/>
      <c r="M123" s="38"/>
      <c r="N123" s="38"/>
      <c r="O123" s="37"/>
      <c r="P123" s="37"/>
      <c r="Q123" s="37"/>
    </row>
    <row r="124" spans="1:17" ht="15.75" customHeight="1" x14ac:dyDescent="0.25">
      <c r="A124" s="37"/>
      <c r="B124"/>
      <c r="C124"/>
      <c r="D124"/>
      <c r="E124"/>
      <c r="F124"/>
      <c r="G124"/>
      <c r="H124"/>
      <c r="I124" s="37"/>
      <c r="J124" s="37"/>
      <c r="K124" s="38"/>
      <c r="L124" s="38"/>
      <c r="M124" s="38"/>
      <c r="N124" s="38"/>
      <c r="O124" s="37"/>
      <c r="P124" s="37"/>
      <c r="Q124" s="37"/>
    </row>
    <row r="125" spans="1:17" ht="15.75" customHeight="1" x14ac:dyDescent="0.25">
      <c r="A125" s="37"/>
      <c r="B125"/>
      <c r="C125"/>
      <c r="D125"/>
      <c r="E125"/>
      <c r="F125"/>
      <c r="G125"/>
      <c r="H125"/>
      <c r="I125" s="37"/>
      <c r="J125" s="37"/>
      <c r="K125" s="38"/>
      <c r="L125" s="38"/>
      <c r="M125" s="38"/>
      <c r="N125" s="38"/>
      <c r="O125" s="37"/>
      <c r="P125" s="37"/>
      <c r="Q125" s="37"/>
    </row>
    <row r="126" spans="1:17" ht="15.75" customHeight="1" x14ac:dyDescent="0.25">
      <c r="A126" s="37"/>
      <c r="B126"/>
      <c r="C126"/>
      <c r="D126"/>
      <c r="E126"/>
      <c r="F126"/>
      <c r="G126"/>
      <c r="H126"/>
      <c r="I126" s="37"/>
      <c r="J126" s="37"/>
      <c r="K126" s="38"/>
      <c r="L126" s="38"/>
      <c r="M126" s="38"/>
      <c r="N126" s="38"/>
      <c r="O126" s="37"/>
      <c r="P126" s="37"/>
      <c r="Q126" s="37"/>
    </row>
    <row r="127" spans="1:17" ht="15.75" customHeight="1" x14ac:dyDescent="0.25">
      <c r="K127" s="38"/>
      <c r="L127" s="38"/>
      <c r="M127" s="38"/>
      <c r="N127" s="38"/>
    </row>
    <row r="128" spans="1:17" ht="15.75" customHeight="1" x14ac:dyDescent="0.25">
      <c r="K128" s="38"/>
      <c r="L128" s="38"/>
      <c r="M128" s="38"/>
      <c r="N128" s="38"/>
    </row>
    <row r="129" spans="11:15" ht="15.75" customHeight="1" x14ac:dyDescent="0.25">
      <c r="K129" s="38"/>
      <c r="L129" s="38"/>
      <c r="M129" s="38"/>
      <c r="N129" s="38"/>
      <c r="O129"/>
    </row>
    <row r="130" spans="11:15" ht="15.75" customHeight="1" x14ac:dyDescent="0.25">
      <c r="K130" s="38"/>
      <c r="L130" s="38"/>
      <c r="M130" s="38"/>
      <c r="N130" s="38"/>
      <c r="O130"/>
    </row>
    <row r="131" spans="11:15" ht="15.75" customHeight="1" x14ac:dyDescent="0.25">
      <c r="K131" s="38"/>
      <c r="L131" s="38"/>
      <c r="M131" s="38"/>
      <c r="N131" s="38"/>
      <c r="O131"/>
    </row>
    <row r="132" spans="11:15" ht="15.75" customHeight="1" x14ac:dyDescent="0.25">
      <c r="K132" s="38"/>
      <c r="L132" s="38"/>
      <c r="M132" s="38"/>
      <c r="N132" s="38"/>
    </row>
    <row r="133" spans="11:15" ht="15.75" customHeight="1" x14ac:dyDescent="0.25"/>
    <row r="134" spans="11:15" ht="15.75" customHeight="1" x14ac:dyDescent="0.25"/>
    <row r="135" spans="11:15" ht="15.75" customHeight="1" x14ac:dyDescent="0.25"/>
    <row r="136" spans="11:15" ht="15.75" customHeight="1" x14ac:dyDescent="0.25"/>
    <row r="137" spans="11:15" ht="15.75" customHeight="1" x14ac:dyDescent="0.25"/>
    <row r="138" spans="11:15" ht="15.75" customHeight="1" x14ac:dyDescent="0.25"/>
    <row r="139" spans="11:15" ht="15.75" customHeight="1" x14ac:dyDescent="0.25"/>
    <row r="140" spans="11:15" ht="15.75" customHeight="1" x14ac:dyDescent="0.25"/>
    <row r="141" spans="11:15" ht="15.75" customHeight="1" x14ac:dyDescent="0.25"/>
    <row r="142" spans="11:15" ht="15.75" customHeight="1" x14ac:dyDescent="0.25"/>
    <row r="143" spans="11:15" ht="15.75" customHeight="1" x14ac:dyDescent="0.25"/>
    <row r="144" spans="11:15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Q2" r:id="rId1" xr:uid="{00000000-0004-0000-0500-000000000000}"/>
    <hyperlink ref="Q3" r:id="rId2" xr:uid="{00000000-0004-0000-0500-000001000000}"/>
    <hyperlink ref="Q4" r:id="rId3" xr:uid="{00000000-0004-0000-0500-000002000000}"/>
  </hyperlinks>
  <pageMargins left="0.7" right="0.7" top="2.3250000000000002" bottom="2.3250000000000002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9545-CA97-4B8E-BD04-9028A3F5AE81}">
  <dimension ref="A1:V1048576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7" sqref="B7"/>
    </sheetView>
  </sheetViews>
  <sheetFormatPr defaultColWidth="17.140625" defaultRowHeight="15.75" customHeight="1" x14ac:dyDescent="0.25"/>
  <cols>
    <col min="1" max="16384" width="17.140625" style="53"/>
  </cols>
  <sheetData>
    <row r="1" spans="1:22" ht="15.75" customHeight="1" x14ac:dyDescent="0.25">
      <c r="B1" s="58" t="s">
        <v>526</v>
      </c>
      <c r="C1" s="58"/>
      <c r="D1" s="58"/>
      <c r="E1" s="58" t="s">
        <v>528</v>
      </c>
      <c r="F1" s="58"/>
      <c r="G1" s="58"/>
      <c r="H1" s="58"/>
      <c r="I1" s="58"/>
      <c r="J1" s="58" t="s">
        <v>527</v>
      </c>
      <c r="K1" s="58"/>
      <c r="L1" s="58"/>
      <c r="M1" s="58"/>
      <c r="N1" s="58"/>
      <c r="O1" s="58" t="s">
        <v>529</v>
      </c>
      <c r="P1" s="58"/>
      <c r="Q1" s="58"/>
      <c r="R1" s="58"/>
      <c r="S1" s="58" t="s">
        <v>524</v>
      </c>
      <c r="T1" s="58"/>
      <c r="U1" s="58"/>
      <c r="V1" s="58"/>
    </row>
    <row r="2" spans="1:22" ht="15" x14ac:dyDescent="0.25">
      <c r="A2" s="52" t="str">
        <f>"n = "&amp;COUNTA(A3:A1014)</f>
        <v>n = 96</v>
      </c>
      <c r="B2" s="53" t="s">
        <v>531</v>
      </c>
      <c r="C2" s="52" t="s">
        <v>530</v>
      </c>
      <c r="D2" s="53" t="s">
        <v>532</v>
      </c>
      <c r="E2" s="53" t="s">
        <v>533</v>
      </c>
      <c r="F2" s="53" t="s">
        <v>534</v>
      </c>
      <c r="G2" s="53" t="s">
        <v>550</v>
      </c>
      <c r="H2" s="53" t="s">
        <v>535</v>
      </c>
      <c r="I2" s="53" t="s">
        <v>536</v>
      </c>
      <c r="J2" s="53" t="s">
        <v>537</v>
      </c>
      <c r="K2" s="53" t="s">
        <v>538</v>
      </c>
      <c r="L2" s="53" t="s">
        <v>549</v>
      </c>
      <c r="M2" s="53" t="s">
        <v>539</v>
      </c>
      <c r="N2" s="53" t="s">
        <v>540</v>
      </c>
      <c r="O2" s="53" t="s">
        <v>541</v>
      </c>
      <c r="P2" s="53" t="s">
        <v>542</v>
      </c>
      <c r="Q2" s="53" t="s">
        <v>548</v>
      </c>
      <c r="R2" s="53" t="s">
        <v>543</v>
      </c>
      <c r="S2" s="53" t="s">
        <v>544</v>
      </c>
      <c r="T2" s="53" t="s">
        <v>545</v>
      </c>
      <c r="U2" s="53" t="s">
        <v>547</v>
      </c>
      <c r="V2" s="53" t="s">
        <v>546</v>
      </c>
    </row>
    <row r="3" spans="1:22" ht="15" x14ac:dyDescent="0.25">
      <c r="A3" s="54" t="str">
        <f>rebio23_80ml!A3</f>
        <v>S-B-P05-H1</v>
      </c>
      <c r="B3" s="55">
        <v>111</v>
      </c>
      <c r="C3" s="55">
        <v>11</v>
      </c>
      <c r="D3" s="55">
        <v>1</v>
      </c>
      <c r="E3" s="55">
        <v>11111</v>
      </c>
      <c r="F3" s="55">
        <v>1111</v>
      </c>
      <c r="G3" s="55">
        <v>111</v>
      </c>
      <c r="H3" s="55">
        <v>11</v>
      </c>
      <c r="I3" s="55">
        <v>1</v>
      </c>
      <c r="J3" s="55"/>
      <c r="K3" s="55"/>
      <c r="L3" s="55"/>
      <c r="M3" s="55"/>
      <c r="N3" s="55"/>
      <c r="O3" s="55">
        <v>1111</v>
      </c>
      <c r="P3" s="55">
        <v>111</v>
      </c>
      <c r="Q3" s="55">
        <v>11</v>
      </c>
      <c r="R3" s="55">
        <v>1</v>
      </c>
      <c r="S3" s="55"/>
      <c r="T3" s="55"/>
      <c r="U3" s="55"/>
      <c r="V3" s="55"/>
    </row>
    <row r="4" spans="1:22" ht="15" x14ac:dyDescent="0.25">
      <c r="A4" s="54" t="str">
        <f>rebio23_80ml!A4</f>
        <v>S-B-P05-H2</v>
      </c>
      <c r="B4" s="55">
        <v>111</v>
      </c>
      <c r="C4" s="55">
        <v>11</v>
      </c>
      <c r="D4" s="55">
        <v>1</v>
      </c>
      <c r="E4" s="55">
        <v>11112</v>
      </c>
      <c r="F4" s="55">
        <v>1111</v>
      </c>
      <c r="G4" s="55">
        <v>111</v>
      </c>
      <c r="H4" s="55">
        <v>11</v>
      </c>
      <c r="I4" s="55">
        <v>1</v>
      </c>
      <c r="J4" s="55"/>
      <c r="K4" s="55"/>
      <c r="L4" s="55"/>
      <c r="M4" s="55"/>
      <c r="N4" s="55"/>
      <c r="O4" s="55">
        <v>1112</v>
      </c>
      <c r="P4" s="55">
        <v>111</v>
      </c>
      <c r="Q4" s="55">
        <v>11</v>
      </c>
      <c r="R4" s="55">
        <v>1</v>
      </c>
      <c r="S4" s="55"/>
      <c r="T4" s="55"/>
      <c r="U4" s="55"/>
      <c r="V4" s="55"/>
    </row>
    <row r="5" spans="1:22" ht="15" x14ac:dyDescent="0.25">
      <c r="A5" s="54" t="str">
        <f>rebio23_80ml!A5</f>
        <v>S-B-P05-H3</v>
      </c>
      <c r="B5" s="55">
        <v>111</v>
      </c>
      <c r="C5" s="55">
        <v>11</v>
      </c>
      <c r="D5" s="55">
        <v>1</v>
      </c>
      <c r="E5" s="55">
        <v>11113</v>
      </c>
      <c r="F5" s="55">
        <v>1111</v>
      </c>
      <c r="G5" s="55">
        <v>111</v>
      </c>
      <c r="H5" s="55">
        <v>11</v>
      </c>
      <c r="I5" s="55">
        <v>1</v>
      </c>
      <c r="J5" s="55"/>
      <c r="K5" s="55"/>
      <c r="L5" s="55"/>
      <c r="M5" s="55"/>
      <c r="N5" s="55"/>
      <c r="O5" s="55">
        <v>1113</v>
      </c>
      <c r="P5" s="55">
        <v>111</v>
      </c>
      <c r="Q5" s="55">
        <v>11</v>
      </c>
      <c r="R5" s="55">
        <v>1</v>
      </c>
      <c r="S5" s="55"/>
      <c r="T5" s="55"/>
      <c r="U5" s="55"/>
      <c r="V5" s="55"/>
    </row>
    <row r="6" spans="1:22" ht="15" x14ac:dyDescent="0.25">
      <c r="A6" s="54" t="str">
        <f>rebio23_80ml!A6</f>
        <v>S-B-P06-H1</v>
      </c>
      <c r="B6" s="55">
        <v>111</v>
      </c>
      <c r="C6" s="55">
        <v>11</v>
      </c>
      <c r="D6" s="55">
        <v>1</v>
      </c>
      <c r="E6" s="55">
        <v>11114</v>
      </c>
      <c r="F6" s="55">
        <v>1112</v>
      </c>
      <c r="G6" s="55">
        <v>111</v>
      </c>
      <c r="H6" s="55">
        <v>11</v>
      </c>
      <c r="I6" s="55">
        <v>1</v>
      </c>
      <c r="J6" s="55"/>
      <c r="K6" s="55"/>
      <c r="L6" s="55"/>
      <c r="M6" s="55"/>
      <c r="N6" s="55"/>
      <c r="O6" s="55">
        <v>1114</v>
      </c>
      <c r="P6" s="55">
        <v>112</v>
      </c>
      <c r="Q6" s="55">
        <v>11</v>
      </c>
      <c r="R6" s="55">
        <v>1</v>
      </c>
      <c r="S6" s="55"/>
      <c r="T6" s="55"/>
      <c r="U6" s="55"/>
      <c r="V6" s="55"/>
    </row>
    <row r="7" spans="1:22" ht="15" x14ac:dyDescent="0.25">
      <c r="A7" s="54" t="str">
        <f>rebio23_80ml!A7</f>
        <v>S-B-P06-H2</v>
      </c>
      <c r="B7" s="55">
        <v>111</v>
      </c>
      <c r="C7" s="55">
        <v>11</v>
      </c>
      <c r="D7" s="55">
        <v>1</v>
      </c>
      <c r="E7" s="55">
        <v>11115</v>
      </c>
      <c r="F7" s="55">
        <v>1112</v>
      </c>
      <c r="G7" s="55">
        <v>111</v>
      </c>
      <c r="H7" s="55">
        <v>11</v>
      </c>
      <c r="I7" s="55">
        <v>1</v>
      </c>
      <c r="J7" s="55"/>
      <c r="K7" s="55"/>
      <c r="L7" s="55"/>
      <c r="M7" s="55"/>
      <c r="N7" s="55"/>
      <c r="O7" s="55">
        <v>1115</v>
      </c>
      <c r="P7" s="55">
        <v>112</v>
      </c>
      <c r="Q7" s="55">
        <v>11</v>
      </c>
      <c r="R7" s="55">
        <v>1</v>
      </c>
      <c r="S7" s="55"/>
      <c r="T7" s="55"/>
      <c r="U7" s="55"/>
      <c r="V7" s="55"/>
    </row>
    <row r="8" spans="1:22" ht="15" x14ac:dyDescent="0.25">
      <c r="A8" s="54" t="str">
        <f>rebio23_80ml!A8</f>
        <v>S-B-P06-H3</v>
      </c>
      <c r="B8" s="55">
        <v>111</v>
      </c>
      <c r="C8" s="55">
        <v>11</v>
      </c>
      <c r="D8" s="55">
        <v>1</v>
      </c>
      <c r="E8" s="55">
        <v>11116</v>
      </c>
      <c r="F8" s="55">
        <v>1112</v>
      </c>
      <c r="G8" s="55">
        <v>111</v>
      </c>
      <c r="H8" s="55">
        <v>11</v>
      </c>
      <c r="I8" s="55">
        <v>1</v>
      </c>
      <c r="J8" s="55"/>
      <c r="K8" s="55"/>
      <c r="L8" s="55"/>
      <c r="M8" s="55"/>
      <c r="N8" s="55"/>
      <c r="O8" s="55">
        <v>1116</v>
      </c>
      <c r="P8" s="55">
        <v>112</v>
      </c>
      <c r="Q8" s="55">
        <v>11</v>
      </c>
      <c r="R8" s="55">
        <v>1</v>
      </c>
      <c r="S8" s="55"/>
      <c r="T8" s="55"/>
      <c r="U8" s="55"/>
      <c r="V8" s="55"/>
    </row>
    <row r="9" spans="1:22" ht="15" x14ac:dyDescent="0.25">
      <c r="A9" s="54" t="str">
        <f>rebio23_80ml!A9</f>
        <v>S-B-P07-H1</v>
      </c>
      <c r="B9" s="55">
        <v>111</v>
      </c>
      <c r="C9" s="55">
        <v>11</v>
      </c>
      <c r="D9" s="55">
        <v>1</v>
      </c>
      <c r="E9" s="55">
        <v>11117</v>
      </c>
      <c r="F9" s="55">
        <v>1113</v>
      </c>
      <c r="G9" s="55">
        <v>111</v>
      </c>
      <c r="H9" s="55">
        <v>11</v>
      </c>
      <c r="I9" s="55">
        <v>1</v>
      </c>
      <c r="J9" s="55"/>
      <c r="K9" s="55"/>
      <c r="L9" s="55"/>
      <c r="M9" s="55"/>
      <c r="N9" s="55"/>
      <c r="O9" s="55">
        <v>1117</v>
      </c>
      <c r="P9" s="55">
        <v>113</v>
      </c>
      <c r="Q9" s="55">
        <v>11</v>
      </c>
      <c r="R9" s="55">
        <v>1</v>
      </c>
      <c r="S9" s="55"/>
      <c r="T9" s="55"/>
      <c r="U9" s="55"/>
      <c r="V9" s="55"/>
    </row>
    <row r="10" spans="1:22" ht="15" x14ac:dyDescent="0.25">
      <c r="A10" s="54" t="str">
        <f>rebio23_80ml!A10</f>
        <v>S-B-P07-H2</v>
      </c>
      <c r="B10" s="55">
        <v>111</v>
      </c>
      <c r="C10" s="55">
        <v>11</v>
      </c>
      <c r="D10" s="55">
        <v>1</v>
      </c>
      <c r="E10" s="55">
        <v>11118</v>
      </c>
      <c r="F10" s="55">
        <v>1113</v>
      </c>
      <c r="G10" s="55">
        <v>111</v>
      </c>
      <c r="H10" s="55">
        <v>11</v>
      </c>
      <c r="I10" s="55">
        <v>1</v>
      </c>
      <c r="J10" s="55"/>
      <c r="K10" s="55"/>
      <c r="L10" s="55"/>
      <c r="M10" s="55"/>
      <c r="N10" s="55"/>
      <c r="O10" s="55">
        <v>1118</v>
      </c>
      <c r="P10" s="55">
        <v>113</v>
      </c>
      <c r="Q10" s="55">
        <v>11</v>
      </c>
      <c r="R10" s="55">
        <v>1</v>
      </c>
      <c r="S10" s="55"/>
      <c r="T10" s="55"/>
      <c r="U10" s="55"/>
      <c r="V10" s="55"/>
    </row>
    <row r="11" spans="1:22" ht="15" x14ac:dyDescent="0.25">
      <c r="A11" s="54" t="str">
        <f>rebio23_80ml!A11</f>
        <v>S-B-P07-H3</v>
      </c>
      <c r="B11" s="55">
        <v>111</v>
      </c>
      <c r="C11" s="55">
        <v>11</v>
      </c>
      <c r="D11" s="55">
        <v>1</v>
      </c>
      <c r="E11" s="55">
        <v>11119</v>
      </c>
      <c r="F11" s="55">
        <v>1113</v>
      </c>
      <c r="G11" s="55">
        <v>111</v>
      </c>
      <c r="H11" s="55">
        <v>11</v>
      </c>
      <c r="I11" s="55">
        <v>1</v>
      </c>
      <c r="J11" s="55"/>
      <c r="K11" s="55"/>
      <c r="L11" s="55"/>
      <c r="M11" s="55"/>
      <c r="N11" s="55"/>
      <c r="O11" s="55">
        <v>1119</v>
      </c>
      <c r="P11" s="55">
        <v>113</v>
      </c>
      <c r="Q11" s="55">
        <v>11</v>
      </c>
      <c r="R11" s="55">
        <v>1</v>
      </c>
      <c r="S11" s="55"/>
      <c r="T11" s="55"/>
      <c r="U11" s="55"/>
      <c r="V11" s="55"/>
    </row>
    <row r="12" spans="1:22" ht="15" x14ac:dyDescent="0.25">
      <c r="A12" s="54" t="str">
        <f>rebio23_80ml!A12</f>
        <v>S-B-P08-H1</v>
      </c>
      <c r="B12" s="55">
        <v>111</v>
      </c>
      <c r="C12" s="55">
        <v>11</v>
      </c>
      <c r="D12" s="55">
        <v>1</v>
      </c>
      <c r="E12" s="55">
        <v>11120</v>
      </c>
      <c r="F12" s="55">
        <v>1114</v>
      </c>
      <c r="G12" s="55">
        <v>112</v>
      </c>
      <c r="H12" s="55">
        <v>11</v>
      </c>
      <c r="I12" s="55">
        <v>1</v>
      </c>
      <c r="J12" s="55"/>
      <c r="K12" s="55"/>
      <c r="L12" s="55"/>
      <c r="M12" s="55"/>
      <c r="N12" s="55"/>
      <c r="O12" s="55">
        <v>1120</v>
      </c>
      <c r="P12" s="55">
        <v>114</v>
      </c>
      <c r="Q12" s="55">
        <v>12</v>
      </c>
      <c r="R12" s="55">
        <v>1</v>
      </c>
      <c r="S12" s="55"/>
      <c r="T12" s="55"/>
      <c r="U12" s="55"/>
      <c r="V12" s="55"/>
    </row>
    <row r="13" spans="1:22" ht="15" x14ac:dyDescent="0.25">
      <c r="A13" s="54" t="str">
        <f>rebio23_80ml!A13</f>
        <v>S-B-P08-H2</v>
      </c>
      <c r="B13" s="55">
        <v>111</v>
      </c>
      <c r="C13" s="55">
        <v>11</v>
      </c>
      <c r="D13" s="55">
        <v>1</v>
      </c>
      <c r="E13" s="55">
        <v>11121</v>
      </c>
      <c r="F13" s="55">
        <v>1114</v>
      </c>
      <c r="G13" s="55">
        <v>112</v>
      </c>
      <c r="H13" s="55">
        <v>11</v>
      </c>
      <c r="I13" s="55">
        <v>1</v>
      </c>
      <c r="J13" s="55"/>
      <c r="K13" s="55"/>
      <c r="L13" s="55"/>
      <c r="M13" s="55"/>
      <c r="N13" s="55"/>
      <c r="O13" s="55">
        <v>1121</v>
      </c>
      <c r="P13" s="55">
        <v>114</v>
      </c>
      <c r="Q13" s="55">
        <v>12</v>
      </c>
      <c r="R13" s="55">
        <v>1</v>
      </c>
      <c r="S13" s="55"/>
      <c r="T13" s="55"/>
      <c r="U13" s="55"/>
      <c r="V13" s="55"/>
    </row>
    <row r="14" spans="1:22" ht="15" x14ac:dyDescent="0.25">
      <c r="A14" s="54" t="str">
        <f>rebio23_80ml!A14</f>
        <v>S-B-P08-H3</v>
      </c>
      <c r="B14" s="55">
        <v>111</v>
      </c>
      <c r="C14" s="55">
        <v>11</v>
      </c>
      <c r="D14" s="55">
        <v>1</v>
      </c>
      <c r="E14" s="55">
        <v>11122</v>
      </c>
      <c r="F14" s="55">
        <v>1114</v>
      </c>
      <c r="G14" s="55">
        <v>112</v>
      </c>
      <c r="H14" s="55">
        <v>11</v>
      </c>
      <c r="I14" s="55">
        <v>1</v>
      </c>
      <c r="J14" s="55"/>
      <c r="K14" s="55"/>
      <c r="L14" s="55"/>
      <c r="M14" s="55"/>
      <c r="N14" s="55"/>
      <c r="O14" s="55">
        <v>1122</v>
      </c>
      <c r="P14" s="55">
        <v>114</v>
      </c>
      <c r="Q14" s="55">
        <v>12</v>
      </c>
      <c r="R14" s="55">
        <v>1</v>
      </c>
      <c r="S14" s="55"/>
      <c r="T14" s="55"/>
      <c r="U14" s="55"/>
      <c r="V14" s="55"/>
    </row>
    <row r="15" spans="1:22" ht="15" x14ac:dyDescent="0.25">
      <c r="A15" s="54" t="str">
        <f>rebio23_80ml!A15</f>
        <v>S-B-P09-H1</v>
      </c>
      <c r="B15" s="55">
        <v>111</v>
      </c>
      <c r="C15" s="55">
        <v>11</v>
      </c>
      <c r="D15" s="55">
        <v>1</v>
      </c>
      <c r="E15" s="55">
        <v>11123</v>
      </c>
      <c r="F15" s="55">
        <v>1115</v>
      </c>
      <c r="G15" s="55">
        <v>112</v>
      </c>
      <c r="H15" s="55">
        <v>11</v>
      </c>
      <c r="I15" s="55">
        <v>1</v>
      </c>
      <c r="J15" s="55"/>
      <c r="K15" s="55"/>
      <c r="L15" s="55"/>
      <c r="M15" s="55"/>
      <c r="N15" s="55"/>
      <c r="O15" s="55">
        <v>1123</v>
      </c>
      <c r="P15" s="55">
        <v>115</v>
      </c>
      <c r="Q15" s="55">
        <v>12</v>
      </c>
      <c r="R15" s="55">
        <v>1</v>
      </c>
      <c r="S15" s="55"/>
      <c r="T15" s="55"/>
      <c r="U15" s="55"/>
      <c r="V15" s="55"/>
    </row>
    <row r="16" spans="1:22" ht="15" x14ac:dyDescent="0.25">
      <c r="A16" s="54" t="str">
        <f>rebio23_80ml!A16</f>
        <v>S-B-P09-H2</v>
      </c>
      <c r="B16" s="55">
        <v>111</v>
      </c>
      <c r="C16" s="55">
        <v>11</v>
      </c>
      <c r="D16" s="55">
        <v>1</v>
      </c>
      <c r="E16" s="55">
        <v>11124</v>
      </c>
      <c r="F16" s="55">
        <v>1115</v>
      </c>
      <c r="G16" s="55">
        <v>112</v>
      </c>
      <c r="H16" s="55">
        <v>11</v>
      </c>
      <c r="I16" s="55">
        <v>1</v>
      </c>
      <c r="J16" s="55"/>
      <c r="K16" s="55"/>
      <c r="L16" s="55"/>
      <c r="M16" s="55"/>
      <c r="N16" s="55"/>
      <c r="O16" s="55">
        <v>1124</v>
      </c>
      <c r="P16" s="55">
        <v>115</v>
      </c>
      <c r="Q16" s="55">
        <v>12</v>
      </c>
      <c r="R16" s="55">
        <v>1</v>
      </c>
      <c r="S16" s="55"/>
      <c r="T16" s="55"/>
      <c r="U16" s="55"/>
      <c r="V16" s="55"/>
    </row>
    <row r="17" spans="1:22" ht="15" x14ac:dyDescent="0.25">
      <c r="A17" s="54" t="str">
        <f>rebio23_80ml!A17</f>
        <v>S-B-P09-H3</v>
      </c>
      <c r="B17" s="55">
        <v>111</v>
      </c>
      <c r="C17" s="55">
        <v>11</v>
      </c>
      <c r="D17" s="55">
        <v>1</v>
      </c>
      <c r="E17" s="55">
        <v>11125</v>
      </c>
      <c r="F17" s="55">
        <v>1115</v>
      </c>
      <c r="G17" s="55">
        <v>112</v>
      </c>
      <c r="H17" s="55">
        <v>11</v>
      </c>
      <c r="I17" s="55">
        <v>1</v>
      </c>
      <c r="J17" s="55"/>
      <c r="K17" s="55"/>
      <c r="L17" s="55"/>
      <c r="M17" s="55"/>
      <c r="N17" s="55"/>
      <c r="O17" s="55">
        <v>1125</v>
      </c>
      <c r="P17" s="55">
        <v>115</v>
      </c>
      <c r="Q17" s="55">
        <v>12</v>
      </c>
      <c r="R17" s="55">
        <v>1</v>
      </c>
      <c r="S17" s="55"/>
      <c r="T17" s="55"/>
      <c r="U17" s="55"/>
      <c r="V17" s="55"/>
    </row>
    <row r="18" spans="1:22" ht="15" x14ac:dyDescent="0.25">
      <c r="A18" s="54" t="str">
        <f>rebio23_80ml!A18</f>
        <v>S-B-P10-H1</v>
      </c>
      <c r="B18" s="55">
        <v>111</v>
      </c>
      <c r="C18" s="55">
        <v>11</v>
      </c>
      <c r="D18" s="55">
        <v>1</v>
      </c>
      <c r="E18" s="55">
        <v>11126</v>
      </c>
      <c r="F18" s="55">
        <v>1116</v>
      </c>
      <c r="G18" s="55">
        <v>112</v>
      </c>
      <c r="H18" s="55">
        <v>11</v>
      </c>
      <c r="I18" s="55">
        <v>1</v>
      </c>
      <c r="J18" s="55"/>
      <c r="K18" s="55"/>
      <c r="L18" s="55"/>
      <c r="M18" s="55"/>
      <c r="N18" s="55"/>
      <c r="O18" s="55">
        <v>1126</v>
      </c>
      <c r="P18" s="55">
        <v>116</v>
      </c>
      <c r="Q18" s="55">
        <v>12</v>
      </c>
      <c r="R18" s="55">
        <v>1</v>
      </c>
      <c r="S18" s="55"/>
      <c r="T18" s="55"/>
      <c r="U18" s="55"/>
      <c r="V18" s="55"/>
    </row>
    <row r="19" spans="1:22" ht="15" x14ac:dyDescent="0.25">
      <c r="A19" s="54" t="str">
        <f>rebio23_80ml!A19</f>
        <v>S-B-P10-H2</v>
      </c>
      <c r="B19" s="55">
        <v>111</v>
      </c>
      <c r="C19" s="55">
        <v>11</v>
      </c>
      <c r="D19" s="55">
        <v>1</v>
      </c>
      <c r="E19" s="55">
        <v>11127</v>
      </c>
      <c r="F19" s="55">
        <v>1116</v>
      </c>
      <c r="G19" s="55">
        <v>112</v>
      </c>
      <c r="H19" s="55">
        <v>11</v>
      </c>
      <c r="I19" s="55">
        <v>1</v>
      </c>
      <c r="J19" s="55"/>
      <c r="K19" s="55"/>
      <c r="L19" s="55"/>
      <c r="M19" s="55"/>
      <c r="N19" s="55"/>
      <c r="O19" s="55">
        <v>1127</v>
      </c>
      <c r="P19" s="55">
        <v>116</v>
      </c>
      <c r="Q19" s="55">
        <v>12</v>
      </c>
      <c r="R19" s="55">
        <v>1</v>
      </c>
      <c r="S19" s="55"/>
      <c r="T19" s="55"/>
      <c r="U19" s="55"/>
      <c r="V19" s="55"/>
    </row>
    <row r="20" spans="1:22" ht="15" x14ac:dyDescent="0.25">
      <c r="A20" s="54" t="str">
        <f>rebio23_80ml!A20</f>
        <v>S-B-P10-H3</v>
      </c>
      <c r="B20" s="55">
        <v>111</v>
      </c>
      <c r="C20" s="55">
        <v>11</v>
      </c>
      <c r="D20" s="55">
        <v>1</v>
      </c>
      <c r="E20" s="55">
        <v>11128</v>
      </c>
      <c r="F20" s="55">
        <v>1116</v>
      </c>
      <c r="G20" s="55">
        <v>112</v>
      </c>
      <c r="H20" s="55">
        <v>11</v>
      </c>
      <c r="I20" s="55">
        <v>1</v>
      </c>
      <c r="J20" s="55"/>
      <c r="K20" s="55"/>
      <c r="L20" s="55"/>
      <c r="M20" s="55"/>
      <c r="N20" s="55"/>
      <c r="O20" s="55">
        <v>1128</v>
      </c>
      <c r="P20" s="55">
        <v>116</v>
      </c>
      <c r="Q20" s="55">
        <v>12</v>
      </c>
      <c r="R20" s="55">
        <v>1</v>
      </c>
      <c r="S20" s="55"/>
      <c r="T20" s="55"/>
      <c r="U20" s="55"/>
      <c r="V20" s="55"/>
    </row>
    <row r="21" spans="1:22" ht="15" x14ac:dyDescent="0.25">
      <c r="A21" s="54" t="str">
        <f>rebio23_80ml!A21</f>
        <v>S-C-P11-H1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</row>
    <row r="22" spans="1:22" ht="15" x14ac:dyDescent="0.25">
      <c r="A22" s="54" t="str">
        <f>rebio23_80ml!A22</f>
        <v>S-C-P11-H2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</row>
    <row r="23" spans="1:22" ht="15" x14ac:dyDescent="0.25">
      <c r="A23" s="54" t="str">
        <f>rebio23_80ml!A23</f>
        <v>S-C-P11-H3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</row>
    <row r="24" spans="1:22" ht="15" x14ac:dyDescent="0.25">
      <c r="A24" s="54" t="str">
        <f>rebio23_80ml!A24</f>
        <v>S-C-P12-H1</v>
      </c>
      <c r="B24" s="55">
        <v>112</v>
      </c>
      <c r="C24" s="55">
        <v>11</v>
      </c>
      <c r="D24" s="55">
        <v>1</v>
      </c>
      <c r="E24" s="55">
        <v>11129</v>
      </c>
      <c r="F24" s="55">
        <v>1117</v>
      </c>
      <c r="G24" s="55">
        <v>113</v>
      </c>
      <c r="H24" s="55">
        <v>12</v>
      </c>
      <c r="I24" s="55">
        <v>1</v>
      </c>
      <c r="J24" s="55"/>
      <c r="K24" s="55"/>
      <c r="L24" s="55"/>
      <c r="M24" s="55"/>
      <c r="N24" s="55"/>
      <c r="O24" s="55"/>
      <c r="P24" s="55"/>
      <c r="Q24" s="55"/>
      <c r="R24" s="55"/>
      <c r="S24" s="55">
        <v>1111</v>
      </c>
      <c r="T24" s="55">
        <v>111</v>
      </c>
      <c r="U24" s="55">
        <v>11</v>
      </c>
      <c r="V24" s="55">
        <v>1</v>
      </c>
    </row>
    <row r="25" spans="1:22" ht="15" x14ac:dyDescent="0.25">
      <c r="A25" s="54" t="str">
        <f>rebio23_80ml!A25</f>
        <v>S-C-P12-H2</v>
      </c>
      <c r="B25" s="55">
        <v>112</v>
      </c>
      <c r="C25" s="55">
        <v>11</v>
      </c>
      <c r="D25" s="55">
        <v>1</v>
      </c>
      <c r="E25" s="55">
        <v>11130</v>
      </c>
      <c r="F25" s="55">
        <v>1117</v>
      </c>
      <c r="G25" s="55">
        <v>113</v>
      </c>
      <c r="H25" s="55">
        <v>12</v>
      </c>
      <c r="I25" s="55">
        <v>1</v>
      </c>
      <c r="J25" s="55"/>
      <c r="K25" s="55"/>
      <c r="L25" s="55"/>
      <c r="M25" s="55"/>
      <c r="N25" s="55"/>
      <c r="O25" s="55"/>
      <c r="P25" s="55"/>
      <c r="Q25" s="55"/>
      <c r="R25" s="55"/>
      <c r="S25" s="55">
        <v>1112</v>
      </c>
      <c r="T25" s="55">
        <v>111</v>
      </c>
      <c r="U25" s="55">
        <v>11</v>
      </c>
      <c r="V25" s="55">
        <v>1</v>
      </c>
    </row>
    <row r="26" spans="1:22" ht="15" x14ac:dyDescent="0.25">
      <c r="A26" s="54" t="str">
        <f>rebio23_80ml!A26</f>
        <v>S-C-P12-H3</v>
      </c>
      <c r="B26" s="55">
        <v>112</v>
      </c>
      <c r="C26" s="55">
        <v>11</v>
      </c>
      <c r="D26" s="55">
        <v>1</v>
      </c>
      <c r="E26" s="55">
        <v>11131</v>
      </c>
      <c r="F26" s="55">
        <v>1117</v>
      </c>
      <c r="G26" s="55">
        <v>113</v>
      </c>
      <c r="H26" s="55">
        <v>12</v>
      </c>
      <c r="I26" s="55">
        <v>1</v>
      </c>
      <c r="J26" s="55"/>
      <c r="K26" s="55"/>
      <c r="L26" s="55"/>
      <c r="M26" s="55"/>
      <c r="N26" s="55"/>
      <c r="O26" s="55"/>
      <c r="P26" s="55"/>
      <c r="Q26" s="55"/>
      <c r="R26" s="55"/>
      <c r="S26" s="55">
        <v>1113</v>
      </c>
      <c r="T26" s="55">
        <v>111</v>
      </c>
      <c r="U26" s="55">
        <v>11</v>
      </c>
      <c r="V26" s="55">
        <v>1</v>
      </c>
    </row>
    <row r="27" spans="1:22" ht="15" x14ac:dyDescent="0.25">
      <c r="A27" s="54" t="str">
        <f>rebio23_80ml!A27</f>
        <v>S-C-P13-H1</v>
      </c>
      <c r="B27" s="55">
        <v>112</v>
      </c>
      <c r="C27" s="55">
        <v>11</v>
      </c>
      <c r="D27" s="55">
        <v>1</v>
      </c>
      <c r="E27" s="55">
        <v>11132</v>
      </c>
      <c r="F27" s="55">
        <v>1118</v>
      </c>
      <c r="G27" s="55">
        <v>113</v>
      </c>
      <c r="H27" s="55">
        <v>12</v>
      </c>
      <c r="I27" s="55">
        <v>1</v>
      </c>
      <c r="J27" s="55"/>
      <c r="K27" s="55"/>
      <c r="L27" s="55"/>
      <c r="M27" s="55"/>
      <c r="N27" s="55"/>
      <c r="O27" s="55"/>
      <c r="P27" s="55"/>
      <c r="Q27" s="55"/>
      <c r="R27" s="55"/>
      <c r="S27" s="55">
        <v>1114</v>
      </c>
      <c r="T27" s="55">
        <v>112</v>
      </c>
      <c r="U27" s="55">
        <v>11</v>
      </c>
      <c r="V27" s="55">
        <v>1</v>
      </c>
    </row>
    <row r="28" spans="1:22" ht="15" x14ac:dyDescent="0.25">
      <c r="A28" s="54" t="str">
        <f>rebio23_80ml!A28</f>
        <v>S-C-P13-H2</v>
      </c>
      <c r="B28" s="55">
        <v>112</v>
      </c>
      <c r="C28" s="55">
        <v>11</v>
      </c>
      <c r="D28" s="55">
        <v>1</v>
      </c>
      <c r="E28" s="55">
        <v>11133</v>
      </c>
      <c r="F28" s="55">
        <v>1118</v>
      </c>
      <c r="G28" s="55">
        <v>113</v>
      </c>
      <c r="H28" s="55">
        <v>12</v>
      </c>
      <c r="I28" s="55">
        <v>1</v>
      </c>
      <c r="J28" s="55"/>
      <c r="K28" s="55"/>
      <c r="L28" s="55"/>
      <c r="M28" s="55"/>
      <c r="N28" s="55"/>
      <c r="O28" s="55"/>
      <c r="P28" s="55"/>
      <c r="Q28" s="55"/>
      <c r="R28" s="55"/>
      <c r="S28" s="55">
        <v>1115</v>
      </c>
      <c r="T28" s="55">
        <v>112</v>
      </c>
      <c r="U28" s="55">
        <v>11</v>
      </c>
      <c r="V28" s="55">
        <v>1</v>
      </c>
    </row>
    <row r="29" spans="1:22" ht="15" x14ac:dyDescent="0.25">
      <c r="A29" s="54" t="str">
        <f>rebio23_80ml!A29</f>
        <v>S-C-P13-H3</v>
      </c>
      <c r="B29" s="55">
        <v>112</v>
      </c>
      <c r="C29" s="55">
        <v>11</v>
      </c>
      <c r="D29" s="55">
        <v>1</v>
      </c>
      <c r="E29" s="55">
        <v>11134</v>
      </c>
      <c r="F29" s="55">
        <v>1118</v>
      </c>
      <c r="G29" s="55">
        <v>113</v>
      </c>
      <c r="H29" s="55">
        <v>12</v>
      </c>
      <c r="I29" s="55">
        <v>1</v>
      </c>
      <c r="J29" s="55"/>
      <c r="K29" s="55"/>
      <c r="L29" s="55"/>
      <c r="M29" s="55"/>
      <c r="N29" s="55"/>
      <c r="O29" s="55"/>
      <c r="P29" s="55"/>
      <c r="Q29" s="55"/>
      <c r="R29" s="55"/>
      <c r="S29" s="55">
        <v>1116</v>
      </c>
      <c r="T29" s="55">
        <v>112</v>
      </c>
      <c r="U29" s="55">
        <v>11</v>
      </c>
      <c r="V29" s="55">
        <v>1</v>
      </c>
    </row>
    <row r="30" spans="1:22" ht="15" x14ac:dyDescent="0.25">
      <c r="A30" s="54" t="str">
        <f>rebio23_80ml!A30</f>
        <v>S-C-P14-H1</v>
      </c>
      <c r="B30" s="55">
        <v>112</v>
      </c>
      <c r="C30" s="55">
        <v>11</v>
      </c>
      <c r="D30" s="55">
        <v>1</v>
      </c>
      <c r="E30" s="55">
        <v>11135</v>
      </c>
      <c r="F30" s="55">
        <v>1119</v>
      </c>
      <c r="G30" s="55">
        <v>113</v>
      </c>
      <c r="H30" s="55">
        <v>12</v>
      </c>
      <c r="I30" s="55">
        <v>1</v>
      </c>
      <c r="J30" s="55"/>
      <c r="K30" s="55"/>
      <c r="L30" s="55"/>
      <c r="M30" s="55"/>
      <c r="N30" s="55"/>
      <c r="O30" s="55"/>
      <c r="P30" s="55"/>
      <c r="Q30" s="55"/>
      <c r="R30" s="55"/>
      <c r="S30" s="55">
        <v>1117</v>
      </c>
      <c r="T30" s="55">
        <v>113</v>
      </c>
      <c r="U30" s="55">
        <v>11</v>
      </c>
      <c r="V30" s="55">
        <v>1</v>
      </c>
    </row>
    <row r="31" spans="1:22" ht="15" x14ac:dyDescent="0.25">
      <c r="A31" s="54" t="str">
        <f>rebio23_80ml!A31</f>
        <v>S-C-P14-H2</v>
      </c>
      <c r="B31" s="55">
        <v>112</v>
      </c>
      <c r="C31" s="55">
        <v>11</v>
      </c>
      <c r="D31" s="55">
        <v>1</v>
      </c>
      <c r="E31" s="55">
        <v>11136</v>
      </c>
      <c r="F31" s="55">
        <v>1119</v>
      </c>
      <c r="G31" s="55">
        <v>113</v>
      </c>
      <c r="H31" s="55">
        <v>12</v>
      </c>
      <c r="I31" s="55">
        <v>1</v>
      </c>
      <c r="J31" s="55"/>
      <c r="K31" s="55"/>
      <c r="L31" s="55"/>
      <c r="M31" s="55"/>
      <c r="N31" s="55"/>
      <c r="O31" s="55"/>
      <c r="P31" s="55"/>
      <c r="Q31" s="55"/>
      <c r="R31" s="55"/>
      <c r="S31" s="55">
        <v>1118</v>
      </c>
      <c r="T31" s="55">
        <v>113</v>
      </c>
      <c r="U31" s="55">
        <v>11</v>
      </c>
      <c r="V31" s="55">
        <v>1</v>
      </c>
    </row>
    <row r="32" spans="1:22" ht="15" x14ac:dyDescent="0.25">
      <c r="A32" s="54" t="str">
        <f>rebio23_80ml!A32</f>
        <v>S-C-P14-H3</v>
      </c>
      <c r="B32" s="55">
        <v>112</v>
      </c>
      <c r="C32" s="55">
        <v>11</v>
      </c>
      <c r="D32" s="55">
        <v>1</v>
      </c>
      <c r="E32" s="55">
        <v>11137</v>
      </c>
      <c r="F32" s="55">
        <v>1119</v>
      </c>
      <c r="G32" s="55">
        <v>113</v>
      </c>
      <c r="H32" s="55">
        <v>12</v>
      </c>
      <c r="I32" s="55">
        <v>1</v>
      </c>
      <c r="J32" s="55"/>
      <c r="K32" s="55"/>
      <c r="L32" s="55"/>
      <c r="M32" s="55"/>
      <c r="N32" s="55"/>
      <c r="O32" s="55"/>
      <c r="P32" s="55"/>
      <c r="Q32" s="55"/>
      <c r="R32" s="55"/>
      <c r="S32" s="55">
        <v>1119</v>
      </c>
      <c r="T32" s="55">
        <v>113</v>
      </c>
      <c r="U32" s="55">
        <v>11</v>
      </c>
      <c r="V32" s="55">
        <v>1</v>
      </c>
    </row>
    <row r="33" spans="1:22" ht="15" x14ac:dyDescent="0.25">
      <c r="A33" s="54" t="str">
        <f>rebio23_80ml!A33</f>
        <v>S-C-P15-H1</v>
      </c>
      <c r="B33" s="55">
        <v>112</v>
      </c>
      <c r="C33" s="55">
        <v>11</v>
      </c>
      <c r="D33" s="55">
        <v>1</v>
      </c>
      <c r="E33" s="55">
        <v>11138</v>
      </c>
      <c r="F33" s="55">
        <v>1120</v>
      </c>
      <c r="G33" s="55">
        <v>113</v>
      </c>
      <c r="H33" s="55">
        <v>12</v>
      </c>
      <c r="I33" s="55">
        <v>1</v>
      </c>
      <c r="J33" s="55"/>
      <c r="K33" s="55"/>
      <c r="L33" s="55"/>
      <c r="M33" s="55"/>
      <c r="N33" s="55"/>
      <c r="O33" s="55"/>
      <c r="P33" s="55"/>
      <c r="Q33" s="55"/>
      <c r="R33" s="55"/>
      <c r="S33" s="55">
        <v>1120</v>
      </c>
      <c r="T33" s="55">
        <v>114</v>
      </c>
      <c r="U33" s="55">
        <v>11</v>
      </c>
      <c r="V33" s="55">
        <v>1</v>
      </c>
    </row>
    <row r="34" spans="1:22" ht="15" x14ac:dyDescent="0.25">
      <c r="A34" s="54" t="str">
        <f>rebio23_80ml!A34</f>
        <v>S-C-P15-H2</v>
      </c>
      <c r="B34" s="55">
        <v>112</v>
      </c>
      <c r="C34" s="55">
        <v>11</v>
      </c>
      <c r="D34" s="55">
        <v>1</v>
      </c>
      <c r="E34" s="55">
        <v>11139</v>
      </c>
      <c r="F34" s="55">
        <v>1120</v>
      </c>
      <c r="G34" s="55">
        <v>113</v>
      </c>
      <c r="H34" s="55">
        <v>12</v>
      </c>
      <c r="I34" s="55">
        <v>1</v>
      </c>
      <c r="J34" s="55"/>
      <c r="K34" s="55"/>
      <c r="L34" s="55"/>
      <c r="M34" s="55"/>
      <c r="N34" s="55"/>
      <c r="O34" s="55"/>
      <c r="P34" s="55"/>
      <c r="Q34" s="55"/>
      <c r="R34" s="55"/>
      <c r="S34" s="55">
        <v>1121</v>
      </c>
      <c r="T34" s="55">
        <v>114</v>
      </c>
      <c r="U34" s="55">
        <v>11</v>
      </c>
      <c r="V34" s="55">
        <v>1</v>
      </c>
    </row>
    <row r="35" spans="1:22" ht="15" x14ac:dyDescent="0.25">
      <c r="A35" s="54" t="str">
        <f>rebio23_80ml!A35</f>
        <v>S-C-P15-H3</v>
      </c>
      <c r="B35" s="55">
        <v>112</v>
      </c>
      <c r="C35" s="55">
        <v>11</v>
      </c>
      <c r="D35" s="55">
        <v>1</v>
      </c>
      <c r="E35" s="55">
        <v>11140</v>
      </c>
      <c r="F35" s="55">
        <v>1120</v>
      </c>
      <c r="G35" s="55">
        <v>113</v>
      </c>
      <c r="H35" s="55">
        <v>12</v>
      </c>
      <c r="I35" s="55">
        <v>1</v>
      </c>
      <c r="J35" s="55"/>
      <c r="K35" s="55"/>
      <c r="L35" s="55"/>
      <c r="M35" s="55"/>
      <c r="N35" s="55"/>
      <c r="O35" s="55"/>
      <c r="P35" s="55"/>
      <c r="Q35" s="55"/>
      <c r="R35" s="55"/>
      <c r="S35" s="55">
        <v>1122</v>
      </c>
      <c r="T35" s="55">
        <v>114</v>
      </c>
      <c r="U35" s="55">
        <v>11</v>
      </c>
      <c r="V35" s="55">
        <v>1</v>
      </c>
    </row>
    <row r="36" spans="1:22" ht="15" x14ac:dyDescent="0.25">
      <c r="A36" s="54" t="str">
        <f>rebio23_80ml!A36</f>
        <v>S-C-P16-H1</v>
      </c>
      <c r="B36" s="55">
        <v>112</v>
      </c>
      <c r="C36" s="55">
        <v>11</v>
      </c>
      <c r="D36" s="55">
        <v>1</v>
      </c>
      <c r="E36" s="55">
        <v>11141</v>
      </c>
      <c r="F36" s="55">
        <v>1121</v>
      </c>
      <c r="G36" s="55">
        <v>113</v>
      </c>
      <c r="H36" s="55">
        <v>12</v>
      </c>
      <c r="I36" s="55">
        <v>1</v>
      </c>
      <c r="J36" s="55"/>
      <c r="K36" s="55"/>
      <c r="L36" s="55"/>
      <c r="M36" s="55"/>
      <c r="N36" s="55"/>
      <c r="O36" s="55"/>
      <c r="P36" s="55"/>
      <c r="Q36" s="55"/>
      <c r="R36" s="55"/>
      <c r="S36" s="55">
        <v>1123</v>
      </c>
      <c r="T36" s="55">
        <v>115</v>
      </c>
      <c r="U36" s="55">
        <v>11</v>
      </c>
      <c r="V36" s="55">
        <v>1</v>
      </c>
    </row>
    <row r="37" spans="1:22" ht="15" x14ac:dyDescent="0.25">
      <c r="A37" s="54" t="str">
        <f>rebio23_80ml!A37</f>
        <v>S-C-P16-H2</v>
      </c>
      <c r="B37" s="55">
        <v>112</v>
      </c>
      <c r="C37" s="55">
        <v>11</v>
      </c>
      <c r="D37" s="55">
        <v>1</v>
      </c>
      <c r="E37" s="55">
        <v>11142</v>
      </c>
      <c r="F37" s="55">
        <v>1121</v>
      </c>
      <c r="G37" s="55">
        <v>113</v>
      </c>
      <c r="H37" s="55">
        <v>12</v>
      </c>
      <c r="I37" s="55">
        <v>1</v>
      </c>
      <c r="J37" s="55"/>
      <c r="K37" s="55"/>
      <c r="L37" s="55"/>
      <c r="M37" s="55"/>
      <c r="N37" s="55"/>
      <c r="O37" s="55"/>
      <c r="P37" s="55"/>
      <c r="Q37" s="55"/>
      <c r="R37" s="55"/>
      <c r="S37" s="55">
        <v>1124</v>
      </c>
      <c r="T37" s="55">
        <v>115</v>
      </c>
      <c r="U37" s="55">
        <v>11</v>
      </c>
      <c r="V37" s="55">
        <v>1</v>
      </c>
    </row>
    <row r="38" spans="1:22" ht="15" x14ac:dyDescent="0.25">
      <c r="A38" s="54" t="str">
        <f>rebio23_80ml!A38</f>
        <v>S-C-P16-H3</v>
      </c>
      <c r="B38" s="55">
        <v>112</v>
      </c>
      <c r="C38" s="55">
        <v>11</v>
      </c>
      <c r="D38" s="55">
        <v>1</v>
      </c>
      <c r="E38" s="55">
        <v>11143</v>
      </c>
      <c r="F38" s="55">
        <v>1121</v>
      </c>
      <c r="G38" s="55">
        <v>113</v>
      </c>
      <c r="H38" s="55">
        <v>12</v>
      </c>
      <c r="I38" s="55">
        <v>1</v>
      </c>
      <c r="J38" s="55"/>
      <c r="K38" s="55"/>
      <c r="L38" s="55"/>
      <c r="M38" s="55"/>
      <c r="N38" s="55"/>
      <c r="O38" s="55"/>
      <c r="P38" s="55"/>
      <c r="Q38" s="55"/>
      <c r="R38" s="55"/>
      <c r="S38" s="55">
        <v>1125</v>
      </c>
      <c r="T38" s="55">
        <v>115</v>
      </c>
      <c r="U38" s="55">
        <v>11</v>
      </c>
      <c r="V38" s="55">
        <v>1</v>
      </c>
    </row>
    <row r="39" spans="1:22" ht="15" x14ac:dyDescent="0.25">
      <c r="A39" s="54" t="str">
        <f>rebio23_80ml!A39</f>
        <v>S-C-P17-H1</v>
      </c>
      <c r="B39" s="55">
        <v>112</v>
      </c>
      <c r="C39" s="55">
        <v>11</v>
      </c>
      <c r="D39" s="55">
        <v>1</v>
      </c>
      <c r="E39" s="55">
        <v>11144</v>
      </c>
      <c r="F39" s="55">
        <v>1122</v>
      </c>
      <c r="G39" s="55">
        <v>114</v>
      </c>
      <c r="H39" s="55">
        <v>12</v>
      </c>
      <c r="I39" s="55">
        <v>1</v>
      </c>
      <c r="J39" s="55"/>
      <c r="K39" s="55"/>
      <c r="L39" s="55"/>
      <c r="M39" s="55"/>
      <c r="N39" s="55"/>
      <c r="O39" s="55"/>
      <c r="P39" s="55"/>
      <c r="Q39" s="55"/>
      <c r="R39" s="55"/>
      <c r="S39" s="55">
        <v>1126</v>
      </c>
      <c r="T39" s="55">
        <v>116</v>
      </c>
      <c r="U39" s="55">
        <v>12</v>
      </c>
      <c r="V39" s="55">
        <v>1</v>
      </c>
    </row>
    <row r="40" spans="1:22" ht="15" x14ac:dyDescent="0.25">
      <c r="A40" s="54" t="str">
        <f>rebio23_80ml!A40</f>
        <v>S-C-P17-H2</v>
      </c>
      <c r="B40" s="55">
        <v>112</v>
      </c>
      <c r="C40" s="55">
        <v>11</v>
      </c>
      <c r="D40" s="55">
        <v>1</v>
      </c>
      <c r="E40" s="55">
        <v>11145</v>
      </c>
      <c r="F40" s="55">
        <v>1122</v>
      </c>
      <c r="G40" s="55">
        <v>114</v>
      </c>
      <c r="H40" s="55">
        <v>12</v>
      </c>
      <c r="I40" s="55">
        <v>1</v>
      </c>
      <c r="J40" s="55"/>
      <c r="K40" s="55"/>
      <c r="L40" s="55"/>
      <c r="M40" s="55"/>
      <c r="N40" s="55"/>
      <c r="O40" s="55"/>
      <c r="P40" s="55"/>
      <c r="Q40" s="55"/>
      <c r="R40" s="55"/>
      <c r="S40" s="55">
        <v>1127</v>
      </c>
      <c r="T40" s="55">
        <v>116</v>
      </c>
      <c r="U40" s="55">
        <v>12</v>
      </c>
      <c r="V40" s="55">
        <v>1</v>
      </c>
    </row>
    <row r="41" spans="1:22" ht="15" x14ac:dyDescent="0.25">
      <c r="A41" s="54" t="str">
        <f>rebio23_80ml!A41</f>
        <v>S-C-P17-H3</v>
      </c>
      <c r="B41" s="55">
        <v>112</v>
      </c>
      <c r="C41" s="55">
        <v>11</v>
      </c>
      <c r="D41" s="55">
        <v>1</v>
      </c>
      <c r="E41" s="55">
        <v>11146</v>
      </c>
      <c r="F41" s="55">
        <v>1122</v>
      </c>
      <c r="G41" s="55">
        <v>114</v>
      </c>
      <c r="H41" s="55">
        <v>12</v>
      </c>
      <c r="I41" s="55">
        <v>1</v>
      </c>
      <c r="J41" s="55"/>
      <c r="K41" s="55"/>
      <c r="L41" s="55"/>
      <c r="M41" s="55"/>
      <c r="N41" s="55"/>
      <c r="O41" s="55"/>
      <c r="P41" s="55"/>
      <c r="Q41" s="55"/>
      <c r="R41" s="55"/>
      <c r="S41" s="55">
        <v>1128</v>
      </c>
      <c r="T41" s="55">
        <v>116</v>
      </c>
      <c r="U41" s="55">
        <v>12</v>
      </c>
      <c r="V41" s="55">
        <v>1</v>
      </c>
    </row>
    <row r="42" spans="1:22" ht="15" x14ac:dyDescent="0.25">
      <c r="A42" s="54" t="str">
        <f>rebio23_80ml!A42</f>
        <v>S-C-P18-H1</v>
      </c>
      <c r="B42" s="55">
        <v>112</v>
      </c>
      <c r="C42" s="55">
        <v>11</v>
      </c>
      <c r="D42" s="55">
        <v>1</v>
      </c>
      <c r="E42" s="55">
        <v>11147</v>
      </c>
      <c r="F42" s="55">
        <v>1123</v>
      </c>
      <c r="G42" s="55">
        <v>114</v>
      </c>
      <c r="H42" s="55">
        <v>12</v>
      </c>
      <c r="I42" s="55">
        <v>1</v>
      </c>
      <c r="J42" s="55"/>
      <c r="K42" s="55"/>
      <c r="L42" s="55"/>
      <c r="M42" s="55"/>
      <c r="N42" s="55"/>
      <c r="O42" s="55"/>
      <c r="P42" s="55"/>
      <c r="Q42" s="55"/>
      <c r="R42" s="55"/>
      <c r="S42" s="55">
        <v>1129</v>
      </c>
      <c r="T42" s="55">
        <v>117</v>
      </c>
      <c r="U42" s="55">
        <v>12</v>
      </c>
      <c r="V42" s="55">
        <v>1</v>
      </c>
    </row>
    <row r="43" spans="1:22" ht="15" x14ac:dyDescent="0.25">
      <c r="A43" s="54" t="str">
        <f>rebio23_80ml!A43</f>
        <v>S-C-P18-H2</v>
      </c>
      <c r="B43" s="55">
        <v>112</v>
      </c>
      <c r="C43" s="55">
        <v>11</v>
      </c>
      <c r="D43" s="55">
        <v>1</v>
      </c>
      <c r="E43" s="55">
        <v>11148</v>
      </c>
      <c r="F43" s="55">
        <v>1123</v>
      </c>
      <c r="G43" s="55">
        <v>114</v>
      </c>
      <c r="H43" s="55">
        <v>12</v>
      </c>
      <c r="I43" s="55">
        <v>1</v>
      </c>
      <c r="J43" s="55"/>
      <c r="K43" s="55"/>
      <c r="L43" s="55"/>
      <c r="M43" s="55"/>
      <c r="N43" s="55"/>
      <c r="O43" s="55"/>
      <c r="P43" s="55"/>
      <c r="Q43" s="55"/>
      <c r="R43" s="55"/>
      <c r="S43" s="55">
        <v>1130</v>
      </c>
      <c r="T43" s="55">
        <v>117</v>
      </c>
      <c r="U43" s="55">
        <v>12</v>
      </c>
      <c r="V43" s="55">
        <v>1</v>
      </c>
    </row>
    <row r="44" spans="1:22" ht="15" x14ac:dyDescent="0.25">
      <c r="A44" s="54" t="str">
        <f>rebio23_80ml!A44</f>
        <v>S-C-P18-H3</v>
      </c>
      <c r="B44" s="55">
        <v>112</v>
      </c>
      <c r="C44" s="55">
        <v>11</v>
      </c>
      <c r="D44" s="55">
        <v>1</v>
      </c>
      <c r="E44" s="55">
        <v>11149</v>
      </c>
      <c r="F44" s="55">
        <v>1123</v>
      </c>
      <c r="G44" s="55">
        <v>114</v>
      </c>
      <c r="H44" s="55">
        <v>12</v>
      </c>
      <c r="I44" s="55">
        <v>1</v>
      </c>
      <c r="J44" s="55"/>
      <c r="K44" s="55"/>
      <c r="L44" s="55"/>
      <c r="M44" s="55"/>
      <c r="N44" s="55"/>
      <c r="O44" s="55"/>
      <c r="P44" s="55"/>
      <c r="Q44" s="55"/>
      <c r="R44" s="55"/>
      <c r="S44" s="55">
        <v>1131</v>
      </c>
      <c r="T44" s="55">
        <v>117</v>
      </c>
      <c r="U44" s="55">
        <v>12</v>
      </c>
      <c r="V44" s="55">
        <v>1</v>
      </c>
    </row>
    <row r="45" spans="1:22" ht="15" x14ac:dyDescent="0.25">
      <c r="A45" s="54" t="str">
        <f>rebio23_80ml!A45</f>
        <v>S-C-P19-H1</v>
      </c>
      <c r="B45" s="55">
        <v>112</v>
      </c>
      <c r="C45" s="55">
        <v>11</v>
      </c>
      <c r="D45" s="55">
        <v>1</v>
      </c>
      <c r="E45" s="55">
        <v>11150</v>
      </c>
      <c r="F45" s="55">
        <v>1124</v>
      </c>
      <c r="G45" s="55">
        <v>114</v>
      </c>
      <c r="H45" s="55">
        <v>12</v>
      </c>
      <c r="I45" s="55">
        <v>1</v>
      </c>
      <c r="J45" s="55"/>
      <c r="K45" s="55"/>
      <c r="L45" s="55"/>
      <c r="M45" s="55"/>
      <c r="N45" s="55"/>
      <c r="O45" s="55"/>
      <c r="P45" s="55"/>
      <c r="Q45" s="55"/>
      <c r="R45" s="55"/>
      <c r="S45" s="55">
        <v>1132</v>
      </c>
      <c r="T45" s="55">
        <v>118</v>
      </c>
      <c r="U45" s="55">
        <v>12</v>
      </c>
      <c r="V45" s="55">
        <v>1</v>
      </c>
    </row>
    <row r="46" spans="1:22" ht="15" x14ac:dyDescent="0.25">
      <c r="A46" s="54" t="str">
        <f>rebio23_80ml!A46</f>
        <v>S-C-P19-H2</v>
      </c>
      <c r="B46" s="55">
        <v>112</v>
      </c>
      <c r="C46" s="55">
        <v>11</v>
      </c>
      <c r="D46" s="55">
        <v>1</v>
      </c>
      <c r="E46" s="55">
        <v>11151</v>
      </c>
      <c r="F46" s="55">
        <v>1124</v>
      </c>
      <c r="G46" s="55">
        <v>114</v>
      </c>
      <c r="H46" s="55">
        <v>12</v>
      </c>
      <c r="I46" s="55">
        <v>1</v>
      </c>
      <c r="J46" s="55"/>
      <c r="K46" s="55"/>
      <c r="L46" s="55"/>
      <c r="M46" s="55"/>
      <c r="N46" s="55"/>
      <c r="O46" s="55"/>
      <c r="P46" s="55"/>
      <c r="Q46" s="55"/>
      <c r="R46" s="55"/>
      <c r="S46" s="55">
        <v>1133</v>
      </c>
      <c r="T46" s="55">
        <v>118</v>
      </c>
      <c r="U46" s="55">
        <v>12</v>
      </c>
      <c r="V46" s="55">
        <v>1</v>
      </c>
    </row>
    <row r="47" spans="1:22" ht="15" x14ac:dyDescent="0.25">
      <c r="A47" s="54" t="str">
        <f>rebio23_80ml!A47</f>
        <v>S-C-P19-H3</v>
      </c>
      <c r="B47" s="55">
        <v>112</v>
      </c>
      <c r="C47" s="55">
        <v>11</v>
      </c>
      <c r="D47" s="55">
        <v>1</v>
      </c>
      <c r="E47" s="55">
        <v>11152</v>
      </c>
      <c r="F47" s="55">
        <v>1124</v>
      </c>
      <c r="G47" s="55">
        <v>114</v>
      </c>
      <c r="H47" s="55">
        <v>12</v>
      </c>
      <c r="I47" s="55">
        <v>1</v>
      </c>
      <c r="J47" s="55"/>
      <c r="K47" s="55"/>
      <c r="L47" s="55"/>
      <c r="M47" s="55"/>
      <c r="N47" s="55"/>
      <c r="O47" s="55"/>
      <c r="P47" s="55"/>
      <c r="Q47" s="55"/>
      <c r="R47" s="55"/>
      <c r="S47" s="55">
        <v>1134</v>
      </c>
      <c r="T47" s="55">
        <v>118</v>
      </c>
      <c r="U47" s="55">
        <v>12</v>
      </c>
      <c r="V47" s="55">
        <v>1</v>
      </c>
    </row>
    <row r="48" spans="1:22" ht="15" x14ac:dyDescent="0.25">
      <c r="A48" s="54" t="str">
        <f>rebio23_80ml!A48</f>
        <v>S-C-P20-H1</v>
      </c>
      <c r="B48" s="55">
        <v>112</v>
      </c>
      <c r="C48" s="55">
        <v>11</v>
      </c>
      <c r="D48" s="55">
        <v>1</v>
      </c>
      <c r="E48" s="55">
        <v>11153</v>
      </c>
      <c r="F48" s="55">
        <v>1125</v>
      </c>
      <c r="G48" s="55">
        <v>114</v>
      </c>
      <c r="H48" s="55">
        <v>12</v>
      </c>
      <c r="I48" s="55">
        <v>1</v>
      </c>
      <c r="J48" s="55"/>
      <c r="K48" s="55"/>
      <c r="L48" s="55"/>
      <c r="M48" s="55"/>
      <c r="N48" s="55"/>
      <c r="O48" s="55"/>
      <c r="P48" s="55"/>
      <c r="Q48" s="55"/>
      <c r="R48" s="55"/>
      <c r="S48" s="55">
        <v>1135</v>
      </c>
      <c r="T48" s="55">
        <v>119</v>
      </c>
      <c r="U48" s="55">
        <v>12</v>
      </c>
      <c r="V48" s="55">
        <v>1</v>
      </c>
    </row>
    <row r="49" spans="1:22" ht="15" x14ac:dyDescent="0.25">
      <c r="A49" s="54" t="str">
        <f>rebio23_80ml!A49</f>
        <v>S-C-P20-H2</v>
      </c>
      <c r="B49" s="55">
        <v>112</v>
      </c>
      <c r="C49" s="55">
        <v>11</v>
      </c>
      <c r="D49" s="55">
        <v>1</v>
      </c>
      <c r="E49" s="55">
        <v>11154</v>
      </c>
      <c r="F49" s="55">
        <v>1125</v>
      </c>
      <c r="G49" s="55">
        <v>114</v>
      </c>
      <c r="H49" s="55">
        <v>12</v>
      </c>
      <c r="I49" s="55">
        <v>1</v>
      </c>
      <c r="J49" s="55"/>
      <c r="K49" s="55"/>
      <c r="L49" s="55"/>
      <c r="M49" s="55"/>
      <c r="N49" s="55"/>
      <c r="O49" s="55"/>
      <c r="P49" s="55"/>
      <c r="Q49" s="55"/>
      <c r="R49" s="55"/>
      <c r="S49" s="55">
        <v>1136</v>
      </c>
      <c r="T49" s="55">
        <v>119</v>
      </c>
      <c r="U49" s="55">
        <v>12</v>
      </c>
      <c r="V49" s="55">
        <v>1</v>
      </c>
    </row>
    <row r="50" spans="1:22" ht="15" x14ac:dyDescent="0.25">
      <c r="A50" s="54" t="str">
        <f>rebio23_80ml!A50</f>
        <v>S-C-P20-H3</v>
      </c>
      <c r="B50" s="55">
        <v>112</v>
      </c>
      <c r="C50" s="55">
        <v>11</v>
      </c>
      <c r="D50" s="55">
        <v>1</v>
      </c>
      <c r="E50" s="55">
        <v>11155</v>
      </c>
      <c r="F50" s="55">
        <v>1125</v>
      </c>
      <c r="G50" s="55">
        <v>114</v>
      </c>
      <c r="H50" s="55">
        <v>12</v>
      </c>
      <c r="I50" s="55">
        <v>1</v>
      </c>
      <c r="J50" s="55"/>
      <c r="K50" s="55"/>
      <c r="L50" s="55"/>
      <c r="M50" s="55"/>
      <c r="N50" s="55"/>
      <c r="O50" s="55"/>
      <c r="P50" s="55"/>
      <c r="Q50" s="55"/>
      <c r="R50" s="55"/>
      <c r="S50" s="55">
        <v>1137</v>
      </c>
      <c r="T50" s="55">
        <v>119</v>
      </c>
      <c r="U50" s="55">
        <v>12</v>
      </c>
      <c r="V50" s="55">
        <v>1</v>
      </c>
    </row>
    <row r="51" spans="1:22" ht="15" x14ac:dyDescent="0.25">
      <c r="A51" s="56" t="str">
        <f>rebio23_80ml!A51</f>
        <v>C-B-P05-H1</v>
      </c>
      <c r="B51" s="57">
        <v>113</v>
      </c>
      <c r="C51" s="57">
        <v>12</v>
      </c>
      <c r="D51" s="57">
        <v>1</v>
      </c>
      <c r="E51" s="57"/>
      <c r="F51" s="57"/>
      <c r="G51" s="57"/>
      <c r="H51" s="57"/>
      <c r="I51" s="57"/>
      <c r="J51" s="57">
        <v>11111</v>
      </c>
      <c r="K51" s="57">
        <v>1111</v>
      </c>
      <c r="L51" s="57">
        <v>111</v>
      </c>
      <c r="M51" s="57">
        <v>11</v>
      </c>
      <c r="N51" s="57">
        <v>1</v>
      </c>
      <c r="O51" s="57">
        <v>1111</v>
      </c>
      <c r="P51" s="57">
        <v>111</v>
      </c>
      <c r="Q51" s="57">
        <v>11</v>
      </c>
      <c r="R51" s="57">
        <v>1</v>
      </c>
      <c r="S51" s="57"/>
      <c r="T51" s="57"/>
      <c r="U51" s="57"/>
      <c r="V51" s="57"/>
    </row>
    <row r="52" spans="1:22" ht="15" x14ac:dyDescent="0.25">
      <c r="A52" s="56" t="str">
        <f>rebio23_80ml!A52</f>
        <v>C-B-P05-H2</v>
      </c>
      <c r="B52" s="57">
        <v>113</v>
      </c>
      <c r="C52" s="57">
        <v>12</v>
      </c>
      <c r="D52" s="57">
        <v>1</v>
      </c>
      <c r="E52" s="57"/>
      <c r="F52" s="57"/>
      <c r="G52" s="57"/>
      <c r="H52" s="57"/>
      <c r="I52" s="57"/>
      <c r="J52" s="57">
        <v>11112</v>
      </c>
      <c r="K52" s="57">
        <v>1111</v>
      </c>
      <c r="L52" s="57">
        <v>111</v>
      </c>
      <c r="M52" s="57">
        <v>11</v>
      </c>
      <c r="N52" s="57">
        <v>1</v>
      </c>
      <c r="O52" s="57">
        <v>1112</v>
      </c>
      <c r="P52" s="57">
        <v>111</v>
      </c>
      <c r="Q52" s="57">
        <v>11</v>
      </c>
      <c r="R52" s="57">
        <v>1</v>
      </c>
      <c r="S52" s="57"/>
      <c r="T52" s="57"/>
      <c r="U52" s="57"/>
      <c r="V52" s="57"/>
    </row>
    <row r="53" spans="1:22" ht="15" x14ac:dyDescent="0.25">
      <c r="A53" s="56" t="str">
        <f>rebio23_80ml!A53</f>
        <v>C-B-P05-H3</v>
      </c>
      <c r="B53" s="57">
        <v>113</v>
      </c>
      <c r="C53" s="57">
        <v>12</v>
      </c>
      <c r="D53" s="57">
        <v>1</v>
      </c>
      <c r="E53" s="57"/>
      <c r="F53" s="57"/>
      <c r="G53" s="57"/>
      <c r="H53" s="57"/>
      <c r="I53" s="57"/>
      <c r="J53" s="57">
        <v>11113</v>
      </c>
      <c r="K53" s="57">
        <v>1111</v>
      </c>
      <c r="L53" s="57">
        <v>111</v>
      </c>
      <c r="M53" s="57">
        <v>11</v>
      </c>
      <c r="N53" s="57">
        <v>1</v>
      </c>
      <c r="O53" s="57">
        <v>1113</v>
      </c>
      <c r="P53" s="57">
        <v>111</v>
      </c>
      <c r="Q53" s="57">
        <v>11</v>
      </c>
      <c r="R53" s="57">
        <v>1</v>
      </c>
      <c r="S53" s="57"/>
      <c r="T53" s="57"/>
      <c r="U53" s="57"/>
      <c r="V53" s="57"/>
    </row>
    <row r="54" spans="1:22" ht="15" x14ac:dyDescent="0.25">
      <c r="A54" s="56" t="str">
        <f>rebio23_80ml!A54</f>
        <v>C-B-P06-H1</v>
      </c>
      <c r="B54" s="57">
        <v>113</v>
      </c>
      <c r="C54" s="57">
        <v>12</v>
      </c>
      <c r="D54" s="57">
        <v>1</v>
      </c>
      <c r="E54" s="57"/>
      <c r="F54" s="57"/>
      <c r="G54" s="57"/>
      <c r="H54" s="57"/>
      <c r="I54" s="57"/>
      <c r="J54" s="57">
        <v>11114</v>
      </c>
      <c r="K54" s="57">
        <v>1112</v>
      </c>
      <c r="L54" s="57">
        <v>111</v>
      </c>
      <c r="M54" s="57">
        <v>11</v>
      </c>
      <c r="N54" s="57">
        <v>1</v>
      </c>
      <c r="O54" s="57">
        <v>1114</v>
      </c>
      <c r="P54" s="57">
        <v>112</v>
      </c>
      <c r="Q54" s="57">
        <v>11</v>
      </c>
      <c r="R54" s="57">
        <v>1</v>
      </c>
      <c r="S54" s="57"/>
      <c r="T54" s="57"/>
      <c r="U54" s="57"/>
      <c r="V54" s="57"/>
    </row>
    <row r="55" spans="1:22" ht="15" x14ac:dyDescent="0.25">
      <c r="A55" s="56" t="str">
        <f>rebio23_80ml!A55</f>
        <v>C-B-P06-H2</v>
      </c>
      <c r="B55" s="57">
        <v>113</v>
      </c>
      <c r="C55" s="57">
        <v>12</v>
      </c>
      <c r="D55" s="57">
        <v>1</v>
      </c>
      <c r="E55" s="57"/>
      <c r="F55" s="57"/>
      <c r="G55" s="57"/>
      <c r="H55" s="57"/>
      <c r="I55" s="57"/>
      <c r="J55" s="57">
        <v>11115</v>
      </c>
      <c r="K55" s="57">
        <v>1112</v>
      </c>
      <c r="L55" s="57">
        <v>111</v>
      </c>
      <c r="M55" s="57">
        <v>11</v>
      </c>
      <c r="N55" s="57">
        <v>1</v>
      </c>
      <c r="O55" s="57">
        <v>1115</v>
      </c>
      <c r="P55" s="57">
        <v>112</v>
      </c>
      <c r="Q55" s="57">
        <v>11</v>
      </c>
      <c r="R55" s="57">
        <v>1</v>
      </c>
      <c r="S55" s="57"/>
      <c r="T55" s="57"/>
      <c r="U55" s="57"/>
      <c r="V55" s="57"/>
    </row>
    <row r="56" spans="1:22" ht="15" x14ac:dyDescent="0.25">
      <c r="A56" s="56" t="str">
        <f>rebio23_80ml!A56</f>
        <v>C-B-P06-H3</v>
      </c>
      <c r="B56" s="57">
        <v>113</v>
      </c>
      <c r="C56" s="57">
        <v>12</v>
      </c>
      <c r="D56" s="57">
        <v>1</v>
      </c>
      <c r="E56" s="57"/>
      <c r="F56" s="57"/>
      <c r="G56" s="57"/>
      <c r="H56" s="57"/>
      <c r="I56" s="57"/>
      <c r="J56" s="57">
        <v>11116</v>
      </c>
      <c r="K56" s="57">
        <v>1112</v>
      </c>
      <c r="L56" s="57">
        <v>111</v>
      </c>
      <c r="M56" s="57">
        <v>11</v>
      </c>
      <c r="N56" s="57">
        <v>1</v>
      </c>
      <c r="O56" s="57">
        <v>1116</v>
      </c>
      <c r="P56" s="57">
        <v>112</v>
      </c>
      <c r="Q56" s="57">
        <v>11</v>
      </c>
      <c r="R56" s="57">
        <v>1</v>
      </c>
      <c r="S56" s="57"/>
      <c r="T56" s="57"/>
      <c r="U56" s="57"/>
      <c r="V56" s="57"/>
    </row>
    <row r="57" spans="1:22" ht="15" x14ac:dyDescent="0.25">
      <c r="A57" s="56" t="str">
        <f>rebio23_80ml!A57</f>
        <v>C-B-P07-H1</v>
      </c>
      <c r="B57" s="57">
        <v>113</v>
      </c>
      <c r="C57" s="57">
        <v>12</v>
      </c>
      <c r="D57" s="57">
        <v>1</v>
      </c>
      <c r="E57" s="57"/>
      <c r="F57" s="57"/>
      <c r="G57" s="57"/>
      <c r="H57" s="57"/>
      <c r="I57" s="57"/>
      <c r="J57" s="57">
        <v>11117</v>
      </c>
      <c r="K57" s="57">
        <v>1113</v>
      </c>
      <c r="L57" s="57">
        <v>111</v>
      </c>
      <c r="M57" s="57">
        <v>11</v>
      </c>
      <c r="N57" s="57">
        <v>1</v>
      </c>
      <c r="O57" s="57">
        <v>1117</v>
      </c>
      <c r="P57" s="57">
        <v>113</v>
      </c>
      <c r="Q57" s="57">
        <v>11</v>
      </c>
      <c r="R57" s="57">
        <v>1</v>
      </c>
      <c r="S57" s="57"/>
      <c r="T57" s="57"/>
      <c r="U57" s="57"/>
      <c r="V57" s="57"/>
    </row>
    <row r="58" spans="1:22" ht="15" x14ac:dyDescent="0.25">
      <c r="A58" s="56" t="str">
        <f>rebio23_80ml!A58</f>
        <v>C-B-P07-H2</v>
      </c>
      <c r="B58" s="57">
        <v>113</v>
      </c>
      <c r="C58" s="57">
        <v>12</v>
      </c>
      <c r="D58" s="57">
        <v>1</v>
      </c>
      <c r="E58" s="57"/>
      <c r="F58" s="57"/>
      <c r="G58" s="57"/>
      <c r="H58" s="57"/>
      <c r="I58" s="57"/>
      <c r="J58" s="57">
        <v>11118</v>
      </c>
      <c r="K58" s="57">
        <v>1113</v>
      </c>
      <c r="L58" s="57">
        <v>111</v>
      </c>
      <c r="M58" s="57">
        <v>11</v>
      </c>
      <c r="N58" s="57">
        <v>1</v>
      </c>
      <c r="O58" s="57">
        <v>1118</v>
      </c>
      <c r="P58" s="57">
        <v>113</v>
      </c>
      <c r="Q58" s="57">
        <v>11</v>
      </c>
      <c r="R58" s="57">
        <v>1</v>
      </c>
      <c r="S58" s="57"/>
      <c r="T58" s="57"/>
      <c r="U58" s="57"/>
      <c r="V58" s="57"/>
    </row>
    <row r="59" spans="1:22" ht="15" x14ac:dyDescent="0.25">
      <c r="A59" s="56" t="str">
        <f>rebio23_80ml!A59</f>
        <v>C-B-P07-H3</v>
      </c>
      <c r="B59" s="57">
        <v>113</v>
      </c>
      <c r="C59" s="57">
        <v>12</v>
      </c>
      <c r="D59" s="57">
        <v>1</v>
      </c>
      <c r="E59" s="57"/>
      <c r="F59" s="57"/>
      <c r="G59" s="57"/>
      <c r="H59" s="57"/>
      <c r="I59" s="57"/>
      <c r="J59" s="57">
        <v>11119</v>
      </c>
      <c r="K59" s="57">
        <v>1113</v>
      </c>
      <c r="L59" s="57">
        <v>111</v>
      </c>
      <c r="M59" s="57">
        <v>11</v>
      </c>
      <c r="N59" s="57">
        <v>1</v>
      </c>
      <c r="O59" s="57">
        <v>1119</v>
      </c>
      <c r="P59" s="57">
        <v>113</v>
      </c>
      <c r="Q59" s="57">
        <v>11</v>
      </c>
      <c r="R59" s="57">
        <v>1</v>
      </c>
      <c r="S59" s="57"/>
      <c r="T59" s="57"/>
      <c r="U59" s="57"/>
      <c r="V59" s="57"/>
    </row>
    <row r="60" spans="1:22" ht="15" x14ac:dyDescent="0.25">
      <c r="A60" s="56" t="str">
        <f>rebio23_80ml!A60</f>
        <v>C-B-P08-H1</v>
      </c>
      <c r="B60" s="57">
        <v>113</v>
      </c>
      <c r="C60" s="57">
        <v>12</v>
      </c>
      <c r="D60" s="57">
        <v>1</v>
      </c>
      <c r="E60" s="57"/>
      <c r="F60" s="57"/>
      <c r="G60" s="57"/>
      <c r="H60" s="57"/>
      <c r="I60" s="57"/>
      <c r="J60" s="57">
        <v>11120</v>
      </c>
      <c r="K60" s="57">
        <v>1114</v>
      </c>
      <c r="L60" s="57">
        <v>112</v>
      </c>
      <c r="M60" s="57">
        <v>11</v>
      </c>
      <c r="N60" s="57">
        <v>1</v>
      </c>
      <c r="O60" s="57">
        <v>1120</v>
      </c>
      <c r="P60" s="57">
        <v>114</v>
      </c>
      <c r="Q60" s="57">
        <v>12</v>
      </c>
      <c r="R60" s="57">
        <v>1</v>
      </c>
      <c r="S60" s="57"/>
      <c r="T60" s="57"/>
      <c r="U60" s="57"/>
      <c r="V60" s="57"/>
    </row>
    <row r="61" spans="1:22" ht="15" x14ac:dyDescent="0.25">
      <c r="A61" s="56" t="str">
        <f>rebio23_80ml!A61</f>
        <v>C-B-P08-H2</v>
      </c>
      <c r="B61" s="57">
        <v>113</v>
      </c>
      <c r="C61" s="57">
        <v>12</v>
      </c>
      <c r="D61" s="57">
        <v>1</v>
      </c>
      <c r="E61" s="57"/>
      <c r="F61" s="57"/>
      <c r="G61" s="57"/>
      <c r="H61" s="57"/>
      <c r="I61" s="57"/>
      <c r="J61" s="57">
        <v>11121</v>
      </c>
      <c r="K61" s="57">
        <v>1114</v>
      </c>
      <c r="L61" s="57">
        <v>112</v>
      </c>
      <c r="M61" s="57">
        <v>11</v>
      </c>
      <c r="N61" s="57">
        <v>1</v>
      </c>
      <c r="O61" s="57">
        <v>1121</v>
      </c>
      <c r="P61" s="57">
        <v>114</v>
      </c>
      <c r="Q61" s="57">
        <v>12</v>
      </c>
      <c r="R61" s="57">
        <v>1</v>
      </c>
      <c r="S61" s="57"/>
      <c r="T61" s="57"/>
      <c r="U61" s="57"/>
      <c r="V61" s="57"/>
    </row>
    <row r="62" spans="1:22" ht="15" x14ac:dyDescent="0.25">
      <c r="A62" s="56" t="str">
        <f>rebio23_80ml!A62</f>
        <v>C-B-P08-H3</v>
      </c>
      <c r="B62" s="57">
        <v>113</v>
      </c>
      <c r="C62" s="57">
        <v>12</v>
      </c>
      <c r="D62" s="57">
        <v>1</v>
      </c>
      <c r="E62" s="57"/>
      <c r="F62" s="57"/>
      <c r="G62" s="57"/>
      <c r="H62" s="57"/>
      <c r="I62" s="57"/>
      <c r="J62" s="57">
        <v>11122</v>
      </c>
      <c r="K62" s="57">
        <v>1114</v>
      </c>
      <c r="L62" s="57">
        <v>112</v>
      </c>
      <c r="M62" s="57">
        <v>11</v>
      </c>
      <c r="N62" s="57">
        <v>1</v>
      </c>
      <c r="O62" s="57">
        <v>1122</v>
      </c>
      <c r="P62" s="57">
        <v>114</v>
      </c>
      <c r="Q62" s="57">
        <v>12</v>
      </c>
      <c r="R62" s="57">
        <v>1</v>
      </c>
      <c r="S62" s="57"/>
      <c r="T62" s="57"/>
      <c r="U62" s="57"/>
      <c r="V62" s="57"/>
    </row>
    <row r="63" spans="1:22" ht="15" x14ac:dyDescent="0.25">
      <c r="A63" s="56" t="str">
        <f>rebio23_80ml!A63</f>
        <v>C-B-P09-H1</v>
      </c>
      <c r="B63" s="57">
        <v>113</v>
      </c>
      <c r="C63" s="57">
        <v>12</v>
      </c>
      <c r="D63" s="57">
        <v>1</v>
      </c>
      <c r="E63" s="57"/>
      <c r="F63" s="57"/>
      <c r="G63" s="57"/>
      <c r="H63" s="57"/>
      <c r="I63" s="57"/>
      <c r="J63" s="57">
        <v>11123</v>
      </c>
      <c r="K63" s="57">
        <v>1115</v>
      </c>
      <c r="L63" s="57">
        <v>112</v>
      </c>
      <c r="M63" s="57">
        <v>11</v>
      </c>
      <c r="N63" s="57">
        <v>1</v>
      </c>
      <c r="O63" s="57">
        <v>1123</v>
      </c>
      <c r="P63" s="57">
        <v>115</v>
      </c>
      <c r="Q63" s="57">
        <v>12</v>
      </c>
      <c r="R63" s="57">
        <v>1</v>
      </c>
      <c r="S63" s="57"/>
      <c r="T63" s="57"/>
      <c r="U63" s="57"/>
      <c r="V63" s="57"/>
    </row>
    <row r="64" spans="1:22" ht="15" x14ac:dyDescent="0.25">
      <c r="A64" s="56" t="str">
        <f>rebio23_80ml!A64</f>
        <v>C-B-P09-H2</v>
      </c>
      <c r="B64" s="57">
        <v>113</v>
      </c>
      <c r="C64" s="57">
        <v>12</v>
      </c>
      <c r="D64" s="57">
        <v>1</v>
      </c>
      <c r="E64" s="57"/>
      <c r="F64" s="57"/>
      <c r="G64" s="57"/>
      <c r="H64" s="57"/>
      <c r="I64" s="57"/>
      <c r="J64" s="57">
        <v>11124</v>
      </c>
      <c r="K64" s="57">
        <v>1115</v>
      </c>
      <c r="L64" s="57">
        <v>112</v>
      </c>
      <c r="M64" s="57">
        <v>11</v>
      </c>
      <c r="N64" s="57">
        <v>1</v>
      </c>
      <c r="O64" s="57">
        <v>1124</v>
      </c>
      <c r="P64" s="57">
        <v>115</v>
      </c>
      <c r="Q64" s="57">
        <v>12</v>
      </c>
      <c r="R64" s="57">
        <v>1</v>
      </c>
      <c r="S64" s="57"/>
      <c r="T64" s="57"/>
      <c r="U64" s="57"/>
      <c r="V64" s="57"/>
    </row>
    <row r="65" spans="1:22" ht="15" x14ac:dyDescent="0.25">
      <c r="A65" s="56" t="str">
        <f>rebio23_80ml!A65</f>
        <v>C-B-P09-H3</v>
      </c>
      <c r="B65" s="57">
        <v>113</v>
      </c>
      <c r="C65" s="57">
        <v>12</v>
      </c>
      <c r="D65" s="57">
        <v>1</v>
      </c>
      <c r="E65" s="57"/>
      <c r="F65" s="57"/>
      <c r="G65" s="57"/>
      <c r="H65" s="57"/>
      <c r="I65" s="57"/>
      <c r="J65" s="57">
        <v>11125</v>
      </c>
      <c r="K65" s="57">
        <v>1115</v>
      </c>
      <c r="L65" s="57">
        <v>112</v>
      </c>
      <c r="M65" s="57">
        <v>11</v>
      </c>
      <c r="N65" s="57">
        <v>1</v>
      </c>
      <c r="O65" s="57">
        <v>1125</v>
      </c>
      <c r="P65" s="57">
        <v>115</v>
      </c>
      <c r="Q65" s="57">
        <v>12</v>
      </c>
      <c r="R65" s="57">
        <v>1</v>
      </c>
      <c r="S65" s="57"/>
      <c r="T65" s="57"/>
      <c r="U65" s="57"/>
      <c r="V65" s="57"/>
    </row>
    <row r="66" spans="1:22" ht="15" x14ac:dyDescent="0.25">
      <c r="A66" s="56" t="str">
        <f>rebio23_80ml!A66</f>
        <v>C-B-P10-H1</v>
      </c>
      <c r="B66" s="57">
        <v>113</v>
      </c>
      <c r="C66" s="57">
        <v>12</v>
      </c>
      <c r="D66" s="57">
        <v>1</v>
      </c>
      <c r="E66" s="57"/>
      <c r="F66" s="57"/>
      <c r="G66" s="57"/>
      <c r="H66" s="57"/>
      <c r="I66" s="57"/>
      <c r="J66" s="57">
        <v>11126</v>
      </c>
      <c r="K66" s="57">
        <v>1116</v>
      </c>
      <c r="L66" s="57">
        <v>112</v>
      </c>
      <c r="M66" s="57">
        <v>11</v>
      </c>
      <c r="N66" s="57">
        <v>1</v>
      </c>
      <c r="O66" s="57">
        <v>1126</v>
      </c>
      <c r="P66" s="57">
        <v>116</v>
      </c>
      <c r="Q66" s="57">
        <v>12</v>
      </c>
      <c r="R66" s="57">
        <v>1</v>
      </c>
      <c r="S66" s="57"/>
      <c r="T66" s="57"/>
      <c r="U66" s="57"/>
      <c r="V66" s="57"/>
    </row>
    <row r="67" spans="1:22" ht="15" x14ac:dyDescent="0.25">
      <c r="A67" s="56" t="str">
        <f>rebio23_80ml!A67</f>
        <v>C-B-P10-H2</v>
      </c>
      <c r="B67" s="57">
        <v>113</v>
      </c>
      <c r="C67" s="57">
        <v>12</v>
      </c>
      <c r="D67" s="57">
        <v>1</v>
      </c>
      <c r="E67" s="57"/>
      <c r="F67" s="57"/>
      <c r="G67" s="57"/>
      <c r="H67" s="57"/>
      <c r="I67" s="57"/>
      <c r="J67" s="57">
        <v>11127</v>
      </c>
      <c r="K67" s="57">
        <v>1116</v>
      </c>
      <c r="L67" s="57">
        <v>112</v>
      </c>
      <c r="M67" s="57">
        <v>11</v>
      </c>
      <c r="N67" s="57">
        <v>1</v>
      </c>
      <c r="O67" s="57">
        <v>1127</v>
      </c>
      <c r="P67" s="57">
        <v>116</v>
      </c>
      <c r="Q67" s="57">
        <v>12</v>
      </c>
      <c r="R67" s="57">
        <v>1</v>
      </c>
      <c r="S67" s="57"/>
      <c r="T67" s="57"/>
      <c r="U67" s="57"/>
      <c r="V67" s="57"/>
    </row>
    <row r="68" spans="1:22" ht="15" x14ac:dyDescent="0.25">
      <c r="A68" s="56" t="str">
        <f>rebio23_80ml!A68</f>
        <v>C-B-P10-H3</v>
      </c>
      <c r="B68" s="57">
        <v>113</v>
      </c>
      <c r="C68" s="57">
        <v>12</v>
      </c>
      <c r="D68" s="57">
        <v>1</v>
      </c>
      <c r="E68" s="57"/>
      <c r="F68" s="57"/>
      <c r="G68" s="57"/>
      <c r="H68" s="57"/>
      <c r="I68" s="57"/>
      <c r="J68" s="57">
        <v>11128</v>
      </c>
      <c r="K68" s="57">
        <v>1116</v>
      </c>
      <c r="L68" s="57">
        <v>112</v>
      </c>
      <c r="M68" s="57">
        <v>11</v>
      </c>
      <c r="N68" s="57">
        <v>1</v>
      </c>
      <c r="O68" s="57">
        <v>1128</v>
      </c>
      <c r="P68" s="57">
        <v>116</v>
      </c>
      <c r="Q68" s="57">
        <v>12</v>
      </c>
      <c r="R68" s="57">
        <v>1</v>
      </c>
      <c r="S68" s="57"/>
      <c r="T68" s="57"/>
      <c r="U68" s="57"/>
      <c r="V68" s="57"/>
    </row>
    <row r="69" spans="1:22" ht="15" x14ac:dyDescent="0.25">
      <c r="A69" s="56" t="str">
        <f>rebio23_80ml!A69</f>
        <v>C-C-P11-H1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</row>
    <row r="70" spans="1:22" ht="15" x14ac:dyDescent="0.25">
      <c r="A70" s="56" t="str">
        <f>rebio23_80ml!A70</f>
        <v>C-C-P11-H2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</row>
    <row r="71" spans="1:22" ht="15" x14ac:dyDescent="0.25">
      <c r="A71" s="56" t="str">
        <f>rebio23_80ml!A71</f>
        <v>C-C-P11-H3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</row>
    <row r="72" spans="1:22" ht="15" x14ac:dyDescent="0.25">
      <c r="A72" s="56" t="str">
        <f>rebio23_80ml!A72</f>
        <v>C-C-P12-H1</v>
      </c>
      <c r="B72" s="57">
        <v>114</v>
      </c>
      <c r="C72" s="57">
        <v>12</v>
      </c>
      <c r="D72" s="57">
        <v>1</v>
      </c>
      <c r="E72" s="57"/>
      <c r="F72" s="57"/>
      <c r="G72" s="57"/>
      <c r="H72" s="57"/>
      <c r="I72" s="57"/>
      <c r="J72" s="57">
        <v>11129</v>
      </c>
      <c r="K72" s="57">
        <v>1117</v>
      </c>
      <c r="L72" s="57">
        <v>113</v>
      </c>
      <c r="M72" s="57">
        <v>12</v>
      </c>
      <c r="N72" s="57">
        <v>1</v>
      </c>
      <c r="O72" s="57"/>
      <c r="P72" s="57"/>
      <c r="Q72" s="57"/>
      <c r="R72" s="57"/>
      <c r="S72" s="57">
        <v>1111</v>
      </c>
      <c r="T72" s="57">
        <v>111</v>
      </c>
      <c r="U72" s="57">
        <v>11</v>
      </c>
      <c r="V72" s="57">
        <v>1</v>
      </c>
    </row>
    <row r="73" spans="1:22" ht="15" x14ac:dyDescent="0.25">
      <c r="A73" s="56" t="str">
        <f>rebio23_80ml!A73</f>
        <v>C-C-P12-H2</v>
      </c>
      <c r="B73" s="57">
        <v>114</v>
      </c>
      <c r="C73" s="57">
        <v>12</v>
      </c>
      <c r="D73" s="57">
        <v>1</v>
      </c>
      <c r="E73" s="57"/>
      <c r="F73" s="57"/>
      <c r="G73" s="57"/>
      <c r="H73" s="57"/>
      <c r="I73" s="57"/>
      <c r="J73" s="57">
        <v>11130</v>
      </c>
      <c r="K73" s="57">
        <v>1117</v>
      </c>
      <c r="L73" s="57">
        <v>113</v>
      </c>
      <c r="M73" s="57">
        <v>12</v>
      </c>
      <c r="N73" s="57">
        <v>1</v>
      </c>
      <c r="O73" s="57"/>
      <c r="P73" s="57"/>
      <c r="Q73" s="57"/>
      <c r="R73" s="57"/>
      <c r="S73" s="57">
        <v>1112</v>
      </c>
      <c r="T73" s="57">
        <v>111</v>
      </c>
      <c r="U73" s="57">
        <v>11</v>
      </c>
      <c r="V73" s="57">
        <v>1</v>
      </c>
    </row>
    <row r="74" spans="1:22" ht="15" x14ac:dyDescent="0.25">
      <c r="A74" s="56" t="str">
        <f>rebio23_80ml!A74</f>
        <v>C-C-P12-H3</v>
      </c>
      <c r="B74" s="57">
        <v>114</v>
      </c>
      <c r="C74" s="57">
        <v>12</v>
      </c>
      <c r="D74" s="57">
        <v>1</v>
      </c>
      <c r="E74" s="57"/>
      <c r="F74" s="57"/>
      <c r="G74" s="57"/>
      <c r="H74" s="57"/>
      <c r="I74" s="57"/>
      <c r="J74" s="57">
        <v>11131</v>
      </c>
      <c r="K74" s="57">
        <v>1117</v>
      </c>
      <c r="L74" s="57">
        <v>113</v>
      </c>
      <c r="M74" s="57">
        <v>12</v>
      </c>
      <c r="N74" s="57">
        <v>1</v>
      </c>
      <c r="O74" s="57"/>
      <c r="P74" s="57"/>
      <c r="Q74" s="57"/>
      <c r="R74" s="57"/>
      <c r="S74" s="57">
        <v>1113</v>
      </c>
      <c r="T74" s="57">
        <v>111</v>
      </c>
      <c r="U74" s="57">
        <v>11</v>
      </c>
      <c r="V74" s="57">
        <v>1</v>
      </c>
    </row>
    <row r="75" spans="1:22" ht="15" x14ac:dyDescent="0.25">
      <c r="A75" s="56" t="str">
        <f>rebio23_80ml!A75</f>
        <v>C-C-P13-H1</v>
      </c>
      <c r="B75" s="57">
        <v>114</v>
      </c>
      <c r="C75" s="57">
        <v>12</v>
      </c>
      <c r="D75" s="57">
        <v>1</v>
      </c>
      <c r="E75" s="57"/>
      <c r="F75" s="57"/>
      <c r="G75" s="57"/>
      <c r="H75" s="57"/>
      <c r="I75" s="57"/>
      <c r="J75" s="57">
        <v>11132</v>
      </c>
      <c r="K75" s="57">
        <v>1118</v>
      </c>
      <c r="L75" s="57">
        <v>113</v>
      </c>
      <c r="M75" s="57">
        <v>12</v>
      </c>
      <c r="N75" s="57">
        <v>1</v>
      </c>
      <c r="O75" s="57"/>
      <c r="P75" s="57"/>
      <c r="Q75" s="57"/>
      <c r="R75" s="57"/>
      <c r="S75" s="57">
        <v>1114</v>
      </c>
      <c r="T75" s="57">
        <v>112</v>
      </c>
      <c r="U75" s="57">
        <v>11</v>
      </c>
      <c r="V75" s="57">
        <v>1</v>
      </c>
    </row>
    <row r="76" spans="1:22" ht="15" x14ac:dyDescent="0.25">
      <c r="A76" s="56" t="str">
        <f>rebio23_80ml!A76</f>
        <v>C-C-P13-H2</v>
      </c>
      <c r="B76" s="57">
        <v>114</v>
      </c>
      <c r="C76" s="57">
        <v>12</v>
      </c>
      <c r="D76" s="57">
        <v>1</v>
      </c>
      <c r="E76" s="57"/>
      <c r="F76" s="57"/>
      <c r="G76" s="57"/>
      <c r="H76" s="57"/>
      <c r="I76" s="57"/>
      <c r="J76" s="57">
        <v>11133</v>
      </c>
      <c r="K76" s="57">
        <v>1118</v>
      </c>
      <c r="L76" s="57">
        <v>113</v>
      </c>
      <c r="M76" s="57">
        <v>12</v>
      </c>
      <c r="N76" s="57">
        <v>1</v>
      </c>
      <c r="O76" s="57"/>
      <c r="P76" s="57"/>
      <c r="Q76" s="57"/>
      <c r="R76" s="57"/>
      <c r="S76" s="57">
        <v>1115</v>
      </c>
      <c r="T76" s="57">
        <v>112</v>
      </c>
      <c r="U76" s="57">
        <v>11</v>
      </c>
      <c r="V76" s="57">
        <v>1</v>
      </c>
    </row>
    <row r="77" spans="1:22" ht="15" x14ac:dyDescent="0.25">
      <c r="A77" s="56" t="str">
        <f>rebio23_80ml!A77</f>
        <v>C-C-P13-H3</v>
      </c>
      <c r="B77" s="57">
        <v>114</v>
      </c>
      <c r="C77" s="57">
        <v>12</v>
      </c>
      <c r="D77" s="57">
        <v>1</v>
      </c>
      <c r="E77" s="57"/>
      <c r="F77" s="57"/>
      <c r="G77" s="57"/>
      <c r="H77" s="57"/>
      <c r="I77" s="57"/>
      <c r="J77" s="57">
        <v>11134</v>
      </c>
      <c r="K77" s="57">
        <v>1118</v>
      </c>
      <c r="L77" s="57">
        <v>113</v>
      </c>
      <c r="M77" s="57">
        <v>12</v>
      </c>
      <c r="N77" s="57">
        <v>1</v>
      </c>
      <c r="O77" s="57"/>
      <c r="P77" s="57"/>
      <c r="Q77" s="57"/>
      <c r="R77" s="57"/>
      <c r="S77" s="57">
        <v>1116</v>
      </c>
      <c r="T77" s="57">
        <v>112</v>
      </c>
      <c r="U77" s="57">
        <v>11</v>
      </c>
      <c r="V77" s="57">
        <v>1</v>
      </c>
    </row>
    <row r="78" spans="1:22" ht="15" x14ac:dyDescent="0.25">
      <c r="A78" s="56" t="str">
        <f>rebio23_80ml!A78</f>
        <v>C-C-P14-H1</v>
      </c>
      <c r="B78" s="57">
        <v>114</v>
      </c>
      <c r="C78" s="57">
        <v>12</v>
      </c>
      <c r="D78" s="57">
        <v>1</v>
      </c>
      <c r="E78" s="57"/>
      <c r="F78" s="57"/>
      <c r="G78" s="57"/>
      <c r="H78" s="57"/>
      <c r="I78" s="57"/>
      <c r="J78" s="57">
        <v>11135</v>
      </c>
      <c r="K78" s="57">
        <v>1119</v>
      </c>
      <c r="L78" s="57">
        <v>113</v>
      </c>
      <c r="M78" s="57">
        <v>12</v>
      </c>
      <c r="N78" s="57">
        <v>1</v>
      </c>
      <c r="O78" s="57"/>
      <c r="P78" s="57"/>
      <c r="Q78" s="57"/>
      <c r="R78" s="57"/>
      <c r="S78" s="57">
        <v>1117</v>
      </c>
      <c r="T78" s="57">
        <v>113</v>
      </c>
      <c r="U78" s="57">
        <v>11</v>
      </c>
      <c r="V78" s="57">
        <v>1</v>
      </c>
    </row>
    <row r="79" spans="1:22" ht="15" x14ac:dyDescent="0.25">
      <c r="A79" s="56" t="str">
        <f>rebio23_80ml!A79</f>
        <v>C-C-P14-H2</v>
      </c>
      <c r="B79" s="57">
        <v>114</v>
      </c>
      <c r="C79" s="57">
        <v>12</v>
      </c>
      <c r="D79" s="57">
        <v>1</v>
      </c>
      <c r="E79" s="57"/>
      <c r="F79" s="57"/>
      <c r="G79" s="57"/>
      <c r="H79" s="57"/>
      <c r="I79" s="57"/>
      <c r="J79" s="57">
        <v>11136</v>
      </c>
      <c r="K79" s="57">
        <v>1119</v>
      </c>
      <c r="L79" s="57">
        <v>113</v>
      </c>
      <c r="M79" s="57">
        <v>12</v>
      </c>
      <c r="N79" s="57">
        <v>1</v>
      </c>
      <c r="O79" s="57"/>
      <c r="P79" s="57"/>
      <c r="Q79" s="57"/>
      <c r="R79" s="57"/>
      <c r="S79" s="57">
        <v>1118</v>
      </c>
      <c r="T79" s="57">
        <v>113</v>
      </c>
      <c r="U79" s="57">
        <v>11</v>
      </c>
      <c r="V79" s="57">
        <v>1</v>
      </c>
    </row>
    <row r="80" spans="1:22" ht="15" x14ac:dyDescent="0.25">
      <c r="A80" s="56" t="str">
        <f>rebio23_80ml!A80</f>
        <v>C-C-P14-H3</v>
      </c>
      <c r="B80" s="57">
        <v>114</v>
      </c>
      <c r="C80" s="57">
        <v>12</v>
      </c>
      <c r="D80" s="57">
        <v>1</v>
      </c>
      <c r="E80" s="57"/>
      <c r="F80" s="57"/>
      <c r="G80" s="57"/>
      <c r="H80" s="57"/>
      <c r="I80" s="57"/>
      <c r="J80" s="57">
        <v>11137</v>
      </c>
      <c r="K80" s="57">
        <v>1119</v>
      </c>
      <c r="L80" s="57">
        <v>113</v>
      </c>
      <c r="M80" s="57">
        <v>12</v>
      </c>
      <c r="N80" s="57">
        <v>1</v>
      </c>
      <c r="O80" s="57"/>
      <c r="P80" s="57"/>
      <c r="Q80" s="57"/>
      <c r="R80" s="57"/>
      <c r="S80" s="57">
        <v>1119</v>
      </c>
      <c r="T80" s="57">
        <v>113</v>
      </c>
      <c r="U80" s="57">
        <v>11</v>
      </c>
      <c r="V80" s="57">
        <v>1</v>
      </c>
    </row>
    <row r="81" spans="1:22" ht="15" x14ac:dyDescent="0.25">
      <c r="A81" s="56" t="str">
        <f>rebio23_80ml!A81</f>
        <v>C-C-P15-H1</v>
      </c>
      <c r="B81" s="57">
        <v>114</v>
      </c>
      <c r="C81" s="57">
        <v>12</v>
      </c>
      <c r="D81" s="57">
        <v>1</v>
      </c>
      <c r="E81" s="57"/>
      <c r="F81" s="57"/>
      <c r="G81" s="57"/>
      <c r="H81" s="57"/>
      <c r="I81" s="57"/>
      <c r="J81" s="57">
        <v>11138</v>
      </c>
      <c r="K81" s="57">
        <v>1120</v>
      </c>
      <c r="L81" s="57">
        <v>113</v>
      </c>
      <c r="M81" s="57">
        <v>12</v>
      </c>
      <c r="N81" s="57">
        <v>1</v>
      </c>
      <c r="O81" s="57"/>
      <c r="P81" s="57"/>
      <c r="Q81" s="57"/>
      <c r="R81" s="57"/>
      <c r="S81" s="57">
        <v>1120</v>
      </c>
      <c r="T81" s="57">
        <v>114</v>
      </c>
      <c r="U81" s="57">
        <v>11</v>
      </c>
      <c r="V81" s="57">
        <v>1</v>
      </c>
    </row>
    <row r="82" spans="1:22" ht="15" x14ac:dyDescent="0.25">
      <c r="A82" s="56" t="str">
        <f>rebio23_80ml!A82</f>
        <v>C-C-P15-H2</v>
      </c>
      <c r="B82" s="57">
        <v>114</v>
      </c>
      <c r="C82" s="57">
        <v>12</v>
      </c>
      <c r="D82" s="57">
        <v>1</v>
      </c>
      <c r="E82" s="57"/>
      <c r="F82" s="57"/>
      <c r="G82" s="57"/>
      <c r="H82" s="57"/>
      <c r="I82" s="57"/>
      <c r="J82" s="57">
        <v>11139</v>
      </c>
      <c r="K82" s="57">
        <v>1120</v>
      </c>
      <c r="L82" s="57">
        <v>113</v>
      </c>
      <c r="M82" s="57">
        <v>12</v>
      </c>
      <c r="N82" s="57">
        <v>1</v>
      </c>
      <c r="O82" s="57"/>
      <c r="P82" s="57"/>
      <c r="Q82" s="57"/>
      <c r="R82" s="57"/>
      <c r="S82" s="57">
        <v>1121</v>
      </c>
      <c r="T82" s="57">
        <v>114</v>
      </c>
      <c r="U82" s="57">
        <v>11</v>
      </c>
      <c r="V82" s="57">
        <v>1</v>
      </c>
    </row>
    <row r="83" spans="1:22" ht="15" x14ac:dyDescent="0.25">
      <c r="A83" s="56" t="str">
        <f>rebio23_80ml!A83</f>
        <v>C-C-P15-H3</v>
      </c>
      <c r="B83" s="57">
        <v>114</v>
      </c>
      <c r="C83" s="57">
        <v>12</v>
      </c>
      <c r="D83" s="57">
        <v>1</v>
      </c>
      <c r="E83" s="57"/>
      <c r="F83" s="57"/>
      <c r="G83" s="57"/>
      <c r="H83" s="57"/>
      <c r="I83" s="57"/>
      <c r="J83" s="57">
        <v>11140</v>
      </c>
      <c r="K83" s="57">
        <v>1120</v>
      </c>
      <c r="L83" s="57">
        <v>113</v>
      </c>
      <c r="M83" s="57">
        <v>12</v>
      </c>
      <c r="N83" s="57">
        <v>1</v>
      </c>
      <c r="O83" s="57"/>
      <c r="P83" s="57"/>
      <c r="Q83" s="57"/>
      <c r="R83" s="57"/>
      <c r="S83" s="57">
        <v>1122</v>
      </c>
      <c r="T83" s="57">
        <v>114</v>
      </c>
      <c r="U83" s="57">
        <v>11</v>
      </c>
      <c r="V83" s="57">
        <v>1</v>
      </c>
    </row>
    <row r="84" spans="1:22" ht="15" x14ac:dyDescent="0.25">
      <c r="A84" s="56" t="str">
        <f>rebio23_80ml!A84</f>
        <v>C-C-P16-H1</v>
      </c>
      <c r="B84" s="57">
        <v>114</v>
      </c>
      <c r="C84" s="57">
        <v>12</v>
      </c>
      <c r="D84" s="57">
        <v>1</v>
      </c>
      <c r="E84" s="57"/>
      <c r="F84" s="57"/>
      <c r="G84" s="57"/>
      <c r="H84" s="57"/>
      <c r="I84" s="57"/>
      <c r="J84" s="57">
        <v>11141</v>
      </c>
      <c r="K84" s="57">
        <v>1121</v>
      </c>
      <c r="L84" s="57">
        <v>113</v>
      </c>
      <c r="M84" s="57">
        <v>12</v>
      </c>
      <c r="N84" s="57">
        <v>1</v>
      </c>
      <c r="O84" s="57"/>
      <c r="P84" s="57"/>
      <c r="Q84" s="57"/>
      <c r="R84" s="57"/>
      <c r="S84" s="57">
        <v>1123</v>
      </c>
      <c r="T84" s="57">
        <v>115</v>
      </c>
      <c r="U84" s="57">
        <v>11</v>
      </c>
      <c r="V84" s="57">
        <v>1</v>
      </c>
    </row>
    <row r="85" spans="1:22" ht="15" x14ac:dyDescent="0.25">
      <c r="A85" s="56" t="str">
        <f>rebio23_80ml!A85</f>
        <v>C-C-P16-H2</v>
      </c>
      <c r="B85" s="57">
        <v>114</v>
      </c>
      <c r="C85" s="57">
        <v>12</v>
      </c>
      <c r="D85" s="57">
        <v>1</v>
      </c>
      <c r="E85" s="57"/>
      <c r="F85" s="57"/>
      <c r="G85" s="57"/>
      <c r="H85" s="57"/>
      <c r="I85" s="57"/>
      <c r="J85" s="57">
        <v>11142</v>
      </c>
      <c r="K85" s="57">
        <v>1121</v>
      </c>
      <c r="L85" s="57">
        <v>113</v>
      </c>
      <c r="M85" s="57">
        <v>12</v>
      </c>
      <c r="N85" s="57">
        <v>1</v>
      </c>
      <c r="O85" s="57"/>
      <c r="P85" s="57"/>
      <c r="Q85" s="57"/>
      <c r="R85" s="57"/>
      <c r="S85" s="57">
        <v>1124</v>
      </c>
      <c r="T85" s="57">
        <v>115</v>
      </c>
      <c r="U85" s="57">
        <v>11</v>
      </c>
      <c r="V85" s="57">
        <v>1</v>
      </c>
    </row>
    <row r="86" spans="1:22" ht="15" x14ac:dyDescent="0.25">
      <c r="A86" s="56" t="str">
        <f>rebio23_80ml!A86</f>
        <v>C-C-P16-H3</v>
      </c>
      <c r="B86" s="57">
        <v>114</v>
      </c>
      <c r="C86" s="57">
        <v>12</v>
      </c>
      <c r="D86" s="57">
        <v>1</v>
      </c>
      <c r="E86" s="57"/>
      <c r="F86" s="57"/>
      <c r="G86" s="57"/>
      <c r="H86" s="57"/>
      <c r="I86" s="57"/>
      <c r="J86" s="57">
        <v>11143</v>
      </c>
      <c r="K86" s="57">
        <v>1121</v>
      </c>
      <c r="L86" s="57">
        <v>113</v>
      </c>
      <c r="M86" s="57">
        <v>12</v>
      </c>
      <c r="N86" s="57">
        <v>1</v>
      </c>
      <c r="O86" s="57"/>
      <c r="P86" s="57"/>
      <c r="Q86" s="57"/>
      <c r="R86" s="57"/>
      <c r="S86" s="57">
        <v>1125</v>
      </c>
      <c r="T86" s="57">
        <v>115</v>
      </c>
      <c r="U86" s="57">
        <v>11</v>
      </c>
      <c r="V86" s="57">
        <v>1</v>
      </c>
    </row>
    <row r="87" spans="1:22" ht="15" x14ac:dyDescent="0.25">
      <c r="A87" s="56" t="str">
        <f>rebio23_80ml!A87</f>
        <v>C-C-P17-H1</v>
      </c>
      <c r="B87" s="57">
        <v>114</v>
      </c>
      <c r="C87" s="57">
        <v>12</v>
      </c>
      <c r="D87" s="57">
        <v>1</v>
      </c>
      <c r="E87" s="57"/>
      <c r="F87" s="57"/>
      <c r="G87" s="57"/>
      <c r="H87" s="57"/>
      <c r="I87" s="57"/>
      <c r="J87" s="57">
        <v>11144</v>
      </c>
      <c r="K87" s="57">
        <v>1122</v>
      </c>
      <c r="L87" s="57">
        <v>114</v>
      </c>
      <c r="M87" s="57">
        <v>12</v>
      </c>
      <c r="N87" s="57">
        <v>1</v>
      </c>
      <c r="O87" s="57"/>
      <c r="P87" s="57"/>
      <c r="Q87" s="57"/>
      <c r="R87" s="57"/>
      <c r="S87" s="57">
        <v>1126</v>
      </c>
      <c r="T87" s="57">
        <v>116</v>
      </c>
      <c r="U87" s="57">
        <v>12</v>
      </c>
      <c r="V87" s="57">
        <v>1</v>
      </c>
    </row>
    <row r="88" spans="1:22" ht="15" x14ac:dyDescent="0.25">
      <c r="A88" s="56" t="str">
        <f>rebio23_80ml!A88</f>
        <v>C-C-P17-H2</v>
      </c>
      <c r="B88" s="57">
        <v>114</v>
      </c>
      <c r="C88" s="57">
        <v>12</v>
      </c>
      <c r="D88" s="57">
        <v>1</v>
      </c>
      <c r="E88" s="57"/>
      <c r="F88" s="57"/>
      <c r="G88" s="57"/>
      <c r="H88" s="57"/>
      <c r="I88" s="57"/>
      <c r="J88" s="57">
        <v>11145</v>
      </c>
      <c r="K88" s="57">
        <v>1122</v>
      </c>
      <c r="L88" s="57">
        <v>114</v>
      </c>
      <c r="M88" s="57">
        <v>12</v>
      </c>
      <c r="N88" s="57">
        <v>1</v>
      </c>
      <c r="O88" s="57"/>
      <c r="P88" s="57"/>
      <c r="Q88" s="57"/>
      <c r="R88" s="57"/>
      <c r="S88" s="57">
        <v>1127</v>
      </c>
      <c r="T88" s="57">
        <v>116</v>
      </c>
      <c r="U88" s="57">
        <v>12</v>
      </c>
      <c r="V88" s="57">
        <v>1</v>
      </c>
    </row>
    <row r="89" spans="1:22" ht="15" x14ac:dyDescent="0.25">
      <c r="A89" s="56" t="str">
        <f>rebio23_80ml!A89</f>
        <v>C-C-P17-H3</v>
      </c>
      <c r="B89" s="57">
        <v>114</v>
      </c>
      <c r="C89" s="57">
        <v>12</v>
      </c>
      <c r="D89" s="57">
        <v>1</v>
      </c>
      <c r="E89" s="57"/>
      <c r="F89" s="57"/>
      <c r="G89" s="57"/>
      <c r="H89" s="57"/>
      <c r="I89" s="57"/>
      <c r="J89" s="57">
        <v>11146</v>
      </c>
      <c r="K89" s="57">
        <v>1122</v>
      </c>
      <c r="L89" s="57">
        <v>114</v>
      </c>
      <c r="M89" s="57">
        <v>12</v>
      </c>
      <c r="N89" s="57">
        <v>1</v>
      </c>
      <c r="O89" s="57"/>
      <c r="P89" s="57"/>
      <c r="Q89" s="57"/>
      <c r="R89" s="57"/>
      <c r="S89" s="57">
        <v>1128</v>
      </c>
      <c r="T89" s="57">
        <v>116</v>
      </c>
      <c r="U89" s="57">
        <v>12</v>
      </c>
      <c r="V89" s="57">
        <v>1</v>
      </c>
    </row>
    <row r="90" spans="1:22" ht="15" x14ac:dyDescent="0.25">
      <c r="A90" s="56" t="str">
        <f>rebio23_80ml!A90</f>
        <v>C-C-P18-H1</v>
      </c>
      <c r="B90" s="57">
        <v>114</v>
      </c>
      <c r="C90" s="57">
        <v>12</v>
      </c>
      <c r="D90" s="57">
        <v>1</v>
      </c>
      <c r="E90" s="57"/>
      <c r="F90" s="57"/>
      <c r="G90" s="57"/>
      <c r="H90" s="57"/>
      <c r="I90" s="57"/>
      <c r="J90" s="57">
        <v>11147</v>
      </c>
      <c r="K90" s="57">
        <v>1123</v>
      </c>
      <c r="L90" s="57">
        <v>114</v>
      </c>
      <c r="M90" s="57">
        <v>12</v>
      </c>
      <c r="N90" s="57">
        <v>1</v>
      </c>
      <c r="O90" s="57"/>
      <c r="P90" s="57"/>
      <c r="Q90" s="57"/>
      <c r="R90" s="57"/>
      <c r="S90" s="57">
        <v>1129</v>
      </c>
      <c r="T90" s="57">
        <v>117</v>
      </c>
      <c r="U90" s="57">
        <v>12</v>
      </c>
      <c r="V90" s="57">
        <v>1</v>
      </c>
    </row>
    <row r="91" spans="1:22" ht="15" x14ac:dyDescent="0.25">
      <c r="A91" s="56" t="str">
        <f>rebio23_80ml!A91</f>
        <v>C-C-P18-H2</v>
      </c>
      <c r="B91" s="57">
        <v>114</v>
      </c>
      <c r="C91" s="57">
        <v>12</v>
      </c>
      <c r="D91" s="57">
        <v>1</v>
      </c>
      <c r="E91" s="57"/>
      <c r="F91" s="57"/>
      <c r="G91" s="57"/>
      <c r="H91" s="57"/>
      <c r="I91" s="57"/>
      <c r="J91" s="57">
        <v>11148</v>
      </c>
      <c r="K91" s="57">
        <v>1123</v>
      </c>
      <c r="L91" s="57">
        <v>114</v>
      </c>
      <c r="M91" s="57">
        <v>12</v>
      </c>
      <c r="N91" s="57">
        <v>1</v>
      </c>
      <c r="O91" s="57"/>
      <c r="P91" s="57"/>
      <c r="Q91" s="57"/>
      <c r="R91" s="57"/>
      <c r="S91" s="57">
        <v>1130</v>
      </c>
      <c r="T91" s="57">
        <v>117</v>
      </c>
      <c r="U91" s="57">
        <v>12</v>
      </c>
      <c r="V91" s="57">
        <v>1</v>
      </c>
    </row>
    <row r="92" spans="1:22" ht="15" x14ac:dyDescent="0.25">
      <c r="A92" s="56" t="str">
        <f>rebio23_80ml!A92</f>
        <v>C-C-P18-H3</v>
      </c>
      <c r="B92" s="57">
        <v>114</v>
      </c>
      <c r="C92" s="57">
        <v>12</v>
      </c>
      <c r="D92" s="57">
        <v>1</v>
      </c>
      <c r="E92" s="57"/>
      <c r="F92" s="57"/>
      <c r="G92" s="57"/>
      <c r="H92" s="57"/>
      <c r="I92" s="57"/>
      <c r="J92" s="57">
        <v>11149</v>
      </c>
      <c r="K92" s="57">
        <v>1123</v>
      </c>
      <c r="L92" s="57">
        <v>114</v>
      </c>
      <c r="M92" s="57">
        <v>12</v>
      </c>
      <c r="N92" s="57">
        <v>1</v>
      </c>
      <c r="O92" s="57"/>
      <c r="P92" s="57"/>
      <c r="Q92" s="57"/>
      <c r="R92" s="57"/>
      <c r="S92" s="57">
        <v>1131</v>
      </c>
      <c r="T92" s="57">
        <v>117</v>
      </c>
      <c r="U92" s="57">
        <v>12</v>
      </c>
      <c r="V92" s="57">
        <v>1</v>
      </c>
    </row>
    <row r="93" spans="1:22" ht="15" x14ac:dyDescent="0.25">
      <c r="A93" s="56" t="str">
        <f>rebio23_80ml!A93</f>
        <v>C-C-P19-H1</v>
      </c>
      <c r="B93" s="57">
        <v>114</v>
      </c>
      <c r="C93" s="57">
        <v>12</v>
      </c>
      <c r="D93" s="57">
        <v>1</v>
      </c>
      <c r="E93" s="57"/>
      <c r="F93" s="57"/>
      <c r="G93" s="57"/>
      <c r="H93" s="57"/>
      <c r="I93" s="57"/>
      <c r="J93" s="57">
        <v>11150</v>
      </c>
      <c r="K93" s="57">
        <v>1124</v>
      </c>
      <c r="L93" s="57">
        <v>114</v>
      </c>
      <c r="M93" s="57">
        <v>12</v>
      </c>
      <c r="N93" s="57">
        <v>1</v>
      </c>
      <c r="O93" s="57"/>
      <c r="P93" s="57"/>
      <c r="Q93" s="57"/>
      <c r="R93" s="57"/>
      <c r="S93" s="57">
        <v>1132</v>
      </c>
      <c r="T93" s="57">
        <v>118</v>
      </c>
      <c r="U93" s="57">
        <v>12</v>
      </c>
      <c r="V93" s="57">
        <v>1</v>
      </c>
    </row>
    <row r="94" spans="1:22" ht="15" x14ac:dyDescent="0.25">
      <c r="A94" s="56" t="str">
        <f>rebio23_80ml!A94</f>
        <v>C-C-P19-H2</v>
      </c>
      <c r="B94" s="57">
        <v>114</v>
      </c>
      <c r="C94" s="57">
        <v>12</v>
      </c>
      <c r="D94" s="57">
        <v>1</v>
      </c>
      <c r="E94" s="57"/>
      <c r="F94" s="57"/>
      <c r="G94" s="57"/>
      <c r="H94" s="57"/>
      <c r="I94" s="57"/>
      <c r="J94" s="57">
        <v>11151</v>
      </c>
      <c r="K94" s="57">
        <v>1124</v>
      </c>
      <c r="L94" s="57">
        <v>114</v>
      </c>
      <c r="M94" s="57">
        <v>12</v>
      </c>
      <c r="N94" s="57">
        <v>1</v>
      </c>
      <c r="O94" s="57"/>
      <c r="P94" s="57"/>
      <c r="Q94" s="57"/>
      <c r="R94" s="57"/>
      <c r="S94" s="57">
        <v>1133</v>
      </c>
      <c r="T94" s="57">
        <v>118</v>
      </c>
      <c r="U94" s="57">
        <v>12</v>
      </c>
      <c r="V94" s="57">
        <v>1</v>
      </c>
    </row>
    <row r="95" spans="1:22" ht="15" x14ac:dyDescent="0.25">
      <c r="A95" s="56" t="str">
        <f>rebio23_80ml!A95</f>
        <v>C-C-P19-H3</v>
      </c>
      <c r="B95" s="57">
        <v>114</v>
      </c>
      <c r="C95" s="57">
        <v>12</v>
      </c>
      <c r="D95" s="57">
        <v>1</v>
      </c>
      <c r="E95" s="57"/>
      <c r="F95" s="57"/>
      <c r="G95" s="57"/>
      <c r="H95" s="57"/>
      <c r="I95" s="57"/>
      <c r="J95" s="57">
        <v>11152</v>
      </c>
      <c r="K95" s="57">
        <v>1124</v>
      </c>
      <c r="L95" s="57">
        <v>114</v>
      </c>
      <c r="M95" s="57">
        <v>12</v>
      </c>
      <c r="N95" s="57">
        <v>1</v>
      </c>
      <c r="O95" s="57"/>
      <c r="P95" s="57"/>
      <c r="Q95" s="57"/>
      <c r="R95" s="57"/>
      <c r="S95" s="57">
        <v>1134</v>
      </c>
      <c r="T95" s="57">
        <v>118</v>
      </c>
      <c r="U95" s="57">
        <v>12</v>
      </c>
      <c r="V95" s="57">
        <v>1</v>
      </c>
    </row>
    <row r="96" spans="1:22" ht="15.75" customHeight="1" x14ac:dyDescent="0.25">
      <c r="A96" s="56" t="str">
        <f>rebio23_80ml!A96</f>
        <v>C-C-P20-H1</v>
      </c>
      <c r="B96" s="57">
        <v>114</v>
      </c>
      <c r="C96" s="57">
        <v>12</v>
      </c>
      <c r="D96" s="57">
        <v>1</v>
      </c>
      <c r="E96" s="57"/>
      <c r="F96" s="57"/>
      <c r="G96" s="57"/>
      <c r="H96" s="57"/>
      <c r="I96" s="57"/>
      <c r="J96" s="57">
        <v>11153</v>
      </c>
      <c r="K96" s="57">
        <v>1125</v>
      </c>
      <c r="L96" s="57">
        <v>114</v>
      </c>
      <c r="M96" s="57">
        <v>12</v>
      </c>
      <c r="N96" s="57">
        <v>1</v>
      </c>
      <c r="O96" s="57"/>
      <c r="P96" s="57"/>
      <c r="Q96" s="57"/>
      <c r="R96" s="57"/>
      <c r="S96" s="57">
        <v>1135</v>
      </c>
      <c r="T96" s="57">
        <v>119</v>
      </c>
      <c r="U96" s="57">
        <v>12</v>
      </c>
      <c r="V96" s="57">
        <v>1</v>
      </c>
    </row>
    <row r="97" spans="1:22" ht="15.75" customHeight="1" x14ac:dyDescent="0.25">
      <c r="A97" s="56" t="str">
        <f>rebio23_80ml!A97</f>
        <v>C-C-P20-H2</v>
      </c>
      <c r="B97" s="57">
        <v>114</v>
      </c>
      <c r="C97" s="57">
        <v>12</v>
      </c>
      <c r="D97" s="57">
        <v>1</v>
      </c>
      <c r="E97" s="57"/>
      <c r="F97" s="57"/>
      <c r="G97" s="57"/>
      <c r="H97" s="57"/>
      <c r="I97" s="57"/>
      <c r="J97" s="57">
        <v>11154</v>
      </c>
      <c r="K97" s="57">
        <v>1125</v>
      </c>
      <c r="L97" s="57">
        <v>114</v>
      </c>
      <c r="M97" s="57">
        <v>12</v>
      </c>
      <c r="N97" s="57">
        <v>1</v>
      </c>
      <c r="O97" s="57"/>
      <c r="P97" s="57"/>
      <c r="Q97" s="57"/>
      <c r="R97" s="57"/>
      <c r="S97" s="57">
        <v>1136</v>
      </c>
      <c r="T97" s="57">
        <v>119</v>
      </c>
      <c r="U97" s="57">
        <v>12</v>
      </c>
      <c r="V97" s="57">
        <v>1</v>
      </c>
    </row>
    <row r="98" spans="1:22" ht="15.75" customHeight="1" x14ac:dyDescent="0.25">
      <c r="A98" s="56" t="str">
        <f>rebio23_80ml!A98</f>
        <v>C-C-P20-H3</v>
      </c>
      <c r="B98" s="57">
        <v>114</v>
      </c>
      <c r="C98" s="57">
        <v>12</v>
      </c>
      <c r="D98" s="57">
        <v>1</v>
      </c>
      <c r="E98" s="57"/>
      <c r="F98" s="57"/>
      <c r="G98" s="57"/>
      <c r="H98" s="57"/>
      <c r="I98" s="57"/>
      <c r="J98" s="57">
        <v>11155</v>
      </c>
      <c r="K98" s="57">
        <v>1125</v>
      </c>
      <c r="L98" s="57">
        <v>114</v>
      </c>
      <c r="M98" s="57">
        <v>12</v>
      </c>
      <c r="N98" s="57">
        <v>1</v>
      </c>
      <c r="O98" s="57"/>
      <c r="P98" s="57"/>
      <c r="Q98" s="57"/>
      <c r="R98" s="57"/>
      <c r="S98" s="57">
        <v>1137</v>
      </c>
      <c r="T98" s="57">
        <v>119</v>
      </c>
      <c r="U98" s="57">
        <v>12</v>
      </c>
      <c r="V98" s="57">
        <v>1</v>
      </c>
    </row>
    <row r="1048575" ht="15" x14ac:dyDescent="0.25"/>
    <row r="1048576" ht="15" x14ac:dyDescent="0.25"/>
  </sheetData>
  <mergeCells count="5">
    <mergeCell ref="B1:D1"/>
    <mergeCell ref="E1:I1"/>
    <mergeCell ref="J1:N1"/>
    <mergeCell ref="O1:R1"/>
    <mergeCell ref="S1:V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zoomScale="60" zoomScaleNormal="60" workbookViewId="0"/>
  </sheetViews>
  <sheetFormatPr defaultColWidth="11.5703125" defaultRowHeight="15" customHeight="1" x14ac:dyDescent="0.25"/>
  <cols>
    <col min="1" max="1" width="10.5703125" customWidth="1"/>
    <col min="2" max="20" width="8.7109375" customWidth="1"/>
    <col min="21" max="21" width="30.28515625" customWidth="1"/>
    <col min="22" max="26" width="8.7109375" customWidth="1"/>
    <col min="27" max="1024" width="14.42578125" customWidth="1"/>
  </cols>
  <sheetData>
    <row r="1" spans="1:22" ht="12.75" customHeight="1" x14ac:dyDescent="0.25">
      <c r="A1" s="34" t="s">
        <v>525</v>
      </c>
      <c r="B1" s="3"/>
      <c r="C1" s="4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2.75" customHeight="1" x14ac:dyDescent="0.25"/>
    <row r="3" spans="1:22" ht="12.75" customHeight="1" x14ac:dyDescent="0.25"/>
    <row r="4" spans="1:22" ht="12.75" customHeight="1" x14ac:dyDescent="0.25"/>
    <row r="5" spans="1:22" ht="12.75" customHeight="1" x14ac:dyDescent="0.25"/>
    <row r="6" spans="1:22" ht="12.75" customHeight="1" x14ac:dyDescent="0.25"/>
    <row r="7" spans="1:22" ht="12.75" customHeight="1" x14ac:dyDescent="0.25"/>
    <row r="8" spans="1:22" ht="12.75" customHeight="1" x14ac:dyDescent="0.25"/>
    <row r="9" spans="1:22" ht="12.75" customHeight="1" x14ac:dyDescent="0.25"/>
    <row r="10" spans="1:22" ht="12.75" customHeight="1" x14ac:dyDescent="0.25"/>
    <row r="11" spans="1:22" ht="12.75" customHeight="1" x14ac:dyDescent="0.25"/>
    <row r="12" spans="1:22" ht="12.75" customHeight="1" x14ac:dyDescent="0.25"/>
    <row r="13" spans="1:22" ht="12.75" customHeight="1" x14ac:dyDescent="0.25"/>
    <row r="14" spans="1:22" ht="12.75" customHeight="1" x14ac:dyDescent="0.25"/>
    <row r="15" spans="1:22" ht="12.75" customHeight="1" x14ac:dyDescent="0.25"/>
    <row r="16" spans="1:2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1529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contagens</vt:lpstr>
      <vt:lpstr>rebio23_80ml</vt:lpstr>
      <vt:lpstr>densidade_hab_indL</vt:lpstr>
      <vt:lpstr>densidade_ponto_indL</vt:lpstr>
      <vt:lpstr>codes</vt:lpstr>
      <vt:lpstr>Espécies</vt:lpstr>
      <vt:lpstr>escalas_final</vt:lpstr>
      <vt:lpstr>&lt;-- AQUI</vt:lpstr>
      <vt:lpstr>densidade_hab_indL!Excel_BuiltIn__FilterDatabase</vt:lpstr>
      <vt:lpstr>rebio23_80ml!Excel_BuiltIn__FilterDatabase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Elvio Medeiros</cp:lastModifiedBy>
  <cp:revision>44</cp:revision>
  <dcterms:created xsi:type="dcterms:W3CDTF">2026-09-24T15:21:39Z</dcterms:created>
  <dcterms:modified xsi:type="dcterms:W3CDTF">2026-10-02T22:49:23Z</dcterms:modified>
  <dc:language>pt-BR</dc:language>
</cp:coreProperties>
</file>